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4e3b5932ee9624d1/SERVIDOR/PAGAMENTO/"/>
    </mc:Choice>
  </mc:AlternateContent>
  <xr:revisionPtr revIDLastSave="1031" documentId="8_{EBB008DC-6263-45AC-B668-3FAFA465532D}" xr6:coauthVersionLast="47" xr6:coauthVersionMax="47" xr10:uidLastSave="{88E5C55B-EB50-4FBA-B855-5C306E05C2DA}"/>
  <bookViews>
    <workbookView xWindow="-120" yWindow="-120" windowWidth="20730" windowHeight="11160" xr2:uid="{00000000-000D-0000-FFFF-FFFF00000000}"/>
  </bookViews>
  <sheets>
    <sheet name="Geral" sheetId="1" r:id="rId1"/>
    <sheet name="Duplicados" sheetId="2" r:id="rId2"/>
    <sheet name="Instruções" sheetId="5" r:id="rId3"/>
    <sheet name="Planilha1" sheetId="3" state="hidden" r:id="rId4"/>
    <sheet name="Plan que devera ficar oculta" sheetId="4" state="hidden" r:id="rId5"/>
  </sheets>
  <definedNames>
    <definedName name="_xlnm._FilterDatabase" localSheetId="0" hidden="1">Geral!$A$2:$F$8360</definedName>
    <definedName name="_xlnm.Extract" localSheetId="0">Geral!#REF!</definedName>
    <definedName name="_xlnm.Criteria" localSheetId="0">Geral!#REF!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358" i="1" l="1"/>
  <c r="A8359" i="1"/>
  <c r="A8360" i="1"/>
  <c r="A8357" i="1"/>
  <c r="A8355" i="1"/>
  <c r="A8356" i="1"/>
  <c r="A8347" i="1"/>
  <c r="A8348" i="1"/>
  <c r="A8349" i="1"/>
  <c r="A8350" i="1"/>
  <c r="A8351" i="1"/>
  <c r="A8352" i="1"/>
  <c r="A8353" i="1"/>
  <c r="A8354" i="1"/>
  <c r="A8346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27" i="1"/>
  <c r="A8328" i="1"/>
  <c r="A8329" i="1"/>
  <c r="A8330" i="1"/>
  <c r="A8326" i="1"/>
  <c r="A8319" i="1"/>
  <c r="A8320" i="1"/>
  <c r="A8321" i="1"/>
  <c r="A8322" i="1"/>
  <c r="A8323" i="1"/>
  <c r="A8324" i="1"/>
  <c r="A8325" i="1"/>
  <c r="A8318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279" i="1" l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50" i="1"/>
  <c r="A8247" i="1"/>
  <c r="A8248" i="1"/>
  <c r="A8249" i="1"/>
  <c r="A8246" i="1"/>
  <c r="A8245" i="1"/>
  <c r="A8244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195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69" i="1"/>
  <c r="A7968" i="1"/>
  <c r="A7966" i="1"/>
  <c r="A7967" i="1"/>
  <c r="A7957" i="1" l="1"/>
  <c r="A7958" i="1"/>
  <c r="A7959" i="1"/>
  <c r="A7960" i="1"/>
  <c r="A7961" i="1"/>
  <c r="A7962" i="1"/>
  <c r="A7963" i="1"/>
  <c r="A7964" i="1"/>
  <c r="A7965" i="1"/>
  <c r="A7950" i="1"/>
  <c r="A7951" i="1"/>
  <c r="A7952" i="1"/>
  <c r="A7953" i="1"/>
  <c r="A7954" i="1"/>
  <c r="A7955" i="1"/>
  <c r="A7956" i="1"/>
  <c r="A7949" i="1"/>
  <c r="A7948" i="1" l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772" i="1"/>
  <c r="A7773" i="1"/>
  <c r="A7765" i="1"/>
  <c r="A7766" i="1"/>
  <c r="A7767" i="1"/>
  <c r="A7768" i="1"/>
  <c r="A7769" i="1"/>
  <c r="A7770" i="1"/>
  <c r="A7771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160" i="1"/>
  <c r="A7161" i="1"/>
  <c r="A7162" i="1"/>
  <c r="A7163" i="1"/>
  <c r="A7164" i="1"/>
  <c r="A7165" i="1"/>
  <c r="A7166" i="1"/>
  <c r="A7167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44" i="1"/>
  <c r="A6724" i="1" l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385" i="1"/>
  <c r="A7133" i="1"/>
  <c r="A7134" i="1"/>
  <c r="A7135" i="1"/>
  <c r="A7136" i="1"/>
  <c r="A7137" i="1"/>
  <c r="A7138" i="1"/>
  <c r="A7139" i="1"/>
  <c r="A7140" i="1"/>
  <c r="A7141" i="1"/>
  <c r="A7142" i="1"/>
  <c r="A7143" i="1"/>
  <c r="A6721" i="1"/>
  <c r="A6722" i="1"/>
  <c r="A6723" i="1"/>
  <c r="A6720" i="1"/>
  <c r="A6718" i="1"/>
  <c r="A6719" i="1"/>
  <c r="A6712" i="1"/>
  <c r="A6713" i="1"/>
  <c r="A6714" i="1"/>
  <c r="A6715" i="1"/>
  <c r="A6716" i="1"/>
  <c r="A6717" i="1"/>
  <c r="A6701" i="1"/>
  <c r="A6702" i="1"/>
  <c r="A6703" i="1"/>
  <c r="A6704" i="1"/>
  <c r="A6705" i="1"/>
  <c r="A6706" i="1"/>
  <c r="A6707" i="1"/>
  <c r="A6708" i="1"/>
  <c r="A6709" i="1"/>
  <c r="A6710" i="1"/>
  <c r="A6711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3160" i="1"/>
  <c r="A3161" i="1"/>
  <c r="A3162" i="1"/>
  <c r="A3163" i="1"/>
  <c r="A3164" i="1"/>
  <c r="A3165" i="1"/>
  <c r="A3168" i="1"/>
  <c r="G17" i="4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565" i="1"/>
  <c r="A6566" i="1"/>
  <c r="A6567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23" i="1"/>
  <c r="A6524" i="1"/>
  <c r="A6525" i="1"/>
  <c r="A6526" i="1"/>
  <c r="A6527" i="1"/>
  <c r="A6528" i="1"/>
  <c r="A6529" i="1"/>
  <c r="A6530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498" i="1"/>
  <c r="A6499" i="1"/>
  <c r="A6500" i="1"/>
  <c r="A6501" i="1"/>
  <c r="A6502" i="1"/>
  <c r="A6487" i="1"/>
  <c r="A6488" i="1"/>
  <c r="A6489" i="1"/>
  <c r="A6490" i="1"/>
  <c r="A6491" i="1"/>
  <c r="A6492" i="1"/>
  <c r="A6493" i="1"/>
  <c r="A6494" i="1"/>
  <c r="A6495" i="1"/>
  <c r="A6496" i="1"/>
  <c r="A6497" i="1"/>
  <c r="A6484" i="1"/>
  <c r="A6485" i="1"/>
  <c r="A6486" i="1"/>
  <c r="A6483" i="1"/>
  <c r="A6482" i="1"/>
  <c r="A6481" i="1"/>
  <c r="A6480" i="1"/>
  <c r="A6479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225" i="1" l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224" i="1"/>
  <c r="A6223" i="1"/>
  <c r="A6222" i="1"/>
  <c r="A6221" i="1"/>
  <c r="A6220" i="1"/>
  <c r="A6219" i="1"/>
  <c r="A6218" i="1"/>
  <c r="A6217" i="1"/>
  <c r="A6215" i="1"/>
  <c r="A6216" i="1"/>
  <c r="A6207" i="1"/>
  <c r="A6208" i="1"/>
  <c r="A6209" i="1"/>
  <c r="A6210" i="1"/>
  <c r="A6211" i="1"/>
  <c r="A6212" i="1"/>
  <c r="A6213" i="1"/>
  <c r="A6214" i="1"/>
  <c r="A6203" i="1"/>
  <c r="A6204" i="1"/>
  <c r="A6205" i="1"/>
  <c r="A6206" i="1"/>
  <c r="A6202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D376" i="4"/>
  <c r="AD375" i="4"/>
  <c r="AD374" i="4"/>
  <c r="AD373" i="4"/>
  <c r="AD372" i="4"/>
  <c r="AD371" i="4"/>
  <c r="AD370" i="4"/>
  <c r="AD369" i="4"/>
  <c r="AD368" i="4"/>
  <c r="AD367" i="4"/>
  <c r="AD366" i="4"/>
  <c r="AD365" i="4"/>
  <c r="AD364" i="4"/>
  <c r="AD363" i="4"/>
  <c r="AD362" i="4"/>
  <c r="AD361" i="4"/>
  <c r="AD360" i="4"/>
  <c r="AD359" i="4"/>
  <c r="AD358" i="4"/>
  <c r="AD357" i="4"/>
  <c r="AD356" i="4"/>
  <c r="AD355" i="4"/>
  <c r="AD354" i="4"/>
  <c r="AD353" i="4"/>
  <c r="AD352" i="4"/>
  <c r="AD351" i="4"/>
  <c r="AD350" i="4"/>
  <c r="AD349" i="4"/>
  <c r="AD348" i="4"/>
  <c r="AD347" i="4"/>
  <c r="AD346" i="4"/>
  <c r="AD345" i="4"/>
  <c r="AD344" i="4"/>
  <c r="AD343" i="4"/>
  <c r="AD342" i="4"/>
  <c r="AD341" i="4"/>
  <c r="AD340" i="4"/>
  <c r="AD339" i="4"/>
  <c r="AD338" i="4"/>
  <c r="AD337" i="4"/>
  <c r="AD336" i="4"/>
  <c r="AD335" i="4"/>
  <c r="AD334" i="4"/>
  <c r="AD333" i="4"/>
  <c r="AD332" i="4"/>
  <c r="AD331" i="4"/>
  <c r="AD330" i="4"/>
  <c r="AD329" i="4"/>
  <c r="AD328" i="4"/>
  <c r="AD327" i="4"/>
  <c r="AD326" i="4"/>
  <c r="AD325" i="4"/>
  <c r="AD324" i="4"/>
  <c r="AD323" i="4"/>
  <c r="AD322" i="4"/>
  <c r="AD321" i="4"/>
  <c r="AD320" i="4"/>
  <c r="AD319" i="4"/>
  <c r="AD318" i="4"/>
  <c r="AD317" i="4"/>
  <c r="AD316" i="4"/>
  <c r="AD315" i="4"/>
  <c r="AD314" i="4"/>
  <c r="AD313" i="4"/>
  <c r="AD312" i="4"/>
  <c r="AD311" i="4"/>
  <c r="AD310" i="4"/>
  <c r="AD309" i="4"/>
  <c r="AD308" i="4"/>
  <c r="AD307" i="4"/>
  <c r="AD306" i="4"/>
  <c r="AD305" i="4"/>
  <c r="AD304" i="4"/>
  <c r="AD303" i="4"/>
  <c r="AD302" i="4"/>
  <c r="AD301" i="4"/>
  <c r="AD300" i="4"/>
  <c r="AD299" i="4"/>
  <c r="AD298" i="4"/>
  <c r="AD297" i="4"/>
  <c r="AD296" i="4"/>
  <c r="AD295" i="4"/>
  <c r="AD294" i="4"/>
  <c r="AD293" i="4"/>
  <c r="AD292" i="4"/>
  <c r="AD291" i="4"/>
  <c r="AD290" i="4"/>
  <c r="AD289" i="4"/>
  <c r="AD288" i="4"/>
  <c r="AD287" i="4"/>
  <c r="AD286" i="4"/>
  <c r="AD285" i="4"/>
  <c r="AD284" i="4"/>
  <c r="AD283" i="4"/>
  <c r="AD282" i="4"/>
  <c r="AD281" i="4"/>
  <c r="AD280" i="4"/>
  <c r="AD279" i="4"/>
  <c r="AD278" i="4"/>
  <c r="AD277" i="4"/>
  <c r="AD276" i="4"/>
  <c r="AD275" i="4"/>
  <c r="AD274" i="4"/>
  <c r="AD273" i="4"/>
  <c r="AD272" i="4"/>
  <c r="AD271" i="4"/>
  <c r="AD270" i="4"/>
  <c r="AD269" i="4"/>
  <c r="AD268" i="4"/>
  <c r="AD267" i="4"/>
  <c r="AD266" i="4"/>
  <c r="AD265" i="4"/>
  <c r="AD264" i="4"/>
  <c r="AD263" i="4"/>
  <c r="AD262" i="4"/>
  <c r="AD261" i="4"/>
  <c r="AD260" i="4"/>
  <c r="AD259" i="4"/>
  <c r="AD258" i="4"/>
  <c r="AD257" i="4"/>
  <c r="AD256" i="4"/>
  <c r="AD255" i="4"/>
  <c r="AD254" i="4"/>
  <c r="AD253" i="4"/>
  <c r="AD252" i="4"/>
  <c r="AD251" i="4"/>
  <c r="AD250" i="4"/>
  <c r="AD249" i="4"/>
  <c r="AD248" i="4"/>
  <c r="AD247" i="4"/>
  <c r="AD246" i="4"/>
  <c r="AD245" i="4"/>
  <c r="AD244" i="4"/>
  <c r="AD243" i="4"/>
  <c r="AD242" i="4"/>
  <c r="AD241" i="4"/>
  <c r="AD240" i="4"/>
  <c r="AD239" i="4"/>
  <c r="AD238" i="4"/>
  <c r="AD237" i="4"/>
  <c r="AD236" i="4"/>
  <c r="AD235" i="4"/>
  <c r="AD234" i="4"/>
  <c r="AD233" i="4"/>
  <c r="AD232" i="4"/>
  <c r="AD231" i="4"/>
  <c r="AD230" i="4"/>
  <c r="AD229" i="4"/>
  <c r="AD228" i="4"/>
  <c r="AD227" i="4"/>
  <c r="AD226" i="4"/>
  <c r="AD225" i="4"/>
  <c r="AD224" i="4"/>
  <c r="AD223" i="4"/>
  <c r="AD222" i="4"/>
  <c r="AD221" i="4"/>
  <c r="AD220" i="4"/>
  <c r="AD219" i="4"/>
  <c r="AD218" i="4"/>
  <c r="AD217" i="4"/>
  <c r="AD216" i="4"/>
  <c r="AD215" i="4"/>
  <c r="AD214" i="4"/>
  <c r="AD213" i="4"/>
  <c r="AD212" i="4"/>
  <c r="AD211" i="4"/>
  <c r="AD210" i="4"/>
  <c r="AD209" i="4"/>
  <c r="AD208" i="4"/>
  <c r="AD207" i="4"/>
  <c r="AD206" i="4"/>
  <c r="AD205" i="4"/>
  <c r="AD204" i="4"/>
  <c r="AD203" i="4"/>
  <c r="AD202" i="4"/>
  <c r="AD201" i="4"/>
  <c r="AD200" i="4"/>
  <c r="AD199" i="4"/>
  <c r="AD198" i="4"/>
  <c r="AD197" i="4"/>
  <c r="AD196" i="4"/>
  <c r="AD195" i="4"/>
  <c r="AD194" i="4"/>
  <c r="AD193" i="4"/>
  <c r="AD192" i="4"/>
  <c r="AD191" i="4"/>
  <c r="AD190" i="4"/>
  <c r="AD189" i="4"/>
  <c r="AD188" i="4"/>
  <c r="AD187" i="4"/>
  <c r="AD186" i="4"/>
  <c r="AD185" i="4"/>
  <c r="AD184" i="4"/>
  <c r="AD183" i="4"/>
  <c r="AD182" i="4"/>
  <c r="AD181" i="4"/>
  <c r="AD180" i="4"/>
  <c r="AD179" i="4"/>
  <c r="AD178" i="4"/>
  <c r="AD177" i="4"/>
  <c r="AD176" i="4"/>
  <c r="AD175" i="4"/>
  <c r="AD174" i="4"/>
  <c r="AD173" i="4"/>
  <c r="AD172" i="4"/>
  <c r="AD171" i="4"/>
  <c r="AD170" i="4"/>
  <c r="AD169" i="4"/>
  <c r="AD168" i="4"/>
  <c r="AD167" i="4"/>
  <c r="AD166" i="4"/>
  <c r="AD165" i="4"/>
  <c r="AD164" i="4"/>
  <c r="AD163" i="4"/>
  <c r="AD162" i="4"/>
  <c r="AD161" i="4"/>
  <c r="AD160" i="4"/>
  <c r="AD159" i="4"/>
  <c r="AD158" i="4"/>
  <c r="AD157" i="4"/>
  <c r="AD156" i="4"/>
  <c r="AD155" i="4"/>
  <c r="AD154" i="4"/>
  <c r="AD153" i="4"/>
  <c r="AD152" i="4"/>
  <c r="AD151" i="4"/>
  <c r="AD150" i="4"/>
  <c r="AD149" i="4"/>
  <c r="AD148" i="4"/>
  <c r="AD147" i="4"/>
  <c r="AD146" i="4"/>
  <c r="AD145" i="4"/>
  <c r="AD144" i="4"/>
  <c r="AD143" i="4"/>
  <c r="AD142" i="4"/>
  <c r="AD141" i="4"/>
  <c r="AD140" i="4"/>
  <c r="AD139" i="4"/>
  <c r="AD138" i="4"/>
  <c r="AD137" i="4"/>
  <c r="AD136" i="4"/>
  <c r="AD135" i="4"/>
  <c r="AD134" i="4"/>
  <c r="AD133" i="4"/>
  <c r="AD132" i="4"/>
  <c r="AD131" i="4"/>
  <c r="AD130" i="4"/>
  <c r="AD129" i="4"/>
  <c r="AD128" i="4"/>
  <c r="AD127" i="4"/>
  <c r="AD126" i="4"/>
  <c r="AD125" i="4"/>
  <c r="AD124" i="4"/>
  <c r="AD123" i="4"/>
  <c r="AD122" i="4"/>
  <c r="AD121" i="4"/>
  <c r="AD120" i="4"/>
  <c r="AD119" i="4"/>
  <c r="AD118" i="4"/>
  <c r="AD117" i="4"/>
  <c r="AD116" i="4"/>
  <c r="AD115" i="4"/>
  <c r="AD114" i="4"/>
  <c r="AD113" i="4"/>
  <c r="AD112" i="4"/>
  <c r="AD111" i="4"/>
  <c r="AD110" i="4"/>
  <c r="AD109" i="4"/>
  <c r="AD108" i="4"/>
  <c r="AD107" i="4"/>
  <c r="AD106" i="4"/>
  <c r="AD105" i="4"/>
  <c r="AD104" i="4"/>
  <c r="AD103" i="4"/>
  <c r="AD102" i="4"/>
  <c r="AD101" i="4"/>
  <c r="AD100" i="4"/>
  <c r="AD99" i="4"/>
  <c r="AD98" i="4"/>
  <c r="AD97" i="4"/>
  <c r="AD96" i="4"/>
  <c r="AD95" i="4"/>
  <c r="AD94" i="4"/>
  <c r="AD93" i="4"/>
  <c r="AD92" i="4"/>
  <c r="AD91" i="4"/>
  <c r="AD90" i="4"/>
  <c r="AD89" i="4"/>
  <c r="AD88" i="4"/>
  <c r="AD87" i="4"/>
  <c r="AD86" i="4"/>
  <c r="AD85" i="4"/>
  <c r="AD84" i="4"/>
  <c r="AD83" i="4"/>
  <c r="AD82" i="4"/>
  <c r="AD81" i="4"/>
  <c r="AD80" i="4"/>
  <c r="AD79" i="4"/>
  <c r="AD78" i="4"/>
  <c r="AD77" i="4"/>
  <c r="AD76" i="4"/>
  <c r="AD75" i="4"/>
  <c r="AD74" i="4"/>
  <c r="AD73" i="4"/>
  <c r="AD72" i="4"/>
  <c r="AD71" i="4"/>
  <c r="AD70" i="4"/>
  <c r="AD69" i="4"/>
  <c r="AD68" i="4"/>
  <c r="AD67" i="4"/>
  <c r="AD66" i="4"/>
  <c r="AD65" i="4"/>
  <c r="AD64" i="4"/>
  <c r="AD63" i="4"/>
  <c r="AD62" i="4"/>
  <c r="AD61" i="4"/>
  <c r="AD60" i="4"/>
  <c r="AD59" i="4"/>
  <c r="AD58" i="4"/>
  <c r="AD57" i="4"/>
  <c r="AD56" i="4"/>
  <c r="AD55" i="4"/>
  <c r="AD54" i="4"/>
  <c r="AD53" i="4"/>
  <c r="AD52" i="4"/>
  <c r="AD51" i="4"/>
  <c r="AD50" i="4"/>
  <c r="AD49" i="4"/>
  <c r="AD48" i="4"/>
  <c r="AD47" i="4"/>
  <c r="AD46" i="4"/>
  <c r="AD45" i="4"/>
  <c r="AD44" i="4"/>
  <c r="AD43" i="4"/>
  <c r="AD42" i="4"/>
  <c r="AD41" i="4"/>
  <c r="AD40" i="4"/>
  <c r="AD39" i="4"/>
  <c r="AD38" i="4"/>
  <c r="AD37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J22" i="4"/>
  <c r="AD21" i="4"/>
  <c r="J21" i="4"/>
  <c r="E21" i="4"/>
  <c r="AD20" i="4"/>
  <c r="AD19" i="4"/>
  <c r="J19" i="4"/>
  <c r="E19" i="4"/>
  <c r="AD18" i="4"/>
  <c r="AD17" i="4"/>
  <c r="J17" i="4"/>
  <c r="F17" i="4"/>
  <c r="E17" i="4"/>
  <c r="AD16" i="4"/>
  <c r="AD15" i="4"/>
  <c r="S15" i="4"/>
  <c r="Q15" i="4"/>
  <c r="J15" i="4"/>
  <c r="F15" i="4"/>
  <c r="E15" i="4"/>
  <c r="AD14" i="4"/>
  <c r="S14" i="4"/>
  <c r="Q14" i="4"/>
  <c r="S13" i="4"/>
  <c r="Q13" i="4"/>
  <c r="J13" i="4"/>
  <c r="E13" i="4"/>
  <c r="S12" i="4"/>
  <c r="Q12" i="4"/>
  <c r="Y11" i="4"/>
  <c r="S11" i="4"/>
  <c r="Q11" i="4"/>
  <c r="J11" i="4"/>
  <c r="I11" i="4"/>
  <c r="H11" i="4"/>
  <c r="G11" i="4"/>
  <c r="F11" i="4"/>
  <c r="E11" i="4"/>
  <c r="W10" i="4"/>
  <c r="S10" i="4"/>
  <c r="Q10" i="4"/>
  <c r="AG9" i="4"/>
  <c r="AD9" i="4"/>
  <c r="AA9" i="4"/>
  <c r="V9" i="4"/>
  <c r="S9" i="4"/>
  <c r="Q9" i="4"/>
  <c r="J9" i="4"/>
  <c r="E9" i="4"/>
  <c r="S8" i="4"/>
  <c r="Q8" i="4"/>
  <c r="S7" i="4"/>
  <c r="Q7" i="4"/>
  <c r="J7" i="4"/>
  <c r="E7" i="4"/>
  <c r="S6" i="4"/>
  <c r="Q6" i="4"/>
  <c r="S5" i="4"/>
  <c r="Q5" i="4"/>
  <c r="J5" i="4"/>
  <c r="E5" i="4"/>
  <c r="S4" i="4"/>
  <c r="Q4" i="4"/>
  <c r="S3" i="4"/>
  <c r="Q3" i="4"/>
  <c r="J3" i="4"/>
  <c r="I3" i="4"/>
  <c r="H3" i="4"/>
  <c r="G3" i="4"/>
  <c r="F3" i="4"/>
  <c r="E3" i="4"/>
  <c r="A20" i="2"/>
  <c r="A17" i="2"/>
  <c r="A11" i="2"/>
  <c r="A10" i="2"/>
  <c r="A9" i="2"/>
  <c r="F9" i="2" s="1"/>
  <c r="A8" i="2"/>
  <c r="A6" i="2"/>
  <c r="A5" i="2"/>
  <c r="A4" i="2"/>
  <c r="A3" i="2"/>
  <c r="F3" i="2" s="1"/>
  <c r="A2" i="2"/>
  <c r="F2" i="2" s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7" i="1"/>
  <c r="A3166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F100" i="1" s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F5" i="2" s="1"/>
  <c r="A4" i="1"/>
  <c r="A3" i="1"/>
  <c r="F36" i="1" l="1"/>
  <c r="F104" i="1"/>
  <c r="F6" i="1"/>
  <c r="F76" i="1"/>
  <c r="F77" i="1"/>
  <c r="F85" i="1"/>
  <c r="F101" i="1"/>
  <c r="F105" i="1"/>
  <c r="F62" i="1"/>
  <c r="F102" i="1"/>
  <c r="F74" i="1"/>
  <c r="F78" i="1"/>
  <c r="F8358" i="1"/>
  <c r="F3" i="1"/>
  <c r="F8360" i="1"/>
  <c r="F8359" i="1"/>
  <c r="F7" i="1"/>
  <c r="F35" i="1"/>
  <c r="F75" i="1"/>
  <c r="F103" i="1"/>
  <c r="F8357" i="1"/>
  <c r="F8355" i="1"/>
  <c r="F8356" i="1"/>
  <c r="F8347" i="1"/>
  <c r="F8351" i="1"/>
  <c r="F8353" i="1"/>
  <c r="F8354" i="1"/>
  <c r="F8348" i="1"/>
  <c r="F8352" i="1"/>
  <c r="F8349" i="1"/>
  <c r="F8350" i="1"/>
  <c r="F8346" i="1"/>
  <c r="F8343" i="1"/>
  <c r="F8332" i="1"/>
  <c r="F8336" i="1"/>
  <c r="F8340" i="1"/>
  <c r="F8344" i="1"/>
  <c r="F8335" i="1"/>
  <c r="F8333" i="1"/>
  <c r="F8337" i="1"/>
  <c r="F8341" i="1"/>
  <c r="F8345" i="1"/>
  <c r="F8334" i="1"/>
  <c r="F8338" i="1"/>
  <c r="F8342" i="1"/>
  <c r="F8331" i="1"/>
  <c r="F8339" i="1"/>
  <c r="F8327" i="1"/>
  <c r="F8328" i="1"/>
  <c r="F8329" i="1"/>
  <c r="F8330" i="1"/>
  <c r="F8326" i="1"/>
  <c r="F8325" i="1"/>
  <c r="F8322" i="1"/>
  <c r="F8321" i="1"/>
  <c r="F8324" i="1"/>
  <c r="F8323" i="1"/>
  <c r="F8319" i="1"/>
  <c r="F8320" i="1"/>
  <c r="F8318" i="1"/>
  <c r="F8309" i="1"/>
  <c r="F8313" i="1"/>
  <c r="F8317" i="1"/>
  <c r="F8306" i="1"/>
  <c r="F8310" i="1"/>
  <c r="F8314" i="1"/>
  <c r="F8308" i="1"/>
  <c r="F8312" i="1"/>
  <c r="F8316" i="1"/>
  <c r="F8315" i="1"/>
  <c r="F8293" i="1"/>
  <c r="F8294" i="1"/>
  <c r="F8305" i="1"/>
  <c r="F8281" i="1"/>
  <c r="F8297" i="1"/>
  <c r="F8298" i="1"/>
  <c r="F8311" i="1"/>
  <c r="F8285" i="1"/>
  <c r="F8290" i="1"/>
  <c r="F8301" i="1"/>
  <c r="F8302" i="1"/>
  <c r="F8286" i="1"/>
  <c r="F8307" i="1"/>
  <c r="F8282" i="1"/>
  <c r="F8289" i="1"/>
  <c r="F8283" i="1"/>
  <c r="F8295" i="1"/>
  <c r="F8303" i="1"/>
  <c r="F8284" i="1"/>
  <c r="F8292" i="1"/>
  <c r="F8300" i="1"/>
  <c r="F8287" i="1"/>
  <c r="F8291" i="1"/>
  <c r="F8299" i="1"/>
  <c r="F8280" i="1"/>
  <c r="F8288" i="1"/>
  <c r="F8296" i="1"/>
  <c r="F8304" i="1"/>
  <c r="F8279" i="1"/>
  <c r="F8255" i="1"/>
  <c r="F8252" i="1"/>
  <c r="F8256" i="1"/>
  <c r="F8260" i="1"/>
  <c r="F8264" i="1"/>
  <c r="F8268" i="1"/>
  <c r="F8272" i="1"/>
  <c r="F8253" i="1"/>
  <c r="F8257" i="1"/>
  <c r="F8261" i="1"/>
  <c r="F8265" i="1"/>
  <c r="F8269" i="1"/>
  <c r="F8273" i="1"/>
  <c r="F8277" i="1"/>
  <c r="F8271" i="1"/>
  <c r="F8275" i="1"/>
  <c r="F8254" i="1"/>
  <c r="F8258" i="1"/>
  <c r="F8262" i="1"/>
  <c r="F8266" i="1"/>
  <c r="F8270" i="1"/>
  <c r="F8274" i="1"/>
  <c r="F8278" i="1"/>
  <c r="F8259" i="1"/>
  <c r="F8263" i="1"/>
  <c r="F8267" i="1"/>
  <c r="F8276" i="1"/>
  <c r="F8251" i="1"/>
  <c r="F8250" i="1"/>
  <c r="F8248" i="1"/>
  <c r="F8249" i="1"/>
  <c r="F8247" i="1"/>
  <c r="F8246" i="1"/>
  <c r="F8245" i="1"/>
  <c r="F8244" i="1"/>
  <c r="F8234" i="1"/>
  <c r="F8218" i="1"/>
  <c r="F8222" i="1"/>
  <c r="F8230" i="1"/>
  <c r="F8223" i="1"/>
  <c r="F8219" i="1"/>
  <c r="F8238" i="1"/>
  <c r="F8242" i="1"/>
  <c r="F8215" i="1"/>
  <c r="F8226" i="1"/>
  <c r="F8214" i="1"/>
  <c r="F8243" i="1"/>
  <c r="F8237" i="1"/>
  <c r="F8227" i="1"/>
  <c r="F8231" i="1"/>
  <c r="F8235" i="1"/>
  <c r="F8239" i="1"/>
  <c r="F8229" i="1"/>
  <c r="F8241" i="1"/>
  <c r="F8228" i="1"/>
  <c r="F8232" i="1"/>
  <c r="F8236" i="1"/>
  <c r="F8240" i="1"/>
  <c r="F8233" i="1"/>
  <c r="F8213" i="1"/>
  <c r="F8217" i="1"/>
  <c r="F8221" i="1"/>
  <c r="F8225" i="1"/>
  <c r="F8216" i="1"/>
  <c r="F8220" i="1"/>
  <c r="F8212" i="1"/>
  <c r="F8224" i="1"/>
  <c r="F8211" i="1"/>
  <c r="F8195" i="1"/>
  <c r="F8196" i="1"/>
  <c r="F8200" i="1"/>
  <c r="F8204" i="1"/>
  <c r="F8208" i="1"/>
  <c r="F8203" i="1"/>
  <c r="F8197" i="1"/>
  <c r="F8201" i="1"/>
  <c r="F8205" i="1"/>
  <c r="F8209" i="1"/>
  <c r="F8207" i="1"/>
  <c r="F8198" i="1"/>
  <c r="F8202" i="1"/>
  <c r="F8206" i="1"/>
  <c r="F8210" i="1"/>
  <c r="F8199" i="1"/>
  <c r="F8185" i="1"/>
  <c r="F8135" i="1"/>
  <c r="F8194" i="1"/>
  <c r="F8162" i="1"/>
  <c r="F8122" i="1"/>
  <c r="F8068" i="1"/>
  <c r="F8189" i="1"/>
  <c r="F8169" i="1"/>
  <c r="F8153" i="1"/>
  <c r="F8133" i="1"/>
  <c r="F8117" i="1"/>
  <c r="F8101" i="1"/>
  <c r="F8045" i="1"/>
  <c r="F8029" i="1"/>
  <c r="F8085" i="1"/>
  <c r="F8071" i="1"/>
  <c r="F8015" i="1"/>
  <c r="F8176" i="1"/>
  <c r="F8156" i="1"/>
  <c r="F8140" i="1"/>
  <c r="F8124" i="1"/>
  <c r="F8011" i="1"/>
  <c r="F8160" i="1"/>
  <c r="F8104" i="1"/>
  <c r="F8088" i="1"/>
  <c r="F8070" i="1"/>
  <c r="F8055" i="1"/>
  <c r="F8036" i="1"/>
  <c r="F8022" i="1"/>
  <c r="F8006" i="1"/>
  <c r="F8165" i="1"/>
  <c r="F8149" i="1"/>
  <c r="F8113" i="1"/>
  <c r="F8041" i="1"/>
  <c r="F8050" i="1"/>
  <c r="F8182" i="1"/>
  <c r="F8150" i="1"/>
  <c r="F8106" i="1"/>
  <c r="F8177" i="1"/>
  <c r="F8042" i="1"/>
  <c r="F8178" i="1"/>
  <c r="F8146" i="1"/>
  <c r="F8090" i="1"/>
  <c r="F8056" i="1"/>
  <c r="F8181" i="1"/>
  <c r="F8161" i="1"/>
  <c r="F8141" i="1"/>
  <c r="F8125" i="1"/>
  <c r="F8109" i="1"/>
  <c r="F8054" i="1"/>
  <c r="F8037" i="1"/>
  <c r="F8093" i="1"/>
  <c r="F8077" i="1"/>
  <c r="F8063" i="1"/>
  <c r="F8184" i="1"/>
  <c r="F8168" i="1"/>
  <c r="F8148" i="1"/>
  <c r="F8132" i="1"/>
  <c r="F8002" i="1"/>
  <c r="F8003" i="1"/>
  <c r="F8112" i="1"/>
  <c r="F8096" i="1"/>
  <c r="F8080" i="1"/>
  <c r="F8062" i="1"/>
  <c r="F8044" i="1"/>
  <c r="F8028" i="1"/>
  <c r="F8014" i="1"/>
  <c r="F8089" i="1"/>
  <c r="F8073" i="1"/>
  <c r="F7999" i="1"/>
  <c r="F8180" i="1"/>
  <c r="F8164" i="1"/>
  <c r="F8144" i="1"/>
  <c r="F8128" i="1"/>
  <c r="F8019" i="1"/>
  <c r="F8192" i="1"/>
  <c r="F8081" i="1"/>
  <c r="F8188" i="1"/>
  <c r="F8152" i="1"/>
  <c r="F8116" i="1"/>
  <c r="F8007" i="1"/>
  <c r="F8100" i="1"/>
  <c r="F8066" i="1"/>
  <c r="F8032" i="1"/>
  <c r="F8018" i="1"/>
  <c r="F8034" i="1"/>
  <c r="F8166" i="1"/>
  <c r="F8134" i="1"/>
  <c r="F8074" i="1"/>
  <c r="F8193" i="1"/>
  <c r="F8173" i="1"/>
  <c r="F8157" i="1"/>
  <c r="F8137" i="1"/>
  <c r="F8121" i="1"/>
  <c r="F8105" i="1"/>
  <c r="F8049" i="1"/>
  <c r="F8033" i="1"/>
  <c r="F8108" i="1"/>
  <c r="F8092" i="1"/>
  <c r="F8076" i="1"/>
  <c r="F8059" i="1"/>
  <c r="F8040" i="1"/>
  <c r="F8024" i="1"/>
  <c r="F8010" i="1"/>
  <c r="F8129" i="1"/>
  <c r="F8097" i="1"/>
  <c r="F8025" i="1"/>
  <c r="F8067" i="1"/>
  <c r="F8172" i="1"/>
  <c r="F8136" i="1"/>
  <c r="F8120" i="1"/>
  <c r="F8084" i="1"/>
  <c r="F8048" i="1"/>
  <c r="F8004" i="1"/>
  <c r="F8083" i="1"/>
  <c r="F8099" i="1"/>
  <c r="F8115" i="1"/>
  <c r="F8187" i="1"/>
  <c r="F8012" i="1"/>
  <c r="F8020" i="1"/>
  <c r="F8075" i="1"/>
  <c r="F8091" i="1"/>
  <c r="F8107" i="1"/>
  <c r="F8123" i="1"/>
  <c r="F8139" i="1"/>
  <c r="F8151" i="1"/>
  <c r="F8167" i="1"/>
  <c r="F8026" i="1"/>
  <c r="F8060" i="1"/>
  <c r="F8082" i="1"/>
  <c r="F8098" i="1"/>
  <c r="F8114" i="1"/>
  <c r="F8130" i="1"/>
  <c r="F8145" i="1"/>
  <c r="F8155" i="1"/>
  <c r="F8171" i="1"/>
  <c r="F8183" i="1"/>
  <c r="F8005" i="1"/>
  <c r="F8013" i="1"/>
  <c r="F8021" i="1"/>
  <c r="F8027" i="1"/>
  <c r="F8035" i="1"/>
  <c r="F8043" i="1"/>
  <c r="F8051" i="1"/>
  <c r="F8061" i="1"/>
  <c r="F8069" i="1"/>
  <c r="F8000" i="1"/>
  <c r="F8008" i="1"/>
  <c r="F8016" i="1"/>
  <c r="F8030" i="1"/>
  <c r="F8038" i="1"/>
  <c r="F8046" i="1"/>
  <c r="F8052" i="1"/>
  <c r="F8057" i="1"/>
  <c r="F8064" i="1"/>
  <c r="F8072" i="1"/>
  <c r="F8078" i="1"/>
  <c r="F8086" i="1"/>
  <c r="F8094" i="1"/>
  <c r="F8102" i="1"/>
  <c r="F8110" i="1"/>
  <c r="F8118" i="1"/>
  <c r="F8126" i="1"/>
  <c r="F8131" i="1"/>
  <c r="F8142" i="1"/>
  <c r="F8147" i="1"/>
  <c r="F8158" i="1"/>
  <c r="F8163" i="1"/>
  <c r="F8174" i="1"/>
  <c r="F8179" i="1"/>
  <c r="F8190" i="1"/>
  <c r="F8001" i="1"/>
  <c r="F8009" i="1"/>
  <c r="F8017" i="1"/>
  <c r="F8023" i="1"/>
  <c r="F8031" i="1"/>
  <c r="F8039" i="1"/>
  <c r="F8047" i="1"/>
  <c r="F8053" i="1"/>
  <c r="F8058" i="1"/>
  <c r="F8065" i="1"/>
  <c r="F8079" i="1"/>
  <c r="F8087" i="1"/>
  <c r="F8095" i="1"/>
  <c r="F8186" i="1"/>
  <c r="F8191" i="1"/>
  <c r="F8103" i="1"/>
  <c r="F8111" i="1"/>
  <c r="F8119" i="1"/>
  <c r="F8127" i="1"/>
  <c r="F8138" i="1"/>
  <c r="F8143" i="1"/>
  <c r="F8154" i="1"/>
  <c r="F8159" i="1"/>
  <c r="F8170" i="1"/>
  <c r="F8175" i="1"/>
  <c r="F7994" i="1"/>
  <c r="F7991" i="1"/>
  <c r="F7995" i="1"/>
  <c r="F7993" i="1"/>
  <c r="F7987" i="1"/>
  <c r="F7997" i="1"/>
  <c r="F7988" i="1"/>
  <c r="F7992" i="1"/>
  <c r="F7996" i="1"/>
  <c r="F7989" i="1"/>
  <c r="F7998" i="1"/>
  <c r="F7977" i="1"/>
  <c r="F7990" i="1"/>
  <c r="F7973" i="1"/>
  <c r="F7985" i="1"/>
  <c r="F7981" i="1"/>
  <c r="F7974" i="1"/>
  <c r="F7978" i="1"/>
  <c r="F7986" i="1"/>
  <c r="F7976" i="1"/>
  <c r="F7984" i="1"/>
  <c r="F7970" i="1"/>
  <c r="F7982" i="1"/>
  <c r="F7983" i="1"/>
  <c r="F7980" i="1"/>
  <c r="F7971" i="1"/>
  <c r="F7975" i="1"/>
  <c r="F7979" i="1"/>
  <c r="F7972" i="1"/>
  <c r="F7969" i="1"/>
  <c r="F7968" i="1"/>
  <c r="F7967" i="1"/>
  <c r="F7966" i="1"/>
  <c r="F7961" i="1"/>
  <c r="F7965" i="1"/>
  <c r="F7962" i="1"/>
  <c r="F7959" i="1"/>
  <c r="F7957" i="1"/>
  <c r="F7963" i="1"/>
  <c r="F7958" i="1"/>
  <c r="F7964" i="1"/>
  <c r="F7960" i="1"/>
  <c r="F7952" i="1"/>
  <c r="F7956" i="1"/>
  <c r="F7950" i="1"/>
  <c r="F7955" i="1"/>
  <c r="F7953" i="1"/>
  <c r="F7954" i="1"/>
  <c r="F7951" i="1"/>
  <c r="F7949" i="1"/>
  <c r="F7686" i="1"/>
  <c r="F7948" i="1"/>
  <c r="F7546" i="1"/>
  <c r="F7624" i="1"/>
  <c r="F7485" i="1"/>
  <c r="F7675" i="1"/>
  <c r="F7572" i="1"/>
  <c r="F7592" i="1"/>
  <c r="F7453" i="1"/>
  <c r="F7672" i="1"/>
  <c r="F7389" i="1"/>
  <c r="F7714" i="1"/>
  <c r="F7754" i="1"/>
  <c r="F7753" i="1"/>
  <c r="F7421" i="1"/>
  <c r="F7517" i="1"/>
  <c r="F7775" i="1"/>
  <c r="F7679" i="1"/>
  <c r="F7701" i="1"/>
  <c r="F7748" i="1"/>
  <c r="F7716" i="1"/>
  <c r="F7553" i="1"/>
  <c r="F7652" i="1"/>
  <c r="F7620" i="1"/>
  <c r="F7588" i="1"/>
  <c r="F7545" i="1"/>
  <c r="F7513" i="1"/>
  <c r="F7481" i="1"/>
  <c r="F7449" i="1"/>
  <c r="F7417" i="1"/>
  <c r="F7640" i="1"/>
  <c r="F7608" i="1"/>
  <c r="F7576" i="1"/>
  <c r="F7533" i="1"/>
  <c r="F7501" i="1"/>
  <c r="F7469" i="1"/>
  <c r="F7437" i="1"/>
  <c r="F7405" i="1"/>
  <c r="F7530" i="1"/>
  <c r="F7621" i="1"/>
  <c r="F7625" i="1"/>
  <c r="F7668" i="1"/>
  <c r="F7684" i="1"/>
  <c r="F7636" i="1"/>
  <c r="F7604" i="1"/>
  <c r="F7549" i="1"/>
  <c r="F7529" i="1"/>
  <c r="F7497" i="1"/>
  <c r="F7465" i="1"/>
  <c r="F7433" i="1"/>
  <c r="F7401" i="1"/>
  <c r="F7731" i="1"/>
  <c r="F7745" i="1"/>
  <c r="F7771" i="1"/>
  <c r="F7700" i="1"/>
  <c r="F7776" i="1"/>
  <c r="F7780" i="1"/>
  <c r="F7784" i="1"/>
  <c r="F7788" i="1"/>
  <c r="F7792" i="1"/>
  <c r="F7796" i="1"/>
  <c r="F7800" i="1"/>
  <c r="F7804" i="1"/>
  <c r="F7808" i="1"/>
  <c r="F7812" i="1"/>
  <c r="F7816" i="1"/>
  <c r="F7820" i="1"/>
  <c r="F7824" i="1"/>
  <c r="F7828" i="1"/>
  <c r="F7832" i="1"/>
  <c r="F7836" i="1"/>
  <c r="F7840" i="1"/>
  <c r="F7844" i="1"/>
  <c r="F7848" i="1"/>
  <c r="F7852" i="1"/>
  <c r="F7856" i="1"/>
  <c r="F7860" i="1"/>
  <c r="F7864" i="1"/>
  <c r="F7868" i="1"/>
  <c r="F7872" i="1"/>
  <c r="F7876" i="1"/>
  <c r="F7880" i="1"/>
  <c r="F7884" i="1"/>
  <c r="F7888" i="1"/>
  <c r="F7892" i="1"/>
  <c r="F7896" i="1"/>
  <c r="F7900" i="1"/>
  <c r="F7904" i="1"/>
  <c r="F7908" i="1"/>
  <c r="F7912" i="1"/>
  <c r="F7916" i="1"/>
  <c r="F7920" i="1"/>
  <c r="F7924" i="1"/>
  <c r="F7928" i="1"/>
  <c r="F7932" i="1"/>
  <c r="F7936" i="1"/>
  <c r="F7940" i="1"/>
  <c r="F7944" i="1"/>
  <c r="F7781" i="1"/>
  <c r="F7785" i="1"/>
  <c r="F7789" i="1"/>
  <c r="F7793" i="1"/>
  <c r="F7797" i="1"/>
  <c r="F7801" i="1"/>
  <c r="F7805" i="1"/>
  <c r="F7809" i="1"/>
  <c r="F7813" i="1"/>
  <c r="F7817" i="1"/>
  <c r="F7821" i="1"/>
  <c r="F7825" i="1"/>
  <c r="F7829" i="1"/>
  <c r="F7833" i="1"/>
  <c r="F7837" i="1"/>
  <c r="F7841" i="1"/>
  <c r="F7845" i="1"/>
  <c r="F7849" i="1"/>
  <c r="F7853" i="1"/>
  <c r="F7857" i="1"/>
  <c r="F7861" i="1"/>
  <c r="F7865" i="1"/>
  <c r="F7869" i="1"/>
  <c r="F7873" i="1"/>
  <c r="F7877" i="1"/>
  <c r="F7881" i="1"/>
  <c r="F7889" i="1"/>
  <c r="F7893" i="1"/>
  <c r="F7897" i="1"/>
  <c r="F7901" i="1"/>
  <c r="F7905" i="1"/>
  <c r="F7909" i="1"/>
  <c r="F7913" i="1"/>
  <c r="F7917" i="1"/>
  <c r="F7921" i="1"/>
  <c r="F7843" i="1"/>
  <c r="F7859" i="1"/>
  <c r="F7863" i="1"/>
  <c r="F7867" i="1"/>
  <c r="F7871" i="1"/>
  <c r="F7875" i="1"/>
  <c r="F7777" i="1"/>
  <c r="F7885" i="1"/>
  <c r="F7925" i="1"/>
  <c r="F7929" i="1"/>
  <c r="F7933" i="1"/>
  <c r="F7937" i="1"/>
  <c r="F7941" i="1"/>
  <c r="F7945" i="1"/>
  <c r="F7839" i="1"/>
  <c r="F7847" i="1"/>
  <c r="F7851" i="1"/>
  <c r="F7855" i="1"/>
  <c r="F7879" i="1"/>
  <c r="F7883" i="1"/>
  <c r="F7887" i="1"/>
  <c r="F7891" i="1"/>
  <c r="F7895" i="1"/>
  <c r="F7899" i="1"/>
  <c r="F7903" i="1"/>
  <c r="F7907" i="1"/>
  <c r="F7911" i="1"/>
  <c r="F7915" i="1"/>
  <c r="F7919" i="1"/>
  <c r="F7923" i="1"/>
  <c r="F7927" i="1"/>
  <c r="F7931" i="1"/>
  <c r="F7935" i="1"/>
  <c r="F7939" i="1"/>
  <c r="F7943" i="1"/>
  <c r="F7947" i="1"/>
  <c r="F7774" i="1"/>
  <c r="F7778" i="1"/>
  <c r="F7782" i="1"/>
  <c r="F7786" i="1"/>
  <c r="F7790" i="1"/>
  <c r="F7794" i="1"/>
  <c r="F7798" i="1"/>
  <c r="F7802" i="1"/>
  <c r="F7806" i="1"/>
  <c r="F7810" i="1"/>
  <c r="F7814" i="1"/>
  <c r="F7818" i="1"/>
  <c r="F7822" i="1"/>
  <c r="F7826" i="1"/>
  <c r="F7830" i="1"/>
  <c r="F7834" i="1"/>
  <c r="F7838" i="1"/>
  <c r="F7842" i="1"/>
  <c r="F7846" i="1"/>
  <c r="F7850" i="1"/>
  <c r="F7854" i="1"/>
  <c r="F7858" i="1"/>
  <c r="F7862" i="1"/>
  <c r="F7866" i="1"/>
  <c r="F7870" i="1"/>
  <c r="F7874" i="1"/>
  <c r="F7878" i="1"/>
  <c r="F7882" i="1"/>
  <c r="F7886" i="1"/>
  <c r="F7890" i="1"/>
  <c r="F7894" i="1"/>
  <c r="F7898" i="1"/>
  <c r="F7902" i="1"/>
  <c r="F7906" i="1"/>
  <c r="F7910" i="1"/>
  <c r="F7914" i="1"/>
  <c r="F7918" i="1"/>
  <c r="F7922" i="1"/>
  <c r="F7926" i="1"/>
  <c r="F7930" i="1"/>
  <c r="F7934" i="1"/>
  <c r="F7938" i="1"/>
  <c r="F7942" i="1"/>
  <c r="F7946" i="1"/>
  <c r="F7779" i="1"/>
  <c r="F7783" i="1"/>
  <c r="F7787" i="1"/>
  <c r="F7791" i="1"/>
  <c r="F7795" i="1"/>
  <c r="F7799" i="1"/>
  <c r="F7803" i="1"/>
  <c r="F7807" i="1"/>
  <c r="F7811" i="1"/>
  <c r="F7815" i="1"/>
  <c r="F7819" i="1"/>
  <c r="F7823" i="1"/>
  <c r="F7827" i="1"/>
  <c r="F7831" i="1"/>
  <c r="F7835" i="1"/>
  <c r="F7773" i="1"/>
  <c r="F7772" i="1"/>
  <c r="F7434" i="1"/>
  <c r="F7743" i="1"/>
  <c r="F7735" i="1"/>
  <c r="F7711" i="1"/>
  <c r="F7768" i="1"/>
  <c r="F7728" i="1"/>
  <c r="F7671" i="1"/>
  <c r="F7718" i="1"/>
  <c r="F7498" i="1"/>
  <c r="F7653" i="1"/>
  <c r="F7744" i="1"/>
  <c r="F7767" i="1"/>
  <c r="F7613" i="1"/>
  <c r="F7732" i="1"/>
  <c r="F7712" i="1"/>
  <c r="F7696" i="1"/>
  <c r="F7664" i="1"/>
  <c r="F7565" i="1"/>
  <c r="F7762" i="1"/>
  <c r="F7680" i="1"/>
  <c r="F7648" i="1"/>
  <c r="F7632" i="1"/>
  <c r="F7616" i="1"/>
  <c r="F7600" i="1"/>
  <c r="F7584" i="1"/>
  <c r="F7761" i="1"/>
  <c r="F7541" i="1"/>
  <c r="F7525" i="1"/>
  <c r="F7509" i="1"/>
  <c r="F7493" i="1"/>
  <c r="F7477" i="1"/>
  <c r="F7461" i="1"/>
  <c r="F7445" i="1"/>
  <c r="F7429" i="1"/>
  <c r="F7413" i="1"/>
  <c r="F7397" i="1"/>
  <c r="F7695" i="1"/>
  <c r="F7581" i="1"/>
  <c r="F7641" i="1"/>
  <c r="F7630" i="1"/>
  <c r="F7693" i="1"/>
  <c r="F7697" i="1"/>
  <c r="F7601" i="1"/>
  <c r="F7740" i="1"/>
  <c r="F7657" i="1"/>
  <c r="F7593" i="1"/>
  <c r="F7724" i="1"/>
  <c r="F7708" i="1"/>
  <c r="F7692" i="1"/>
  <c r="F7660" i="1"/>
  <c r="F7561" i="1"/>
  <c r="F7758" i="1"/>
  <c r="F7676" i="1"/>
  <c r="F7644" i="1"/>
  <c r="F7628" i="1"/>
  <c r="F7612" i="1"/>
  <c r="F7596" i="1"/>
  <c r="F7580" i="1"/>
  <c r="F7757" i="1"/>
  <c r="F7537" i="1"/>
  <c r="F7521" i="1"/>
  <c r="F7505" i="1"/>
  <c r="F7489" i="1"/>
  <c r="F7473" i="1"/>
  <c r="F7457" i="1"/>
  <c r="F7441" i="1"/>
  <c r="F7425" i="1"/>
  <c r="F7409" i="1"/>
  <c r="F7393" i="1"/>
  <c r="F7703" i="1"/>
  <c r="F7747" i="1"/>
  <c r="F7687" i="1"/>
  <c r="F7707" i="1"/>
  <c r="F7722" i="1"/>
  <c r="F7562" i="1"/>
  <c r="F7662" i="1"/>
  <c r="F7669" i="1"/>
  <c r="F7466" i="1"/>
  <c r="F7736" i="1"/>
  <c r="F7637" i="1"/>
  <c r="F7569" i="1"/>
  <c r="F7720" i="1"/>
  <c r="F7704" i="1"/>
  <c r="F7688" i="1"/>
  <c r="F7656" i="1"/>
  <c r="F7557" i="1"/>
  <c r="F7723" i="1"/>
  <c r="F7766" i="1"/>
  <c r="F7770" i="1"/>
  <c r="F7442" i="1"/>
  <c r="F7474" i="1"/>
  <c r="F7506" i="1"/>
  <c r="F7538" i="1"/>
  <c r="F7566" i="1"/>
  <c r="F7585" i="1"/>
  <c r="F7609" i="1"/>
  <c r="F7622" i="1"/>
  <c r="F7633" i="1"/>
  <c r="F7645" i="1"/>
  <c r="F7654" i="1"/>
  <c r="F7665" i="1"/>
  <c r="F7674" i="1"/>
  <c r="F7681" i="1"/>
  <c r="F7702" i="1"/>
  <c r="F7709" i="1"/>
  <c r="F7717" i="1"/>
  <c r="F7729" i="1"/>
  <c r="F7741" i="1"/>
  <c r="F7725" i="1"/>
  <c r="F7737" i="1"/>
  <c r="F7749" i="1"/>
  <c r="F7418" i="1"/>
  <c r="F7458" i="1"/>
  <c r="F7490" i="1"/>
  <c r="F7522" i="1"/>
  <c r="F7554" i="1"/>
  <c r="F7577" i="1"/>
  <c r="F7597" i="1"/>
  <c r="F7617" i="1"/>
  <c r="F7629" i="1"/>
  <c r="F7638" i="1"/>
  <c r="F7649" i="1"/>
  <c r="F7661" i="1"/>
  <c r="F7670" i="1"/>
  <c r="F7677" i="1"/>
  <c r="F7685" i="1"/>
  <c r="F7691" i="1"/>
  <c r="F7698" i="1"/>
  <c r="F7706" i="1"/>
  <c r="F7713" i="1"/>
  <c r="F7719" i="1"/>
  <c r="F7727" i="1"/>
  <c r="F7733" i="1"/>
  <c r="F7739" i="1"/>
  <c r="F7765" i="1"/>
  <c r="F7450" i="1"/>
  <c r="F7482" i="1"/>
  <c r="F7514" i="1"/>
  <c r="F7646" i="1"/>
  <c r="F7682" i="1"/>
  <c r="F7690" i="1"/>
  <c r="F7769" i="1"/>
  <c r="F7422" i="1"/>
  <c r="F7438" i="1"/>
  <c r="F7454" i="1"/>
  <c r="F7470" i="1"/>
  <c r="F7486" i="1"/>
  <c r="F7502" i="1"/>
  <c r="F7518" i="1"/>
  <c r="F7534" i="1"/>
  <c r="F7550" i="1"/>
  <c r="F7426" i="1"/>
  <c r="F7751" i="1"/>
  <c r="F7755" i="1"/>
  <c r="F7759" i="1"/>
  <c r="F7763" i="1"/>
  <c r="F7414" i="1"/>
  <c r="F7430" i="1"/>
  <c r="F7446" i="1"/>
  <c r="F7462" i="1"/>
  <c r="F7478" i="1"/>
  <c r="F7494" i="1"/>
  <c r="F7510" i="1"/>
  <c r="F7526" i="1"/>
  <c r="F7542" i="1"/>
  <c r="F7558" i="1"/>
  <c r="F7573" i="1"/>
  <c r="F7589" i="1"/>
  <c r="F7605" i="1"/>
  <c r="F7618" i="1"/>
  <c r="F7626" i="1"/>
  <c r="F7634" i="1"/>
  <c r="F7642" i="1"/>
  <c r="F7650" i="1"/>
  <c r="F7658" i="1"/>
  <c r="F7666" i="1"/>
  <c r="F7673" i="1"/>
  <c r="F7678" i="1"/>
  <c r="F7683" i="1"/>
  <c r="F7689" i="1"/>
  <c r="F7694" i="1"/>
  <c r="F7699" i="1"/>
  <c r="F7705" i="1"/>
  <c r="F7710" i="1"/>
  <c r="F7715" i="1"/>
  <c r="F7721" i="1"/>
  <c r="F7726" i="1"/>
  <c r="F7730" i="1"/>
  <c r="F7734" i="1"/>
  <c r="F7738" i="1"/>
  <c r="F7742" i="1"/>
  <c r="F7746" i="1"/>
  <c r="F7750" i="1"/>
  <c r="F7752" i="1"/>
  <c r="F7756" i="1"/>
  <c r="F7760" i="1"/>
  <c r="F7764" i="1"/>
  <c r="F7388" i="1"/>
  <c r="F7392" i="1"/>
  <c r="F7396" i="1"/>
  <c r="F7400" i="1"/>
  <c r="F7404" i="1"/>
  <c r="F7408" i="1"/>
  <c r="F7412" i="1"/>
  <c r="F7416" i="1"/>
  <c r="F7420" i="1"/>
  <c r="F7424" i="1"/>
  <c r="F7428" i="1"/>
  <c r="F7432" i="1"/>
  <c r="F7436" i="1"/>
  <c r="F7440" i="1"/>
  <c r="F7444" i="1"/>
  <c r="F7448" i="1"/>
  <c r="F7452" i="1"/>
  <c r="F7456" i="1"/>
  <c r="F7460" i="1"/>
  <c r="F7464" i="1"/>
  <c r="F7468" i="1"/>
  <c r="F7472" i="1"/>
  <c r="F7476" i="1"/>
  <c r="F7480" i="1"/>
  <c r="F7484" i="1"/>
  <c r="F7488" i="1"/>
  <c r="F7492" i="1"/>
  <c r="F7496" i="1"/>
  <c r="F7500" i="1"/>
  <c r="F7504" i="1"/>
  <c r="F7508" i="1"/>
  <c r="F7512" i="1"/>
  <c r="F7516" i="1"/>
  <c r="F7520" i="1"/>
  <c r="F7524" i="1"/>
  <c r="F7528" i="1"/>
  <c r="F7532" i="1"/>
  <c r="F7536" i="1"/>
  <c r="F7540" i="1"/>
  <c r="F7544" i="1"/>
  <c r="F7548" i="1"/>
  <c r="F7552" i="1"/>
  <c r="F7556" i="1"/>
  <c r="F7560" i="1"/>
  <c r="F7564" i="1"/>
  <c r="F7568" i="1"/>
  <c r="F7571" i="1"/>
  <c r="F7575" i="1"/>
  <c r="F7579" i="1"/>
  <c r="F7583" i="1"/>
  <c r="F7587" i="1"/>
  <c r="F7591" i="1"/>
  <c r="F7595" i="1"/>
  <c r="F7599" i="1"/>
  <c r="F7603" i="1"/>
  <c r="F7607" i="1"/>
  <c r="F7611" i="1"/>
  <c r="F7615" i="1"/>
  <c r="F7619" i="1"/>
  <c r="F7623" i="1"/>
  <c r="F7627" i="1"/>
  <c r="F7631" i="1"/>
  <c r="F7635" i="1"/>
  <c r="F7639" i="1"/>
  <c r="F7643" i="1"/>
  <c r="F7647" i="1"/>
  <c r="F7651" i="1"/>
  <c r="F7655" i="1"/>
  <c r="F7659" i="1"/>
  <c r="F7663" i="1"/>
  <c r="F7667" i="1"/>
  <c r="F7386" i="1"/>
  <c r="F7390" i="1"/>
  <c r="F7394" i="1"/>
  <c r="F7398" i="1"/>
  <c r="F7402" i="1"/>
  <c r="F7406" i="1"/>
  <c r="F7410" i="1"/>
  <c r="F7387" i="1"/>
  <c r="F7391" i="1"/>
  <c r="F7395" i="1"/>
  <c r="F7399" i="1"/>
  <c r="F7403" i="1"/>
  <c r="F7407" i="1"/>
  <c r="F7411" i="1"/>
  <c r="F7415" i="1"/>
  <c r="F7419" i="1"/>
  <c r="F7423" i="1"/>
  <c r="F7427" i="1"/>
  <c r="F7431" i="1"/>
  <c r="F7435" i="1"/>
  <c r="F7439" i="1"/>
  <c r="F7443" i="1"/>
  <c r="F7447" i="1"/>
  <c r="F7451" i="1"/>
  <c r="F7455" i="1"/>
  <c r="F7459" i="1"/>
  <c r="F7463" i="1"/>
  <c r="F7467" i="1"/>
  <c r="F7471" i="1"/>
  <c r="F7475" i="1"/>
  <c r="F7479" i="1"/>
  <c r="F7483" i="1"/>
  <c r="F7487" i="1"/>
  <c r="F7491" i="1"/>
  <c r="F7495" i="1"/>
  <c r="F7499" i="1"/>
  <c r="F7503" i="1"/>
  <c r="F7507" i="1"/>
  <c r="F7511" i="1"/>
  <c r="F7515" i="1"/>
  <c r="F7519" i="1"/>
  <c r="F7523" i="1"/>
  <c r="F7527" i="1"/>
  <c r="F7531" i="1"/>
  <c r="F7535" i="1"/>
  <c r="F7539" i="1"/>
  <c r="F7543" i="1"/>
  <c r="F7547" i="1"/>
  <c r="F7551" i="1"/>
  <c r="F7555" i="1"/>
  <c r="F7559" i="1"/>
  <c r="F7563" i="1"/>
  <c r="F7567" i="1"/>
  <c r="F7570" i="1"/>
  <c r="F7574" i="1"/>
  <c r="F7578" i="1"/>
  <c r="F7582" i="1"/>
  <c r="F7586" i="1"/>
  <c r="F7590" i="1"/>
  <c r="F7594" i="1"/>
  <c r="F7598" i="1"/>
  <c r="F7602" i="1"/>
  <c r="F7606" i="1"/>
  <c r="F7610" i="1"/>
  <c r="F7614" i="1"/>
  <c r="F13" i="1"/>
  <c r="F389" i="1"/>
  <c r="F393" i="1"/>
  <c r="F37" i="1"/>
  <c r="F45" i="1"/>
  <c r="F57" i="1"/>
  <c r="F61" i="1"/>
  <c r="F65" i="1"/>
  <c r="F69" i="1"/>
  <c r="F93" i="1"/>
  <c r="F97" i="1"/>
  <c r="F109" i="1"/>
  <c r="F117" i="1"/>
  <c r="F145" i="1"/>
  <c r="F157" i="1"/>
  <c r="F181" i="1"/>
  <c r="F193" i="1"/>
  <c r="F269" i="1"/>
  <c r="F277" i="1"/>
  <c r="F305" i="1"/>
  <c r="F313" i="1"/>
  <c r="F321" i="1"/>
  <c r="F329" i="1"/>
  <c r="F333" i="1"/>
  <c r="F337" i="1"/>
  <c r="F345" i="1"/>
  <c r="F349" i="1"/>
  <c r="F361" i="1"/>
  <c r="F385" i="1"/>
  <c r="F417" i="1"/>
  <c r="F421" i="1"/>
  <c r="F433" i="1"/>
  <c r="F441" i="1"/>
  <c r="F453" i="1"/>
  <c r="F9" i="1"/>
  <c r="F17" i="1"/>
  <c r="F21" i="1"/>
  <c r="F25" i="1"/>
  <c r="F29" i="1"/>
  <c r="F33" i="1"/>
  <c r="F41" i="1"/>
  <c r="F49" i="1"/>
  <c r="F53" i="1"/>
  <c r="F73" i="1"/>
  <c r="F81" i="1"/>
  <c r="F89" i="1"/>
  <c r="F113" i="1"/>
  <c r="F121" i="1"/>
  <c r="F125" i="1"/>
  <c r="F129" i="1"/>
  <c r="F133" i="1"/>
  <c r="F137" i="1"/>
  <c r="F141" i="1"/>
  <c r="F149" i="1"/>
  <c r="F153" i="1"/>
  <c r="F161" i="1"/>
  <c r="F165" i="1"/>
  <c r="F169" i="1"/>
  <c r="F173" i="1"/>
  <c r="F177" i="1"/>
  <c r="F185" i="1"/>
  <c r="F189" i="1"/>
  <c r="F197" i="1"/>
  <c r="F201" i="1"/>
  <c r="F205" i="1"/>
  <c r="F209" i="1"/>
  <c r="F265" i="1"/>
  <c r="F273" i="1"/>
  <c r="F281" i="1"/>
  <c r="F285" i="1"/>
  <c r="F289" i="1"/>
  <c r="F293" i="1"/>
  <c r="F297" i="1"/>
  <c r="F301" i="1"/>
  <c r="F309" i="1"/>
  <c r="F317" i="1"/>
  <c r="F325" i="1"/>
  <c r="F341" i="1"/>
  <c r="F353" i="1"/>
  <c r="F357" i="1"/>
  <c r="F365" i="1"/>
  <c r="F369" i="1"/>
  <c r="F373" i="1"/>
  <c r="F377" i="1"/>
  <c r="F381" i="1"/>
  <c r="F445" i="1"/>
  <c r="F230" i="1"/>
  <c r="F397" i="1"/>
  <c r="F401" i="1"/>
  <c r="F405" i="1"/>
  <c r="F409" i="1"/>
  <c r="F413" i="1"/>
  <c r="F425" i="1"/>
  <c r="F429" i="1"/>
  <c r="F437" i="1"/>
  <c r="F449" i="1"/>
  <c r="F729" i="1"/>
  <c r="F733" i="1"/>
  <c r="F737" i="1"/>
  <c r="F741" i="1"/>
  <c r="F745" i="1"/>
  <c r="F749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513" i="1"/>
  <c r="F517" i="1"/>
  <c r="F521" i="1"/>
  <c r="F525" i="1"/>
  <c r="F529" i="1"/>
  <c r="F533" i="1"/>
  <c r="F537" i="1"/>
  <c r="F541" i="1"/>
  <c r="F545" i="1"/>
  <c r="F549" i="1"/>
  <c r="F553" i="1"/>
  <c r="F557" i="1"/>
  <c r="F561" i="1"/>
  <c r="F565" i="1"/>
  <c r="F569" i="1"/>
  <c r="F573" i="1"/>
  <c r="F577" i="1"/>
  <c r="F581" i="1"/>
  <c r="F585" i="1"/>
  <c r="F589" i="1"/>
  <c r="F593" i="1"/>
  <c r="F597" i="1"/>
  <c r="F601" i="1"/>
  <c r="F605" i="1"/>
  <c r="F609" i="1"/>
  <c r="F613" i="1"/>
  <c r="F617" i="1"/>
  <c r="F621" i="1"/>
  <c r="F625" i="1"/>
  <c r="F629" i="1"/>
  <c r="F633" i="1"/>
  <c r="F637" i="1"/>
  <c r="F641" i="1"/>
  <c r="F645" i="1"/>
  <c r="F649" i="1"/>
  <c r="F653" i="1"/>
  <c r="F657" i="1"/>
  <c r="F661" i="1"/>
  <c r="F665" i="1"/>
  <c r="F669" i="1"/>
  <c r="F673" i="1"/>
  <c r="F677" i="1"/>
  <c r="F681" i="1"/>
  <c r="F685" i="1"/>
  <c r="F689" i="1"/>
  <c r="F693" i="1"/>
  <c r="F697" i="1"/>
  <c r="F701" i="1"/>
  <c r="F705" i="1"/>
  <c r="F709" i="1"/>
  <c r="F713" i="1"/>
  <c r="F717" i="1"/>
  <c r="F721" i="1"/>
  <c r="F725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378" i="1"/>
  <c r="F234" i="1"/>
  <c r="F238" i="1"/>
  <c r="F242" i="1"/>
  <c r="F246" i="1"/>
  <c r="F250" i="1"/>
  <c r="F254" i="1"/>
  <c r="F258" i="1"/>
  <c r="F262" i="1"/>
  <c r="F266" i="1"/>
  <c r="F270" i="1"/>
  <c r="F7187" i="1"/>
  <c r="F7350" i="1"/>
  <c r="F7383" i="1"/>
  <c r="F7367" i="1"/>
  <c r="F7295" i="1"/>
  <c r="F7271" i="1"/>
  <c r="F7215" i="1"/>
  <c r="F7195" i="1"/>
  <c r="F7179" i="1"/>
  <c r="F7315" i="1"/>
  <c r="F7259" i="1"/>
  <c r="F7227" i="1"/>
  <c r="F7355" i="1"/>
  <c r="F7335" i="1"/>
  <c r="F7311" i="1"/>
  <c r="F7223" i="1"/>
  <c r="F7283" i="1"/>
  <c r="F7235" i="1"/>
  <c r="F7359" i="1"/>
  <c r="F7379" i="1"/>
  <c r="F7339" i="1"/>
  <c r="F7287" i="1"/>
  <c r="F7267" i="1"/>
  <c r="F7207" i="1"/>
  <c r="F7191" i="1"/>
  <c r="F7175" i="1"/>
  <c r="F7303" i="1"/>
  <c r="F7247" i="1"/>
  <c r="F7219" i="1"/>
  <c r="F7351" i="1"/>
  <c r="F7331" i="1"/>
  <c r="F7251" i="1"/>
  <c r="F7211" i="1"/>
  <c r="F7171" i="1"/>
  <c r="F7291" i="1"/>
  <c r="F7239" i="1"/>
  <c r="F7363" i="1"/>
  <c r="F7347" i="1"/>
  <c r="F7327" i="1"/>
  <c r="F7243" i="1"/>
  <c r="F7371" i="1"/>
  <c r="F7299" i="1"/>
  <c r="F7275" i="1"/>
  <c r="F7255" i="1"/>
  <c r="F7199" i="1"/>
  <c r="F7183" i="1"/>
  <c r="F7319" i="1"/>
  <c r="F7343" i="1"/>
  <c r="F7323" i="1"/>
  <c r="F7231" i="1"/>
  <c r="F7375" i="1"/>
  <c r="F7307" i="1"/>
  <c r="F7279" i="1"/>
  <c r="F7263" i="1"/>
  <c r="F7203" i="1"/>
  <c r="F7182" i="1"/>
  <c r="F7198" i="1"/>
  <c r="F7214" i="1"/>
  <c r="F7226" i="1"/>
  <c r="F7242" i="1"/>
  <c r="F7258" i="1"/>
  <c r="F7274" i="1"/>
  <c r="F7290" i="1"/>
  <c r="F7306" i="1"/>
  <c r="F7318" i="1"/>
  <c r="F7326" i="1"/>
  <c r="F7334" i="1"/>
  <c r="F7342" i="1"/>
  <c r="F7170" i="1"/>
  <c r="F7186" i="1"/>
  <c r="F7202" i="1"/>
  <c r="F7218" i="1"/>
  <c r="F7230" i="1"/>
  <c r="F7246" i="1"/>
  <c r="F7262" i="1"/>
  <c r="F7278" i="1"/>
  <c r="F7294" i="1"/>
  <c r="F7310" i="1"/>
  <c r="F7321" i="1"/>
  <c r="F7329" i="1"/>
  <c r="F7337" i="1"/>
  <c r="F7345" i="1"/>
  <c r="F7353" i="1"/>
  <c r="F7361" i="1"/>
  <c r="F7369" i="1"/>
  <c r="F7377" i="1"/>
  <c r="F7194" i="1"/>
  <c r="F7210" i="1"/>
  <c r="F7224" i="1"/>
  <c r="F7238" i="1"/>
  <c r="F7254" i="1"/>
  <c r="F7270" i="1"/>
  <c r="F7286" i="1"/>
  <c r="F7302" i="1"/>
  <c r="F7366" i="1"/>
  <c r="F7374" i="1"/>
  <c r="F7382" i="1"/>
  <c r="F7174" i="1"/>
  <c r="F7190" i="1"/>
  <c r="F7206" i="1"/>
  <c r="F7222" i="1"/>
  <c r="F7234" i="1"/>
  <c r="F7250" i="1"/>
  <c r="F7266" i="1"/>
  <c r="F7282" i="1"/>
  <c r="F7298" i="1"/>
  <c r="F7314" i="1"/>
  <c r="F7322" i="1"/>
  <c r="F7330" i="1"/>
  <c r="F7338" i="1"/>
  <c r="F7346" i="1"/>
  <c r="F7354" i="1"/>
  <c r="F7362" i="1"/>
  <c r="F7370" i="1"/>
  <c r="F7378" i="1"/>
  <c r="F7178" i="1"/>
  <c r="F7317" i="1"/>
  <c r="F7325" i="1"/>
  <c r="F7333" i="1"/>
  <c r="F7341" i="1"/>
  <c r="F7349" i="1"/>
  <c r="F7357" i="1"/>
  <c r="F7365" i="1"/>
  <c r="F7373" i="1"/>
  <c r="F7381" i="1"/>
  <c r="F7358" i="1"/>
  <c r="F7172" i="1"/>
  <c r="F7188" i="1"/>
  <c r="F7196" i="1"/>
  <c r="F7204" i="1"/>
  <c r="F7212" i="1"/>
  <c r="F7220" i="1"/>
  <c r="F7168" i="1"/>
  <c r="F7176" i="1"/>
  <c r="F7180" i="1"/>
  <c r="F7184" i="1"/>
  <c r="F7192" i="1"/>
  <c r="F7200" i="1"/>
  <c r="F7208" i="1"/>
  <c r="F7216" i="1"/>
  <c r="F7228" i="1"/>
  <c r="F7232" i="1"/>
  <c r="F7236" i="1"/>
  <c r="F7240" i="1"/>
  <c r="F7244" i="1"/>
  <c r="F7248" i="1"/>
  <c r="F7252" i="1"/>
  <c r="F7256" i="1"/>
  <c r="F7260" i="1"/>
  <c r="F7264" i="1"/>
  <c r="F7268" i="1"/>
  <c r="F7272" i="1"/>
  <c r="F7276" i="1"/>
  <c r="F7280" i="1"/>
  <c r="F7284" i="1"/>
  <c r="F7288" i="1"/>
  <c r="F7292" i="1"/>
  <c r="F7296" i="1"/>
  <c r="F7300" i="1"/>
  <c r="F7304" i="1"/>
  <c r="F7308" i="1"/>
  <c r="F7312" i="1"/>
  <c r="F7316" i="1"/>
  <c r="F7320" i="1"/>
  <c r="F7324" i="1"/>
  <c r="F7328" i="1"/>
  <c r="F7332" i="1"/>
  <c r="F7336" i="1"/>
  <c r="F7340" i="1"/>
  <c r="F7344" i="1"/>
  <c r="F7348" i="1"/>
  <c r="F7352" i="1"/>
  <c r="F7356" i="1"/>
  <c r="F7360" i="1"/>
  <c r="F7364" i="1"/>
  <c r="F7368" i="1"/>
  <c r="F7372" i="1"/>
  <c r="F7376" i="1"/>
  <c r="F7380" i="1"/>
  <c r="F7384" i="1"/>
  <c r="F7169" i="1"/>
  <c r="F7173" i="1"/>
  <c r="F7177" i="1"/>
  <c r="F7181" i="1"/>
  <c r="F7185" i="1"/>
  <c r="F7189" i="1"/>
  <c r="F7193" i="1"/>
  <c r="F7197" i="1"/>
  <c r="F7201" i="1"/>
  <c r="F7205" i="1"/>
  <c r="F7209" i="1"/>
  <c r="F7213" i="1"/>
  <c r="F7217" i="1"/>
  <c r="F7221" i="1"/>
  <c r="F7225" i="1"/>
  <c r="F7229" i="1"/>
  <c r="F7233" i="1"/>
  <c r="F7237" i="1"/>
  <c r="F7241" i="1"/>
  <c r="F7245" i="1"/>
  <c r="F7249" i="1"/>
  <c r="F7253" i="1"/>
  <c r="F7257" i="1"/>
  <c r="F7261" i="1"/>
  <c r="F7265" i="1"/>
  <c r="F7269" i="1"/>
  <c r="F7273" i="1"/>
  <c r="F7277" i="1"/>
  <c r="F7281" i="1"/>
  <c r="F7285" i="1"/>
  <c r="F7289" i="1"/>
  <c r="F7293" i="1"/>
  <c r="F7297" i="1"/>
  <c r="F7301" i="1"/>
  <c r="F7305" i="1"/>
  <c r="F7309" i="1"/>
  <c r="F7313" i="1"/>
  <c r="F753" i="1"/>
  <c r="F757" i="1"/>
  <c r="F761" i="1"/>
  <c r="F765" i="1"/>
  <c r="F769" i="1"/>
  <c r="F773" i="1"/>
  <c r="F777" i="1"/>
  <c r="F781" i="1"/>
  <c r="F785" i="1"/>
  <c r="F797" i="1"/>
  <c r="F801" i="1"/>
  <c r="F805" i="1"/>
  <c r="F809" i="1"/>
  <c r="F813" i="1"/>
  <c r="F817" i="1"/>
  <c r="F821" i="1"/>
  <c r="F825" i="1"/>
  <c r="F829" i="1"/>
  <c r="F833" i="1"/>
  <c r="F837" i="1"/>
  <c r="F841" i="1"/>
  <c r="F845" i="1"/>
  <c r="F849" i="1"/>
  <c r="F853" i="1"/>
  <c r="F857" i="1"/>
  <c r="F274" i="1"/>
  <c r="F278" i="1"/>
  <c r="F282" i="1"/>
  <c r="F286" i="1"/>
  <c r="F290" i="1"/>
  <c r="F294" i="1"/>
  <c r="F298" i="1"/>
  <c r="F302" i="1"/>
  <c r="F306" i="1"/>
  <c r="F310" i="1"/>
  <c r="F314" i="1"/>
  <c r="F318" i="1"/>
  <c r="F322" i="1"/>
  <c r="F326" i="1"/>
  <c r="F330" i="1"/>
  <c r="F334" i="1"/>
  <c r="F338" i="1"/>
  <c r="F342" i="1"/>
  <c r="F346" i="1"/>
  <c r="F350" i="1"/>
  <c r="F354" i="1"/>
  <c r="F358" i="1"/>
  <c r="F362" i="1"/>
  <c r="F366" i="1"/>
  <c r="F370" i="1"/>
  <c r="F374" i="1"/>
  <c r="F382" i="1"/>
  <c r="F386" i="1"/>
  <c r="F390" i="1"/>
  <c r="F394" i="1"/>
  <c r="F398" i="1"/>
  <c r="F402" i="1"/>
  <c r="F406" i="1"/>
  <c r="F410" i="1"/>
  <c r="F414" i="1"/>
  <c r="F418" i="1"/>
  <c r="F422" i="1"/>
  <c r="F426" i="1"/>
  <c r="F430" i="1"/>
  <c r="F710" i="1"/>
  <c r="F434" i="1"/>
  <c r="F438" i="1"/>
  <c r="F442" i="1"/>
  <c r="F446" i="1"/>
  <c r="F450" i="1"/>
  <c r="F454" i="1"/>
  <c r="F458" i="1"/>
  <c r="F462" i="1"/>
  <c r="F466" i="1"/>
  <c r="F470" i="1"/>
  <c r="F474" i="1"/>
  <c r="F478" i="1"/>
  <c r="F482" i="1"/>
  <c r="F486" i="1"/>
  <c r="F490" i="1"/>
  <c r="F494" i="1"/>
  <c r="F498" i="1"/>
  <c r="F502" i="1"/>
  <c r="F506" i="1"/>
  <c r="F510" i="1"/>
  <c r="F514" i="1"/>
  <c r="F518" i="1"/>
  <c r="F522" i="1"/>
  <c r="F526" i="1"/>
  <c r="F530" i="1"/>
  <c r="F534" i="1"/>
  <c r="F538" i="1"/>
  <c r="F542" i="1"/>
  <c r="F546" i="1"/>
  <c r="F550" i="1"/>
  <c r="F554" i="1"/>
  <c r="F558" i="1"/>
  <c r="F562" i="1"/>
  <c r="F566" i="1"/>
  <c r="F570" i="1"/>
  <c r="F574" i="1"/>
  <c r="F578" i="1"/>
  <c r="F582" i="1"/>
  <c r="F586" i="1"/>
  <c r="F590" i="1"/>
  <c r="F594" i="1"/>
  <c r="F598" i="1"/>
  <c r="F602" i="1"/>
  <c r="F606" i="1"/>
  <c r="F610" i="1"/>
  <c r="F614" i="1"/>
  <c r="F618" i="1"/>
  <c r="F622" i="1"/>
  <c r="F626" i="1"/>
  <c r="F630" i="1"/>
  <c r="F634" i="1"/>
  <c r="F638" i="1"/>
  <c r="F642" i="1"/>
  <c r="F646" i="1"/>
  <c r="F650" i="1"/>
  <c r="F654" i="1"/>
  <c r="F658" i="1"/>
  <c r="F662" i="1"/>
  <c r="F666" i="1"/>
  <c r="F670" i="1"/>
  <c r="F674" i="1"/>
  <c r="F678" i="1"/>
  <c r="F682" i="1"/>
  <c r="F686" i="1"/>
  <c r="F690" i="1"/>
  <c r="F694" i="1"/>
  <c r="F698" i="1"/>
  <c r="F702" i="1"/>
  <c r="F706" i="1"/>
  <c r="F714" i="1"/>
  <c r="F722" i="1"/>
  <c r="F730" i="1"/>
  <c r="F738" i="1"/>
  <c r="F746" i="1"/>
  <c r="F758" i="1"/>
  <c r="F718" i="1"/>
  <c r="F726" i="1"/>
  <c r="F734" i="1"/>
  <c r="F742" i="1"/>
  <c r="F750" i="1"/>
  <c r="F754" i="1"/>
  <c r="F7159" i="1"/>
  <c r="F7160" i="1"/>
  <c r="F7164" i="1"/>
  <c r="F7162" i="1"/>
  <c r="F7167" i="1"/>
  <c r="F7161" i="1"/>
  <c r="F7165" i="1"/>
  <c r="F7166" i="1"/>
  <c r="F7163" i="1"/>
  <c r="F7156" i="1"/>
  <c r="F7152" i="1"/>
  <c r="F7155" i="1"/>
  <c r="F7151" i="1"/>
  <c r="F7147" i="1"/>
  <c r="F7148" i="1"/>
  <c r="F7144" i="1"/>
  <c r="F7146" i="1"/>
  <c r="F7150" i="1"/>
  <c r="F7154" i="1"/>
  <c r="F7158" i="1"/>
  <c r="F7145" i="1"/>
  <c r="F7149" i="1"/>
  <c r="F7153" i="1"/>
  <c r="F7157" i="1"/>
  <c r="F762" i="1"/>
  <c r="F766" i="1"/>
  <c r="F770" i="1"/>
  <c r="F774" i="1"/>
  <c r="F778" i="1"/>
  <c r="F782" i="1"/>
  <c r="F786" i="1"/>
  <c r="F790" i="1"/>
  <c r="F794" i="1"/>
  <c r="F798" i="1"/>
  <c r="F802" i="1"/>
  <c r="F806" i="1"/>
  <c r="F335" i="1"/>
  <c r="F371" i="1"/>
  <c r="F375" i="1"/>
  <c r="F379" i="1"/>
  <c r="F383" i="1"/>
  <c r="F387" i="1"/>
  <c r="F391" i="1"/>
  <c r="F435" i="1"/>
  <c r="F439" i="1"/>
  <c r="F443" i="1"/>
  <c r="F447" i="1"/>
  <c r="F451" i="1"/>
  <c r="F455" i="1"/>
  <c r="F459" i="1"/>
  <c r="F463" i="1"/>
  <c r="F471" i="1"/>
  <c r="F475" i="1"/>
  <c r="F479" i="1"/>
  <c r="F483" i="1"/>
  <c r="F487" i="1"/>
  <c r="F491" i="1"/>
  <c r="F495" i="1"/>
  <c r="F547" i="1"/>
  <c r="F551" i="1"/>
  <c r="F555" i="1"/>
  <c r="F559" i="1"/>
  <c r="F563" i="1"/>
  <c r="F567" i="1"/>
  <c r="F571" i="1"/>
  <c r="F611" i="1"/>
  <c r="F647" i="1"/>
  <c r="F651" i="1"/>
  <c r="F655" i="1"/>
  <c r="F659" i="1"/>
  <c r="F663" i="1"/>
  <c r="F667" i="1"/>
  <c r="F671" i="1"/>
  <c r="F7109" i="1"/>
  <c r="F323" i="1"/>
  <c r="F327" i="1"/>
  <c r="F331" i="1"/>
  <c r="F339" i="1"/>
  <c r="F343" i="1"/>
  <c r="F347" i="1"/>
  <c r="F351" i="1"/>
  <c r="F355" i="1"/>
  <c r="F359" i="1"/>
  <c r="F363" i="1"/>
  <c r="F367" i="1"/>
  <c r="F395" i="1"/>
  <c r="F399" i="1"/>
  <c r="F403" i="1"/>
  <c r="F407" i="1"/>
  <c r="F411" i="1"/>
  <c r="F415" i="1"/>
  <c r="F419" i="1"/>
  <c r="F423" i="1"/>
  <c r="F427" i="1"/>
  <c r="F431" i="1"/>
  <c r="F467" i="1"/>
  <c r="F499" i="1"/>
  <c r="F503" i="1"/>
  <c r="F507" i="1"/>
  <c r="F511" i="1"/>
  <c r="F515" i="1"/>
  <c r="F519" i="1"/>
  <c r="F523" i="1"/>
  <c r="F527" i="1"/>
  <c r="F531" i="1"/>
  <c r="F535" i="1"/>
  <c r="F539" i="1"/>
  <c r="F543" i="1"/>
  <c r="F575" i="1"/>
  <c r="F579" i="1"/>
  <c r="F583" i="1"/>
  <c r="F587" i="1"/>
  <c r="F591" i="1"/>
  <c r="F595" i="1"/>
  <c r="F599" i="1"/>
  <c r="F603" i="1"/>
  <c r="F607" i="1"/>
  <c r="F615" i="1"/>
  <c r="F619" i="1"/>
  <c r="F623" i="1"/>
  <c r="F627" i="1"/>
  <c r="F631" i="1"/>
  <c r="F635" i="1"/>
  <c r="F639" i="1"/>
  <c r="F643" i="1"/>
  <c r="F675" i="1"/>
  <c r="F861" i="1"/>
  <c r="F865" i="1"/>
  <c r="F869" i="1"/>
  <c r="F873" i="1"/>
  <c r="F877" i="1"/>
  <c r="F881" i="1"/>
  <c r="F885" i="1"/>
  <c r="F889" i="1"/>
  <c r="F893" i="1"/>
  <c r="F897" i="1"/>
  <c r="F901" i="1"/>
  <c r="F905" i="1"/>
  <c r="F909" i="1"/>
  <c r="F679" i="1"/>
  <c r="F683" i="1"/>
  <c r="F687" i="1"/>
  <c r="F691" i="1"/>
  <c r="F695" i="1"/>
  <c r="F703" i="1"/>
  <c r="F707" i="1"/>
  <c r="F711" i="1"/>
  <c r="F715" i="1"/>
  <c r="F719" i="1"/>
  <c r="F723" i="1"/>
  <c r="F727" i="1"/>
  <c r="F731" i="1"/>
  <c r="F735" i="1"/>
  <c r="F739" i="1"/>
  <c r="F743" i="1"/>
  <c r="F751" i="1"/>
  <c r="F767" i="1"/>
  <c r="F771" i="1"/>
  <c r="F775" i="1"/>
  <c r="F779" i="1"/>
  <c r="F783" i="1"/>
  <c r="F787" i="1"/>
  <c r="F791" i="1"/>
  <c r="F795" i="1"/>
  <c r="F799" i="1"/>
  <c r="F803" i="1"/>
  <c r="F807" i="1"/>
  <c r="F811" i="1"/>
  <c r="F815" i="1"/>
  <c r="F819" i="1"/>
  <c r="F823" i="1"/>
  <c r="F827" i="1"/>
  <c r="F831" i="1"/>
  <c r="F835" i="1"/>
  <c r="F839" i="1"/>
  <c r="F843" i="1"/>
  <c r="F847" i="1"/>
  <c r="F851" i="1"/>
  <c r="F855" i="1"/>
  <c r="F859" i="1"/>
  <c r="F863" i="1"/>
  <c r="F867" i="1"/>
  <c r="F871" i="1"/>
  <c r="F875" i="1"/>
  <c r="F879" i="1"/>
  <c r="F883" i="1"/>
  <c r="F887" i="1"/>
  <c r="F891" i="1"/>
  <c r="F895" i="1"/>
  <c r="F899" i="1"/>
  <c r="F903" i="1"/>
  <c r="F907" i="1"/>
  <c r="F911" i="1"/>
  <c r="F915" i="1"/>
  <c r="F919" i="1"/>
  <c r="F699" i="1"/>
  <c r="F747" i="1"/>
  <c r="F755" i="1"/>
  <c r="F759" i="1"/>
  <c r="F763" i="1"/>
  <c r="F168" i="1"/>
  <c r="F172" i="1"/>
  <c r="F176" i="1"/>
  <c r="F180" i="1"/>
  <c r="F184" i="1"/>
  <c r="F188" i="1"/>
  <c r="F192" i="1"/>
  <c r="F196" i="1"/>
  <c r="F200" i="1"/>
  <c r="F204" i="1"/>
  <c r="F208" i="1"/>
  <c r="F212" i="1"/>
  <c r="F216" i="1"/>
  <c r="F220" i="1"/>
  <c r="F224" i="1"/>
  <c r="F228" i="1"/>
  <c r="F232" i="1"/>
  <c r="F236" i="1"/>
  <c r="F240" i="1"/>
  <c r="F244" i="1"/>
  <c r="F248" i="1"/>
  <c r="F252" i="1"/>
  <c r="F256" i="1"/>
  <c r="F260" i="1"/>
  <c r="F264" i="1"/>
  <c r="F268" i="1"/>
  <c r="F272" i="1"/>
  <c r="F276" i="1"/>
  <c r="F280" i="1"/>
  <c r="F284" i="1"/>
  <c r="F288" i="1"/>
  <c r="F292" i="1"/>
  <c r="F296" i="1"/>
  <c r="F300" i="1"/>
  <c r="F304" i="1"/>
  <c r="F308" i="1"/>
  <c r="F312" i="1"/>
  <c r="F316" i="1"/>
  <c r="F320" i="1"/>
  <c r="F324" i="1"/>
  <c r="F328" i="1"/>
  <c r="F332" i="1"/>
  <c r="F336" i="1"/>
  <c r="F340" i="1"/>
  <c r="F344" i="1"/>
  <c r="F348" i="1"/>
  <c r="F913" i="1"/>
  <c r="F917" i="1"/>
  <c r="F921" i="1"/>
  <c r="F925" i="1"/>
  <c r="F929" i="1"/>
  <c r="F933" i="1"/>
  <c r="F937" i="1"/>
  <c r="F941" i="1"/>
  <c r="F945" i="1"/>
  <c r="F949" i="1"/>
  <c r="F953" i="1"/>
  <c r="F957" i="1"/>
  <c r="F961" i="1"/>
  <c r="F923" i="1"/>
  <c r="F927" i="1"/>
  <c r="F931" i="1"/>
  <c r="F935" i="1"/>
  <c r="F939" i="1"/>
  <c r="F943" i="1"/>
  <c r="F947" i="1"/>
  <c r="F965" i="1"/>
  <c r="F969" i="1"/>
  <c r="F973" i="1"/>
  <c r="F977" i="1"/>
  <c r="F981" i="1"/>
  <c r="F985" i="1"/>
  <c r="F989" i="1"/>
  <c r="F993" i="1"/>
  <c r="F997" i="1"/>
  <c r="F1001" i="1"/>
  <c r="F1005" i="1"/>
  <c r="F1009" i="1"/>
  <c r="F1013" i="1"/>
  <c r="F1017" i="1"/>
  <c r="F1021" i="1"/>
  <c r="F1025" i="1"/>
  <c r="F1029" i="1"/>
  <c r="F1033" i="1"/>
  <c r="F1037" i="1"/>
  <c r="F1041" i="1"/>
  <c r="F660" i="1"/>
  <c r="F664" i="1"/>
  <c r="F668" i="1"/>
  <c r="F672" i="1"/>
  <c r="F676" i="1"/>
  <c r="F680" i="1"/>
  <c r="F684" i="1"/>
  <c r="F688" i="1"/>
  <c r="F692" i="1"/>
  <c r="F696" i="1"/>
  <c r="F700" i="1"/>
  <c r="F704" i="1"/>
  <c r="F708" i="1"/>
  <c r="F1045" i="1"/>
  <c r="F1049" i="1"/>
  <c r="F1053" i="1"/>
  <c r="F1057" i="1"/>
  <c r="F1061" i="1"/>
  <c r="F1065" i="1"/>
  <c r="F1069" i="1"/>
  <c r="F1073" i="1"/>
  <c r="F1077" i="1"/>
  <c r="F1081" i="1"/>
  <c r="F1085" i="1"/>
  <c r="F951" i="1"/>
  <c r="F955" i="1"/>
  <c r="F712" i="1"/>
  <c r="F716" i="1"/>
  <c r="F720" i="1"/>
  <c r="F724" i="1"/>
  <c r="F728" i="1"/>
  <c r="F732" i="1"/>
  <c r="F736" i="1"/>
  <c r="F740" i="1"/>
  <c r="F744" i="1"/>
  <c r="F748" i="1"/>
  <c r="F752" i="1"/>
  <c r="F756" i="1"/>
  <c r="F760" i="1"/>
  <c r="F764" i="1"/>
  <c r="F768" i="1"/>
  <c r="F772" i="1"/>
  <c r="F776" i="1"/>
  <c r="F780" i="1"/>
  <c r="F784" i="1"/>
  <c r="F788" i="1"/>
  <c r="F792" i="1"/>
  <c r="F796" i="1"/>
  <c r="F800" i="1"/>
  <c r="F804" i="1"/>
  <c r="F808" i="1"/>
  <c r="F812" i="1"/>
  <c r="F816" i="1"/>
  <c r="F820" i="1"/>
  <c r="F824" i="1"/>
  <c r="F828" i="1"/>
  <c r="F832" i="1"/>
  <c r="F836" i="1"/>
  <c r="F840" i="1"/>
  <c r="F844" i="1"/>
  <c r="F848" i="1"/>
  <c r="F852" i="1"/>
  <c r="F856" i="1"/>
  <c r="F860" i="1"/>
  <c r="F864" i="1"/>
  <c r="F868" i="1"/>
  <c r="F872" i="1"/>
  <c r="F876" i="1"/>
  <c r="F880" i="1"/>
  <c r="F884" i="1"/>
  <c r="F888" i="1"/>
  <c r="F892" i="1"/>
  <c r="F896" i="1"/>
  <c r="F900" i="1"/>
  <c r="F904" i="1"/>
  <c r="F908" i="1"/>
  <c r="F912" i="1"/>
  <c r="F916" i="1"/>
  <c r="F920" i="1"/>
  <c r="F924" i="1"/>
  <c r="F928" i="1"/>
  <c r="F932" i="1"/>
  <c r="F936" i="1"/>
  <c r="F940" i="1"/>
  <c r="F944" i="1"/>
  <c r="F948" i="1"/>
  <c r="F952" i="1"/>
  <c r="F956" i="1"/>
  <c r="F960" i="1"/>
  <c r="F964" i="1"/>
  <c r="F968" i="1"/>
  <c r="F972" i="1"/>
  <c r="F976" i="1"/>
  <c r="F980" i="1"/>
  <c r="F984" i="1"/>
  <c r="F988" i="1"/>
  <c r="F992" i="1"/>
  <c r="F996" i="1"/>
  <c r="F1000" i="1"/>
  <c r="F1004" i="1"/>
  <c r="F1008" i="1"/>
  <c r="F1012" i="1"/>
  <c r="F1089" i="1"/>
  <c r="F1093" i="1"/>
  <c r="F1097" i="1"/>
  <c r="F1101" i="1"/>
  <c r="F1105" i="1"/>
  <c r="F1109" i="1"/>
  <c r="F1113" i="1"/>
  <c r="F1117" i="1"/>
  <c r="F1121" i="1"/>
  <c r="F1125" i="1"/>
  <c r="F1129" i="1"/>
  <c r="F1133" i="1"/>
  <c r="F1137" i="1"/>
  <c r="F1141" i="1"/>
  <c r="F1145" i="1"/>
  <c r="F1149" i="1"/>
  <c r="F1153" i="1"/>
  <c r="F1157" i="1"/>
  <c r="F1181" i="1"/>
  <c r="F1185" i="1"/>
  <c r="F1189" i="1"/>
  <c r="F1193" i="1"/>
  <c r="F1197" i="1"/>
  <c r="F1201" i="1"/>
  <c r="F1205" i="1"/>
  <c r="F1209" i="1"/>
  <c r="F1213" i="1"/>
  <c r="F1217" i="1"/>
  <c r="F1221" i="1"/>
  <c r="F1225" i="1"/>
  <c r="F1229" i="1"/>
  <c r="F1233" i="1"/>
  <c r="F1237" i="1"/>
  <c r="F1241" i="1"/>
  <c r="F1245" i="1"/>
  <c r="F1249" i="1"/>
  <c r="F1253" i="1"/>
  <c r="F1257" i="1"/>
  <c r="F1261" i="1"/>
  <c r="F1265" i="1"/>
  <c r="F1269" i="1"/>
  <c r="F1273" i="1"/>
  <c r="F1277" i="1"/>
  <c r="F1281" i="1"/>
  <c r="F1285" i="1"/>
  <c r="F1289" i="1"/>
  <c r="F1293" i="1"/>
  <c r="F1297" i="1"/>
  <c r="F1301" i="1"/>
  <c r="F1305" i="1"/>
  <c r="F1309" i="1"/>
  <c r="F1313" i="1"/>
  <c r="F1317" i="1"/>
  <c r="F1321" i="1"/>
  <c r="F1325" i="1"/>
  <c r="F1329" i="1"/>
  <c r="F1333" i="1"/>
  <c r="F1337" i="1"/>
  <c r="F1341" i="1"/>
  <c r="F1345" i="1"/>
  <c r="F1349" i="1"/>
  <c r="F1353" i="1"/>
  <c r="F1357" i="1"/>
  <c r="F1361" i="1"/>
  <c r="F1365" i="1"/>
  <c r="F1369" i="1"/>
  <c r="F1373" i="1"/>
  <c r="F1377" i="1"/>
  <c r="F1381" i="1"/>
  <c r="F1385" i="1"/>
  <c r="F1389" i="1"/>
  <c r="F1393" i="1"/>
  <c r="F1397" i="1"/>
  <c r="F1401" i="1"/>
  <c r="F1405" i="1"/>
  <c r="F1409" i="1"/>
  <c r="F1413" i="1"/>
  <c r="F1417" i="1"/>
  <c r="F1421" i="1"/>
  <c r="F1425" i="1"/>
  <c r="F1429" i="1"/>
  <c r="F1433" i="1"/>
  <c r="F1437" i="1"/>
  <c r="F1441" i="1"/>
  <c r="F1445" i="1"/>
  <c r="F1016" i="1"/>
  <c r="F1020" i="1"/>
  <c r="F1024" i="1"/>
  <c r="F1028" i="1"/>
  <c r="F1032" i="1"/>
  <c r="F1036" i="1"/>
  <c r="F1040" i="1"/>
  <c r="F1044" i="1"/>
  <c r="F1048" i="1"/>
  <c r="F1052" i="1"/>
  <c r="F1056" i="1"/>
  <c r="F1060" i="1"/>
  <c r="F1064" i="1"/>
  <c r="F1068" i="1"/>
  <c r="F1072" i="1"/>
  <c r="F1076" i="1"/>
  <c r="F1080" i="1"/>
  <c r="F1084" i="1"/>
  <c r="F1449" i="1"/>
  <c r="F1453" i="1"/>
  <c r="F1457" i="1"/>
  <c r="F1461" i="1"/>
  <c r="F1466" i="1"/>
  <c r="F1470" i="1"/>
  <c r="F1088" i="1"/>
  <c r="F1092" i="1"/>
  <c r="F1096" i="1"/>
  <c r="F1100" i="1"/>
  <c r="F1104" i="1"/>
  <c r="F1108" i="1"/>
  <c r="F1112" i="1"/>
  <c r="F1116" i="1"/>
  <c r="F1120" i="1"/>
  <c r="F1124" i="1"/>
  <c r="F1128" i="1"/>
  <c r="F1132" i="1"/>
  <c r="F1136" i="1"/>
  <c r="F1140" i="1"/>
  <c r="F1144" i="1"/>
  <c r="F1148" i="1"/>
  <c r="F1152" i="1"/>
  <c r="F1156" i="1"/>
  <c r="F1160" i="1"/>
  <c r="F1474" i="1"/>
  <c r="F1478" i="1"/>
  <c r="F1482" i="1"/>
  <c r="F1486" i="1"/>
  <c r="F1490" i="1"/>
  <c r="F1494" i="1"/>
  <c r="F1498" i="1"/>
  <c r="F1502" i="1"/>
  <c r="F1506" i="1"/>
  <c r="F1510" i="1"/>
  <c r="F1514" i="1"/>
  <c r="F6762" i="1"/>
  <c r="F6799" i="1"/>
  <c r="F1164" i="1"/>
  <c r="F1168" i="1"/>
  <c r="F1172" i="1"/>
  <c r="F1176" i="1"/>
  <c r="F1180" i="1"/>
  <c r="F1184" i="1"/>
  <c r="F1188" i="1"/>
  <c r="F1192" i="1"/>
  <c r="F1196" i="1"/>
  <c r="F1200" i="1"/>
  <c r="F6841" i="1"/>
  <c r="F6730" i="1"/>
  <c r="F6766" i="1"/>
  <c r="F6811" i="1"/>
  <c r="F6856" i="1"/>
  <c r="F6817" i="1"/>
  <c r="F6946" i="1"/>
  <c r="F6988" i="1"/>
  <c r="F6819" i="1"/>
  <c r="F6953" i="1"/>
  <c r="F7135" i="1"/>
  <c r="F6800" i="1"/>
  <c r="F7080" i="1"/>
  <c r="F6734" i="1"/>
  <c r="F6778" i="1"/>
  <c r="F6826" i="1"/>
  <c r="F6860" i="1"/>
  <c r="F6898" i="1"/>
  <c r="F6833" i="1"/>
  <c r="F6958" i="1"/>
  <c r="F7004" i="1"/>
  <c r="F6861" i="1"/>
  <c r="F7033" i="1"/>
  <c r="F6846" i="1"/>
  <c r="F6977" i="1"/>
  <c r="F7110" i="1"/>
  <c r="F6746" i="1"/>
  <c r="F6795" i="1"/>
  <c r="F6830" i="1"/>
  <c r="F6872" i="1"/>
  <c r="F6914" i="1"/>
  <c r="F6926" i="1"/>
  <c r="F6972" i="1"/>
  <c r="F7022" i="1"/>
  <c r="F6739" i="1"/>
  <c r="F6877" i="1"/>
  <c r="F7093" i="1"/>
  <c r="F6759" i="1"/>
  <c r="F6895" i="1"/>
  <c r="F7011" i="1"/>
  <c r="F6931" i="1"/>
  <c r="F6918" i="1"/>
  <c r="F6753" i="1"/>
  <c r="F6942" i="1"/>
  <c r="F6976" i="1"/>
  <c r="F6804" i="1"/>
  <c r="F6875" i="1"/>
  <c r="F7120" i="1"/>
  <c r="F6779" i="1"/>
  <c r="F7063" i="1"/>
  <c r="F7045" i="1"/>
  <c r="F6973" i="1"/>
  <c r="F6750" i="1"/>
  <c r="F6783" i="1"/>
  <c r="F6814" i="1"/>
  <c r="F6845" i="1"/>
  <c r="F6876" i="1"/>
  <c r="F6902" i="1"/>
  <c r="F6777" i="1"/>
  <c r="F6930" i="1"/>
  <c r="F6962" i="1"/>
  <c r="F6992" i="1"/>
  <c r="F7026" i="1"/>
  <c r="F6771" i="1"/>
  <c r="F6831" i="1"/>
  <c r="F6911" i="1"/>
  <c r="F7025" i="1"/>
  <c r="F7116" i="1"/>
  <c r="F6763" i="1"/>
  <c r="F6835" i="1"/>
  <c r="F6899" i="1"/>
  <c r="F6915" i="1"/>
  <c r="F7015" i="1"/>
  <c r="F7049" i="1"/>
  <c r="F7083" i="1"/>
  <c r="F7133" i="1"/>
  <c r="F6935" i="1"/>
  <c r="F6981" i="1"/>
  <c r="F7027" i="1"/>
  <c r="F7064" i="1"/>
  <c r="F7095" i="1"/>
  <c r="F7070" i="1"/>
  <c r="F6951" i="1"/>
  <c r="F6997" i="1"/>
  <c r="F7010" i="1"/>
  <c r="F6735" i="1"/>
  <c r="F6815" i="1"/>
  <c r="F6873" i="1"/>
  <c r="F6937" i="1"/>
  <c r="F7059" i="1"/>
  <c r="F7132" i="1"/>
  <c r="F6788" i="1"/>
  <c r="F6850" i="1"/>
  <c r="F7075" i="1"/>
  <c r="F7001" i="1"/>
  <c r="F7031" i="1"/>
  <c r="F7068" i="1"/>
  <c r="F7099" i="1"/>
  <c r="F6784" i="1"/>
  <c r="F6955" i="1"/>
  <c r="F7126" i="1"/>
  <c r="F6738" i="1"/>
  <c r="F6754" i="1"/>
  <c r="F6770" i="1"/>
  <c r="F6787" i="1"/>
  <c r="F6803" i="1"/>
  <c r="F6818" i="1"/>
  <c r="F6834" i="1"/>
  <c r="F6849" i="1"/>
  <c r="F6864" i="1"/>
  <c r="F6880" i="1"/>
  <c r="F6890" i="1"/>
  <c r="F6906" i="1"/>
  <c r="F6922" i="1"/>
  <c r="F6901" i="1"/>
  <c r="F6790" i="1"/>
  <c r="F6844" i="1"/>
  <c r="F6934" i="1"/>
  <c r="F6950" i="1"/>
  <c r="F6966" i="1"/>
  <c r="F6980" i="1"/>
  <c r="F6996" i="1"/>
  <c r="F7014" i="1"/>
  <c r="F7036" i="1"/>
  <c r="F6727" i="1"/>
  <c r="F6743" i="1"/>
  <c r="F6808" i="1"/>
  <c r="F6823" i="1"/>
  <c r="F6865" i="1"/>
  <c r="F6881" i="1"/>
  <c r="F6883" i="1"/>
  <c r="F6961" i="1"/>
  <c r="F7039" i="1"/>
  <c r="F7108" i="1"/>
  <c r="F7124" i="1"/>
  <c r="F7139" i="1"/>
  <c r="F6751" i="1"/>
  <c r="F6767" i="1"/>
  <c r="F6792" i="1"/>
  <c r="F6838" i="1"/>
  <c r="F6857" i="1"/>
  <c r="F6903" i="1"/>
  <c r="F7086" i="1"/>
  <c r="F6923" i="1"/>
  <c r="F7005" i="1"/>
  <c r="F7019" i="1"/>
  <c r="F7037" i="1"/>
  <c r="F7053" i="1"/>
  <c r="F7072" i="1"/>
  <c r="F7087" i="1"/>
  <c r="F7103" i="1"/>
  <c r="F7137" i="1"/>
  <c r="F6919" i="1"/>
  <c r="F6939" i="1"/>
  <c r="F6959" i="1"/>
  <c r="F6985" i="1"/>
  <c r="F7114" i="1"/>
  <c r="F7130" i="1"/>
  <c r="F6726" i="1"/>
  <c r="F6742" i="1"/>
  <c r="F6758" i="1"/>
  <c r="F6774" i="1"/>
  <c r="F6791" i="1"/>
  <c r="F6807" i="1"/>
  <c r="F6822" i="1"/>
  <c r="F6837" i="1"/>
  <c r="F6853" i="1"/>
  <c r="F6868" i="1"/>
  <c r="F6884" i="1"/>
  <c r="F6894" i="1"/>
  <c r="F6910" i="1"/>
  <c r="F6737" i="1"/>
  <c r="F6806" i="1"/>
  <c r="F6859" i="1"/>
  <c r="F6938" i="1"/>
  <c r="F6954" i="1"/>
  <c r="F6970" i="1"/>
  <c r="F6984" i="1"/>
  <c r="F7000" i="1"/>
  <c r="F7018" i="1"/>
  <c r="F7052" i="1"/>
  <c r="F7143" i="1"/>
  <c r="F6731" i="1"/>
  <c r="F6747" i="1"/>
  <c r="F6812" i="1"/>
  <c r="F6827" i="1"/>
  <c r="F6869" i="1"/>
  <c r="F6885" i="1"/>
  <c r="F6893" i="1"/>
  <c r="F6969" i="1"/>
  <c r="F7051" i="1"/>
  <c r="F7112" i="1"/>
  <c r="F7128" i="1"/>
  <c r="F6755" i="1"/>
  <c r="F6775" i="1"/>
  <c r="F6796" i="1"/>
  <c r="F6842" i="1"/>
  <c r="F6891" i="1"/>
  <c r="F6907" i="1"/>
  <c r="F7098" i="1"/>
  <c r="F6943" i="1"/>
  <c r="F7007" i="1"/>
  <c r="F7023" i="1"/>
  <c r="F7041" i="1"/>
  <c r="F7057" i="1"/>
  <c r="F7076" i="1"/>
  <c r="F7091" i="1"/>
  <c r="F7106" i="1"/>
  <c r="F7141" i="1"/>
  <c r="F6927" i="1"/>
  <c r="F6947" i="1"/>
  <c r="F6963" i="1"/>
  <c r="F6989" i="1"/>
  <c r="F7118" i="1"/>
  <c r="F7056" i="1"/>
  <c r="F6993" i="1"/>
  <c r="F7122" i="1"/>
  <c r="F7129" i="1"/>
  <c r="F6793" i="1"/>
  <c r="F6909" i="1"/>
  <c r="F6990" i="1"/>
  <c r="F7047" i="1"/>
  <c r="F7089" i="1"/>
  <c r="F7123" i="1"/>
  <c r="F6949" i="1"/>
  <c r="F7067" i="1"/>
  <c r="F6736" i="1"/>
  <c r="F6879" i="1"/>
  <c r="F6967" i="1"/>
  <c r="F7035" i="1"/>
  <c r="F7078" i="1"/>
  <c r="F7115" i="1"/>
  <c r="F7142" i="1"/>
  <c r="F6816" i="1"/>
  <c r="F6933" i="1"/>
  <c r="F7009" i="1"/>
  <c r="F7101" i="1"/>
  <c r="F6852" i="1"/>
  <c r="F7024" i="1"/>
  <c r="F6725" i="1"/>
  <c r="F7136" i="1"/>
  <c r="F6761" i="1"/>
  <c r="F6794" i="1"/>
  <c r="F6820" i="1"/>
  <c r="F6858" i="1"/>
  <c r="F6888" i="1"/>
  <c r="F6916" i="1"/>
  <c r="F6956" i="1"/>
  <c r="F6974" i="1"/>
  <c r="F6991" i="1"/>
  <c r="F7013" i="1"/>
  <c r="F7029" i="1"/>
  <c r="F7040" i="1"/>
  <c r="F7048" i="1"/>
  <c r="F7060" i="1"/>
  <c r="F7079" i="1"/>
  <c r="F7090" i="1"/>
  <c r="F7102" i="1"/>
  <c r="F7117" i="1"/>
  <c r="F7125" i="1"/>
  <c r="F7131" i="1"/>
  <c r="F7138" i="1"/>
  <c r="F6776" i="1"/>
  <c r="F6805" i="1"/>
  <c r="F6832" i="1"/>
  <c r="F6867" i="1"/>
  <c r="F7030" i="1"/>
  <c r="F7043" i="1"/>
  <c r="F7062" i="1"/>
  <c r="F7071" i="1"/>
  <c r="F7082" i="1"/>
  <c r="F7094" i="1"/>
  <c r="F7105" i="1"/>
  <c r="F7111" i="1"/>
  <c r="F6843" i="1"/>
  <c r="F6878" i="1"/>
  <c r="F6900" i="1"/>
  <c r="F6925" i="1"/>
  <c r="F6948" i="1"/>
  <c r="F6965" i="1"/>
  <c r="F6983" i="1"/>
  <c r="F7006" i="1"/>
  <c r="F7021" i="1"/>
  <c r="F7034" i="1"/>
  <c r="F7113" i="1"/>
  <c r="F7121" i="1"/>
  <c r="F7127" i="1"/>
  <c r="F7134" i="1"/>
  <c r="F6889" i="1"/>
  <c r="F6917" i="1"/>
  <c r="F6940" i="1"/>
  <c r="F6960" i="1"/>
  <c r="F6975" i="1"/>
  <c r="F6999" i="1"/>
  <c r="F7020" i="1"/>
  <c r="F7119" i="1"/>
  <c r="F7385" i="1"/>
  <c r="F7140" i="1"/>
  <c r="F6809" i="1"/>
  <c r="F7044" i="1"/>
  <c r="F7055" i="1"/>
  <c r="F7066" i="1"/>
  <c r="F7074" i="1"/>
  <c r="F7085" i="1"/>
  <c r="F7097" i="1"/>
  <c r="F7107" i="1"/>
  <c r="F6729" i="1"/>
  <c r="F6740" i="1"/>
  <c r="F6752" i="1"/>
  <c r="F6780" i="1"/>
  <c r="F6798" i="1"/>
  <c r="F6810" i="1"/>
  <c r="F6821" i="1"/>
  <c r="F6836" i="1"/>
  <c r="F6847" i="1"/>
  <c r="F6862" i="1"/>
  <c r="F6904" i="1"/>
  <c r="F6912" i="1"/>
  <c r="F6920" i="1"/>
  <c r="F6928" i="1"/>
  <c r="F6944" i="1"/>
  <c r="F6978" i="1"/>
  <c r="F6986" i="1"/>
  <c r="F6994" i="1"/>
  <c r="F7008" i="1"/>
  <c r="F7016" i="1"/>
  <c r="F6741" i="1"/>
  <c r="F6756" i="1"/>
  <c r="F6769" i="1"/>
  <c r="F6781" i="1"/>
  <c r="F6789" i="1"/>
  <c r="F6825" i="1"/>
  <c r="F6848" i="1"/>
  <c r="F6863" i="1"/>
  <c r="F6874" i="1"/>
  <c r="F6905" i="1"/>
  <c r="F6921" i="1"/>
  <c r="F6932" i="1"/>
  <c r="F6945" i="1"/>
  <c r="F6964" i="1"/>
  <c r="F6979" i="1"/>
  <c r="F6995" i="1"/>
  <c r="F7002" i="1"/>
  <c r="F6724" i="1"/>
  <c r="F6745" i="1"/>
  <c r="F6757" i="1"/>
  <c r="F6782" i="1"/>
  <c r="F6732" i="1"/>
  <c r="F6748" i="1"/>
  <c r="F6764" i="1"/>
  <c r="F6772" i="1"/>
  <c r="F6785" i="1"/>
  <c r="F6801" i="1"/>
  <c r="F6828" i="1"/>
  <c r="F6839" i="1"/>
  <c r="F6854" i="1"/>
  <c r="F6870" i="1"/>
  <c r="F6886" i="1"/>
  <c r="F6896" i="1"/>
  <c r="F6728" i="1"/>
  <c r="F6733" i="1"/>
  <c r="F6744" i="1"/>
  <c r="F6749" i="1"/>
  <c r="F6760" i="1"/>
  <c r="F6765" i="1"/>
  <c r="F6768" i="1"/>
  <c r="F6773" i="1"/>
  <c r="F6786" i="1"/>
  <c r="F6797" i="1"/>
  <c r="F6802" i="1"/>
  <c r="F6813" i="1"/>
  <c r="F6824" i="1"/>
  <c r="F6829" i="1"/>
  <c r="F6840" i="1"/>
  <c r="F6851" i="1"/>
  <c r="F6855" i="1"/>
  <c r="F6866" i="1"/>
  <c r="F6871" i="1"/>
  <c r="F6882" i="1"/>
  <c r="F6887" i="1"/>
  <c r="F6892" i="1"/>
  <c r="F6897" i="1"/>
  <c r="F6908" i="1"/>
  <c r="F6913" i="1"/>
  <c r="F6924" i="1"/>
  <c r="F6929" i="1"/>
  <c r="F6936" i="1"/>
  <c r="F6941" i="1"/>
  <c r="F6952" i="1"/>
  <c r="F6957" i="1"/>
  <c r="F6968" i="1"/>
  <c r="F6971" i="1"/>
  <c r="F6982" i="1"/>
  <c r="F6987" i="1"/>
  <c r="F6998" i="1"/>
  <c r="F7003" i="1"/>
  <c r="F7012" i="1"/>
  <c r="F7017" i="1"/>
  <c r="F7028" i="1"/>
  <c r="F7032" i="1"/>
  <c r="F7038" i="1"/>
  <c r="F7042" i="1"/>
  <c r="F7046" i="1"/>
  <c r="F7050" i="1"/>
  <c r="F7054" i="1"/>
  <c r="F7058" i="1"/>
  <c r="F7061" i="1"/>
  <c r="F7065" i="1"/>
  <c r="F7069" i="1"/>
  <c r="F7073" i="1"/>
  <c r="F7077" i="1"/>
  <c r="F7081" i="1"/>
  <c r="F7084" i="1"/>
  <c r="F7088" i="1"/>
  <c r="F7092" i="1"/>
  <c r="F7096" i="1"/>
  <c r="F7100" i="1"/>
  <c r="F7104" i="1"/>
  <c r="F6719" i="1"/>
  <c r="F6722" i="1"/>
  <c r="F6721" i="1"/>
  <c r="F6723" i="1"/>
  <c r="F1204" i="1"/>
  <c r="F1208" i="1"/>
  <c r="F1518" i="1"/>
  <c r="F1522" i="1"/>
  <c r="F1526" i="1"/>
  <c r="F1530" i="1"/>
  <c r="F1534" i="1"/>
  <c r="F1538" i="1"/>
  <c r="F1542" i="1"/>
  <c r="F1546" i="1"/>
  <c r="F1550" i="1"/>
  <c r="F1554" i="1"/>
  <c r="F1558" i="1"/>
  <c r="F6672" i="1"/>
  <c r="F6684" i="1"/>
  <c r="F1212" i="1"/>
  <c r="F1216" i="1"/>
  <c r="F1220" i="1"/>
  <c r="F1224" i="1"/>
  <c r="F1228" i="1"/>
  <c r="F1232" i="1"/>
  <c r="F1236" i="1"/>
  <c r="F1240" i="1"/>
  <c r="F1244" i="1"/>
  <c r="F1248" i="1"/>
  <c r="F1252" i="1"/>
  <c r="F1256" i="1"/>
  <c r="F1260" i="1"/>
  <c r="F1264" i="1"/>
  <c r="F1268" i="1"/>
  <c r="F1272" i="1"/>
  <c r="F1276" i="1"/>
  <c r="F1280" i="1"/>
  <c r="F1284" i="1"/>
  <c r="F1288" i="1"/>
  <c r="F1292" i="1"/>
  <c r="F1296" i="1"/>
  <c r="F1300" i="1"/>
  <c r="F1304" i="1"/>
  <c r="F1308" i="1"/>
  <c r="F1312" i="1"/>
  <c r="F1316" i="1"/>
  <c r="F1320" i="1"/>
  <c r="F1324" i="1"/>
  <c r="F1328" i="1"/>
  <c r="F1332" i="1"/>
  <c r="F1336" i="1"/>
  <c r="F1340" i="1"/>
  <c r="F1344" i="1"/>
  <c r="F1348" i="1"/>
  <c r="F1352" i="1"/>
  <c r="F1356" i="1"/>
  <c r="F1360" i="1"/>
  <c r="F1364" i="1"/>
  <c r="F1368" i="1"/>
  <c r="F1372" i="1"/>
  <c r="F1376" i="1"/>
  <c r="F1380" i="1"/>
  <c r="F1384" i="1"/>
  <c r="F1388" i="1"/>
  <c r="F1392" i="1"/>
  <c r="F1396" i="1"/>
  <c r="F1400" i="1"/>
  <c r="F1404" i="1"/>
  <c r="F1408" i="1"/>
  <c r="F1412" i="1"/>
  <c r="F1416" i="1"/>
  <c r="F1420" i="1"/>
  <c r="F1424" i="1"/>
  <c r="F1428" i="1"/>
  <c r="F1432" i="1"/>
  <c r="F1436" i="1"/>
  <c r="F1440" i="1"/>
  <c r="F6692" i="1"/>
  <c r="F1562" i="1"/>
  <c r="F1566" i="1"/>
  <c r="F1570" i="1"/>
  <c r="F1574" i="1"/>
  <c r="F1578" i="1"/>
  <c r="F1582" i="1"/>
  <c r="F1586" i="1"/>
  <c r="F1590" i="1"/>
  <c r="F6720" i="1"/>
  <c r="F6700" i="1"/>
  <c r="F6706" i="1"/>
  <c r="F6664" i="1"/>
  <c r="F6687" i="1"/>
  <c r="F6689" i="1"/>
  <c r="F6707" i="1"/>
  <c r="F6668" i="1"/>
  <c r="F6699" i="1"/>
  <c r="F6691" i="1"/>
  <c r="F6711" i="1"/>
  <c r="F6702" i="1"/>
  <c r="F6718" i="1"/>
  <c r="F6716" i="1"/>
  <c r="F6713" i="1"/>
  <c r="F6717" i="1"/>
  <c r="F6712" i="1"/>
  <c r="F6714" i="1"/>
  <c r="F6628" i="1"/>
  <c r="F6680" i="1"/>
  <c r="F6688" i="1"/>
  <c r="F6693" i="1"/>
  <c r="F6703" i="1"/>
  <c r="F6715" i="1"/>
  <c r="F6701" i="1"/>
  <c r="F6705" i="1"/>
  <c r="F6709" i="1"/>
  <c r="F6660" i="1"/>
  <c r="F6676" i="1"/>
  <c r="F6695" i="1"/>
  <c r="F6696" i="1"/>
  <c r="F6697" i="1"/>
  <c r="F6710" i="1"/>
  <c r="F6704" i="1"/>
  <c r="F6708" i="1"/>
  <c r="F6686" i="1"/>
  <c r="F6690" i="1"/>
  <c r="F6694" i="1"/>
  <c r="F6698" i="1"/>
  <c r="F6678" i="1"/>
  <c r="F6657" i="1"/>
  <c r="F6661" i="1"/>
  <c r="F6665" i="1"/>
  <c r="F6669" i="1"/>
  <c r="F6673" i="1"/>
  <c r="F6677" i="1"/>
  <c r="F6681" i="1"/>
  <c r="F6685" i="1"/>
  <c r="F6658" i="1"/>
  <c r="F6662" i="1"/>
  <c r="F6666" i="1"/>
  <c r="F6670" i="1"/>
  <c r="F6674" i="1"/>
  <c r="F6682" i="1"/>
  <c r="F6659" i="1"/>
  <c r="F6663" i="1"/>
  <c r="F6667" i="1"/>
  <c r="F6671" i="1"/>
  <c r="F6675" i="1"/>
  <c r="F6679" i="1"/>
  <c r="F6683" i="1"/>
  <c r="F6645" i="1"/>
  <c r="F6649" i="1"/>
  <c r="F6653" i="1"/>
  <c r="F6646" i="1"/>
  <c r="F6650" i="1"/>
  <c r="F6654" i="1"/>
  <c r="F6647" i="1"/>
  <c r="F6651" i="1"/>
  <c r="F6655" i="1"/>
  <c r="F6648" i="1"/>
  <c r="F6652" i="1"/>
  <c r="F6656" i="1"/>
  <c r="F3161" i="1"/>
  <c r="F6609" i="1"/>
  <c r="F6610" i="1"/>
  <c r="F6614" i="1"/>
  <c r="F6618" i="1"/>
  <c r="F6622" i="1"/>
  <c r="F6626" i="1"/>
  <c r="F6630" i="1"/>
  <c r="F6634" i="1"/>
  <c r="F6638" i="1"/>
  <c r="F6642" i="1"/>
  <c r="F6635" i="1"/>
  <c r="F6639" i="1"/>
  <c r="F6640" i="1"/>
  <c r="F6644" i="1"/>
  <c r="F6617" i="1"/>
  <c r="F6611" i="1"/>
  <c r="F6615" i="1"/>
  <c r="F6619" i="1"/>
  <c r="F6623" i="1"/>
  <c r="F6627" i="1"/>
  <c r="F6631" i="1"/>
  <c r="F6643" i="1"/>
  <c r="F6632" i="1"/>
  <c r="F6636" i="1"/>
  <c r="F6613" i="1"/>
  <c r="F6621" i="1"/>
  <c r="F6625" i="1"/>
  <c r="F6629" i="1"/>
  <c r="F6633" i="1"/>
  <c r="F6637" i="1"/>
  <c r="F6641" i="1"/>
  <c r="F6612" i="1"/>
  <c r="F6616" i="1"/>
  <c r="F6620" i="1"/>
  <c r="F6624" i="1"/>
  <c r="F810" i="1"/>
  <c r="F814" i="1"/>
  <c r="F818" i="1"/>
  <c r="F822" i="1"/>
  <c r="F826" i="1"/>
  <c r="F830" i="1"/>
  <c r="F834" i="1"/>
  <c r="F838" i="1"/>
  <c r="F3163" i="1"/>
  <c r="F3160" i="1"/>
  <c r="F959" i="1"/>
  <c r="F963" i="1"/>
  <c r="F967" i="1"/>
  <c r="F971" i="1"/>
  <c r="F975" i="1"/>
  <c r="F979" i="1"/>
  <c r="F983" i="1"/>
  <c r="F987" i="1"/>
  <c r="F991" i="1"/>
  <c r="F1163" i="1"/>
  <c r="F3162" i="1"/>
  <c r="F995" i="1"/>
  <c r="F999" i="1"/>
  <c r="F1003" i="1"/>
  <c r="F1007" i="1"/>
  <c r="F1011" i="1"/>
  <c r="F1015" i="1"/>
  <c r="F1019" i="1"/>
  <c r="F1023" i="1"/>
  <c r="F1027" i="1"/>
  <c r="F1031" i="1"/>
  <c r="F1035" i="1"/>
  <c r="F1039" i="1"/>
  <c r="F1043" i="1"/>
  <c r="F1047" i="1"/>
  <c r="F1051" i="1"/>
  <c r="F1055" i="1"/>
  <c r="F1059" i="1"/>
  <c r="F1063" i="1"/>
  <c r="F1067" i="1"/>
  <c r="F1071" i="1"/>
  <c r="F1075" i="1"/>
  <c r="F1079" i="1"/>
  <c r="F1083" i="1"/>
  <c r="F1087" i="1"/>
  <c r="F1091" i="1"/>
  <c r="F1095" i="1"/>
  <c r="F1099" i="1"/>
  <c r="F1103" i="1"/>
  <c r="F1107" i="1"/>
  <c r="F1111" i="1"/>
  <c r="F1115" i="1"/>
  <c r="F1119" i="1"/>
  <c r="F1123" i="1"/>
  <c r="F1127" i="1"/>
  <c r="F1131" i="1"/>
  <c r="F1135" i="1"/>
  <c r="F1139" i="1"/>
  <c r="F1143" i="1"/>
  <c r="F1147" i="1"/>
  <c r="F1151" i="1"/>
  <c r="F1155" i="1"/>
  <c r="F1159" i="1"/>
  <c r="F1167" i="1"/>
  <c r="F1171" i="1"/>
  <c r="F1175" i="1"/>
  <c r="F1179" i="1"/>
  <c r="F1183" i="1"/>
  <c r="F1187" i="1"/>
  <c r="F1191" i="1"/>
  <c r="F1195" i="1"/>
  <c r="F1199" i="1"/>
  <c r="F1203" i="1"/>
  <c r="F1207" i="1"/>
  <c r="F1211" i="1"/>
  <c r="F1444" i="1"/>
  <c r="F1448" i="1"/>
  <c r="F1452" i="1"/>
  <c r="F1456" i="1"/>
  <c r="F1460" i="1"/>
  <c r="F1465" i="1"/>
  <c r="F1469" i="1"/>
  <c r="F1473" i="1"/>
  <c r="F1477" i="1"/>
  <c r="F1481" i="1"/>
  <c r="F1485" i="1"/>
  <c r="F1489" i="1"/>
  <c r="F1493" i="1"/>
  <c r="F1497" i="1"/>
  <c r="F1501" i="1"/>
  <c r="F1505" i="1"/>
  <c r="F1509" i="1"/>
  <c r="F1513" i="1"/>
  <c r="F1517" i="1"/>
  <c r="F1521" i="1"/>
  <c r="F1525" i="1"/>
  <c r="F1529" i="1"/>
  <c r="F1533" i="1"/>
  <c r="F1537" i="1"/>
  <c r="F1541" i="1"/>
  <c r="F1545" i="1"/>
  <c r="F1549" i="1"/>
  <c r="F1553" i="1"/>
  <c r="F1557" i="1"/>
  <c r="F1561" i="1"/>
  <c r="F1565" i="1"/>
  <c r="F1569" i="1"/>
  <c r="F1573" i="1"/>
  <c r="F1577" i="1"/>
  <c r="F1581" i="1"/>
  <c r="F1594" i="1"/>
  <c r="F1598" i="1"/>
  <c r="F1602" i="1"/>
  <c r="F1606" i="1"/>
  <c r="F1610" i="1"/>
  <c r="F1614" i="1"/>
  <c r="F1618" i="1"/>
  <c r="F1622" i="1"/>
  <c r="F1626" i="1"/>
  <c r="F1630" i="1"/>
  <c r="F1634" i="1"/>
  <c r="F1638" i="1"/>
  <c r="F1642" i="1"/>
  <c r="F6583" i="1"/>
  <c r="F3164" i="1"/>
  <c r="F1585" i="1"/>
  <c r="F1589" i="1"/>
  <c r="F1593" i="1"/>
  <c r="F1597" i="1"/>
  <c r="F1601" i="1"/>
  <c r="F1605" i="1"/>
  <c r="F1609" i="1"/>
  <c r="F1613" i="1"/>
  <c r="F1617" i="1"/>
  <c r="F1621" i="1"/>
  <c r="F1625" i="1"/>
  <c r="F1629" i="1"/>
  <c r="F1633" i="1"/>
  <c r="F1637" i="1"/>
  <c r="F1641" i="1"/>
  <c r="F1645" i="1"/>
  <c r="F1649" i="1"/>
  <c r="F1653" i="1"/>
  <c r="F1657" i="1"/>
  <c r="F1661" i="1"/>
  <c r="F1665" i="1"/>
  <c r="F1669" i="1"/>
  <c r="F1673" i="1"/>
  <c r="F1677" i="1"/>
  <c r="F1681" i="1"/>
  <c r="F1685" i="1"/>
  <c r="F1689" i="1"/>
  <c r="F1693" i="1"/>
  <c r="F1697" i="1"/>
  <c r="F1701" i="1"/>
  <c r="F1705" i="1"/>
  <c r="F1709" i="1"/>
  <c r="F1713" i="1"/>
  <c r="F1717" i="1"/>
  <c r="F1721" i="1"/>
  <c r="F1725" i="1"/>
  <c r="F1729" i="1"/>
  <c r="F1733" i="1"/>
  <c r="F1737" i="1"/>
  <c r="F1741" i="1"/>
  <c r="F1745" i="1"/>
  <c r="F1749" i="1"/>
  <c r="F1753" i="1"/>
  <c r="F1757" i="1"/>
  <c r="F1761" i="1"/>
  <c r="F1765" i="1"/>
  <c r="F1769" i="1"/>
  <c r="F1773" i="1"/>
  <c r="F1777" i="1"/>
  <c r="F1781" i="1"/>
  <c r="F1785" i="1"/>
  <c r="F1789" i="1"/>
  <c r="F1793" i="1"/>
  <c r="F1797" i="1"/>
  <c r="F1801" i="1"/>
  <c r="F1805" i="1"/>
  <c r="F1809" i="1"/>
  <c r="F1813" i="1"/>
  <c r="F1817" i="1"/>
  <c r="F1821" i="1"/>
  <c r="F1825" i="1"/>
  <c r="F1829" i="1"/>
  <c r="F1833" i="1"/>
  <c r="F1837" i="1"/>
  <c r="F1841" i="1"/>
  <c r="F1845" i="1"/>
  <c r="F1849" i="1"/>
  <c r="F1853" i="1"/>
  <c r="F1857" i="1"/>
  <c r="F1861" i="1"/>
  <c r="F1865" i="1"/>
  <c r="F1869" i="1"/>
  <c r="F1873" i="1"/>
  <c r="F1877" i="1"/>
  <c r="F1881" i="1"/>
  <c r="F1885" i="1"/>
  <c r="F1889" i="1"/>
  <c r="F1893" i="1"/>
  <c r="F1897" i="1"/>
  <c r="F1901" i="1"/>
  <c r="F1905" i="1"/>
  <c r="F1909" i="1"/>
  <c r="F1913" i="1"/>
  <c r="F1917" i="1"/>
  <c r="F1921" i="1"/>
  <c r="F1646" i="1"/>
  <c r="F1650" i="1"/>
  <c r="F1654" i="1"/>
  <c r="F1658" i="1"/>
  <c r="F1662" i="1"/>
  <c r="F1666" i="1"/>
  <c r="F1670" i="1"/>
  <c r="F1674" i="1"/>
  <c r="F1678" i="1"/>
  <c r="F1682" i="1"/>
  <c r="F1686" i="1"/>
  <c r="F842" i="1"/>
  <c r="F846" i="1"/>
  <c r="F850" i="1"/>
  <c r="F854" i="1"/>
  <c r="F858" i="1"/>
  <c r="F862" i="1"/>
  <c r="F866" i="1"/>
  <c r="F870" i="1"/>
  <c r="F874" i="1"/>
  <c r="F878" i="1"/>
  <c r="F1690" i="1"/>
  <c r="F1694" i="1"/>
  <c r="F1698" i="1"/>
  <c r="F1702" i="1"/>
  <c r="F1706" i="1"/>
  <c r="F1710" i="1"/>
  <c r="F1714" i="1"/>
  <c r="F1718" i="1"/>
  <c r="F1722" i="1"/>
  <c r="F1726" i="1"/>
  <c r="F1730" i="1"/>
  <c r="F3165" i="1"/>
  <c r="F1925" i="1"/>
  <c r="F1929" i="1"/>
  <c r="F1933" i="1"/>
  <c r="F1937" i="1"/>
  <c r="F1941" i="1"/>
  <c r="F1945" i="1"/>
  <c r="F1949" i="1"/>
  <c r="F1953" i="1"/>
  <c r="F1957" i="1"/>
  <c r="F1961" i="1"/>
  <c r="F1965" i="1"/>
  <c r="F1969" i="1"/>
  <c r="F1973" i="1"/>
  <c r="F1977" i="1"/>
  <c r="F1981" i="1"/>
  <c r="F1985" i="1"/>
  <c r="F1989" i="1"/>
  <c r="F1993" i="1"/>
  <c r="F1997" i="1"/>
  <c r="F2001" i="1"/>
  <c r="F2005" i="1"/>
  <c r="F2009" i="1"/>
  <c r="F2013" i="1"/>
  <c r="F2017" i="1"/>
  <c r="F2021" i="1"/>
  <c r="F2025" i="1"/>
  <c r="F2029" i="1"/>
  <c r="F2033" i="1"/>
  <c r="F2037" i="1"/>
  <c r="F2041" i="1"/>
  <c r="F2045" i="1"/>
  <c r="F2049" i="1"/>
  <c r="F2053" i="1"/>
  <c r="F2057" i="1"/>
  <c r="F2061" i="1"/>
  <c r="F2065" i="1"/>
  <c r="F2069" i="1"/>
  <c r="F2073" i="1"/>
  <c r="F2077" i="1"/>
  <c r="F2081" i="1"/>
  <c r="F6571" i="1"/>
  <c r="F1215" i="1"/>
  <c r="F1219" i="1"/>
  <c r="F1223" i="1"/>
  <c r="F1227" i="1"/>
  <c r="F1231" i="1"/>
  <c r="F1235" i="1"/>
  <c r="F1239" i="1"/>
  <c r="F1243" i="1"/>
  <c r="F1247" i="1"/>
  <c r="F1251" i="1"/>
  <c r="F1255" i="1"/>
  <c r="F1259" i="1"/>
  <c r="F1263" i="1"/>
  <c r="F1267" i="1"/>
  <c r="F1271" i="1"/>
  <c r="F1275" i="1"/>
  <c r="F1279" i="1"/>
  <c r="F1283" i="1"/>
  <c r="F1287" i="1"/>
  <c r="F1291" i="1"/>
  <c r="F1295" i="1"/>
  <c r="F1299" i="1"/>
  <c r="F1303" i="1"/>
  <c r="F1307" i="1"/>
  <c r="F1311" i="1"/>
  <c r="F1315" i="1"/>
  <c r="F1319" i="1"/>
  <c r="F1323" i="1"/>
  <c r="F1327" i="1"/>
  <c r="F1331" i="1"/>
  <c r="F1335" i="1"/>
  <c r="F1339" i="1"/>
  <c r="F1343" i="1"/>
  <c r="F1347" i="1"/>
  <c r="F1351" i="1"/>
  <c r="F1355" i="1"/>
  <c r="F1359" i="1"/>
  <c r="F1363" i="1"/>
  <c r="F1367" i="1"/>
  <c r="F1371" i="1"/>
  <c r="F1375" i="1"/>
  <c r="F1379" i="1"/>
  <c r="F1383" i="1"/>
  <c r="F1387" i="1"/>
  <c r="F1391" i="1"/>
  <c r="F1395" i="1"/>
  <c r="F1399" i="1"/>
  <c r="F1403" i="1"/>
  <c r="F1407" i="1"/>
  <c r="F1411" i="1"/>
  <c r="F1415" i="1"/>
  <c r="F1419" i="1"/>
  <c r="F1423" i="1"/>
  <c r="F1427" i="1"/>
  <c r="F1431" i="1"/>
  <c r="F1435" i="1"/>
  <c r="F6591" i="1"/>
  <c r="F2085" i="1"/>
  <c r="F2089" i="1"/>
  <c r="F2093" i="1"/>
  <c r="F2097" i="1"/>
  <c r="F2101" i="1"/>
  <c r="F2105" i="1"/>
  <c r="F2109" i="1"/>
  <c r="F2113" i="1"/>
  <c r="F6603" i="1"/>
  <c r="F1734" i="1"/>
  <c r="F1738" i="1"/>
  <c r="F1742" i="1"/>
  <c r="F1746" i="1"/>
  <c r="F1750" i="1"/>
  <c r="F1754" i="1"/>
  <c r="F1758" i="1"/>
  <c r="F1762" i="1"/>
  <c r="F1766" i="1"/>
  <c r="F1770" i="1"/>
  <c r="F1774" i="1"/>
  <c r="F1778" i="1"/>
  <c r="F1782" i="1"/>
  <c r="F1786" i="1"/>
  <c r="F1790" i="1"/>
  <c r="F1794" i="1"/>
  <c r="F1798" i="1"/>
  <c r="F1802" i="1"/>
  <c r="F1806" i="1"/>
  <c r="F1810" i="1"/>
  <c r="F1814" i="1"/>
  <c r="F1818" i="1"/>
  <c r="F1822" i="1"/>
  <c r="F1826" i="1"/>
  <c r="F1830" i="1"/>
  <c r="F1834" i="1"/>
  <c r="F1838" i="1"/>
  <c r="F1842" i="1"/>
  <c r="F1846" i="1"/>
  <c r="F1850" i="1"/>
  <c r="F1854" i="1"/>
  <c r="F1858" i="1"/>
  <c r="F1862" i="1"/>
  <c r="F1866" i="1"/>
  <c r="F1870" i="1"/>
  <c r="F1874" i="1"/>
  <c r="F1878" i="1"/>
  <c r="F1882" i="1"/>
  <c r="F1886" i="1"/>
  <c r="F1890" i="1"/>
  <c r="F1894" i="1"/>
  <c r="F1898" i="1"/>
  <c r="F1902" i="1"/>
  <c r="F1906" i="1"/>
  <c r="F1910" i="1"/>
  <c r="F1914" i="1"/>
  <c r="F1918" i="1"/>
  <c r="F1922" i="1"/>
  <c r="F1926" i="1"/>
  <c r="F1930" i="1"/>
  <c r="F1934" i="1"/>
  <c r="F3168" i="1"/>
  <c r="F6550" i="1"/>
  <c r="F6587" i="1"/>
  <c r="F6599" i="1"/>
  <c r="F6532" i="1"/>
  <c r="F6608" i="1"/>
  <c r="F6595" i="1"/>
  <c r="F6607" i="1"/>
  <c r="F6546" i="1"/>
  <c r="F6579" i="1"/>
  <c r="F6575" i="1"/>
  <c r="F6542" i="1"/>
  <c r="F6572" i="1"/>
  <c r="F6580" i="1"/>
  <c r="F6584" i="1"/>
  <c r="F6592" i="1"/>
  <c r="F6600" i="1"/>
  <c r="F6568" i="1"/>
  <c r="F6576" i="1"/>
  <c r="F6588" i="1"/>
  <c r="F6596" i="1"/>
  <c r="F6604" i="1"/>
  <c r="F6574" i="1"/>
  <c r="F6578" i="1"/>
  <c r="F6582" i="1"/>
  <c r="F6586" i="1"/>
  <c r="F6590" i="1"/>
  <c r="F6569" i="1"/>
  <c r="F6573" i="1"/>
  <c r="F6577" i="1"/>
  <c r="F6581" i="1"/>
  <c r="F6585" i="1"/>
  <c r="F6589" i="1"/>
  <c r="F6593" i="1"/>
  <c r="F6597" i="1"/>
  <c r="F6601" i="1"/>
  <c r="F6605" i="1"/>
  <c r="F6570" i="1"/>
  <c r="F6594" i="1"/>
  <c r="F6598" i="1"/>
  <c r="F6602" i="1"/>
  <c r="F6606" i="1"/>
  <c r="F6566" i="1"/>
  <c r="F6565" i="1"/>
  <c r="F6534" i="1"/>
  <c r="F6554" i="1"/>
  <c r="F6558" i="1"/>
  <c r="F6538" i="1"/>
  <c r="F6562" i="1"/>
  <c r="F6567" i="1"/>
  <c r="F6533" i="1"/>
  <c r="F6537" i="1"/>
  <c r="F6541" i="1"/>
  <c r="F6545" i="1"/>
  <c r="F6549" i="1"/>
  <c r="F6553" i="1"/>
  <c r="F6557" i="1"/>
  <c r="F6561" i="1"/>
  <c r="F6560" i="1"/>
  <c r="F6535" i="1"/>
  <c r="F6539" i="1"/>
  <c r="F6547" i="1"/>
  <c r="F6555" i="1"/>
  <c r="F6563" i="1"/>
  <c r="F6536" i="1"/>
  <c r="F6540" i="1"/>
  <c r="F6544" i="1"/>
  <c r="F6548" i="1"/>
  <c r="F6552" i="1"/>
  <c r="F6556" i="1"/>
  <c r="F6564" i="1"/>
  <c r="F6531" i="1"/>
  <c r="F6543" i="1"/>
  <c r="F6551" i="1"/>
  <c r="F6559" i="1"/>
  <c r="F1938" i="1"/>
  <c r="F1942" i="1"/>
  <c r="F1946" i="1"/>
  <c r="F1950" i="1"/>
  <c r="F1954" i="1"/>
  <c r="F1958" i="1"/>
  <c r="F1962" i="1"/>
  <c r="F1966" i="1"/>
  <c r="F1970" i="1"/>
  <c r="F1974" i="1"/>
  <c r="F1978" i="1"/>
  <c r="F1982" i="1"/>
  <c r="F1986" i="1"/>
  <c r="F1990" i="1"/>
  <c r="F1994" i="1"/>
  <c r="F6523" i="1"/>
  <c r="F6527" i="1"/>
  <c r="F6524" i="1"/>
  <c r="F6528" i="1"/>
  <c r="F6525" i="1"/>
  <c r="F6529" i="1"/>
  <c r="F1439" i="1"/>
  <c r="F1443" i="1"/>
  <c r="F1447" i="1"/>
  <c r="F1451" i="1"/>
  <c r="F1455" i="1"/>
  <c r="F1459" i="1"/>
  <c r="F1463" i="1"/>
  <c r="F6530" i="1"/>
  <c r="F6526" i="1"/>
  <c r="F1998" i="1"/>
  <c r="F2002" i="1"/>
  <c r="F2006" i="1"/>
  <c r="F2010" i="1"/>
  <c r="F2014" i="1"/>
  <c r="F2018" i="1"/>
  <c r="F2022" i="1"/>
  <c r="F2026" i="1"/>
  <c r="F2030" i="1"/>
  <c r="F2034" i="1"/>
  <c r="F2038" i="1"/>
  <c r="F2042" i="1"/>
  <c r="F882" i="1"/>
  <c r="F886" i="1"/>
  <c r="F890" i="1"/>
  <c r="F894" i="1"/>
  <c r="F898" i="1"/>
  <c r="F902" i="1"/>
  <c r="F906" i="1"/>
  <c r="F910" i="1"/>
  <c r="F914" i="1"/>
  <c r="F918" i="1"/>
  <c r="F922" i="1"/>
  <c r="F926" i="1"/>
  <c r="F930" i="1"/>
  <c r="F934" i="1"/>
  <c r="F938" i="1"/>
  <c r="F942" i="1"/>
  <c r="F946" i="1"/>
  <c r="F950" i="1"/>
  <c r="F954" i="1"/>
  <c r="F958" i="1"/>
  <c r="F962" i="1"/>
  <c r="F966" i="1"/>
  <c r="F970" i="1"/>
  <c r="F974" i="1"/>
  <c r="F978" i="1"/>
  <c r="F982" i="1"/>
  <c r="F986" i="1"/>
  <c r="F990" i="1"/>
  <c r="F994" i="1"/>
  <c r="F998" i="1"/>
  <c r="F1002" i="1"/>
  <c r="F1286" i="1"/>
  <c r="F1290" i="1"/>
  <c r="F1294" i="1"/>
  <c r="F1298" i="1"/>
  <c r="F1302" i="1"/>
  <c r="F1306" i="1"/>
  <c r="F1310" i="1"/>
  <c r="F1314" i="1"/>
  <c r="F1318" i="1"/>
  <c r="F1322" i="1"/>
  <c r="F1326" i="1"/>
  <c r="F1330" i="1"/>
  <c r="F1334" i="1"/>
  <c r="F1338" i="1"/>
  <c r="F1342" i="1"/>
  <c r="F1346" i="1"/>
  <c r="F1350" i="1"/>
  <c r="F1354" i="1"/>
  <c r="F1358" i="1"/>
  <c r="F1362" i="1"/>
  <c r="F1366" i="1"/>
  <c r="F1370" i="1"/>
  <c r="F1374" i="1"/>
  <c r="F1378" i="1"/>
  <c r="F1382" i="1"/>
  <c r="F1386" i="1"/>
  <c r="F1390" i="1"/>
  <c r="F1394" i="1"/>
  <c r="F1398" i="1"/>
  <c r="F1402" i="1"/>
  <c r="F1406" i="1"/>
  <c r="F1410" i="1"/>
  <c r="F1414" i="1"/>
  <c r="F1418" i="1"/>
  <c r="F1422" i="1"/>
  <c r="F1426" i="1"/>
  <c r="F1430" i="1"/>
  <c r="F1434" i="1"/>
  <c r="F1438" i="1"/>
  <c r="F1442" i="1"/>
  <c r="F1446" i="1"/>
  <c r="F1450" i="1"/>
  <c r="F1454" i="1"/>
  <c r="F1458" i="1"/>
  <c r="F1462" i="1"/>
  <c r="F1467" i="1"/>
  <c r="F1471" i="1"/>
  <c r="F1475" i="1"/>
  <c r="F1479" i="1"/>
  <c r="F1483" i="1"/>
  <c r="F1487" i="1"/>
  <c r="F1491" i="1"/>
  <c r="F1495" i="1"/>
  <c r="F1499" i="1"/>
  <c r="F1503" i="1"/>
  <c r="F1507" i="1"/>
  <c r="F1511" i="1"/>
  <c r="F1847" i="1"/>
  <c r="F1851" i="1"/>
  <c r="F1855" i="1"/>
  <c r="F1859" i="1"/>
  <c r="F1863" i="1"/>
  <c r="F1867" i="1"/>
  <c r="F1871" i="1"/>
  <c r="F1875" i="1"/>
  <c r="F1879" i="1"/>
  <c r="F1883" i="1"/>
  <c r="F1887" i="1"/>
  <c r="F2117" i="1"/>
  <c r="F2121" i="1"/>
  <c r="F2125" i="1"/>
  <c r="F2129" i="1"/>
  <c r="F2133" i="1"/>
  <c r="F2137" i="1"/>
  <c r="F2141" i="1"/>
  <c r="F2145" i="1"/>
  <c r="F2149" i="1"/>
  <c r="F2153" i="1"/>
  <c r="F2157" i="1"/>
  <c r="F2161" i="1"/>
  <c r="F2165" i="1"/>
  <c r="F2169" i="1"/>
  <c r="F2173" i="1"/>
  <c r="F2177" i="1"/>
  <c r="F2181" i="1"/>
  <c r="F2185" i="1"/>
  <c r="F2189" i="1"/>
  <c r="F2193" i="1"/>
  <c r="F2197" i="1"/>
  <c r="F2201" i="1"/>
  <c r="F2205" i="1"/>
  <c r="F2209" i="1"/>
  <c r="F2213" i="1"/>
  <c r="F2217" i="1"/>
  <c r="F2221" i="1"/>
  <c r="F2225" i="1"/>
  <c r="F2229" i="1"/>
  <c r="F2233" i="1"/>
  <c r="F2237" i="1"/>
  <c r="F2241" i="1"/>
  <c r="F2245" i="1"/>
  <c r="F2249" i="1"/>
  <c r="F2253" i="1"/>
  <c r="F2257" i="1"/>
  <c r="F2261" i="1"/>
  <c r="F2265" i="1"/>
  <c r="F2269" i="1"/>
  <c r="F2273" i="1"/>
  <c r="F2277" i="1"/>
  <c r="F2281" i="1"/>
  <c r="F2285" i="1"/>
  <c r="F2289" i="1"/>
  <c r="F2293" i="1"/>
  <c r="F2297" i="1"/>
  <c r="F2301" i="1"/>
  <c r="F2305" i="1"/>
  <c r="F2309" i="1"/>
  <c r="F2313" i="1"/>
  <c r="F2317" i="1"/>
  <c r="F2321" i="1"/>
  <c r="F2325" i="1"/>
  <c r="F2329" i="1"/>
  <c r="F2333" i="1"/>
  <c r="F2337" i="1"/>
  <c r="F2341" i="1"/>
  <c r="F2345" i="1"/>
  <c r="F2349" i="1"/>
  <c r="F2353" i="1"/>
  <c r="F2357" i="1"/>
  <c r="F2361" i="1"/>
  <c r="F2365" i="1"/>
  <c r="F2369" i="1"/>
  <c r="F2373" i="1"/>
  <c r="F2377" i="1"/>
  <c r="F2381" i="1"/>
  <c r="F2385" i="1"/>
  <c r="F2389" i="1"/>
  <c r="F2393" i="1"/>
  <c r="F2397" i="1"/>
  <c r="F2401" i="1"/>
  <c r="F2405" i="1"/>
  <c r="F2409" i="1"/>
  <c r="F2413" i="1"/>
  <c r="F2417" i="1"/>
  <c r="F2421" i="1"/>
  <c r="F2425" i="1"/>
  <c r="F2429" i="1"/>
  <c r="F2433" i="1"/>
  <c r="F2437" i="1"/>
  <c r="F2441" i="1"/>
  <c r="F2445" i="1"/>
  <c r="F2449" i="1"/>
  <c r="F2453" i="1"/>
  <c r="F2046" i="1"/>
  <c r="F2050" i="1"/>
  <c r="F1891" i="1"/>
  <c r="F1895" i="1"/>
  <c r="F1899" i="1"/>
  <c r="F1903" i="1"/>
  <c r="F1907" i="1"/>
  <c r="F1911" i="1"/>
  <c r="F1915" i="1"/>
  <c r="F1919" i="1"/>
  <c r="F1923" i="1"/>
  <c r="F1927" i="1"/>
  <c r="F1931" i="1"/>
  <c r="F1935" i="1"/>
  <c r="F1939" i="1"/>
  <c r="F1943" i="1"/>
  <c r="F1947" i="1"/>
  <c r="F1951" i="1"/>
  <c r="F1955" i="1"/>
  <c r="F1959" i="1"/>
  <c r="F1963" i="1"/>
  <c r="F1967" i="1"/>
  <c r="F1971" i="1"/>
  <c r="F1975" i="1"/>
  <c r="F1979" i="1"/>
  <c r="F1983" i="1"/>
  <c r="F1987" i="1"/>
  <c r="F1991" i="1"/>
  <c r="F1995" i="1"/>
  <c r="F1999" i="1"/>
  <c r="F2003" i="1"/>
  <c r="F2007" i="1"/>
  <c r="F2011" i="1"/>
  <c r="F2015" i="1"/>
  <c r="F2019" i="1"/>
  <c r="F2023" i="1"/>
  <c r="F2027" i="1"/>
  <c r="F2031" i="1"/>
  <c r="F2035" i="1"/>
  <c r="F2039" i="1"/>
  <c r="F2043" i="1"/>
  <c r="F2047" i="1"/>
  <c r="F2051" i="1"/>
  <c r="F2055" i="1"/>
  <c r="F2059" i="1"/>
  <c r="F2063" i="1"/>
  <c r="F2067" i="1"/>
  <c r="F2071" i="1"/>
  <c r="F2075" i="1"/>
  <c r="F2079" i="1"/>
  <c r="F2083" i="1"/>
  <c r="F2087" i="1"/>
  <c r="F2091" i="1"/>
  <c r="F2095" i="1"/>
  <c r="F2099" i="1"/>
  <c r="F2103" i="1"/>
  <c r="F2107" i="1"/>
  <c r="F2111" i="1"/>
  <c r="F2115" i="1"/>
  <c r="F2119" i="1"/>
  <c r="F2123" i="1"/>
  <c r="F2127" i="1"/>
  <c r="F2131" i="1"/>
  <c r="F2135" i="1"/>
  <c r="F2139" i="1"/>
  <c r="F2143" i="1"/>
  <c r="F2147" i="1"/>
  <c r="F2151" i="1"/>
  <c r="F2155" i="1"/>
  <c r="F2159" i="1"/>
  <c r="F2163" i="1"/>
  <c r="F2167" i="1"/>
  <c r="F2171" i="1"/>
  <c r="F2175" i="1"/>
  <c r="F2179" i="1"/>
  <c r="F2183" i="1"/>
  <c r="F2187" i="1"/>
  <c r="F2191" i="1"/>
  <c r="F2195" i="1"/>
  <c r="F2199" i="1"/>
  <c r="F2203" i="1"/>
  <c r="F2207" i="1"/>
  <c r="F2211" i="1"/>
  <c r="F2215" i="1"/>
  <c r="F2219" i="1"/>
  <c r="F2223" i="1"/>
  <c r="F2227" i="1"/>
  <c r="F2231" i="1"/>
  <c r="F2235" i="1"/>
  <c r="F2239" i="1"/>
  <c r="F2243" i="1"/>
  <c r="F2247" i="1"/>
  <c r="F2251" i="1"/>
  <c r="F2255" i="1"/>
  <c r="F2259" i="1"/>
  <c r="F2263" i="1"/>
  <c r="F2267" i="1"/>
  <c r="F2271" i="1"/>
  <c r="F2275" i="1"/>
  <c r="F2279" i="1"/>
  <c r="F2283" i="1"/>
  <c r="F2287" i="1"/>
  <c r="F2291" i="1"/>
  <c r="F2295" i="1"/>
  <c r="F2299" i="1"/>
  <c r="F2303" i="1"/>
  <c r="F2307" i="1"/>
  <c r="F2311" i="1"/>
  <c r="F2315" i="1"/>
  <c r="F2319" i="1"/>
  <c r="F2323" i="1"/>
  <c r="F2327" i="1"/>
  <c r="F2331" i="1"/>
  <c r="F2335" i="1"/>
  <c r="F2339" i="1"/>
  <c r="F2343" i="1"/>
  <c r="F2347" i="1"/>
  <c r="F2351" i="1"/>
  <c r="F2355" i="1"/>
  <c r="F2359" i="1"/>
  <c r="F2363" i="1"/>
  <c r="F2367" i="1"/>
  <c r="F2371" i="1"/>
  <c r="F2375" i="1"/>
  <c r="F2379" i="1"/>
  <c r="F2383" i="1"/>
  <c r="F2387" i="1"/>
  <c r="F2391" i="1"/>
  <c r="F2395" i="1"/>
  <c r="F2399" i="1"/>
  <c r="F2403" i="1"/>
  <c r="F2407" i="1"/>
  <c r="F2411" i="1"/>
  <c r="F2415" i="1"/>
  <c r="F2419" i="1"/>
  <c r="F2423" i="1"/>
  <c r="F2427" i="1"/>
  <c r="F2431" i="1"/>
  <c r="F2435" i="1"/>
  <c r="F2439" i="1"/>
  <c r="F1464" i="1"/>
  <c r="F2054" i="1"/>
  <c r="F2058" i="1"/>
  <c r="F2062" i="1"/>
  <c r="F2066" i="1"/>
  <c r="F2070" i="1"/>
  <c r="F2074" i="1"/>
  <c r="F2078" i="1"/>
  <c r="F2082" i="1"/>
  <c r="F2086" i="1"/>
  <c r="F2090" i="1"/>
  <c r="F2094" i="1"/>
  <c r="F2098" i="1"/>
  <c r="F2102" i="1"/>
  <c r="F2106" i="1"/>
  <c r="F2110" i="1"/>
  <c r="F2114" i="1"/>
  <c r="F2118" i="1"/>
  <c r="F2122" i="1"/>
  <c r="F2126" i="1"/>
  <c r="F2130" i="1"/>
  <c r="F2134" i="1"/>
  <c r="F2138" i="1"/>
  <c r="F2142" i="1"/>
  <c r="F2146" i="1"/>
  <c r="F2150" i="1"/>
  <c r="F2154" i="1"/>
  <c r="F2158" i="1"/>
  <c r="F2162" i="1"/>
  <c r="F2166" i="1"/>
  <c r="F2170" i="1"/>
  <c r="F2174" i="1"/>
  <c r="F2178" i="1"/>
  <c r="F2182" i="1"/>
  <c r="F2186" i="1"/>
  <c r="F2190" i="1"/>
  <c r="F2194" i="1"/>
  <c r="F2198" i="1"/>
  <c r="F2202" i="1"/>
  <c r="F2206" i="1"/>
  <c r="F2210" i="1"/>
  <c r="F2214" i="1"/>
  <c r="F2218" i="1"/>
  <c r="F2222" i="1"/>
  <c r="F2226" i="1"/>
  <c r="F2230" i="1"/>
  <c r="F2234" i="1"/>
  <c r="F2238" i="1"/>
  <c r="F2242" i="1"/>
  <c r="F2246" i="1"/>
  <c r="F2250" i="1"/>
  <c r="F2254" i="1"/>
  <c r="F2258" i="1"/>
  <c r="F2262" i="1"/>
  <c r="F2266" i="1"/>
  <c r="F2270" i="1"/>
  <c r="F2274" i="1"/>
  <c r="F2278" i="1"/>
  <c r="F2282" i="1"/>
  <c r="F2286" i="1"/>
  <c r="F2290" i="1"/>
  <c r="F2294" i="1"/>
  <c r="F2298" i="1"/>
  <c r="F2302" i="1"/>
  <c r="F2306" i="1"/>
  <c r="F2310" i="1"/>
  <c r="F2314" i="1"/>
  <c r="F2318" i="1"/>
  <c r="F2322" i="1"/>
  <c r="F2326" i="1"/>
  <c r="F2330" i="1"/>
  <c r="F2334" i="1"/>
  <c r="F2338" i="1"/>
  <c r="F2342" i="1"/>
  <c r="F2346" i="1"/>
  <c r="F2350" i="1"/>
  <c r="F2354" i="1"/>
  <c r="F2358" i="1"/>
  <c r="F2362" i="1"/>
  <c r="F2366" i="1"/>
  <c r="F2443" i="1"/>
  <c r="F2447" i="1"/>
  <c r="F2451" i="1"/>
  <c r="F2455" i="1"/>
  <c r="F2459" i="1"/>
  <c r="F2463" i="1"/>
  <c r="F2467" i="1"/>
  <c r="F1468" i="1"/>
  <c r="F1472" i="1"/>
  <c r="F1476" i="1"/>
  <c r="F1480" i="1"/>
  <c r="F1484" i="1"/>
  <c r="F1488" i="1"/>
  <c r="F1492" i="1"/>
  <c r="F1496" i="1"/>
  <c r="F1500" i="1"/>
  <c r="F1504" i="1"/>
  <c r="F1508" i="1"/>
  <c r="F1512" i="1"/>
  <c r="F1516" i="1"/>
  <c r="F1520" i="1"/>
  <c r="F1524" i="1"/>
  <c r="F1528" i="1"/>
  <c r="F1532" i="1"/>
  <c r="F1536" i="1"/>
  <c r="F1540" i="1"/>
  <c r="F1544" i="1"/>
  <c r="F1548" i="1"/>
  <c r="F1552" i="1"/>
  <c r="F1556" i="1"/>
  <c r="F1560" i="1"/>
  <c r="F1564" i="1"/>
  <c r="F1568" i="1"/>
  <c r="F1572" i="1"/>
  <c r="F1576" i="1"/>
  <c r="F1580" i="1"/>
  <c r="F1584" i="1"/>
  <c r="F1588" i="1"/>
  <c r="F1592" i="1"/>
  <c r="F1596" i="1"/>
  <c r="F1600" i="1"/>
  <c r="F1604" i="1"/>
  <c r="F1608" i="1"/>
  <c r="F1612" i="1"/>
  <c r="F1616" i="1"/>
  <c r="F1620" i="1"/>
  <c r="F1624" i="1"/>
  <c r="F1628" i="1"/>
  <c r="F1632" i="1"/>
  <c r="F1636" i="1"/>
  <c r="F1640" i="1"/>
  <c r="F1644" i="1"/>
  <c r="F1648" i="1"/>
  <c r="F1652" i="1"/>
  <c r="F1656" i="1"/>
  <c r="F1660" i="1"/>
  <c r="F1664" i="1"/>
  <c r="F1668" i="1"/>
  <c r="F1672" i="1"/>
  <c r="F1676" i="1"/>
  <c r="F1680" i="1"/>
  <c r="F1684" i="1"/>
  <c r="F1688" i="1"/>
  <c r="F1692" i="1"/>
  <c r="F1696" i="1"/>
  <c r="F1700" i="1"/>
  <c r="F1704" i="1"/>
  <c r="F1708" i="1"/>
  <c r="F1712" i="1"/>
  <c r="F1716" i="1"/>
  <c r="F1720" i="1"/>
  <c r="F1724" i="1"/>
  <c r="F1728" i="1"/>
  <c r="F1732" i="1"/>
  <c r="F1736" i="1"/>
  <c r="F1740" i="1"/>
  <c r="F1744" i="1"/>
  <c r="F1748" i="1"/>
  <c r="F1752" i="1"/>
  <c r="F1756" i="1"/>
  <c r="F1760" i="1"/>
  <c r="F1764" i="1"/>
  <c r="F1768" i="1"/>
  <c r="F1772" i="1"/>
  <c r="F1776" i="1"/>
  <c r="F1780" i="1"/>
  <c r="F1784" i="1"/>
  <c r="F1788" i="1"/>
  <c r="F1792" i="1"/>
  <c r="F1796" i="1"/>
  <c r="F2471" i="1"/>
  <c r="F2475" i="1"/>
  <c r="F2479" i="1"/>
  <c r="F2483" i="1"/>
  <c r="F2487" i="1"/>
  <c r="F2491" i="1"/>
  <c r="F2495" i="1"/>
  <c r="F2499" i="1"/>
  <c r="F2503" i="1"/>
  <c r="F2507" i="1"/>
  <c r="F2511" i="1"/>
  <c r="F2515" i="1"/>
  <c r="F2519" i="1"/>
  <c r="F2523" i="1"/>
  <c r="F2527" i="1"/>
  <c r="F2531" i="1"/>
  <c r="F2535" i="1"/>
  <c r="F2539" i="1"/>
  <c r="F2543" i="1"/>
  <c r="F2547" i="1"/>
  <c r="F2551" i="1"/>
  <c r="F2555" i="1"/>
  <c r="F2559" i="1"/>
  <c r="F2563" i="1"/>
  <c r="F2567" i="1"/>
  <c r="F2571" i="1"/>
  <c r="F2575" i="1"/>
  <c r="F2579" i="1"/>
  <c r="F2583" i="1"/>
  <c r="F2587" i="1"/>
  <c r="F2591" i="1"/>
  <c r="F2595" i="1"/>
  <c r="F2599" i="1"/>
  <c r="F2603" i="1"/>
  <c r="F2607" i="1"/>
  <c r="F2611" i="1"/>
  <c r="F2615" i="1"/>
  <c r="F2619" i="1"/>
  <c r="F2623" i="1"/>
  <c r="F2627" i="1"/>
  <c r="F2631" i="1"/>
  <c r="F2635" i="1"/>
  <c r="F2639" i="1"/>
  <c r="F2643" i="1"/>
  <c r="F2647" i="1"/>
  <c r="F2651" i="1"/>
  <c r="F2655" i="1"/>
  <c r="F2659" i="1"/>
  <c r="F2663" i="1"/>
  <c r="F2667" i="1"/>
  <c r="F2671" i="1"/>
  <c r="F2675" i="1"/>
  <c r="F2679" i="1"/>
  <c r="F2683" i="1"/>
  <c r="F2687" i="1"/>
  <c r="F2691" i="1"/>
  <c r="F2695" i="1"/>
  <c r="F2699" i="1"/>
  <c r="F2703" i="1"/>
  <c r="F2707" i="1"/>
  <c r="F2711" i="1"/>
  <c r="F2715" i="1"/>
  <c r="F2719" i="1"/>
  <c r="F2723" i="1"/>
  <c r="F2727" i="1"/>
  <c r="F2731" i="1"/>
  <c r="F2735" i="1"/>
  <c r="F2739" i="1"/>
  <c r="F2743" i="1"/>
  <c r="F2747" i="1"/>
  <c r="F2751" i="1"/>
  <c r="F2755" i="1"/>
  <c r="F2759" i="1"/>
  <c r="F2763" i="1"/>
  <c r="F2767" i="1"/>
  <c r="F2771" i="1"/>
  <c r="F2775" i="1"/>
  <c r="F2779" i="1"/>
  <c r="F2783" i="1"/>
  <c r="F2787" i="1"/>
  <c r="F2791" i="1"/>
  <c r="F2795" i="1"/>
  <c r="F2799" i="1"/>
  <c r="F2803" i="1"/>
  <c r="F2807" i="1"/>
  <c r="F1800" i="1"/>
  <c r="F1804" i="1"/>
  <c r="F1808" i="1"/>
  <c r="F1812" i="1"/>
  <c r="F1816" i="1"/>
  <c r="F1820" i="1"/>
  <c r="F1824" i="1"/>
  <c r="F1828" i="1"/>
  <c r="F1832" i="1"/>
  <c r="F1836" i="1"/>
  <c r="F1840" i="1"/>
  <c r="F1844" i="1"/>
  <c r="F1848" i="1"/>
  <c r="F1852" i="1"/>
  <c r="F1856" i="1"/>
  <c r="F1860" i="1"/>
  <c r="F1864" i="1"/>
  <c r="F1868" i="1"/>
  <c r="F1872" i="1"/>
  <c r="F1876" i="1"/>
  <c r="F1880" i="1"/>
  <c r="F1884" i="1"/>
  <c r="F1888" i="1"/>
  <c r="F1892" i="1"/>
  <c r="F1896" i="1"/>
  <c r="F1900" i="1"/>
  <c r="F1904" i="1"/>
  <c r="F1908" i="1"/>
  <c r="F1912" i="1"/>
  <c r="F1916" i="1"/>
  <c r="F1920" i="1"/>
  <c r="F1924" i="1"/>
  <c r="F1928" i="1"/>
  <c r="F1932" i="1"/>
  <c r="F1936" i="1"/>
  <c r="F1940" i="1"/>
  <c r="F1944" i="1"/>
  <c r="F1948" i="1"/>
  <c r="F1952" i="1"/>
  <c r="F1956" i="1"/>
  <c r="F1960" i="1"/>
  <c r="F1964" i="1"/>
  <c r="F1968" i="1"/>
  <c r="F1972" i="1"/>
  <c r="F1976" i="1"/>
  <c r="F1980" i="1"/>
  <c r="F1984" i="1"/>
  <c r="F1988" i="1"/>
  <c r="F1992" i="1"/>
  <c r="F1996" i="1"/>
  <c r="F2000" i="1"/>
  <c r="F2004" i="1"/>
  <c r="F2008" i="1"/>
  <c r="F2012" i="1"/>
  <c r="F2016" i="1"/>
  <c r="F2020" i="1"/>
  <c r="F2024" i="1"/>
  <c r="F2028" i="1"/>
  <c r="F2032" i="1"/>
  <c r="F2457" i="1"/>
  <c r="F2461" i="1"/>
  <c r="F2465" i="1"/>
  <c r="F2469" i="1"/>
  <c r="F2473" i="1"/>
  <c r="F2477" i="1"/>
  <c r="F2481" i="1"/>
  <c r="F2485" i="1"/>
  <c r="F2489" i="1"/>
  <c r="F2493" i="1"/>
  <c r="F2497" i="1"/>
  <c r="F2501" i="1"/>
  <c r="F2505" i="1"/>
  <c r="F2509" i="1"/>
  <c r="F2513" i="1"/>
  <c r="F2517" i="1"/>
  <c r="F2521" i="1"/>
  <c r="F2525" i="1"/>
  <c r="F2529" i="1"/>
  <c r="F2533" i="1"/>
  <c r="F2537" i="1"/>
  <c r="F2541" i="1"/>
  <c r="F2545" i="1"/>
  <c r="F2549" i="1"/>
  <c r="F2553" i="1"/>
  <c r="F2557" i="1"/>
  <c r="F2561" i="1"/>
  <c r="F2565" i="1"/>
  <c r="F2569" i="1"/>
  <c r="F2573" i="1"/>
  <c r="F2577" i="1"/>
  <c r="F2581" i="1"/>
  <c r="F2585" i="1"/>
  <c r="F2589" i="1"/>
  <c r="F2593" i="1"/>
  <c r="F2597" i="1"/>
  <c r="F2601" i="1"/>
  <c r="F2605" i="1"/>
  <c r="F2609" i="1"/>
  <c r="F2613" i="1"/>
  <c r="F2617" i="1"/>
  <c r="F2621" i="1"/>
  <c r="F2625" i="1"/>
  <c r="F2370" i="1"/>
  <c r="F2374" i="1"/>
  <c r="F2378" i="1"/>
  <c r="F2382" i="1"/>
  <c r="F2386" i="1"/>
  <c r="F2390" i="1"/>
  <c r="F2394" i="1"/>
  <c r="F2398" i="1"/>
  <c r="F2402" i="1"/>
  <c r="F2406" i="1"/>
  <c r="F2410" i="1"/>
  <c r="F2414" i="1"/>
  <c r="F2418" i="1"/>
  <c r="F2422" i="1"/>
  <c r="F2426" i="1"/>
  <c r="F2430" i="1"/>
  <c r="F2434" i="1"/>
  <c r="F2438" i="1"/>
  <c r="F2442" i="1"/>
  <c r="F2446" i="1"/>
  <c r="F2450" i="1"/>
  <c r="F2454" i="1"/>
  <c r="F2458" i="1"/>
  <c r="F2462" i="1"/>
  <c r="F2466" i="1"/>
  <c r="F2470" i="1"/>
  <c r="F2474" i="1"/>
  <c r="F2478" i="1"/>
  <c r="F2482" i="1"/>
  <c r="F2486" i="1"/>
  <c r="F2490" i="1"/>
  <c r="F2494" i="1"/>
  <c r="F2498" i="1"/>
  <c r="F2502" i="1"/>
  <c r="F2506" i="1"/>
  <c r="F2510" i="1"/>
  <c r="F2514" i="1"/>
  <c r="F2518" i="1"/>
  <c r="F2522" i="1"/>
  <c r="F2526" i="1"/>
  <c r="F2811" i="1"/>
  <c r="F2815" i="1"/>
  <c r="F2819" i="1"/>
  <c r="F2823" i="1"/>
  <c r="F6511" i="1"/>
  <c r="F6520" i="1"/>
  <c r="F6509" i="1"/>
  <c r="F6513" i="1"/>
  <c r="F6516" i="1"/>
  <c r="F2036" i="1"/>
  <c r="F2040" i="1"/>
  <c r="F2044" i="1"/>
  <c r="F2048" i="1"/>
  <c r="F2052" i="1"/>
  <c r="F2056" i="1"/>
  <c r="F2060" i="1"/>
  <c r="F2064" i="1"/>
  <c r="F2068" i="1"/>
  <c r="F2072" i="1"/>
  <c r="F2076" i="1"/>
  <c r="F2080" i="1"/>
  <c r="F2084" i="1"/>
  <c r="F2088" i="1"/>
  <c r="F2092" i="1"/>
  <c r="F2096" i="1"/>
  <c r="F2100" i="1"/>
  <c r="F2104" i="1"/>
  <c r="F2108" i="1"/>
  <c r="F2112" i="1"/>
  <c r="F2116" i="1"/>
  <c r="F2120" i="1"/>
  <c r="F2124" i="1"/>
  <c r="F2128" i="1"/>
  <c r="F2132" i="1"/>
  <c r="F2136" i="1"/>
  <c r="F2140" i="1"/>
  <c r="F2144" i="1"/>
  <c r="F2148" i="1"/>
  <c r="F2152" i="1"/>
  <c r="F2156" i="1"/>
  <c r="F2160" i="1"/>
  <c r="F2164" i="1"/>
  <c r="F2168" i="1"/>
  <c r="F2172" i="1"/>
  <c r="F2176" i="1"/>
  <c r="F2180" i="1"/>
  <c r="F2184" i="1"/>
  <c r="F2188" i="1"/>
  <c r="F2192" i="1"/>
  <c r="F2196" i="1"/>
  <c r="F2200" i="1"/>
  <c r="F2204" i="1"/>
  <c r="F2208" i="1"/>
  <c r="F2212" i="1"/>
  <c r="F2216" i="1"/>
  <c r="F2220" i="1"/>
  <c r="F2224" i="1"/>
  <c r="F2228" i="1"/>
  <c r="F2232" i="1"/>
  <c r="F2236" i="1"/>
  <c r="F2240" i="1"/>
  <c r="F2244" i="1"/>
  <c r="F2248" i="1"/>
  <c r="F2252" i="1"/>
  <c r="F2256" i="1"/>
  <c r="F2260" i="1"/>
  <c r="F2264" i="1"/>
  <c r="F2268" i="1"/>
  <c r="F2272" i="1"/>
  <c r="F2276" i="1"/>
  <c r="F2280" i="1"/>
  <c r="F2284" i="1"/>
  <c r="F2288" i="1"/>
  <c r="F2292" i="1"/>
  <c r="F2296" i="1"/>
  <c r="F2300" i="1"/>
  <c r="F2304" i="1"/>
  <c r="F2308" i="1"/>
  <c r="F2312" i="1"/>
  <c r="F2316" i="1"/>
  <c r="F2320" i="1"/>
  <c r="F2324" i="1"/>
  <c r="F2328" i="1"/>
  <c r="F2332" i="1"/>
  <c r="F2336" i="1"/>
  <c r="F2340" i="1"/>
  <c r="F2344" i="1"/>
  <c r="F2348" i="1"/>
  <c r="F2352" i="1"/>
  <c r="F2356" i="1"/>
  <c r="F2360" i="1"/>
  <c r="F2364" i="1"/>
  <c r="F2629" i="1"/>
  <c r="F2633" i="1"/>
  <c r="F2637" i="1"/>
  <c r="F2641" i="1"/>
  <c r="F2861" i="1"/>
  <c r="F6505" i="1"/>
  <c r="F6508" i="1"/>
  <c r="F6512" i="1"/>
  <c r="F6515" i="1"/>
  <c r="F6519" i="1"/>
  <c r="F6514" i="1"/>
  <c r="F6518" i="1"/>
  <c r="F6522" i="1"/>
  <c r="F6506" i="1"/>
  <c r="F6517" i="1"/>
  <c r="F6507" i="1"/>
  <c r="F6503" i="1"/>
  <c r="F6510" i="1"/>
  <c r="F6521" i="1"/>
  <c r="F6504" i="1"/>
  <c r="F6501" i="1"/>
  <c r="F6494" i="1"/>
  <c r="F6490" i="1"/>
  <c r="F6489" i="1"/>
  <c r="F352" i="1"/>
  <c r="F356" i="1"/>
  <c r="F360" i="1"/>
  <c r="F364" i="1"/>
  <c r="F368" i="1"/>
  <c r="F372" i="1"/>
  <c r="F376" i="1"/>
  <c r="F380" i="1"/>
  <c r="F384" i="1"/>
  <c r="F388" i="1"/>
  <c r="F392" i="1"/>
  <c r="F396" i="1"/>
  <c r="F400" i="1"/>
  <c r="F404" i="1"/>
  <c r="F408" i="1"/>
  <c r="F412" i="1"/>
  <c r="F416" i="1"/>
  <c r="F420" i="1"/>
  <c r="F424" i="1"/>
  <c r="F428" i="1"/>
  <c r="F432" i="1"/>
  <c r="F436" i="1"/>
  <c r="F440" i="1"/>
  <c r="F444" i="1"/>
  <c r="F448" i="1"/>
  <c r="F452" i="1"/>
  <c r="F456" i="1"/>
  <c r="F460" i="1"/>
  <c r="F464" i="1"/>
  <c r="F468" i="1"/>
  <c r="F472" i="1"/>
  <c r="F476" i="1"/>
  <c r="F480" i="1"/>
  <c r="F484" i="1"/>
  <c r="F488" i="1"/>
  <c r="F492" i="1"/>
  <c r="F496" i="1"/>
  <c r="F500" i="1"/>
  <c r="F504" i="1"/>
  <c r="F508" i="1"/>
  <c r="F512" i="1"/>
  <c r="F516" i="1"/>
  <c r="F520" i="1"/>
  <c r="F524" i="1"/>
  <c r="F528" i="1"/>
  <c r="F532" i="1"/>
  <c r="F536" i="1"/>
  <c r="F540" i="1"/>
  <c r="F544" i="1"/>
  <c r="F548" i="1"/>
  <c r="F552" i="1"/>
  <c r="F556" i="1"/>
  <c r="F560" i="1"/>
  <c r="F564" i="1"/>
  <c r="F568" i="1"/>
  <c r="F572" i="1"/>
  <c r="F576" i="1"/>
  <c r="F580" i="1"/>
  <c r="F584" i="1"/>
  <c r="F588" i="1"/>
  <c r="F592" i="1"/>
  <c r="F596" i="1"/>
  <c r="F600" i="1"/>
  <c r="F604" i="1"/>
  <c r="F608" i="1"/>
  <c r="F612" i="1"/>
  <c r="F616" i="1"/>
  <c r="F620" i="1"/>
  <c r="F624" i="1"/>
  <c r="F628" i="1"/>
  <c r="F632" i="1"/>
  <c r="F636" i="1"/>
  <c r="F640" i="1"/>
  <c r="F644" i="1"/>
  <c r="F648" i="1"/>
  <c r="F652" i="1"/>
  <c r="F656" i="1"/>
  <c r="F2865" i="1"/>
  <c r="F2869" i="1"/>
  <c r="F2873" i="1"/>
  <c r="F2877" i="1"/>
  <c r="F2881" i="1"/>
  <c r="F2673" i="1"/>
  <c r="F2677" i="1"/>
  <c r="F2681" i="1"/>
  <c r="F2685" i="1"/>
  <c r="F2689" i="1"/>
  <c r="F2693" i="1"/>
  <c r="F2697" i="1"/>
  <c r="F2701" i="1"/>
  <c r="F2705" i="1"/>
  <c r="F2709" i="1"/>
  <c r="F2713" i="1"/>
  <c r="F2717" i="1"/>
  <c r="F2721" i="1"/>
  <c r="F2725" i="1"/>
  <c r="F2729" i="1"/>
  <c r="F2733" i="1"/>
  <c r="F2737" i="1"/>
  <c r="F2741" i="1"/>
  <c r="F2745" i="1"/>
  <c r="F2749" i="1"/>
  <c r="F2753" i="1"/>
  <c r="F2757" i="1"/>
  <c r="F2761" i="1"/>
  <c r="F2765" i="1"/>
  <c r="F2769" i="1"/>
  <c r="F2773" i="1"/>
  <c r="F2777" i="1"/>
  <c r="F2781" i="1"/>
  <c r="F2785" i="1"/>
  <c r="F2789" i="1"/>
  <c r="F2793" i="1"/>
  <c r="F2797" i="1"/>
  <c r="F2801" i="1"/>
  <c r="F2805" i="1"/>
  <c r="F2809" i="1"/>
  <c r="F2813" i="1"/>
  <c r="F2817" i="1"/>
  <c r="F2821" i="1"/>
  <c r="F2825" i="1"/>
  <c r="F2829" i="1"/>
  <c r="F2833" i="1"/>
  <c r="F2837" i="1"/>
  <c r="F2841" i="1"/>
  <c r="F2845" i="1"/>
  <c r="F2849" i="1"/>
  <c r="F2853" i="1"/>
  <c r="F2857" i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6" i="1"/>
  <c r="F70" i="1"/>
  <c r="F82" i="1"/>
  <c r="F86" i="1"/>
  <c r="F90" i="1"/>
  <c r="F94" i="1"/>
  <c r="F98" i="1"/>
  <c r="F106" i="1"/>
  <c r="F110" i="1"/>
  <c r="F114" i="1"/>
  <c r="F2722" i="1"/>
  <c r="F2726" i="1"/>
  <c r="F2730" i="1"/>
  <c r="F2734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45" i="1"/>
  <c r="F2649" i="1"/>
  <c r="F2653" i="1"/>
  <c r="F2657" i="1"/>
  <c r="F2661" i="1"/>
  <c r="F2665" i="1"/>
  <c r="F2669" i="1"/>
  <c r="F118" i="1"/>
  <c r="F122" i="1"/>
  <c r="F126" i="1"/>
  <c r="F130" i="1"/>
  <c r="F134" i="1"/>
  <c r="F138" i="1"/>
  <c r="F142" i="1"/>
  <c r="F146" i="1"/>
  <c r="F150" i="1"/>
  <c r="F154" i="1"/>
  <c r="F158" i="1"/>
  <c r="F162" i="1"/>
  <c r="F2530" i="1"/>
  <c r="F2534" i="1"/>
  <c r="F2538" i="1"/>
  <c r="F2542" i="1"/>
  <c r="F2546" i="1"/>
  <c r="F2550" i="1"/>
  <c r="F2554" i="1"/>
  <c r="F2558" i="1"/>
  <c r="F2562" i="1"/>
  <c r="F2566" i="1"/>
  <c r="F2570" i="1"/>
  <c r="F2574" i="1"/>
  <c r="F2578" i="1"/>
  <c r="F2582" i="1"/>
  <c r="F2586" i="1"/>
  <c r="F2590" i="1"/>
  <c r="F2594" i="1"/>
  <c r="F2598" i="1"/>
  <c r="F2602" i="1"/>
  <c r="F2606" i="1"/>
  <c r="F2610" i="1"/>
  <c r="F2614" i="1"/>
  <c r="F2618" i="1"/>
  <c r="F2622" i="1"/>
  <c r="F2626" i="1"/>
  <c r="F2630" i="1"/>
  <c r="F2634" i="1"/>
  <c r="F2638" i="1"/>
  <c r="F2642" i="1"/>
  <c r="F2646" i="1"/>
  <c r="F2650" i="1"/>
  <c r="F2654" i="1"/>
  <c r="F2658" i="1"/>
  <c r="F2662" i="1"/>
  <c r="F2666" i="1"/>
  <c r="F2670" i="1"/>
  <c r="F2674" i="1"/>
  <c r="F2678" i="1"/>
  <c r="F2682" i="1"/>
  <c r="F2686" i="1"/>
  <c r="F2690" i="1"/>
  <c r="F2694" i="1"/>
  <c r="F2698" i="1"/>
  <c r="F2702" i="1"/>
  <c r="F2706" i="1"/>
  <c r="F2710" i="1"/>
  <c r="F2714" i="1"/>
  <c r="F2718" i="1"/>
  <c r="F2827" i="1"/>
  <c r="F2831" i="1"/>
  <c r="F2835" i="1"/>
  <c r="F2839" i="1"/>
  <c r="F6502" i="1"/>
  <c r="F6500" i="1"/>
  <c r="F6498" i="1"/>
  <c r="F6499" i="1"/>
  <c r="F6488" i="1"/>
  <c r="F6492" i="1"/>
  <c r="F6496" i="1"/>
  <c r="F6487" i="1"/>
  <c r="F6491" i="1"/>
  <c r="F6495" i="1"/>
  <c r="F6493" i="1"/>
  <c r="F6497" i="1"/>
  <c r="F2738" i="1"/>
  <c r="F2742" i="1"/>
  <c r="F2746" i="1"/>
  <c r="F2750" i="1"/>
  <c r="F2754" i="1"/>
  <c r="F2758" i="1"/>
  <c r="F2762" i="1"/>
  <c r="F2766" i="1"/>
  <c r="F2770" i="1"/>
  <c r="F2774" i="1"/>
  <c r="F2843" i="1"/>
  <c r="F2847" i="1"/>
  <c r="F2851" i="1"/>
  <c r="F2855" i="1"/>
  <c r="F2859" i="1"/>
  <c r="F2863" i="1"/>
  <c r="F2867" i="1"/>
  <c r="F2871" i="1"/>
  <c r="F2875" i="1"/>
  <c r="F2879" i="1"/>
  <c r="F2883" i="1"/>
  <c r="F2887" i="1"/>
  <c r="F2891" i="1"/>
  <c r="F6483" i="1"/>
  <c r="F6485" i="1"/>
  <c r="F6486" i="1"/>
  <c r="F6484" i="1"/>
  <c r="F2778" i="1"/>
  <c r="F2782" i="1"/>
  <c r="F2786" i="1"/>
  <c r="F2790" i="1"/>
  <c r="F2794" i="1"/>
  <c r="F2798" i="1"/>
  <c r="F2802" i="1"/>
  <c r="F2806" i="1"/>
  <c r="F2810" i="1"/>
  <c r="F2814" i="1"/>
  <c r="F2818" i="1"/>
  <c r="F2822" i="1"/>
  <c r="F2826" i="1"/>
  <c r="F2830" i="1"/>
  <c r="F2834" i="1"/>
  <c r="F2838" i="1"/>
  <c r="F2842" i="1"/>
  <c r="F2846" i="1"/>
  <c r="F2850" i="1"/>
  <c r="F2854" i="1"/>
  <c r="F2858" i="1"/>
  <c r="F2862" i="1"/>
  <c r="F2866" i="1"/>
  <c r="F2870" i="1"/>
  <c r="F2874" i="1"/>
  <c r="F2878" i="1"/>
  <c r="F2882" i="1"/>
  <c r="F2886" i="1"/>
  <c r="F2890" i="1"/>
  <c r="F2894" i="1"/>
  <c r="F2898" i="1"/>
  <c r="F2902" i="1"/>
  <c r="F2906" i="1"/>
  <c r="F2910" i="1"/>
  <c r="F2914" i="1"/>
  <c r="F2918" i="1"/>
  <c r="F2922" i="1"/>
  <c r="F2926" i="1"/>
  <c r="F2930" i="1"/>
  <c r="F2934" i="1"/>
  <c r="F2938" i="1"/>
  <c r="F2942" i="1"/>
  <c r="F2946" i="1"/>
  <c r="F2950" i="1"/>
  <c r="F2954" i="1"/>
  <c r="F2958" i="1"/>
  <c r="F2962" i="1"/>
  <c r="F2966" i="1"/>
  <c r="F2970" i="1"/>
  <c r="F2974" i="1"/>
  <c r="F2978" i="1"/>
  <c r="F2982" i="1"/>
  <c r="F2986" i="1"/>
  <c r="F2990" i="1"/>
  <c r="F2994" i="1"/>
  <c r="F2998" i="1"/>
  <c r="F3002" i="1"/>
  <c r="F3006" i="1"/>
  <c r="F3102" i="1"/>
  <c r="F3106" i="1"/>
  <c r="F3110" i="1"/>
  <c r="F3114" i="1"/>
  <c r="F3118" i="1"/>
  <c r="F3122" i="1"/>
  <c r="F3126" i="1"/>
  <c r="F3130" i="1"/>
  <c r="F3134" i="1"/>
  <c r="F3138" i="1"/>
  <c r="F3142" i="1"/>
  <c r="F3146" i="1"/>
  <c r="F3150" i="1"/>
  <c r="F3154" i="1"/>
  <c r="F3158" i="1"/>
  <c r="F3172" i="1"/>
  <c r="F3176" i="1"/>
  <c r="F3180" i="1"/>
  <c r="F3184" i="1"/>
  <c r="F3188" i="1"/>
  <c r="F3192" i="1"/>
  <c r="F3196" i="1"/>
  <c r="F3200" i="1"/>
  <c r="F3204" i="1"/>
  <c r="F3208" i="1"/>
  <c r="F3212" i="1"/>
  <c r="F2895" i="1"/>
  <c r="F2899" i="1"/>
  <c r="F2903" i="1"/>
  <c r="F2907" i="1"/>
  <c r="F2911" i="1"/>
  <c r="F2915" i="1"/>
  <c r="F2919" i="1"/>
  <c r="F2923" i="1"/>
  <c r="F2927" i="1"/>
  <c r="F2931" i="1"/>
  <c r="F2935" i="1"/>
  <c r="F2939" i="1"/>
  <c r="F2943" i="1"/>
  <c r="F2947" i="1"/>
  <c r="F2951" i="1"/>
  <c r="F2955" i="1"/>
  <c r="F2959" i="1"/>
  <c r="F2963" i="1"/>
  <c r="F2967" i="1"/>
  <c r="F2971" i="1"/>
  <c r="F2975" i="1"/>
  <c r="F2979" i="1"/>
  <c r="F2983" i="1"/>
  <c r="F2987" i="1"/>
  <c r="F2991" i="1"/>
  <c r="F2995" i="1"/>
  <c r="F2999" i="1"/>
  <c r="F3003" i="1"/>
  <c r="F3007" i="1"/>
  <c r="F3011" i="1"/>
  <c r="F3015" i="1"/>
  <c r="F3019" i="1"/>
  <c r="F3023" i="1"/>
  <c r="F3027" i="1"/>
  <c r="F3031" i="1"/>
  <c r="F3035" i="1"/>
  <c r="F3039" i="1"/>
  <c r="F3043" i="1"/>
  <c r="F3047" i="1"/>
  <c r="F3051" i="1"/>
  <c r="F3055" i="1"/>
  <c r="F3059" i="1"/>
  <c r="F3063" i="1"/>
  <c r="F3067" i="1"/>
  <c r="F3071" i="1"/>
  <c r="F3075" i="1"/>
  <c r="F3079" i="1"/>
  <c r="F3083" i="1"/>
  <c r="F3087" i="1"/>
  <c r="F3091" i="1"/>
  <c r="F3095" i="1"/>
  <c r="F3099" i="1"/>
  <c r="F3103" i="1"/>
  <c r="F3107" i="1"/>
  <c r="F3111" i="1"/>
  <c r="F3115" i="1"/>
  <c r="F3119" i="1"/>
  <c r="F3123" i="1"/>
  <c r="F3127" i="1"/>
  <c r="F3131" i="1"/>
  <c r="F3135" i="1"/>
  <c r="F3139" i="1"/>
  <c r="F3143" i="1"/>
  <c r="F3147" i="1"/>
  <c r="F3151" i="1"/>
  <c r="F3155" i="1"/>
  <c r="F3159" i="1"/>
  <c r="F3169" i="1"/>
  <c r="F3173" i="1"/>
  <c r="F3177" i="1"/>
  <c r="F3181" i="1"/>
  <c r="F3185" i="1"/>
  <c r="F3189" i="1"/>
  <c r="F3193" i="1"/>
  <c r="F3197" i="1"/>
  <c r="F3201" i="1"/>
  <c r="F3205" i="1"/>
  <c r="F3209" i="1"/>
  <c r="F3213" i="1"/>
  <c r="F3217" i="1"/>
  <c r="F3221" i="1"/>
  <c r="F3225" i="1"/>
  <c r="F3229" i="1"/>
  <c r="F3233" i="1"/>
  <c r="F3237" i="1"/>
  <c r="F3241" i="1"/>
  <c r="F3245" i="1"/>
  <c r="F3249" i="1"/>
  <c r="F3253" i="1"/>
  <c r="F3257" i="1"/>
  <c r="F2885" i="1"/>
  <c r="F1166" i="1"/>
  <c r="F1170" i="1"/>
  <c r="F1174" i="1"/>
  <c r="F1178" i="1"/>
  <c r="F1182" i="1"/>
  <c r="F1186" i="1"/>
  <c r="F1190" i="1"/>
  <c r="F1194" i="1"/>
  <c r="F1198" i="1"/>
  <c r="F1202" i="1"/>
  <c r="F1206" i="1"/>
  <c r="F1210" i="1"/>
  <c r="F1214" i="1"/>
  <c r="F1218" i="1"/>
  <c r="F1222" i="1"/>
  <c r="F1226" i="1"/>
  <c r="F1230" i="1"/>
  <c r="F1234" i="1"/>
  <c r="F1238" i="1"/>
  <c r="F1242" i="1"/>
  <c r="F1246" i="1"/>
  <c r="F1250" i="1"/>
  <c r="F1254" i="1"/>
  <c r="F1258" i="1"/>
  <c r="F1262" i="1"/>
  <c r="F1266" i="1"/>
  <c r="F1270" i="1"/>
  <c r="F1274" i="1"/>
  <c r="F1278" i="1"/>
  <c r="F1282" i="1"/>
  <c r="F11" i="1"/>
  <c r="F15" i="1"/>
  <c r="F47" i="1"/>
  <c r="F51" i="1"/>
  <c r="F55" i="1"/>
  <c r="F59" i="1"/>
  <c r="F63" i="1"/>
  <c r="F67" i="1"/>
  <c r="F99" i="1"/>
  <c r="F107" i="1"/>
  <c r="F111" i="1"/>
  <c r="F115" i="1"/>
  <c r="F119" i="1"/>
  <c r="F123" i="1"/>
  <c r="F151" i="1"/>
  <c r="F155" i="1"/>
  <c r="F159" i="1"/>
  <c r="F163" i="1"/>
  <c r="F167" i="1"/>
  <c r="F191" i="1"/>
  <c r="F195" i="1"/>
  <c r="F199" i="1"/>
  <c r="F203" i="1"/>
  <c r="F207" i="1"/>
  <c r="F211" i="1"/>
  <c r="F243" i="1"/>
  <c r="F247" i="1"/>
  <c r="F251" i="1"/>
  <c r="F255" i="1"/>
  <c r="F259" i="1"/>
  <c r="F263" i="1"/>
  <c r="F267" i="1"/>
  <c r="F299" i="1"/>
  <c r="F303" i="1"/>
  <c r="F307" i="1"/>
  <c r="F311" i="1"/>
  <c r="F315" i="1"/>
  <c r="F3265" i="1"/>
  <c r="F3269" i="1"/>
  <c r="F3273" i="1"/>
  <c r="F3277" i="1"/>
  <c r="F3281" i="1"/>
  <c r="F3285" i="1"/>
  <c r="F1006" i="1"/>
  <c r="F1010" i="1"/>
  <c r="F1014" i="1"/>
  <c r="F1018" i="1"/>
  <c r="F1022" i="1"/>
  <c r="F1026" i="1"/>
  <c r="F1030" i="1"/>
  <c r="F1034" i="1"/>
  <c r="F1038" i="1"/>
  <c r="F1042" i="1"/>
  <c r="F1046" i="1"/>
  <c r="F1050" i="1"/>
  <c r="F1054" i="1"/>
  <c r="F1058" i="1"/>
  <c r="F1062" i="1"/>
  <c r="F1066" i="1"/>
  <c r="F1070" i="1"/>
  <c r="F1074" i="1"/>
  <c r="F1078" i="1"/>
  <c r="F1082" i="1"/>
  <c r="F1086" i="1"/>
  <c r="F1090" i="1"/>
  <c r="F1094" i="1"/>
  <c r="F1098" i="1"/>
  <c r="F1102" i="1"/>
  <c r="F1106" i="1"/>
  <c r="F1110" i="1"/>
  <c r="F1114" i="1"/>
  <c r="F1118" i="1"/>
  <c r="F1122" i="1"/>
  <c r="F1126" i="1"/>
  <c r="F1130" i="1"/>
  <c r="F1134" i="1"/>
  <c r="F1138" i="1"/>
  <c r="F1142" i="1"/>
  <c r="F1146" i="1"/>
  <c r="F1150" i="1"/>
  <c r="F1154" i="1"/>
  <c r="F1158" i="1"/>
  <c r="F1162" i="1"/>
  <c r="F19" i="1"/>
  <c r="F23" i="1"/>
  <c r="F27" i="1"/>
  <c r="F31" i="1"/>
  <c r="F39" i="1"/>
  <c r="F43" i="1"/>
  <c r="F71" i="1"/>
  <c r="F79" i="1"/>
  <c r="F83" i="1"/>
  <c r="F87" i="1"/>
  <c r="F91" i="1"/>
  <c r="F95" i="1"/>
  <c r="F127" i="1"/>
  <c r="F131" i="1"/>
  <c r="F135" i="1"/>
  <c r="F139" i="1"/>
  <c r="F143" i="1"/>
  <c r="F147" i="1"/>
  <c r="F171" i="1"/>
  <c r="F175" i="1"/>
  <c r="F179" i="1"/>
  <c r="F183" i="1"/>
  <c r="F187" i="1"/>
  <c r="F215" i="1"/>
  <c r="F219" i="1"/>
  <c r="F223" i="1"/>
  <c r="F227" i="1"/>
  <c r="F231" i="1"/>
  <c r="F235" i="1"/>
  <c r="F239" i="1"/>
  <c r="F271" i="1"/>
  <c r="F275" i="1"/>
  <c r="F279" i="1"/>
  <c r="F283" i="1"/>
  <c r="F287" i="1"/>
  <c r="F291" i="1"/>
  <c r="F295" i="1"/>
  <c r="F319" i="1"/>
  <c r="F3261" i="1"/>
  <c r="F3289" i="1"/>
  <c r="F3293" i="1"/>
  <c r="F3297" i="1"/>
  <c r="F3301" i="1"/>
  <c r="F1161" i="1"/>
  <c r="F1165" i="1"/>
  <c r="F1169" i="1"/>
  <c r="F1173" i="1"/>
  <c r="F1177" i="1"/>
  <c r="F2889" i="1"/>
  <c r="F2893" i="1"/>
  <c r="F2897" i="1"/>
  <c r="F2901" i="1"/>
  <c r="F2905" i="1"/>
  <c r="F6481" i="1"/>
  <c r="F6482" i="1"/>
  <c r="F1515" i="1"/>
  <c r="F1519" i="1"/>
  <c r="F1523" i="1"/>
  <c r="F1527" i="1"/>
  <c r="F1531" i="1"/>
  <c r="F1535" i="1"/>
  <c r="F1539" i="1"/>
  <c r="F1543" i="1"/>
  <c r="F1547" i="1"/>
  <c r="F1551" i="1"/>
  <c r="F1555" i="1"/>
  <c r="F1559" i="1"/>
  <c r="F1563" i="1"/>
  <c r="F1567" i="1"/>
  <c r="F1571" i="1"/>
  <c r="F1575" i="1"/>
  <c r="F1579" i="1"/>
  <c r="F1583" i="1"/>
  <c r="F1587" i="1"/>
  <c r="F1591" i="1"/>
  <c r="F1595" i="1"/>
  <c r="F1599" i="1"/>
  <c r="F1603" i="1"/>
  <c r="F1607" i="1"/>
  <c r="F1611" i="1"/>
  <c r="F1615" i="1"/>
  <c r="F1619" i="1"/>
  <c r="F1623" i="1"/>
  <c r="F1627" i="1"/>
  <c r="F1631" i="1"/>
  <c r="F1635" i="1"/>
  <c r="F1639" i="1"/>
  <c r="F1643" i="1"/>
  <c r="F1647" i="1"/>
  <c r="F1651" i="1"/>
  <c r="F1655" i="1"/>
  <c r="F1659" i="1"/>
  <c r="F1663" i="1"/>
  <c r="F1667" i="1"/>
  <c r="F1671" i="1"/>
  <c r="F1675" i="1"/>
  <c r="F1679" i="1"/>
  <c r="F1683" i="1"/>
  <c r="F1687" i="1"/>
  <c r="F1691" i="1"/>
  <c r="F1695" i="1"/>
  <c r="F1699" i="1"/>
  <c r="F1703" i="1"/>
  <c r="F1707" i="1"/>
  <c r="F1711" i="1"/>
  <c r="F1715" i="1"/>
  <c r="F1719" i="1"/>
  <c r="F1723" i="1"/>
  <c r="F1727" i="1"/>
  <c r="F1731" i="1"/>
  <c r="F1735" i="1"/>
  <c r="F1739" i="1"/>
  <c r="F1743" i="1"/>
  <c r="F1747" i="1"/>
  <c r="F1751" i="1"/>
  <c r="F1755" i="1"/>
  <c r="F1759" i="1"/>
  <c r="F1763" i="1"/>
  <c r="F1767" i="1"/>
  <c r="F1771" i="1"/>
  <c r="F1775" i="1"/>
  <c r="F1779" i="1"/>
  <c r="F1783" i="1"/>
  <c r="F1787" i="1"/>
  <c r="F1791" i="1"/>
  <c r="F1795" i="1"/>
  <c r="F1799" i="1"/>
  <c r="F1803" i="1"/>
  <c r="F1807" i="1"/>
  <c r="F1811" i="1"/>
  <c r="F1815" i="1"/>
  <c r="F1819" i="1"/>
  <c r="F1823" i="1"/>
  <c r="F1827" i="1"/>
  <c r="F1831" i="1"/>
  <c r="F1835" i="1"/>
  <c r="F1839" i="1"/>
  <c r="F1843" i="1"/>
  <c r="F6218" i="1"/>
  <c r="F8" i="1"/>
  <c r="F789" i="1"/>
  <c r="F793" i="1"/>
  <c r="F2909" i="1"/>
  <c r="F2913" i="1"/>
  <c r="F2917" i="1"/>
  <c r="F2921" i="1"/>
  <c r="F2925" i="1"/>
  <c r="F2929" i="1"/>
  <c r="F2933" i="1"/>
  <c r="F2937" i="1"/>
  <c r="F2941" i="1"/>
  <c r="F2945" i="1"/>
  <c r="F2949" i="1"/>
  <c r="F6479" i="1"/>
  <c r="F6480" i="1"/>
  <c r="F3305" i="1"/>
  <c r="F2953" i="1"/>
  <c r="F2957" i="1"/>
  <c r="F2961" i="1"/>
  <c r="F2965" i="1"/>
  <c r="F2969" i="1"/>
  <c r="F2973" i="1"/>
  <c r="F2977" i="1"/>
  <c r="F2981" i="1"/>
  <c r="F2985" i="1"/>
  <c r="F2989" i="1"/>
  <c r="F2993" i="1"/>
  <c r="F3309" i="1"/>
  <c r="F3313" i="1"/>
  <c r="F3317" i="1"/>
  <c r="F3321" i="1"/>
  <c r="F3325" i="1"/>
  <c r="F3329" i="1"/>
  <c r="F3333" i="1"/>
  <c r="F3337" i="1"/>
  <c r="F3341" i="1"/>
  <c r="F3345" i="1"/>
  <c r="F3349" i="1"/>
  <c r="F3353" i="1"/>
  <c r="F3357" i="1"/>
  <c r="F3361" i="1"/>
  <c r="F3365" i="1"/>
  <c r="F3369" i="1"/>
  <c r="F3373" i="1"/>
  <c r="F3377" i="1"/>
  <c r="F3381" i="1"/>
  <c r="F3385" i="1"/>
  <c r="F3389" i="1"/>
  <c r="F3393" i="1"/>
  <c r="F3397" i="1"/>
  <c r="F3401" i="1"/>
  <c r="F3405" i="1"/>
  <c r="F3409" i="1"/>
  <c r="F3413" i="1"/>
  <c r="F3417" i="1"/>
  <c r="F3421" i="1"/>
  <c r="F3425" i="1"/>
  <c r="F3429" i="1"/>
  <c r="F3433" i="1"/>
  <c r="F3437" i="1"/>
  <c r="F3441" i="1"/>
  <c r="F3445" i="1"/>
  <c r="F3449" i="1"/>
  <c r="F3541" i="1"/>
  <c r="F3545" i="1"/>
  <c r="F3549" i="1"/>
  <c r="F3553" i="1"/>
  <c r="F3557" i="1"/>
  <c r="F3561" i="1"/>
  <c r="F3565" i="1"/>
  <c r="F3569" i="1"/>
  <c r="F3573" i="1"/>
  <c r="F3577" i="1"/>
  <c r="F3581" i="1"/>
  <c r="F3585" i="1"/>
  <c r="F3589" i="1"/>
  <c r="F3593" i="1"/>
  <c r="F3597" i="1"/>
  <c r="F3601" i="1"/>
  <c r="F3605" i="1"/>
  <c r="F3609" i="1"/>
  <c r="F3613" i="1"/>
  <c r="F3617" i="1"/>
  <c r="F3621" i="1"/>
  <c r="F3625" i="1"/>
  <c r="F3629" i="1"/>
  <c r="F3633" i="1"/>
  <c r="F3637" i="1"/>
  <c r="F3641" i="1"/>
  <c r="F3645" i="1"/>
  <c r="F3649" i="1"/>
  <c r="F3653" i="1"/>
  <c r="F3657" i="1"/>
  <c r="F3661" i="1"/>
  <c r="F3665" i="1"/>
  <c r="F3669" i="1"/>
  <c r="F3673" i="1"/>
  <c r="F3677" i="1"/>
  <c r="F3681" i="1"/>
  <c r="F3685" i="1"/>
  <c r="F3689" i="1"/>
  <c r="F3693" i="1"/>
  <c r="F3697" i="1"/>
  <c r="F3701" i="1"/>
  <c r="F3705" i="1"/>
  <c r="F2368" i="1"/>
  <c r="F2372" i="1"/>
  <c r="F2376" i="1"/>
  <c r="F2380" i="1"/>
  <c r="F2384" i="1"/>
  <c r="F2388" i="1"/>
  <c r="F2392" i="1"/>
  <c r="F2396" i="1"/>
  <c r="F2400" i="1"/>
  <c r="F2404" i="1"/>
  <c r="F2408" i="1"/>
  <c r="F2412" i="1"/>
  <c r="F2416" i="1"/>
  <c r="F2420" i="1"/>
  <c r="F2424" i="1"/>
  <c r="F2428" i="1"/>
  <c r="F2432" i="1"/>
  <c r="F2436" i="1"/>
  <c r="F2440" i="1"/>
  <c r="F2444" i="1"/>
  <c r="F2448" i="1"/>
  <c r="F2452" i="1"/>
  <c r="F2456" i="1"/>
  <c r="F2460" i="1"/>
  <c r="F2464" i="1"/>
  <c r="F2468" i="1"/>
  <c r="F2472" i="1"/>
  <c r="F2476" i="1"/>
  <c r="F2480" i="1"/>
  <c r="F2484" i="1"/>
  <c r="F2488" i="1"/>
  <c r="F2492" i="1"/>
  <c r="F2496" i="1"/>
  <c r="F2500" i="1"/>
  <c r="F2504" i="1"/>
  <c r="F2508" i="1"/>
  <c r="F2512" i="1"/>
  <c r="F2516" i="1"/>
  <c r="F2520" i="1"/>
  <c r="F2524" i="1"/>
  <c r="F2528" i="1"/>
  <c r="F2532" i="1"/>
  <c r="F2536" i="1"/>
  <c r="F2540" i="1"/>
  <c r="F2544" i="1"/>
  <c r="F2548" i="1"/>
  <c r="F2552" i="1"/>
  <c r="F2556" i="1"/>
  <c r="F2560" i="1"/>
  <c r="F2564" i="1"/>
  <c r="F2568" i="1"/>
  <c r="F2572" i="1"/>
  <c r="F2576" i="1"/>
  <c r="F2580" i="1"/>
  <c r="F2584" i="1"/>
  <c r="F2588" i="1"/>
  <c r="F2592" i="1"/>
  <c r="F2596" i="1"/>
  <c r="F2600" i="1"/>
  <c r="F2604" i="1"/>
  <c r="F2608" i="1"/>
  <c r="F2612" i="1"/>
  <c r="F2616" i="1"/>
  <c r="F2620" i="1"/>
  <c r="F2624" i="1"/>
  <c r="F2628" i="1"/>
  <c r="F2632" i="1"/>
  <c r="F2636" i="1"/>
  <c r="F2640" i="1"/>
  <c r="F4068" i="1"/>
  <c r="F6467" i="1"/>
  <c r="F6471" i="1"/>
  <c r="F6476" i="1"/>
  <c r="F6468" i="1"/>
  <c r="F6469" i="1"/>
  <c r="F6470" i="1"/>
  <c r="F6474" i="1"/>
  <c r="F6478" i="1"/>
  <c r="F6475" i="1"/>
  <c r="F6472" i="1"/>
  <c r="F6473" i="1"/>
  <c r="F6477" i="1"/>
  <c r="F3216" i="1"/>
  <c r="F6456" i="1"/>
  <c r="F6464" i="1"/>
  <c r="F6432" i="1"/>
  <c r="F6400" i="1"/>
  <c r="F6368" i="1"/>
  <c r="F6336" i="1"/>
  <c r="F6424" i="1"/>
  <c r="F6392" i="1"/>
  <c r="F6360" i="1"/>
  <c r="F6328" i="1"/>
  <c r="F6448" i="1"/>
  <c r="F6416" i="1"/>
  <c r="F6384" i="1"/>
  <c r="F6352" i="1"/>
  <c r="F6440" i="1"/>
  <c r="F6408" i="1"/>
  <c r="F6376" i="1"/>
  <c r="F6344" i="1"/>
  <c r="F6460" i="1"/>
  <c r="F6452" i="1"/>
  <c r="F6444" i="1"/>
  <c r="F6436" i="1"/>
  <c r="F6428" i="1"/>
  <c r="F6420" i="1"/>
  <c r="F6412" i="1"/>
  <c r="F6404" i="1"/>
  <c r="F6396" i="1"/>
  <c r="F6388" i="1"/>
  <c r="F6380" i="1"/>
  <c r="F6372" i="1"/>
  <c r="F6364" i="1"/>
  <c r="F6356" i="1"/>
  <c r="F6348" i="1"/>
  <c r="F6340" i="1"/>
  <c r="F6332" i="1"/>
  <c r="F6322" i="1"/>
  <c r="F6306" i="1"/>
  <c r="F6289" i="1"/>
  <c r="F6273" i="1"/>
  <c r="F6257" i="1"/>
  <c r="F6241" i="1"/>
  <c r="F6228" i="1"/>
  <c r="F6466" i="1"/>
  <c r="F6458" i="1"/>
  <c r="F6450" i="1"/>
  <c r="F6442" i="1"/>
  <c r="F6434" i="1"/>
  <c r="F6426" i="1"/>
  <c r="F6418" i="1"/>
  <c r="F6410" i="1"/>
  <c r="F6402" i="1"/>
  <c r="F6394" i="1"/>
  <c r="F6386" i="1"/>
  <c r="F6378" i="1"/>
  <c r="F6370" i="1"/>
  <c r="F6362" i="1"/>
  <c r="F6354" i="1"/>
  <c r="F6346" i="1"/>
  <c r="F6338" i="1"/>
  <c r="F6330" i="1"/>
  <c r="F6318" i="1"/>
  <c r="F6303" i="1"/>
  <c r="F6285" i="1"/>
  <c r="F6269" i="1"/>
  <c r="F6253" i="1"/>
  <c r="F6314" i="1"/>
  <c r="F6299" i="1"/>
  <c r="F6281" i="1"/>
  <c r="F6265" i="1"/>
  <c r="F6249" i="1"/>
  <c r="F6226" i="1"/>
  <c r="F6462" i="1"/>
  <c r="F6454" i="1"/>
  <c r="F6446" i="1"/>
  <c r="F6438" i="1"/>
  <c r="F6430" i="1"/>
  <c r="F6422" i="1"/>
  <c r="F6414" i="1"/>
  <c r="F6406" i="1"/>
  <c r="F6398" i="1"/>
  <c r="F6390" i="1"/>
  <c r="F6382" i="1"/>
  <c r="F6374" i="1"/>
  <c r="F6366" i="1"/>
  <c r="F6358" i="1"/>
  <c r="F6350" i="1"/>
  <c r="F6342" i="1"/>
  <c r="F6334" i="1"/>
  <c r="F6326" i="1"/>
  <c r="F6310" i="1"/>
  <c r="F6295" i="1"/>
  <c r="F6277" i="1"/>
  <c r="F6261" i="1"/>
  <c r="F6245" i="1"/>
  <c r="F6324" i="1"/>
  <c r="F6320" i="1"/>
  <c r="F6316" i="1"/>
  <c r="F6312" i="1"/>
  <c r="F6308" i="1"/>
  <c r="F6304" i="1"/>
  <c r="F6301" i="1"/>
  <c r="F6297" i="1"/>
  <c r="F6293" i="1"/>
  <c r="F6291" i="1"/>
  <c r="F6287" i="1"/>
  <c r="F6283" i="1"/>
  <c r="F6279" i="1"/>
  <c r="F6275" i="1"/>
  <c r="F6271" i="1"/>
  <c r="F6267" i="1"/>
  <c r="F6263" i="1"/>
  <c r="F6259" i="1"/>
  <c r="F6255" i="1"/>
  <c r="F6251" i="1"/>
  <c r="F6247" i="1"/>
  <c r="F6243" i="1"/>
  <c r="F6239" i="1"/>
  <c r="F6235" i="1"/>
  <c r="F6231" i="1"/>
  <c r="F6227" i="1"/>
  <c r="F6463" i="1"/>
  <c r="F6459" i="1"/>
  <c r="F6455" i="1"/>
  <c r="F6451" i="1"/>
  <c r="F6447" i="1"/>
  <c r="F6443" i="1"/>
  <c r="F6439" i="1"/>
  <c r="F6435" i="1"/>
  <c r="F6431" i="1"/>
  <c r="F6427" i="1"/>
  <c r="F6423" i="1"/>
  <c r="F6419" i="1"/>
  <c r="F6415" i="1"/>
  <c r="F6411" i="1"/>
  <c r="F6407" i="1"/>
  <c r="F6403" i="1"/>
  <c r="F6399" i="1"/>
  <c r="F6395" i="1"/>
  <c r="F6391" i="1"/>
  <c r="F6387" i="1"/>
  <c r="F6383" i="1"/>
  <c r="F6379" i="1"/>
  <c r="F6375" i="1"/>
  <c r="F6371" i="1"/>
  <c r="F6367" i="1"/>
  <c r="F6363" i="1"/>
  <c r="F6359" i="1"/>
  <c r="F6355" i="1"/>
  <c r="F6351" i="1"/>
  <c r="F6347" i="1"/>
  <c r="F6343" i="1"/>
  <c r="F6339" i="1"/>
  <c r="F6335" i="1"/>
  <c r="F6331" i="1"/>
  <c r="F6327" i="1"/>
  <c r="F6323" i="1"/>
  <c r="F6319" i="1"/>
  <c r="F6315" i="1"/>
  <c r="F6311" i="1"/>
  <c r="F6307" i="1"/>
  <c r="F6300" i="1"/>
  <c r="F6296" i="1"/>
  <c r="F6290" i="1"/>
  <c r="F6286" i="1"/>
  <c r="F6282" i="1"/>
  <c r="F6278" i="1"/>
  <c r="F6274" i="1"/>
  <c r="F6270" i="1"/>
  <c r="F6266" i="1"/>
  <c r="F6262" i="1"/>
  <c r="F6258" i="1"/>
  <c r="F6254" i="1"/>
  <c r="F6250" i="1"/>
  <c r="F6246" i="1"/>
  <c r="F6242" i="1"/>
  <c r="F6238" i="1"/>
  <c r="F6234" i="1"/>
  <c r="F6230" i="1"/>
  <c r="F6237" i="1"/>
  <c r="F6233" i="1"/>
  <c r="F6229" i="1"/>
  <c r="F6225" i="1"/>
  <c r="F6465" i="1"/>
  <c r="F6461" i="1"/>
  <c r="F6457" i="1"/>
  <c r="F6453" i="1"/>
  <c r="F6449" i="1"/>
  <c r="F6445" i="1"/>
  <c r="F6441" i="1"/>
  <c r="F6437" i="1"/>
  <c r="F6433" i="1"/>
  <c r="F6429" i="1"/>
  <c r="F6425" i="1"/>
  <c r="F6421" i="1"/>
  <c r="F6417" i="1"/>
  <c r="F6413" i="1"/>
  <c r="F6409" i="1"/>
  <c r="F6405" i="1"/>
  <c r="F6401" i="1"/>
  <c r="F6397" i="1"/>
  <c r="F6393" i="1"/>
  <c r="F6389" i="1"/>
  <c r="F6385" i="1"/>
  <c r="F6381" i="1"/>
  <c r="F6377" i="1"/>
  <c r="F6373" i="1"/>
  <c r="F6369" i="1"/>
  <c r="F6365" i="1"/>
  <c r="F6361" i="1"/>
  <c r="F6357" i="1"/>
  <c r="F6353" i="1"/>
  <c r="F6349" i="1"/>
  <c r="F6345" i="1"/>
  <c r="F6341" i="1"/>
  <c r="F6337" i="1"/>
  <c r="F6333" i="1"/>
  <c r="F6329" i="1"/>
  <c r="F6325" i="1"/>
  <c r="F6321" i="1"/>
  <c r="F6317" i="1"/>
  <c r="F6313" i="1"/>
  <c r="F6309" i="1"/>
  <c r="F6305" i="1"/>
  <c r="F6302" i="1"/>
  <c r="F6298" i="1"/>
  <c r="F6294" i="1"/>
  <c r="F6292" i="1"/>
  <c r="F6288" i="1"/>
  <c r="F6284" i="1"/>
  <c r="F6280" i="1"/>
  <c r="F6276" i="1"/>
  <c r="F6272" i="1"/>
  <c r="F6268" i="1"/>
  <c r="F6264" i="1"/>
  <c r="F6260" i="1"/>
  <c r="F6256" i="1"/>
  <c r="F6252" i="1"/>
  <c r="F6248" i="1"/>
  <c r="F6244" i="1"/>
  <c r="F6240" i="1"/>
  <c r="F6236" i="1"/>
  <c r="F6232" i="1"/>
  <c r="F3709" i="1"/>
  <c r="F6224" i="1"/>
  <c r="F2644" i="1"/>
  <c r="F2648" i="1"/>
  <c r="F2652" i="1"/>
  <c r="F2656" i="1"/>
  <c r="F2660" i="1"/>
  <c r="F2664" i="1"/>
  <c r="F2668" i="1"/>
  <c r="F2672" i="1"/>
  <c r="F2676" i="1"/>
  <c r="F2680" i="1"/>
  <c r="F2684" i="1"/>
  <c r="F2688" i="1"/>
  <c r="F2692" i="1"/>
  <c r="F2696" i="1"/>
  <c r="F2700" i="1"/>
  <c r="F2704" i="1"/>
  <c r="F2708" i="1"/>
  <c r="F2712" i="1"/>
  <c r="F2716" i="1"/>
  <c r="F2720" i="1"/>
  <c r="F2724" i="1"/>
  <c r="F2728" i="1"/>
  <c r="F2732" i="1"/>
  <c r="F2736" i="1"/>
  <c r="F2740" i="1"/>
  <c r="F2744" i="1"/>
  <c r="F2748" i="1"/>
  <c r="F2752" i="1"/>
  <c r="F2756" i="1"/>
  <c r="F2760" i="1"/>
  <c r="F2764" i="1"/>
  <c r="F2768" i="1"/>
  <c r="F2772" i="1"/>
  <c r="F2776" i="1"/>
  <c r="F2780" i="1"/>
  <c r="F2784" i="1"/>
  <c r="F2788" i="1"/>
  <c r="F2792" i="1"/>
  <c r="F2796" i="1"/>
  <c r="F2800" i="1"/>
  <c r="F2804" i="1"/>
  <c r="F2808" i="1"/>
  <c r="F2812" i="1"/>
  <c r="F2816" i="1"/>
  <c r="F2820" i="1"/>
  <c r="F2824" i="1"/>
  <c r="F2828" i="1"/>
  <c r="F2832" i="1"/>
  <c r="F2836" i="1"/>
  <c r="F2840" i="1"/>
  <c r="F2844" i="1"/>
  <c r="F2848" i="1"/>
  <c r="F2852" i="1"/>
  <c r="F2856" i="1"/>
  <c r="F2860" i="1"/>
  <c r="F2864" i="1"/>
  <c r="F2868" i="1"/>
  <c r="F2872" i="1"/>
  <c r="F2876" i="1"/>
  <c r="F2880" i="1"/>
  <c r="F2884" i="1"/>
  <c r="F2888" i="1"/>
  <c r="F2892" i="1"/>
  <c r="F2896" i="1"/>
  <c r="F2900" i="1"/>
  <c r="F2904" i="1"/>
  <c r="F2908" i="1"/>
  <c r="F2912" i="1"/>
  <c r="F6223" i="1"/>
  <c r="F3220" i="1"/>
  <c r="F3224" i="1"/>
  <c r="F3228" i="1"/>
  <c r="F3232" i="1"/>
  <c r="F3236" i="1"/>
  <c r="F3240" i="1"/>
  <c r="F3244" i="1"/>
  <c r="F3248" i="1"/>
  <c r="F3252" i="1"/>
  <c r="F3256" i="1"/>
  <c r="F3260" i="1"/>
  <c r="F3264" i="1"/>
  <c r="F3268" i="1"/>
  <c r="F3272" i="1"/>
  <c r="F3276" i="1"/>
  <c r="F3280" i="1"/>
  <c r="F3284" i="1"/>
  <c r="F3348" i="1"/>
  <c r="F3352" i="1"/>
  <c r="F3356" i="1"/>
  <c r="F3388" i="1"/>
  <c r="F3392" i="1"/>
  <c r="F3396" i="1"/>
  <c r="F3400" i="1"/>
  <c r="F3404" i="1"/>
  <c r="F3408" i="1"/>
  <c r="F3412" i="1"/>
  <c r="F3416" i="1"/>
  <c r="F3420" i="1"/>
  <c r="F3424" i="1"/>
  <c r="F3428" i="1"/>
  <c r="F3432" i="1"/>
  <c r="F3436" i="1"/>
  <c r="F3440" i="1"/>
  <c r="F3444" i="1"/>
  <c r="F3448" i="1"/>
  <c r="F3452" i="1"/>
  <c r="F3456" i="1"/>
  <c r="F3460" i="1"/>
  <c r="F3464" i="1"/>
  <c r="F3468" i="1"/>
  <c r="F3472" i="1"/>
  <c r="F3476" i="1"/>
  <c r="F3480" i="1"/>
  <c r="F3484" i="1"/>
  <c r="F3488" i="1"/>
  <c r="F3492" i="1"/>
  <c r="F3496" i="1"/>
  <c r="F3500" i="1"/>
  <c r="F3504" i="1"/>
  <c r="F3508" i="1"/>
  <c r="F3512" i="1"/>
  <c r="F3516" i="1"/>
  <c r="F3520" i="1"/>
  <c r="F3524" i="1"/>
  <c r="F3528" i="1"/>
  <c r="F3532" i="1"/>
  <c r="F3536" i="1"/>
  <c r="F3668" i="1"/>
  <c r="F3672" i="1"/>
  <c r="F3676" i="1"/>
  <c r="F3680" i="1"/>
  <c r="F3684" i="1"/>
  <c r="F3688" i="1"/>
  <c r="F3692" i="1"/>
  <c r="F3696" i="1"/>
  <c r="F3700" i="1"/>
  <c r="F3704" i="1"/>
  <c r="F3708" i="1"/>
  <c r="F3712" i="1"/>
  <c r="F3716" i="1"/>
  <c r="F3720" i="1"/>
  <c r="F3724" i="1"/>
  <c r="F3728" i="1"/>
  <c r="F3732" i="1"/>
  <c r="F3736" i="1"/>
  <c r="F3740" i="1"/>
  <c r="F3744" i="1"/>
  <c r="F3748" i="1"/>
  <c r="F3752" i="1"/>
  <c r="F3756" i="1"/>
  <c r="F3760" i="1"/>
  <c r="F3764" i="1"/>
  <c r="F3768" i="1"/>
  <c r="F3772" i="1"/>
  <c r="F6222" i="1"/>
  <c r="F2997" i="1"/>
  <c r="F3001" i="1"/>
  <c r="F3005" i="1"/>
  <c r="F3009" i="1"/>
  <c r="F3013" i="1"/>
  <c r="F3017" i="1"/>
  <c r="F3021" i="1"/>
  <c r="F3025" i="1"/>
  <c r="F3029" i="1"/>
  <c r="F3033" i="1"/>
  <c r="F3037" i="1"/>
  <c r="F3041" i="1"/>
  <c r="F3045" i="1"/>
  <c r="F6221" i="1"/>
  <c r="F3713" i="1"/>
  <c r="F3717" i="1"/>
  <c r="F3721" i="1"/>
  <c r="F3725" i="1"/>
  <c r="F3729" i="1"/>
  <c r="F3733" i="1"/>
  <c r="F3737" i="1"/>
  <c r="F3741" i="1"/>
  <c r="F3745" i="1"/>
  <c r="F3749" i="1"/>
  <c r="F3753" i="1"/>
  <c r="F3757" i="1"/>
  <c r="F6219" i="1"/>
  <c r="F3776" i="1"/>
  <c r="F3780" i="1"/>
  <c r="F3784" i="1"/>
  <c r="F3788" i="1"/>
  <c r="F3792" i="1"/>
  <c r="F3796" i="1"/>
  <c r="F3800" i="1"/>
  <c r="F3804" i="1"/>
  <c r="F3808" i="1"/>
  <c r="F3812" i="1"/>
  <c r="F3816" i="1"/>
  <c r="F3820" i="1"/>
  <c r="F3824" i="1"/>
  <c r="F3828" i="1"/>
  <c r="F3832" i="1"/>
  <c r="F3836" i="1"/>
  <c r="F3840" i="1"/>
  <c r="F3844" i="1"/>
  <c r="F3848" i="1"/>
  <c r="F3852" i="1"/>
  <c r="F3856" i="1"/>
  <c r="F3860" i="1"/>
  <c r="F3864" i="1"/>
  <c r="F3868" i="1"/>
  <c r="F3872" i="1"/>
  <c r="F3876" i="1"/>
  <c r="F3880" i="1"/>
  <c r="F3884" i="1"/>
  <c r="F3888" i="1"/>
  <c r="F3892" i="1"/>
  <c r="F3896" i="1"/>
  <c r="F3900" i="1"/>
  <c r="F6220" i="1"/>
  <c r="F3761" i="1"/>
  <c r="F3765" i="1"/>
  <c r="F3769" i="1"/>
  <c r="F3773" i="1"/>
  <c r="F3777" i="1"/>
  <c r="F3781" i="1"/>
  <c r="F3785" i="1"/>
  <c r="F3789" i="1"/>
  <c r="F3793" i="1"/>
  <c r="F3797" i="1"/>
  <c r="F3801" i="1"/>
  <c r="F3805" i="1"/>
  <c r="F3809" i="1"/>
  <c r="F3813" i="1"/>
  <c r="F3817" i="1"/>
  <c r="F3049" i="1"/>
  <c r="F3053" i="1"/>
  <c r="F3057" i="1"/>
  <c r="F3061" i="1"/>
  <c r="F3065" i="1"/>
  <c r="F3069" i="1"/>
  <c r="F3073" i="1"/>
  <c r="F3077" i="1"/>
  <c r="F3081" i="1"/>
  <c r="F3085" i="1"/>
  <c r="F3089" i="1"/>
  <c r="F3093" i="1"/>
  <c r="F3097" i="1"/>
  <c r="F3904" i="1"/>
  <c r="F3908" i="1"/>
  <c r="F3912" i="1"/>
  <c r="F3821" i="1"/>
  <c r="F3825" i="1"/>
  <c r="F3829" i="1"/>
  <c r="F3833" i="1"/>
  <c r="F3837" i="1"/>
  <c r="F3841" i="1"/>
  <c r="F3845" i="1"/>
  <c r="F3849" i="1"/>
  <c r="F3853" i="1"/>
  <c r="F3857" i="1"/>
  <c r="F3861" i="1"/>
  <c r="F3865" i="1"/>
  <c r="F3869" i="1"/>
  <c r="F3873" i="1"/>
  <c r="F3877" i="1"/>
  <c r="F3881" i="1"/>
  <c r="F3885" i="1"/>
  <c r="F3889" i="1"/>
  <c r="F3893" i="1"/>
  <c r="F3897" i="1"/>
  <c r="F3901" i="1"/>
  <c r="F3905" i="1"/>
  <c r="F3909" i="1"/>
  <c r="F3913" i="1"/>
  <c r="F3917" i="1"/>
  <c r="F3921" i="1"/>
  <c r="F3925" i="1"/>
  <c r="F3929" i="1"/>
  <c r="F3933" i="1"/>
  <c r="F3937" i="1"/>
  <c r="F3941" i="1"/>
  <c r="F3945" i="1"/>
  <c r="F3949" i="1"/>
  <c r="F3953" i="1"/>
  <c r="F3957" i="1"/>
  <c r="F3961" i="1"/>
  <c r="F3965" i="1"/>
  <c r="F3969" i="1"/>
  <c r="F3973" i="1"/>
  <c r="F3977" i="1"/>
  <c r="F3981" i="1"/>
  <c r="F3985" i="1"/>
  <c r="F3989" i="1"/>
  <c r="F3993" i="1"/>
  <c r="F3997" i="1"/>
  <c r="F4001" i="1"/>
  <c r="F4005" i="1"/>
  <c r="F4009" i="1"/>
  <c r="F4013" i="1"/>
  <c r="F4017" i="1"/>
  <c r="F4021" i="1"/>
  <c r="F4025" i="1"/>
  <c r="F4029" i="1"/>
  <c r="F4033" i="1"/>
  <c r="F4037" i="1"/>
  <c r="F4041" i="1"/>
  <c r="F4045" i="1"/>
  <c r="F4049" i="1"/>
  <c r="F4053" i="1"/>
  <c r="F4057" i="1"/>
  <c r="F4061" i="1"/>
  <c r="F4065" i="1"/>
  <c r="F4072" i="1"/>
  <c r="F4076" i="1"/>
  <c r="F4080" i="1"/>
  <c r="F4084" i="1"/>
  <c r="F4088" i="1"/>
  <c r="F4092" i="1"/>
  <c r="F4096" i="1"/>
  <c r="F4100" i="1"/>
  <c r="F4104" i="1"/>
  <c r="F4108" i="1"/>
  <c r="F4112" i="1"/>
  <c r="F4116" i="1"/>
  <c r="F4120" i="1"/>
  <c r="F4124" i="1"/>
  <c r="F4128" i="1"/>
  <c r="F4132" i="1"/>
  <c r="F4136" i="1"/>
  <c r="F4140" i="1"/>
  <c r="F4144" i="1"/>
  <c r="F4148" i="1"/>
  <c r="F4152" i="1"/>
  <c r="F6217" i="1"/>
  <c r="F2916" i="1"/>
  <c r="F2920" i="1"/>
  <c r="F2924" i="1"/>
  <c r="F2928" i="1"/>
  <c r="F2932" i="1"/>
  <c r="F2936" i="1"/>
  <c r="F2940" i="1"/>
  <c r="F2944" i="1"/>
  <c r="F2948" i="1"/>
  <c r="F2952" i="1"/>
  <c r="F2956" i="1"/>
  <c r="F2960" i="1"/>
  <c r="F2964" i="1"/>
  <c r="F2968" i="1"/>
  <c r="F2972" i="1"/>
  <c r="F2976" i="1"/>
  <c r="F2980" i="1"/>
  <c r="F2984" i="1"/>
  <c r="F2988" i="1"/>
  <c r="F2992" i="1"/>
  <c r="F2996" i="1"/>
  <c r="F3000" i="1"/>
  <c r="F3004" i="1"/>
  <c r="F3008" i="1"/>
  <c r="F3012" i="1"/>
  <c r="F3016" i="1"/>
  <c r="F3020" i="1"/>
  <c r="F3024" i="1"/>
  <c r="F3028" i="1"/>
  <c r="F3032" i="1"/>
  <c r="F3036" i="1"/>
  <c r="F3040" i="1"/>
  <c r="F3044" i="1"/>
  <c r="F3048" i="1"/>
  <c r="F3052" i="1"/>
  <c r="F3056" i="1"/>
  <c r="F3060" i="1"/>
  <c r="F3064" i="1"/>
  <c r="F3068" i="1"/>
  <c r="F3072" i="1"/>
  <c r="F3076" i="1"/>
  <c r="F3080" i="1"/>
  <c r="F3084" i="1"/>
  <c r="F3088" i="1"/>
  <c r="F3092" i="1"/>
  <c r="F3096" i="1"/>
  <c r="F3100" i="1"/>
  <c r="F3104" i="1"/>
  <c r="F3108" i="1"/>
  <c r="F3112" i="1"/>
  <c r="F3116" i="1"/>
  <c r="F3120" i="1"/>
  <c r="F3124" i="1"/>
  <c r="F3128" i="1"/>
  <c r="F3132" i="1"/>
  <c r="F3136" i="1"/>
  <c r="F3140" i="1"/>
  <c r="F3144" i="1"/>
  <c r="F3148" i="1"/>
  <c r="F3152" i="1"/>
  <c r="F3156" i="1"/>
  <c r="F3166" i="1"/>
  <c r="F3170" i="1"/>
  <c r="F3174" i="1"/>
  <c r="F3178" i="1"/>
  <c r="F3182" i="1"/>
  <c r="F3186" i="1"/>
  <c r="F3190" i="1"/>
  <c r="F3194" i="1"/>
  <c r="F3198" i="1"/>
  <c r="F3202" i="1"/>
  <c r="F3206" i="1"/>
  <c r="F3210" i="1"/>
  <c r="F3214" i="1"/>
  <c r="F3218" i="1"/>
  <c r="F3222" i="1"/>
  <c r="F3226" i="1"/>
  <c r="F3230" i="1"/>
  <c r="F3234" i="1"/>
  <c r="F12" i="1"/>
  <c r="F24" i="1"/>
  <c r="F32" i="1"/>
  <c r="F40" i="1"/>
  <c r="F48" i="1"/>
  <c r="F56" i="1"/>
  <c r="F64" i="1"/>
  <c r="F72" i="1"/>
  <c r="F80" i="1"/>
  <c r="F16" i="1"/>
  <c r="F20" i="1"/>
  <c r="F28" i="1"/>
  <c r="F44" i="1"/>
  <c r="F52" i="1"/>
  <c r="F60" i="1"/>
  <c r="F68" i="1"/>
  <c r="F84" i="1"/>
  <c r="F88" i="1"/>
  <c r="F92" i="1"/>
  <c r="F96" i="1"/>
  <c r="F108" i="1"/>
  <c r="F112" i="1"/>
  <c r="F116" i="1"/>
  <c r="F120" i="1"/>
  <c r="F124" i="1"/>
  <c r="F128" i="1"/>
  <c r="F132" i="1"/>
  <c r="F136" i="1"/>
  <c r="F140" i="1"/>
  <c r="F144" i="1"/>
  <c r="F148" i="1"/>
  <c r="F152" i="1"/>
  <c r="F156" i="1"/>
  <c r="F160" i="1"/>
  <c r="F164" i="1"/>
  <c r="F3238" i="1"/>
  <c r="F3242" i="1"/>
  <c r="F3246" i="1"/>
  <c r="F3250" i="1"/>
  <c r="F3254" i="1"/>
  <c r="F3258" i="1"/>
  <c r="F3262" i="1"/>
  <c r="F3266" i="1"/>
  <c r="F3270" i="1"/>
  <c r="F3274" i="1"/>
  <c r="F3278" i="1"/>
  <c r="F3282" i="1"/>
  <c r="F3101" i="1"/>
  <c r="F6210" i="1"/>
  <c r="F3286" i="1"/>
  <c r="F3290" i="1"/>
  <c r="F3294" i="1"/>
  <c r="F3298" i="1"/>
  <c r="F3302" i="1"/>
  <c r="F3306" i="1"/>
  <c r="F3310" i="1"/>
  <c r="F3314" i="1"/>
  <c r="F3318" i="1"/>
  <c r="F3322" i="1"/>
  <c r="F3326" i="1"/>
  <c r="F3330" i="1"/>
  <c r="F3334" i="1"/>
  <c r="F6207" i="1"/>
  <c r="F6215" i="1"/>
  <c r="F6216" i="1"/>
  <c r="F3338" i="1"/>
  <c r="F3342" i="1"/>
  <c r="F3346" i="1"/>
  <c r="F3350" i="1"/>
  <c r="F3354" i="1"/>
  <c r="F3358" i="1"/>
  <c r="F3362" i="1"/>
  <c r="F3366" i="1"/>
  <c r="F3370" i="1"/>
  <c r="F3374" i="1"/>
  <c r="F3378" i="1"/>
  <c r="F3382" i="1"/>
  <c r="F3386" i="1"/>
  <c r="F3010" i="1"/>
  <c r="F3014" i="1"/>
  <c r="F3018" i="1"/>
  <c r="F3022" i="1"/>
  <c r="F3026" i="1"/>
  <c r="F3030" i="1"/>
  <c r="F3034" i="1"/>
  <c r="F3038" i="1"/>
  <c r="F3042" i="1"/>
  <c r="F3046" i="1"/>
  <c r="F3050" i="1"/>
  <c r="F3054" i="1"/>
  <c r="F3058" i="1"/>
  <c r="F3062" i="1"/>
  <c r="F3066" i="1"/>
  <c r="F3070" i="1"/>
  <c r="F3074" i="1"/>
  <c r="F3078" i="1"/>
  <c r="F3082" i="1"/>
  <c r="F3086" i="1"/>
  <c r="F3090" i="1"/>
  <c r="F3094" i="1"/>
  <c r="F3098" i="1"/>
  <c r="F3105" i="1"/>
  <c r="F3109" i="1"/>
  <c r="F3113" i="1"/>
  <c r="F3117" i="1"/>
  <c r="F3121" i="1"/>
  <c r="F3125" i="1"/>
  <c r="F3129" i="1"/>
  <c r="F3133" i="1"/>
  <c r="F3137" i="1"/>
  <c r="F3141" i="1"/>
  <c r="F3145" i="1"/>
  <c r="F3149" i="1"/>
  <c r="F3153" i="1"/>
  <c r="F3157" i="1"/>
  <c r="F3167" i="1"/>
  <c r="F3171" i="1"/>
  <c r="F3175" i="1"/>
  <c r="F3179" i="1"/>
  <c r="F3183" i="1"/>
  <c r="F3187" i="1"/>
  <c r="F3191" i="1"/>
  <c r="F3195" i="1"/>
  <c r="F3199" i="1"/>
  <c r="F3203" i="1"/>
  <c r="F3207" i="1"/>
  <c r="F3211" i="1"/>
  <c r="F3215" i="1"/>
  <c r="F3219" i="1"/>
  <c r="F3223" i="1"/>
  <c r="F3227" i="1"/>
  <c r="F3231" i="1"/>
  <c r="F3235" i="1"/>
  <c r="F3239" i="1"/>
  <c r="F3243" i="1"/>
  <c r="F3247" i="1"/>
  <c r="F3251" i="1"/>
  <c r="F3255" i="1"/>
  <c r="F3259" i="1"/>
  <c r="F3263" i="1"/>
  <c r="F3267" i="1"/>
  <c r="F3271" i="1"/>
  <c r="F3275" i="1"/>
  <c r="F3279" i="1"/>
  <c r="F3283" i="1"/>
  <c r="F3287" i="1"/>
  <c r="F3291" i="1"/>
  <c r="F3295" i="1"/>
  <c r="F3299" i="1"/>
  <c r="F3303" i="1"/>
  <c r="F3307" i="1"/>
  <c r="F3311" i="1"/>
  <c r="F3315" i="1"/>
  <c r="F3319" i="1"/>
  <c r="F3323" i="1"/>
  <c r="F3327" i="1"/>
  <c r="F3331" i="1"/>
  <c r="F3335" i="1"/>
  <c r="F3339" i="1"/>
  <c r="F3343" i="1"/>
  <c r="F3347" i="1"/>
  <c r="F3387" i="1"/>
  <c r="F3916" i="1"/>
  <c r="F3920" i="1"/>
  <c r="F3924" i="1"/>
  <c r="F3928" i="1"/>
  <c r="F3932" i="1"/>
  <c r="F3936" i="1"/>
  <c r="F3940" i="1"/>
  <c r="F3944" i="1"/>
  <c r="F3948" i="1"/>
  <c r="F3952" i="1"/>
  <c r="F3956" i="1"/>
  <c r="F6206" i="1"/>
  <c r="F6214" i="1"/>
  <c r="F4156" i="1"/>
  <c r="F4160" i="1"/>
  <c r="F4164" i="1"/>
  <c r="F4168" i="1"/>
  <c r="F6213" i="1"/>
  <c r="F6209" i="1"/>
  <c r="F3360" i="1"/>
  <c r="F3364" i="1"/>
  <c r="F3368" i="1"/>
  <c r="F3372" i="1"/>
  <c r="F3376" i="1"/>
  <c r="F3380" i="1"/>
  <c r="F3384" i="1"/>
  <c r="F3391" i="1"/>
  <c r="F3395" i="1"/>
  <c r="F3399" i="1"/>
  <c r="F3403" i="1"/>
  <c r="F3407" i="1"/>
  <c r="F3411" i="1"/>
  <c r="F3415" i="1"/>
  <c r="F3419" i="1"/>
  <c r="F3423" i="1"/>
  <c r="F3427" i="1"/>
  <c r="F3431" i="1"/>
  <c r="F3435" i="1"/>
  <c r="F3439" i="1"/>
  <c r="F3443" i="1"/>
  <c r="F3447" i="1"/>
  <c r="F3451" i="1"/>
  <c r="F3455" i="1"/>
  <c r="F3459" i="1"/>
  <c r="F3463" i="1"/>
  <c r="F3467" i="1"/>
  <c r="F3471" i="1"/>
  <c r="F3475" i="1"/>
  <c r="F3479" i="1"/>
  <c r="F3483" i="1"/>
  <c r="F3487" i="1"/>
  <c r="F3491" i="1"/>
  <c r="F3495" i="1"/>
  <c r="F3499" i="1"/>
  <c r="F3503" i="1"/>
  <c r="F3507" i="1"/>
  <c r="F3511" i="1"/>
  <c r="F3515" i="1"/>
  <c r="F3519" i="1"/>
  <c r="F3523" i="1"/>
  <c r="F6212" i="1"/>
  <c r="F6208" i="1"/>
  <c r="F3960" i="1"/>
  <c r="F3964" i="1"/>
  <c r="F3968" i="1"/>
  <c r="F3972" i="1"/>
  <c r="F3976" i="1"/>
  <c r="F6211" i="1"/>
  <c r="F6171" i="1"/>
  <c r="F6203" i="1"/>
  <c r="F6204" i="1"/>
  <c r="F6205" i="1"/>
  <c r="F3288" i="1"/>
  <c r="F3292" i="1"/>
  <c r="F3296" i="1"/>
  <c r="F3300" i="1"/>
  <c r="F3304" i="1"/>
  <c r="F3308" i="1"/>
  <c r="F3312" i="1"/>
  <c r="F3316" i="1"/>
  <c r="F3320" i="1"/>
  <c r="F3324" i="1"/>
  <c r="F3328" i="1"/>
  <c r="F3332" i="1"/>
  <c r="F3336" i="1"/>
  <c r="F3340" i="1"/>
  <c r="F3344" i="1"/>
  <c r="F3351" i="1"/>
  <c r="F3355" i="1"/>
  <c r="F3359" i="1"/>
  <c r="F3363" i="1"/>
  <c r="F3367" i="1"/>
  <c r="F3371" i="1"/>
  <c r="F3375" i="1"/>
  <c r="F3379" i="1"/>
  <c r="F3383" i="1"/>
  <c r="F3390" i="1"/>
  <c r="F3394" i="1"/>
  <c r="F3398" i="1"/>
  <c r="F3402" i="1"/>
  <c r="F3406" i="1"/>
  <c r="F3454" i="1"/>
  <c r="F3458" i="1"/>
  <c r="F3462" i="1"/>
  <c r="F3466" i="1"/>
  <c r="F3470" i="1"/>
  <c r="F3474" i="1"/>
  <c r="F3478" i="1"/>
  <c r="F3482" i="1"/>
  <c r="F3486" i="1"/>
  <c r="F3490" i="1"/>
  <c r="F3494" i="1"/>
  <c r="F3498" i="1"/>
  <c r="F3502" i="1"/>
  <c r="F3506" i="1"/>
  <c r="F3510" i="1"/>
  <c r="F3514" i="1"/>
  <c r="F3518" i="1"/>
  <c r="F3522" i="1"/>
  <c r="F3526" i="1"/>
  <c r="F3530" i="1"/>
  <c r="F3534" i="1"/>
  <c r="F3538" i="1"/>
  <c r="F3542" i="1"/>
  <c r="F3546" i="1"/>
  <c r="F3550" i="1"/>
  <c r="F3554" i="1"/>
  <c r="F3558" i="1"/>
  <c r="F3562" i="1"/>
  <c r="F3566" i="1"/>
  <c r="F3570" i="1"/>
  <c r="F3574" i="1"/>
  <c r="F3578" i="1"/>
  <c r="F3582" i="1"/>
  <c r="F3586" i="1"/>
  <c r="F3590" i="1"/>
  <c r="F3594" i="1"/>
  <c r="F3598" i="1"/>
  <c r="F3602" i="1"/>
  <c r="F3606" i="1"/>
  <c r="F3610" i="1"/>
  <c r="F3614" i="1"/>
  <c r="F3618" i="1"/>
  <c r="F3622" i="1"/>
  <c r="F3626" i="1"/>
  <c r="F3630" i="1"/>
  <c r="F3634" i="1"/>
  <c r="F3638" i="1"/>
  <c r="F3642" i="1"/>
  <c r="F3646" i="1"/>
  <c r="F3650" i="1"/>
  <c r="F3654" i="1"/>
  <c r="F3658" i="1"/>
  <c r="F3662" i="1"/>
  <c r="F3666" i="1"/>
  <c r="F3527" i="1"/>
  <c r="F3531" i="1"/>
  <c r="F3535" i="1"/>
  <c r="F3539" i="1"/>
  <c r="F3667" i="1"/>
  <c r="F6202" i="1"/>
  <c r="F3410" i="1"/>
  <c r="F3414" i="1"/>
  <c r="F3418" i="1"/>
  <c r="F3422" i="1"/>
  <c r="F3426" i="1"/>
  <c r="F3430" i="1"/>
  <c r="F3434" i="1"/>
  <c r="F3438" i="1"/>
  <c r="F3442" i="1"/>
  <c r="F3446" i="1"/>
  <c r="F3450" i="1"/>
  <c r="F3453" i="1"/>
  <c r="F3457" i="1"/>
  <c r="F3461" i="1"/>
  <c r="F3465" i="1"/>
  <c r="F3469" i="1"/>
  <c r="F3473" i="1"/>
  <c r="F3477" i="1"/>
  <c r="F3481" i="1"/>
  <c r="F3485" i="1"/>
  <c r="F3489" i="1"/>
  <c r="F3493" i="1"/>
  <c r="F3497" i="1"/>
  <c r="F3501" i="1"/>
  <c r="F3505" i="1"/>
  <c r="F3509" i="1"/>
  <c r="F3513" i="1"/>
  <c r="F3517" i="1"/>
  <c r="F3521" i="1"/>
  <c r="F3525" i="1"/>
  <c r="F3529" i="1"/>
  <c r="F3533" i="1"/>
  <c r="F3537" i="1"/>
  <c r="F3540" i="1"/>
  <c r="F3544" i="1"/>
  <c r="F3548" i="1"/>
  <c r="F3552" i="1"/>
  <c r="F3556" i="1"/>
  <c r="F3560" i="1"/>
  <c r="F3564" i="1"/>
  <c r="F3568" i="1"/>
  <c r="F3572" i="1"/>
  <c r="F3576" i="1"/>
  <c r="F3580" i="1"/>
  <c r="F3584" i="1"/>
  <c r="F3588" i="1"/>
  <c r="F3592" i="1"/>
  <c r="F3596" i="1"/>
  <c r="F3600" i="1"/>
  <c r="F3604" i="1"/>
  <c r="F3608" i="1"/>
  <c r="F3612" i="1"/>
  <c r="F3616" i="1"/>
  <c r="F3620" i="1"/>
  <c r="F3624" i="1"/>
  <c r="F3628" i="1"/>
  <c r="F3632" i="1"/>
  <c r="F3636" i="1"/>
  <c r="F3640" i="1"/>
  <c r="F3644" i="1"/>
  <c r="F3648" i="1"/>
  <c r="F3652" i="1"/>
  <c r="F3656" i="1"/>
  <c r="F3660" i="1"/>
  <c r="F3664" i="1"/>
  <c r="F3671" i="1"/>
  <c r="F3675" i="1"/>
  <c r="F3679" i="1"/>
  <c r="F3683" i="1"/>
  <c r="F3687" i="1"/>
  <c r="F3691" i="1"/>
  <c r="F3695" i="1"/>
  <c r="F3699" i="1"/>
  <c r="F3703" i="1"/>
  <c r="F3707" i="1"/>
  <c r="F3711" i="1"/>
  <c r="F3715" i="1"/>
  <c r="F3719" i="1"/>
  <c r="F3723" i="1"/>
  <c r="F3727" i="1"/>
  <c r="F3731" i="1"/>
  <c r="F3735" i="1"/>
  <c r="F3739" i="1"/>
  <c r="F3980" i="1"/>
  <c r="F3984" i="1"/>
  <c r="F3988" i="1"/>
  <c r="F3992" i="1"/>
  <c r="F3996" i="1"/>
  <c r="F4000" i="1"/>
  <c r="F4004" i="1"/>
  <c r="F4008" i="1"/>
  <c r="F4012" i="1"/>
  <c r="F4016" i="1"/>
  <c r="F4020" i="1"/>
  <c r="F4024" i="1"/>
  <c r="F4028" i="1"/>
  <c r="F4032" i="1"/>
  <c r="F4036" i="1"/>
  <c r="F4040" i="1"/>
  <c r="F4044" i="1"/>
  <c r="F4048" i="1"/>
  <c r="F4052" i="1"/>
  <c r="F4056" i="1"/>
  <c r="F4060" i="1"/>
  <c r="F4064" i="1"/>
  <c r="F4071" i="1"/>
  <c r="F4075" i="1"/>
  <c r="F4079" i="1"/>
  <c r="F4083" i="1"/>
  <c r="F4087" i="1"/>
  <c r="F4091" i="1"/>
  <c r="F4095" i="1"/>
  <c r="F4099" i="1"/>
  <c r="F4103" i="1"/>
  <c r="F4107" i="1"/>
  <c r="F4111" i="1"/>
  <c r="F4115" i="1"/>
  <c r="F4119" i="1"/>
  <c r="F4123" i="1"/>
  <c r="F4127" i="1"/>
  <c r="F4131" i="1"/>
  <c r="F4135" i="1"/>
  <c r="F4139" i="1"/>
  <c r="F4143" i="1"/>
  <c r="F4147" i="1"/>
  <c r="F4151" i="1"/>
  <c r="F4155" i="1"/>
  <c r="F4199" i="1"/>
  <c r="F4203" i="1"/>
  <c r="F4207" i="1"/>
  <c r="F4211" i="1"/>
  <c r="F4215" i="1"/>
  <c r="F4219" i="1"/>
  <c r="F4223" i="1"/>
  <c r="F4227" i="1"/>
  <c r="F4231" i="1"/>
  <c r="F4235" i="1"/>
  <c r="F4239" i="1"/>
  <c r="F4243" i="1"/>
  <c r="F4247" i="1"/>
  <c r="F4251" i="1"/>
  <c r="F4255" i="1"/>
  <c r="F4259" i="1"/>
  <c r="F4263" i="1"/>
  <c r="F4267" i="1"/>
  <c r="F4271" i="1"/>
  <c r="F4275" i="1"/>
  <c r="F4279" i="1"/>
  <c r="F4283" i="1"/>
  <c r="F4287" i="1"/>
  <c r="F4291" i="1"/>
  <c r="F4295" i="1"/>
  <c r="F4299" i="1"/>
  <c r="F4303" i="1"/>
  <c r="F4307" i="1"/>
  <c r="F4311" i="1"/>
  <c r="F4315" i="1"/>
  <c r="F4319" i="1"/>
  <c r="F4323" i="1"/>
  <c r="F6198" i="1"/>
  <c r="F6194" i="1"/>
  <c r="F6190" i="1"/>
  <c r="F6186" i="1"/>
  <c r="F6182" i="1"/>
  <c r="F6178" i="1"/>
  <c r="F6174" i="1"/>
  <c r="F4172" i="1"/>
  <c r="F4176" i="1"/>
  <c r="F4180" i="1"/>
  <c r="F4184" i="1"/>
  <c r="F4188" i="1"/>
  <c r="F4192" i="1"/>
  <c r="F4196" i="1"/>
  <c r="F4200" i="1"/>
  <c r="F4204" i="1"/>
  <c r="F4208" i="1"/>
  <c r="F4212" i="1"/>
  <c r="F4216" i="1"/>
  <c r="F4220" i="1"/>
  <c r="F4224" i="1"/>
  <c r="F4228" i="1"/>
  <c r="F3543" i="1"/>
  <c r="F3547" i="1"/>
  <c r="F3551" i="1"/>
  <c r="F3555" i="1"/>
  <c r="F3559" i="1"/>
  <c r="F3563" i="1"/>
  <c r="F3567" i="1"/>
  <c r="F3571" i="1"/>
  <c r="F3575" i="1"/>
  <c r="F3579" i="1"/>
  <c r="F3583" i="1"/>
  <c r="F3587" i="1"/>
  <c r="F3591" i="1"/>
  <c r="F3595" i="1"/>
  <c r="F3599" i="1"/>
  <c r="F3603" i="1"/>
  <c r="F3607" i="1"/>
  <c r="F3611" i="1"/>
  <c r="F3615" i="1"/>
  <c r="F3619" i="1"/>
  <c r="F3743" i="1"/>
  <c r="F3747" i="1"/>
  <c r="F3751" i="1"/>
  <c r="F3755" i="1"/>
  <c r="F3623" i="1"/>
  <c r="F3627" i="1"/>
  <c r="F3631" i="1"/>
  <c r="F3635" i="1"/>
  <c r="F3639" i="1"/>
  <c r="F3643" i="1"/>
  <c r="F3647" i="1"/>
  <c r="F3651" i="1"/>
  <c r="F3759" i="1"/>
  <c r="F3763" i="1"/>
  <c r="F3767" i="1"/>
  <c r="F3771" i="1"/>
  <c r="F3775" i="1"/>
  <c r="F3779" i="1"/>
  <c r="F3783" i="1"/>
  <c r="F3787" i="1"/>
  <c r="F3791" i="1"/>
  <c r="F3795" i="1"/>
  <c r="F3799" i="1"/>
  <c r="F3803" i="1"/>
  <c r="F4232" i="1"/>
  <c r="F3655" i="1"/>
  <c r="F3659" i="1"/>
  <c r="F3663" i="1"/>
  <c r="F3670" i="1"/>
  <c r="F3674" i="1"/>
  <c r="F3678" i="1"/>
  <c r="F3682" i="1"/>
  <c r="F3686" i="1"/>
  <c r="F3690" i="1"/>
  <c r="F3694" i="1"/>
  <c r="F3698" i="1"/>
  <c r="F3702" i="1"/>
  <c r="F3706" i="1"/>
  <c r="F3710" i="1"/>
  <c r="F3714" i="1"/>
  <c r="F3807" i="1"/>
  <c r="F3811" i="1"/>
  <c r="F3815" i="1"/>
  <c r="F3819" i="1"/>
  <c r="F3823" i="1"/>
  <c r="F3827" i="1"/>
  <c r="F3831" i="1"/>
  <c r="F3835" i="1"/>
  <c r="F3839" i="1"/>
  <c r="F3843" i="1"/>
  <c r="F3847" i="1"/>
  <c r="F3851" i="1"/>
  <c r="F3718" i="1"/>
  <c r="F3722" i="1"/>
  <c r="F3726" i="1"/>
  <c r="F3730" i="1"/>
  <c r="F3734" i="1"/>
  <c r="F3738" i="1"/>
  <c r="F3742" i="1"/>
  <c r="F3746" i="1"/>
  <c r="F3887" i="1"/>
  <c r="F3891" i="1"/>
  <c r="F3895" i="1"/>
  <c r="F3899" i="1"/>
  <c r="F3903" i="1"/>
  <c r="F3907" i="1"/>
  <c r="F3911" i="1"/>
  <c r="F3915" i="1"/>
  <c r="F3919" i="1"/>
  <c r="F3750" i="1"/>
  <c r="F3754" i="1"/>
  <c r="F3758" i="1"/>
  <c r="F3762" i="1"/>
  <c r="F3766" i="1"/>
  <c r="F3770" i="1"/>
  <c r="F3774" i="1"/>
  <c r="F3778" i="1"/>
  <c r="F3782" i="1"/>
  <c r="F3786" i="1"/>
  <c r="F3790" i="1"/>
  <c r="F3923" i="1"/>
  <c r="F3927" i="1"/>
  <c r="F3931" i="1"/>
  <c r="F3935" i="1"/>
  <c r="F3939" i="1"/>
  <c r="F3943" i="1"/>
  <c r="F3947" i="1"/>
  <c r="F3794" i="1"/>
  <c r="F3798" i="1"/>
  <c r="F3802" i="1"/>
  <c r="F3806" i="1"/>
  <c r="F3810" i="1"/>
  <c r="F3814" i="1"/>
  <c r="F3818" i="1"/>
  <c r="F3822" i="1"/>
  <c r="F3951" i="1"/>
  <c r="F3955" i="1"/>
  <c r="F3959" i="1"/>
  <c r="F3963" i="1"/>
  <c r="F3967" i="1"/>
  <c r="F3971" i="1"/>
  <c r="F3975" i="1"/>
  <c r="F3979" i="1"/>
  <c r="F3983" i="1"/>
  <c r="F4236" i="1"/>
  <c r="F4240" i="1"/>
  <c r="F4244" i="1"/>
  <c r="F4248" i="1"/>
  <c r="F4252" i="1"/>
  <c r="F4256" i="1"/>
  <c r="F4260" i="1"/>
  <c r="F4264" i="1"/>
  <c r="F4268" i="1"/>
  <c r="F4272" i="1"/>
  <c r="F4276" i="1"/>
  <c r="F4280" i="1"/>
  <c r="F3886" i="1"/>
  <c r="F3826" i="1"/>
  <c r="F3830" i="1"/>
  <c r="F3834" i="1"/>
  <c r="F3838" i="1"/>
  <c r="F3842" i="1"/>
  <c r="F3846" i="1"/>
  <c r="F3850" i="1"/>
  <c r="F3854" i="1"/>
  <c r="F3858" i="1"/>
  <c r="F3862" i="1"/>
  <c r="F3866" i="1"/>
  <c r="F3870" i="1"/>
  <c r="F3874" i="1"/>
  <c r="F3878" i="1"/>
  <c r="F3882" i="1"/>
  <c r="F3987" i="1"/>
  <c r="F3991" i="1"/>
  <c r="F3995" i="1"/>
  <c r="F3999" i="1"/>
  <c r="F4003" i="1"/>
  <c r="F4007" i="1"/>
  <c r="F3855" i="1"/>
  <c r="F3859" i="1"/>
  <c r="F3863" i="1"/>
  <c r="F3867" i="1"/>
  <c r="F3871" i="1"/>
  <c r="F3875" i="1"/>
  <c r="F3879" i="1"/>
  <c r="F3883" i="1"/>
  <c r="F3890" i="1"/>
  <c r="F3894" i="1"/>
  <c r="F4011" i="1"/>
  <c r="F4015" i="1"/>
  <c r="F4019" i="1"/>
  <c r="F4023" i="1"/>
  <c r="F4027" i="1"/>
  <c r="F4031" i="1"/>
  <c r="F4035" i="1"/>
  <c r="F4039" i="1"/>
  <c r="F4284" i="1"/>
  <c r="F4288" i="1"/>
  <c r="F4292" i="1"/>
  <c r="F4296" i="1"/>
  <c r="F4300" i="1"/>
  <c r="F4304" i="1"/>
  <c r="F4308" i="1"/>
  <c r="F3898" i="1"/>
  <c r="F3902" i="1"/>
  <c r="F3906" i="1"/>
  <c r="F3910" i="1"/>
  <c r="F3914" i="1"/>
  <c r="F3918" i="1"/>
  <c r="F4043" i="1"/>
  <c r="F4047" i="1"/>
  <c r="F4051" i="1"/>
  <c r="F4055" i="1"/>
  <c r="F4059" i="1"/>
  <c r="F4063" i="1"/>
  <c r="F4067" i="1"/>
  <c r="F4070" i="1"/>
  <c r="F4074" i="1"/>
  <c r="F4078" i="1"/>
  <c r="F4082" i="1"/>
  <c r="F4086" i="1"/>
  <c r="F3922" i="1"/>
  <c r="F3926" i="1"/>
  <c r="F3930" i="1"/>
  <c r="F3934" i="1"/>
  <c r="F3938" i="1"/>
  <c r="F3942" i="1"/>
  <c r="F3946" i="1"/>
  <c r="F3950" i="1"/>
  <c r="F3954" i="1"/>
  <c r="F3958" i="1"/>
  <c r="F3962" i="1"/>
  <c r="F3966" i="1"/>
  <c r="F4090" i="1"/>
  <c r="F4094" i="1"/>
  <c r="F4098" i="1"/>
  <c r="F4102" i="1"/>
  <c r="F4106" i="1"/>
  <c r="F4110" i="1"/>
  <c r="F4312" i="1"/>
  <c r="F4316" i="1"/>
  <c r="F4320" i="1"/>
  <c r="F6201" i="1"/>
  <c r="F6197" i="1"/>
  <c r="F6193" i="1"/>
  <c r="F6189" i="1"/>
  <c r="F6185" i="1"/>
  <c r="F6181" i="1"/>
  <c r="F6177" i="1"/>
  <c r="F3970" i="1"/>
  <c r="F3974" i="1"/>
  <c r="F3978" i="1"/>
  <c r="F3982" i="1"/>
  <c r="F3986" i="1"/>
  <c r="F3990" i="1"/>
  <c r="F3994" i="1"/>
  <c r="F3998" i="1"/>
  <c r="F4002" i="1"/>
  <c r="F4006" i="1"/>
  <c r="F4010" i="1"/>
  <c r="F4014" i="1"/>
  <c r="F4018" i="1"/>
  <c r="F4022" i="1"/>
  <c r="F4026" i="1"/>
  <c r="F4114" i="1"/>
  <c r="F4118" i="1"/>
  <c r="F4122" i="1"/>
  <c r="F4126" i="1"/>
  <c r="F4130" i="1"/>
  <c r="F4134" i="1"/>
  <c r="F4138" i="1"/>
  <c r="F4030" i="1"/>
  <c r="F4034" i="1"/>
  <c r="F4038" i="1"/>
  <c r="F4042" i="1"/>
  <c r="F4046" i="1"/>
  <c r="F4050" i="1"/>
  <c r="F4054" i="1"/>
  <c r="F4142" i="1"/>
  <c r="F4146" i="1"/>
  <c r="F4150" i="1"/>
  <c r="F4154" i="1"/>
  <c r="F4158" i="1"/>
  <c r="F4162" i="1"/>
  <c r="F4166" i="1"/>
  <c r="F4170" i="1"/>
  <c r="F4174" i="1"/>
  <c r="F4178" i="1"/>
  <c r="F4182" i="1"/>
  <c r="F4186" i="1"/>
  <c r="F4190" i="1"/>
  <c r="F4058" i="1"/>
  <c r="F4062" i="1"/>
  <c r="F4066" i="1"/>
  <c r="F4069" i="1"/>
  <c r="F4073" i="1"/>
  <c r="F4077" i="1"/>
  <c r="F4081" i="1"/>
  <c r="F4085" i="1"/>
  <c r="F4089" i="1"/>
  <c r="F4093" i="1"/>
  <c r="F4097" i="1"/>
  <c r="F4101" i="1"/>
  <c r="F4194" i="1"/>
  <c r="F4198" i="1"/>
  <c r="F4254" i="1"/>
  <c r="F4258" i="1"/>
  <c r="F4262" i="1"/>
  <c r="F4266" i="1"/>
  <c r="F4270" i="1"/>
  <c r="F4105" i="1"/>
  <c r="F4109" i="1"/>
  <c r="F4113" i="1"/>
  <c r="F4117" i="1"/>
  <c r="F4121" i="1"/>
  <c r="F4125" i="1"/>
  <c r="F4129" i="1"/>
  <c r="F4133" i="1"/>
  <c r="F4137" i="1"/>
  <c r="F4141" i="1"/>
  <c r="F4145" i="1"/>
  <c r="F4274" i="1"/>
  <c r="F4278" i="1"/>
  <c r="F4282" i="1"/>
  <c r="F4286" i="1"/>
  <c r="F4290" i="1"/>
  <c r="F4294" i="1"/>
  <c r="F4298" i="1"/>
  <c r="F4302" i="1"/>
  <c r="F4149" i="1"/>
  <c r="F4153" i="1"/>
  <c r="F4157" i="1"/>
  <c r="F4161" i="1"/>
  <c r="F4165" i="1"/>
  <c r="F4169" i="1"/>
  <c r="F4173" i="1"/>
  <c r="F4177" i="1"/>
  <c r="F4181" i="1"/>
  <c r="F4185" i="1"/>
  <c r="F4189" i="1"/>
  <c r="F4306" i="1"/>
  <c r="F4310" i="1"/>
  <c r="F4314" i="1"/>
  <c r="F4318" i="1"/>
  <c r="F4322" i="1"/>
  <c r="F4326" i="1"/>
  <c r="F4330" i="1"/>
  <c r="F6173" i="1"/>
  <c r="F4334" i="1"/>
  <c r="F4338" i="1"/>
  <c r="F4327" i="1"/>
  <c r="F4331" i="1"/>
  <c r="F4367" i="1"/>
  <c r="F4371" i="1"/>
  <c r="F4375" i="1"/>
  <c r="F6199" i="1"/>
  <c r="F4324" i="1"/>
  <c r="F4328" i="1"/>
  <c r="F4332" i="1"/>
  <c r="F4336" i="1"/>
  <c r="F4340" i="1"/>
  <c r="F4344" i="1"/>
  <c r="F6187" i="1"/>
  <c r="F4193" i="1"/>
  <c r="F4197" i="1"/>
  <c r="F4201" i="1"/>
  <c r="F4205" i="1"/>
  <c r="F4209" i="1"/>
  <c r="F4213" i="1"/>
  <c r="F4217" i="1"/>
  <c r="F4221" i="1"/>
  <c r="F4225" i="1"/>
  <c r="F4229" i="1"/>
  <c r="F6183" i="1"/>
  <c r="F4348" i="1"/>
  <c r="F4352" i="1"/>
  <c r="F4356" i="1"/>
  <c r="F4360" i="1"/>
  <c r="F4364" i="1"/>
  <c r="F6195" i="1"/>
  <c r="F6179" i="1"/>
  <c r="F4233" i="1"/>
  <c r="F4237" i="1"/>
  <c r="F4241" i="1"/>
  <c r="F4245" i="1"/>
  <c r="F4249" i="1"/>
  <c r="F6191" i="1"/>
  <c r="F6175" i="1"/>
  <c r="F6172" i="1"/>
  <c r="F6176" i="1"/>
  <c r="F6180" i="1"/>
  <c r="F6184" i="1"/>
  <c r="F6188" i="1"/>
  <c r="F6192" i="1"/>
  <c r="F6196" i="1"/>
  <c r="F6200" i="1"/>
  <c r="F4379" i="1"/>
  <c r="F4383" i="1"/>
  <c r="F4387" i="1"/>
  <c r="F4423" i="1"/>
  <c r="F4647" i="1"/>
  <c r="F4159" i="1"/>
  <c r="F4163" i="1"/>
  <c r="F4167" i="1"/>
  <c r="F4171" i="1"/>
  <c r="F4175" i="1"/>
  <c r="F4179" i="1"/>
  <c r="F4183" i="1"/>
  <c r="F4187" i="1"/>
  <c r="F4191" i="1"/>
  <c r="F4195" i="1"/>
  <c r="F4202" i="1"/>
  <c r="F4206" i="1"/>
  <c r="F4210" i="1"/>
  <c r="F4214" i="1"/>
  <c r="F4218" i="1"/>
  <c r="F4222" i="1"/>
  <c r="F4226" i="1"/>
  <c r="F4230" i="1"/>
  <c r="F4234" i="1"/>
  <c r="F4238" i="1"/>
  <c r="F4242" i="1"/>
  <c r="F4246" i="1"/>
  <c r="F4250" i="1"/>
  <c r="F4253" i="1"/>
  <c r="F4257" i="1"/>
  <c r="F4261" i="1"/>
  <c r="F4265" i="1"/>
  <c r="F4269" i="1"/>
  <c r="F4273" i="1"/>
  <c r="F4277" i="1"/>
  <c r="F4281" i="1"/>
  <c r="F4285" i="1"/>
  <c r="F4289" i="1"/>
  <c r="F4293" i="1"/>
  <c r="F4297" i="1"/>
  <c r="F4301" i="1"/>
  <c r="F4305" i="1"/>
  <c r="F4309" i="1"/>
  <c r="F4313" i="1"/>
  <c r="F4317" i="1"/>
  <c r="F4321" i="1"/>
  <c r="F4325" i="1"/>
  <c r="F4329" i="1"/>
  <c r="F4333" i="1"/>
  <c r="F4337" i="1"/>
  <c r="F4341" i="1"/>
  <c r="F4345" i="1"/>
  <c r="F4349" i="1"/>
  <c r="F4353" i="1"/>
  <c r="F4357" i="1"/>
  <c r="F4361" i="1"/>
  <c r="F4365" i="1"/>
  <c r="F4368" i="1"/>
  <c r="F4372" i="1"/>
  <c r="F4539" i="1"/>
  <c r="F4571" i="1"/>
  <c r="F4501" i="1"/>
  <c r="F4391" i="1"/>
  <c r="F4395" i="1"/>
  <c r="F4399" i="1"/>
  <c r="F4403" i="1"/>
  <c r="F4407" i="1"/>
  <c r="F4411" i="1"/>
  <c r="F4415" i="1"/>
  <c r="F4419" i="1"/>
  <c r="F4426" i="1"/>
  <c r="F4430" i="1"/>
  <c r="F4434" i="1"/>
  <c r="F4438" i="1"/>
  <c r="F4442" i="1"/>
  <c r="F4446" i="1"/>
  <c r="F4450" i="1"/>
  <c r="F4454" i="1"/>
  <c r="F4458" i="1"/>
  <c r="F4462" i="1"/>
  <c r="F4466" i="1"/>
  <c r="F4470" i="1"/>
  <c r="F4474" i="1"/>
  <c r="F4478" i="1"/>
  <c r="F4482" i="1"/>
  <c r="F4486" i="1"/>
  <c r="F4490" i="1"/>
  <c r="F4494" i="1"/>
  <c r="F4498" i="1"/>
  <c r="F4505" i="1"/>
  <c r="F4509" i="1"/>
  <c r="F4513" i="1"/>
  <c r="F4517" i="1"/>
  <c r="F4521" i="1"/>
  <c r="F4525" i="1"/>
  <c r="F4529" i="1"/>
  <c r="F4533" i="1"/>
  <c r="F4537" i="1"/>
  <c r="F4540" i="1"/>
  <c r="F4544" i="1"/>
  <c r="F4548" i="1"/>
  <c r="F4552" i="1"/>
  <c r="F4556" i="1"/>
  <c r="F4560" i="1"/>
  <c r="F4564" i="1"/>
  <c r="F4568" i="1"/>
  <c r="F4575" i="1"/>
  <c r="F4579" i="1"/>
  <c r="F4583" i="1"/>
  <c r="F4587" i="1"/>
  <c r="F4591" i="1"/>
  <c r="F4595" i="1"/>
  <c r="F4599" i="1"/>
  <c r="F4603" i="1"/>
  <c r="F4607" i="1"/>
  <c r="F4611" i="1"/>
  <c r="F4615" i="1"/>
  <c r="F4619" i="1"/>
  <c r="F4623" i="1"/>
  <c r="F4627" i="1"/>
  <c r="F4631" i="1"/>
  <c r="F4635" i="1"/>
  <c r="F4376" i="1"/>
  <c r="F4380" i="1"/>
  <c r="F4384" i="1"/>
  <c r="F4388" i="1"/>
  <c r="F4392" i="1"/>
  <c r="F4396" i="1"/>
  <c r="F4400" i="1"/>
  <c r="F4404" i="1"/>
  <c r="F4408" i="1"/>
  <c r="F4412" i="1"/>
  <c r="F4416" i="1"/>
  <c r="F4420" i="1"/>
  <c r="F4427" i="1"/>
  <c r="F4431" i="1"/>
  <c r="F4435" i="1"/>
  <c r="F4439" i="1"/>
  <c r="F4443" i="1"/>
  <c r="F4447" i="1"/>
  <c r="F4451" i="1"/>
  <c r="F4455" i="1"/>
  <c r="F4459" i="1"/>
  <c r="F4463" i="1"/>
  <c r="F4467" i="1"/>
  <c r="F4471" i="1"/>
  <c r="F4475" i="1"/>
  <c r="F4479" i="1"/>
  <c r="F4483" i="1"/>
  <c r="F4487" i="1"/>
  <c r="F4491" i="1"/>
  <c r="F4495" i="1"/>
  <c r="F4499" i="1"/>
  <c r="F4502" i="1"/>
  <c r="F4506" i="1"/>
  <c r="F4510" i="1"/>
  <c r="F4514" i="1"/>
  <c r="F4518" i="1"/>
  <c r="F4522" i="1"/>
  <c r="F4526" i="1"/>
  <c r="F4530" i="1"/>
  <c r="F4534" i="1"/>
  <c r="F4538" i="1"/>
  <c r="F4541" i="1"/>
  <c r="F4545" i="1"/>
  <c r="F4549" i="1"/>
  <c r="F4553" i="1"/>
  <c r="F4557" i="1"/>
  <c r="F4561" i="1"/>
  <c r="F4565" i="1"/>
  <c r="F4569" i="1"/>
  <c r="F4572" i="1"/>
  <c r="F4576" i="1"/>
  <c r="F4580" i="1"/>
  <c r="F4584" i="1"/>
  <c r="F4588" i="1"/>
  <c r="F4592" i="1"/>
  <c r="F4596" i="1"/>
  <c r="F4600" i="1"/>
  <c r="F4604" i="1"/>
  <c r="F4608" i="1"/>
  <c r="F4612" i="1"/>
  <c r="F4616" i="1"/>
  <c r="F4620" i="1"/>
  <c r="F4624" i="1"/>
  <c r="F4628" i="1"/>
  <c r="F4632" i="1"/>
  <c r="F4636" i="1"/>
  <c r="F4640" i="1"/>
  <c r="F4644" i="1"/>
  <c r="F4651" i="1"/>
  <c r="F4655" i="1"/>
  <c r="F4659" i="1"/>
  <c r="F4663" i="1"/>
  <c r="F4667" i="1"/>
  <c r="F4671" i="1"/>
  <c r="F4675" i="1"/>
  <c r="F4679" i="1"/>
  <c r="F4683" i="1"/>
  <c r="F4687" i="1"/>
  <c r="F4691" i="1"/>
  <c r="F4695" i="1"/>
  <c r="F4699" i="1"/>
  <c r="F4703" i="1"/>
  <c r="F4707" i="1"/>
  <c r="F4342" i="1"/>
  <c r="F4346" i="1"/>
  <c r="F4350" i="1"/>
  <c r="F4354" i="1"/>
  <c r="F4358" i="1"/>
  <c r="F4335" i="1"/>
  <c r="F4339" i="1"/>
  <c r="F4343" i="1"/>
  <c r="F4347" i="1"/>
  <c r="F4351" i="1"/>
  <c r="F4355" i="1"/>
  <c r="F4359" i="1"/>
  <c r="F4363" i="1"/>
  <c r="F4370" i="1"/>
  <c r="F4374" i="1"/>
  <c r="F4378" i="1"/>
  <c r="F4382" i="1"/>
  <c r="F4386" i="1"/>
  <c r="F4390" i="1"/>
  <c r="F4394" i="1"/>
  <c r="F4398" i="1"/>
  <c r="F4402" i="1"/>
  <c r="F4406" i="1"/>
  <c r="F4410" i="1"/>
  <c r="F4414" i="1"/>
  <c r="F4418" i="1"/>
  <c r="F4422" i="1"/>
  <c r="F4425" i="1"/>
  <c r="F4429" i="1"/>
  <c r="F4433" i="1"/>
  <c r="F4437" i="1"/>
  <c r="F4441" i="1"/>
  <c r="F4445" i="1"/>
  <c r="F4449" i="1"/>
  <c r="F4453" i="1"/>
  <c r="F4457" i="1"/>
  <c r="F4461" i="1"/>
  <c r="F4465" i="1"/>
  <c r="F4469" i="1"/>
  <c r="F4473" i="1"/>
  <c r="F4477" i="1"/>
  <c r="F4481" i="1"/>
  <c r="F4485" i="1"/>
  <c r="F4489" i="1"/>
  <c r="F4493" i="1"/>
  <c r="F4497" i="1"/>
  <c r="F4504" i="1"/>
  <c r="F4508" i="1"/>
  <c r="F4512" i="1"/>
  <c r="F4516" i="1"/>
  <c r="F4520" i="1"/>
  <c r="F4524" i="1"/>
  <c r="F4528" i="1"/>
  <c r="F4532" i="1"/>
  <c r="F4536" i="1"/>
  <c r="F4543" i="1"/>
  <c r="F4547" i="1"/>
  <c r="F4551" i="1"/>
  <c r="F4555" i="1"/>
  <c r="F4559" i="1"/>
  <c r="F4563" i="1"/>
  <c r="F4567" i="1"/>
  <c r="F4574" i="1"/>
  <c r="F4578" i="1"/>
  <c r="F4582" i="1"/>
  <c r="F4586" i="1"/>
  <c r="F4590" i="1"/>
  <c r="F4594" i="1"/>
  <c r="F4598" i="1"/>
  <c r="F4602" i="1"/>
  <c r="F4606" i="1"/>
  <c r="F4610" i="1"/>
  <c r="F4614" i="1"/>
  <c r="F4618" i="1"/>
  <c r="F4622" i="1"/>
  <c r="F4626" i="1"/>
  <c r="F4630" i="1"/>
  <c r="F4634" i="1"/>
  <c r="F4638" i="1"/>
  <c r="F4642" i="1"/>
  <c r="F4646" i="1"/>
  <c r="F4649" i="1"/>
  <c r="F4653" i="1"/>
  <c r="F4657" i="1"/>
  <c r="F4362" i="1"/>
  <c r="F4366" i="1"/>
  <c r="F4369" i="1"/>
  <c r="F4373" i="1"/>
  <c r="F4377" i="1"/>
  <c r="F4381" i="1"/>
  <c r="F4385" i="1"/>
  <c r="F4389" i="1"/>
  <c r="F4393" i="1"/>
  <c r="F4397" i="1"/>
  <c r="F4401" i="1"/>
  <c r="F4405" i="1"/>
  <c r="F4409" i="1"/>
  <c r="F4413" i="1"/>
  <c r="F4417" i="1"/>
  <c r="F4421" i="1"/>
  <c r="F4424" i="1"/>
  <c r="F4428" i="1"/>
  <c r="F4432" i="1"/>
  <c r="F4436" i="1"/>
  <c r="F4440" i="1"/>
  <c r="F4444" i="1"/>
  <c r="F4448" i="1"/>
  <c r="F4452" i="1"/>
  <c r="F4456" i="1"/>
  <c r="F4460" i="1"/>
  <c r="F4464" i="1"/>
  <c r="F4468" i="1"/>
  <c r="F4472" i="1"/>
  <c r="F4476" i="1"/>
  <c r="F4480" i="1"/>
  <c r="F4484" i="1"/>
  <c r="F4488" i="1"/>
  <c r="F4492" i="1"/>
  <c r="F4496" i="1"/>
  <c r="F4500" i="1"/>
  <c r="F4503" i="1"/>
  <c r="F4507" i="1"/>
  <c r="F4511" i="1"/>
  <c r="F4515" i="1"/>
  <c r="F4519" i="1"/>
  <c r="F4523" i="1"/>
  <c r="F4527" i="1"/>
  <c r="F4531" i="1"/>
  <c r="F4535" i="1"/>
  <c r="F4542" i="1"/>
  <c r="F4546" i="1"/>
  <c r="F4550" i="1"/>
  <c r="F4554" i="1"/>
  <c r="F4558" i="1"/>
  <c r="F4562" i="1"/>
  <c r="F4566" i="1"/>
  <c r="F4570" i="1"/>
  <c r="F4573" i="1"/>
  <c r="F4577" i="1"/>
  <c r="F4581" i="1"/>
  <c r="F4585" i="1"/>
  <c r="F4589" i="1"/>
  <c r="F4593" i="1"/>
  <c r="F4597" i="1"/>
  <c r="F4601" i="1"/>
  <c r="F4605" i="1"/>
  <c r="F4609" i="1"/>
  <c r="F4613" i="1"/>
  <c r="F4617" i="1"/>
  <c r="F4621" i="1"/>
  <c r="F5348" i="1"/>
  <c r="F5352" i="1"/>
  <c r="F5356" i="1"/>
  <c r="F5360" i="1"/>
  <c r="F5364" i="1"/>
  <c r="F5368" i="1"/>
  <c r="F5372" i="1"/>
  <c r="F5376" i="1"/>
  <c r="F5380" i="1"/>
  <c r="F5384" i="1"/>
  <c r="F5388" i="1"/>
  <c r="F5392" i="1"/>
  <c r="F5396" i="1"/>
  <c r="F5472" i="1"/>
  <c r="F5476" i="1"/>
  <c r="F5480" i="1"/>
  <c r="F5484" i="1"/>
  <c r="F5496" i="1"/>
  <c r="F5500" i="1"/>
  <c r="F4661" i="1"/>
  <c r="F4665" i="1"/>
  <c r="F4669" i="1"/>
  <c r="F4673" i="1"/>
  <c r="F4677" i="1"/>
  <c r="F4681" i="1"/>
  <c r="F4685" i="1"/>
  <c r="F4689" i="1"/>
  <c r="F4693" i="1"/>
  <c r="F4697" i="1"/>
  <c r="F4701" i="1"/>
  <c r="F4705" i="1"/>
  <c r="F4709" i="1"/>
  <c r="F4713" i="1"/>
  <c r="F4717" i="1"/>
  <c r="F4721" i="1"/>
  <c r="F4725" i="1"/>
  <c r="F4729" i="1"/>
  <c r="F4733" i="1"/>
  <c r="F4737" i="1"/>
  <c r="F4741" i="1"/>
  <c r="F4745" i="1"/>
  <c r="F4749" i="1"/>
  <c r="F4753" i="1"/>
  <c r="F4757" i="1"/>
  <c r="F4761" i="1"/>
  <c r="F4765" i="1"/>
  <c r="F4769" i="1"/>
  <c r="F4773" i="1"/>
  <c r="F4777" i="1"/>
  <c r="F4781" i="1"/>
  <c r="F4785" i="1"/>
  <c r="F4789" i="1"/>
  <c r="F4793" i="1"/>
  <c r="F4797" i="1"/>
  <c r="F4801" i="1"/>
  <c r="F4805" i="1"/>
  <c r="F4809" i="1"/>
  <c r="F4813" i="1"/>
  <c r="F4817" i="1"/>
  <c r="F4821" i="1"/>
  <c r="F4825" i="1"/>
  <c r="F4829" i="1"/>
  <c r="F4833" i="1"/>
  <c r="F4837" i="1"/>
  <c r="F4841" i="1"/>
  <c r="F4845" i="1"/>
  <c r="F4849" i="1"/>
  <c r="F4853" i="1"/>
  <c r="F4857" i="1"/>
  <c r="F4861" i="1"/>
  <c r="F4865" i="1"/>
  <c r="F4869" i="1"/>
  <c r="F4873" i="1"/>
  <c r="F4877" i="1"/>
  <c r="F4881" i="1"/>
  <c r="F4885" i="1"/>
  <c r="F4889" i="1"/>
  <c r="F4893" i="1"/>
  <c r="F4897" i="1"/>
  <c r="F4901" i="1"/>
  <c r="F4905" i="1"/>
  <c r="F4909" i="1"/>
  <c r="F4913" i="1"/>
  <c r="F4917" i="1"/>
  <c r="F4921" i="1"/>
  <c r="F4925" i="1"/>
  <c r="F4929" i="1"/>
  <c r="F4933" i="1"/>
  <c r="F4937" i="1"/>
  <c r="F4941" i="1"/>
  <c r="F4945" i="1"/>
  <c r="F4949" i="1"/>
  <c r="F4953" i="1"/>
  <c r="F4957" i="1"/>
  <c r="F4961" i="1"/>
  <c r="F4965" i="1"/>
  <c r="F4969" i="1"/>
  <c r="F4973" i="1"/>
  <c r="F4977" i="1"/>
  <c r="F4981" i="1"/>
  <c r="F4985" i="1"/>
  <c r="F4989" i="1"/>
  <c r="F5109" i="1"/>
  <c r="F4639" i="1"/>
  <c r="F4643" i="1"/>
  <c r="F4650" i="1"/>
  <c r="F4654" i="1"/>
  <c r="F4658" i="1"/>
  <c r="F4662" i="1"/>
  <c r="F4666" i="1"/>
  <c r="F4670" i="1"/>
  <c r="F4674" i="1"/>
  <c r="F4678" i="1"/>
  <c r="F4682" i="1"/>
  <c r="F4686" i="1"/>
  <c r="F4690" i="1"/>
  <c r="F4694" i="1"/>
  <c r="F4698" i="1"/>
  <c r="F4702" i="1"/>
  <c r="F4706" i="1"/>
  <c r="F4710" i="1"/>
  <c r="F4714" i="1"/>
  <c r="F4718" i="1"/>
  <c r="F4722" i="1"/>
  <c r="F4726" i="1"/>
  <c r="F4730" i="1"/>
  <c r="F4734" i="1"/>
  <c r="F4738" i="1"/>
  <c r="F4742" i="1"/>
  <c r="F4746" i="1"/>
  <c r="F4750" i="1"/>
  <c r="F4754" i="1"/>
  <c r="F4758" i="1"/>
  <c r="F4762" i="1"/>
  <c r="F4766" i="1"/>
  <c r="F4770" i="1"/>
  <c r="F4774" i="1"/>
  <c r="F4778" i="1"/>
  <c r="F4782" i="1"/>
  <c r="F4786" i="1"/>
  <c r="F4790" i="1"/>
  <c r="F4794" i="1"/>
  <c r="F4798" i="1"/>
  <c r="F4802" i="1"/>
  <c r="F4806" i="1"/>
  <c r="F4810" i="1"/>
  <c r="F4814" i="1"/>
  <c r="F4818" i="1"/>
  <c r="F4822" i="1"/>
  <c r="F4826" i="1"/>
  <c r="F4830" i="1"/>
  <c r="F4834" i="1"/>
  <c r="F4838" i="1"/>
  <c r="F4842" i="1"/>
  <c r="F4846" i="1"/>
  <c r="F4850" i="1"/>
  <c r="F4854" i="1"/>
  <c r="F4858" i="1"/>
  <c r="F4862" i="1"/>
  <c r="F4866" i="1"/>
  <c r="F4870" i="1"/>
  <c r="F4874" i="1"/>
  <c r="F4878" i="1"/>
  <c r="F4882" i="1"/>
  <c r="F4886" i="1"/>
  <c r="F4890" i="1"/>
  <c r="F4894" i="1"/>
  <c r="F4898" i="1"/>
  <c r="F4902" i="1"/>
  <c r="F4906" i="1"/>
  <c r="F4910" i="1"/>
  <c r="F4914" i="1"/>
  <c r="F4918" i="1"/>
  <c r="F4922" i="1"/>
  <c r="F4926" i="1"/>
  <c r="F4930" i="1"/>
  <c r="F4934" i="1"/>
  <c r="F4938" i="1"/>
  <c r="F4942" i="1"/>
  <c r="F4946" i="1"/>
  <c r="F4950" i="1"/>
  <c r="F4954" i="1"/>
  <c r="F4958" i="1"/>
  <c r="F4962" i="1"/>
  <c r="F4966" i="1"/>
  <c r="F4970" i="1"/>
  <c r="F4974" i="1"/>
  <c r="F4978" i="1"/>
  <c r="F4982" i="1"/>
  <c r="F4986" i="1"/>
  <c r="F4990" i="1"/>
  <c r="F4994" i="1"/>
  <c r="F4711" i="1"/>
  <c r="F4715" i="1"/>
  <c r="F4719" i="1"/>
  <c r="F4723" i="1"/>
  <c r="F4727" i="1"/>
  <c r="F5059" i="1"/>
  <c r="F5173" i="1"/>
  <c r="F4731" i="1"/>
  <c r="F4735" i="1"/>
  <c r="F4739" i="1"/>
  <c r="F4743" i="1"/>
  <c r="F4747" i="1"/>
  <c r="F4751" i="1"/>
  <c r="F4755" i="1"/>
  <c r="F4759" i="1"/>
  <c r="F4763" i="1"/>
  <c r="F4767" i="1"/>
  <c r="F4771" i="1"/>
  <c r="F4775" i="1"/>
  <c r="F4779" i="1"/>
  <c r="F4783" i="1"/>
  <c r="F4787" i="1"/>
  <c r="F4791" i="1"/>
  <c r="F4795" i="1"/>
  <c r="F4799" i="1"/>
  <c r="F4803" i="1"/>
  <c r="F4807" i="1"/>
  <c r="F4811" i="1"/>
  <c r="F4815" i="1"/>
  <c r="F4819" i="1"/>
  <c r="F4823" i="1"/>
  <c r="F4827" i="1"/>
  <c r="F4831" i="1"/>
  <c r="F4835" i="1"/>
  <c r="F4839" i="1"/>
  <c r="F4843" i="1"/>
  <c r="F4847" i="1"/>
  <c r="F4851" i="1"/>
  <c r="F4855" i="1"/>
  <c r="F4859" i="1"/>
  <c r="F4863" i="1"/>
  <c r="F4867" i="1"/>
  <c r="F4871" i="1"/>
  <c r="F4875" i="1"/>
  <c r="F4879" i="1"/>
  <c r="F4883" i="1"/>
  <c r="F4887" i="1"/>
  <c r="F4891" i="1"/>
  <c r="F4895" i="1"/>
  <c r="F4899" i="1"/>
  <c r="F4903" i="1"/>
  <c r="F4907" i="1"/>
  <c r="F4995" i="1"/>
  <c r="F5110" i="1"/>
  <c r="F5114" i="1"/>
  <c r="F5118" i="1"/>
  <c r="F5122" i="1"/>
  <c r="F5126" i="1"/>
  <c r="F5130" i="1"/>
  <c r="F5134" i="1"/>
  <c r="F5138" i="1"/>
  <c r="F5142" i="1"/>
  <c r="F5146" i="1"/>
  <c r="F5150" i="1"/>
  <c r="F5154" i="1"/>
  <c r="F5158" i="1"/>
  <c r="F5162" i="1"/>
  <c r="F5166" i="1"/>
  <c r="F5170" i="1"/>
  <c r="F5177" i="1"/>
  <c r="F5181" i="1"/>
  <c r="F5185" i="1"/>
  <c r="F5189" i="1"/>
  <c r="F5193" i="1"/>
  <c r="F5197" i="1"/>
  <c r="F5201" i="1"/>
  <c r="F5205" i="1"/>
  <c r="F5209" i="1"/>
  <c r="F5213" i="1"/>
  <c r="F5217" i="1"/>
  <c r="F5237" i="1"/>
  <c r="F4625" i="1"/>
  <c r="F4629" i="1"/>
  <c r="F4633" i="1"/>
  <c r="F4637" i="1"/>
  <c r="F4641" i="1"/>
  <c r="F4645" i="1"/>
  <c r="F4648" i="1"/>
  <c r="F4652" i="1"/>
  <c r="F4656" i="1"/>
  <c r="F4660" i="1"/>
  <c r="F4664" i="1"/>
  <c r="F4668" i="1"/>
  <c r="F4672" i="1"/>
  <c r="F4676" i="1"/>
  <c r="F4680" i="1"/>
  <c r="F4684" i="1"/>
  <c r="F4688" i="1"/>
  <c r="F4692" i="1"/>
  <c r="F4696" i="1"/>
  <c r="F4700" i="1"/>
  <c r="F4704" i="1"/>
  <c r="F4708" i="1"/>
  <c r="F4712" i="1"/>
  <c r="F4716" i="1"/>
  <c r="F4720" i="1"/>
  <c r="F4724" i="1"/>
  <c r="F4728" i="1"/>
  <c r="F4732" i="1"/>
  <c r="F4736" i="1"/>
  <c r="F4740" i="1"/>
  <c r="F4744" i="1"/>
  <c r="F4748" i="1"/>
  <c r="F4752" i="1"/>
  <c r="F4756" i="1"/>
  <c r="F4760" i="1"/>
  <c r="F4764" i="1"/>
  <c r="F4768" i="1"/>
  <c r="F4772" i="1"/>
  <c r="F4776" i="1"/>
  <c r="F4780" i="1"/>
  <c r="F4784" i="1"/>
  <c r="F4788" i="1"/>
  <c r="F4792" i="1"/>
  <c r="F4796" i="1"/>
  <c r="F4800" i="1"/>
  <c r="F4804" i="1"/>
  <c r="F4808" i="1"/>
  <c r="F4812" i="1"/>
  <c r="F4816" i="1"/>
  <c r="F4820" i="1"/>
  <c r="F4824" i="1"/>
  <c r="F4828" i="1"/>
  <c r="F4832" i="1"/>
  <c r="F4836" i="1"/>
  <c r="F4840" i="1"/>
  <c r="F4844" i="1"/>
  <c r="F4996" i="1"/>
  <c r="F5000" i="1"/>
  <c r="F5004" i="1"/>
  <c r="F5008" i="1"/>
  <c r="F5012" i="1"/>
  <c r="F5016" i="1"/>
  <c r="F5020" i="1"/>
  <c r="F5024" i="1"/>
  <c r="F5028" i="1"/>
  <c r="F5032" i="1"/>
  <c r="F5036" i="1"/>
  <c r="F5040" i="1"/>
  <c r="F5044" i="1"/>
  <c r="F5048" i="1"/>
  <c r="F5052" i="1"/>
  <c r="F5056" i="1"/>
  <c r="F5063" i="1"/>
  <c r="F5067" i="1"/>
  <c r="F5071" i="1"/>
  <c r="F5075" i="1"/>
  <c r="F5079" i="1"/>
  <c r="F5083" i="1"/>
  <c r="F5087" i="1"/>
  <c r="F5091" i="1"/>
  <c r="F5095" i="1"/>
  <c r="F5099" i="1"/>
  <c r="F5103" i="1"/>
  <c r="F5107" i="1"/>
  <c r="F4993" i="1"/>
  <c r="F4997" i="1"/>
  <c r="F5001" i="1"/>
  <c r="F5005" i="1"/>
  <c r="F5009" i="1"/>
  <c r="F5663" i="1"/>
  <c r="F5503" i="1"/>
  <c r="F4911" i="1"/>
  <c r="F4915" i="1"/>
  <c r="F4919" i="1"/>
  <c r="F4923" i="1"/>
  <c r="F4927" i="1"/>
  <c r="F4931" i="1"/>
  <c r="F4935" i="1"/>
  <c r="F4939" i="1"/>
  <c r="F4943" i="1"/>
  <c r="F4947" i="1"/>
  <c r="F4951" i="1"/>
  <c r="F4955" i="1"/>
  <c r="F4959" i="1"/>
  <c r="F4963" i="1"/>
  <c r="F4967" i="1"/>
  <c r="F4971" i="1"/>
  <c r="F4975" i="1"/>
  <c r="F4979" i="1"/>
  <c r="F4983" i="1"/>
  <c r="F4987" i="1"/>
  <c r="F4991" i="1"/>
  <c r="F4998" i="1"/>
  <c r="F5002" i="1"/>
  <c r="F5006" i="1"/>
  <c r="F5010" i="1"/>
  <c r="F5014" i="1"/>
  <c r="F5018" i="1"/>
  <c r="F5022" i="1"/>
  <c r="F5026" i="1"/>
  <c r="F5030" i="1"/>
  <c r="F5034" i="1"/>
  <c r="F5038" i="1"/>
  <c r="F5042" i="1"/>
  <c r="F5046" i="1"/>
  <c r="F5050" i="1"/>
  <c r="F5054" i="1"/>
  <c r="F5058" i="1"/>
  <c r="F5061" i="1"/>
  <c r="F5065" i="1"/>
  <c r="F5069" i="1"/>
  <c r="F5073" i="1"/>
  <c r="F5077" i="1"/>
  <c r="F5081" i="1"/>
  <c r="F5085" i="1"/>
  <c r="F5089" i="1"/>
  <c r="F5093" i="1"/>
  <c r="F5097" i="1"/>
  <c r="F5101" i="1"/>
  <c r="F5105" i="1"/>
  <c r="F5112" i="1"/>
  <c r="F5116" i="1"/>
  <c r="F5120" i="1"/>
  <c r="F5124" i="1"/>
  <c r="F5128" i="1"/>
  <c r="F5132" i="1"/>
  <c r="F4848" i="1"/>
  <c r="F4852" i="1"/>
  <c r="F4856" i="1"/>
  <c r="F4860" i="1"/>
  <c r="F4864" i="1"/>
  <c r="F4868" i="1"/>
  <c r="F4872" i="1"/>
  <c r="F4876" i="1"/>
  <c r="F4880" i="1"/>
  <c r="F4884" i="1"/>
  <c r="F4888" i="1"/>
  <c r="F4892" i="1"/>
  <c r="F4896" i="1"/>
  <c r="F4900" i="1"/>
  <c r="F4904" i="1"/>
  <c r="F4908" i="1"/>
  <c r="F4912" i="1"/>
  <c r="F4916" i="1"/>
  <c r="F4920" i="1"/>
  <c r="F4924" i="1"/>
  <c r="F4928" i="1"/>
  <c r="F4932" i="1"/>
  <c r="F4936" i="1"/>
  <c r="F4940" i="1"/>
  <c r="F4944" i="1"/>
  <c r="F4948" i="1"/>
  <c r="F4952" i="1"/>
  <c r="F4956" i="1"/>
  <c r="F4960" i="1"/>
  <c r="F4964" i="1"/>
  <c r="F4968" i="1"/>
  <c r="F4972" i="1"/>
  <c r="F4976" i="1"/>
  <c r="F4980" i="1"/>
  <c r="F4984" i="1"/>
  <c r="F4988" i="1"/>
  <c r="F4992" i="1"/>
  <c r="F4999" i="1"/>
  <c r="F5003" i="1"/>
  <c r="F5007" i="1"/>
  <c r="F5011" i="1"/>
  <c r="F5015" i="1"/>
  <c r="F5019" i="1"/>
  <c r="F5023" i="1"/>
  <c r="F5027" i="1"/>
  <c r="F5031" i="1"/>
  <c r="F5035" i="1"/>
  <c r="F5039" i="1"/>
  <c r="F5043" i="1"/>
  <c r="F5047" i="1"/>
  <c r="F5051" i="1"/>
  <c r="F5055" i="1"/>
  <c r="F5062" i="1"/>
  <c r="F5066" i="1"/>
  <c r="F5070" i="1"/>
  <c r="F5074" i="1"/>
  <c r="F5078" i="1"/>
  <c r="F5082" i="1"/>
  <c r="F5086" i="1"/>
  <c r="F5090" i="1"/>
  <c r="F5094" i="1"/>
  <c r="F5098" i="1"/>
  <c r="F5102" i="1"/>
  <c r="F5106" i="1"/>
  <c r="F5113" i="1"/>
  <c r="F5117" i="1"/>
  <c r="F5121" i="1"/>
  <c r="F5125" i="1"/>
  <c r="F5129" i="1"/>
  <c r="F5133" i="1"/>
  <c r="F5137" i="1"/>
  <c r="F5141" i="1"/>
  <c r="F5145" i="1"/>
  <c r="F5149" i="1"/>
  <c r="F5153" i="1"/>
  <c r="F5157" i="1"/>
  <c r="F5161" i="1"/>
  <c r="F5610" i="1"/>
  <c r="F5614" i="1"/>
  <c r="F5618" i="1"/>
  <c r="F5622" i="1"/>
  <c r="F5507" i="1"/>
  <c r="F5511" i="1"/>
  <c r="F5567" i="1"/>
  <c r="F5575" i="1"/>
  <c r="F5013" i="1"/>
  <c r="F5017" i="1"/>
  <c r="F5021" i="1"/>
  <c r="F5025" i="1"/>
  <c r="F5029" i="1"/>
  <c r="F5033" i="1"/>
  <c r="F5037" i="1"/>
  <c r="F5041" i="1"/>
  <c r="F5045" i="1"/>
  <c r="F5049" i="1"/>
  <c r="F5053" i="1"/>
  <c r="F5057" i="1"/>
  <c r="F5060" i="1"/>
  <c r="F5064" i="1"/>
  <c r="F5068" i="1"/>
  <c r="F5072" i="1"/>
  <c r="F5076" i="1"/>
  <c r="F5080" i="1"/>
  <c r="F5084" i="1"/>
  <c r="F5088" i="1"/>
  <c r="F5092" i="1"/>
  <c r="F5096" i="1"/>
  <c r="F5100" i="1"/>
  <c r="F5104" i="1"/>
  <c r="F5108" i="1"/>
  <c r="F5111" i="1"/>
  <c r="F5115" i="1"/>
  <c r="F5119" i="1"/>
  <c r="F5123" i="1"/>
  <c r="F5127" i="1"/>
  <c r="F5131" i="1"/>
  <c r="F5135" i="1"/>
  <c r="F5139" i="1"/>
  <c r="F5143" i="1"/>
  <c r="F5147" i="1"/>
  <c r="F5151" i="1"/>
  <c r="F5155" i="1"/>
  <c r="F5159" i="1"/>
  <c r="F5163" i="1"/>
  <c r="F5167" i="1"/>
  <c r="F5171" i="1"/>
  <c r="F5174" i="1"/>
  <c r="F5178" i="1"/>
  <c r="F5182" i="1"/>
  <c r="F5186" i="1"/>
  <c r="F5190" i="1"/>
  <c r="F5194" i="1"/>
  <c r="F5198" i="1"/>
  <c r="F5202" i="1"/>
  <c r="F5206" i="1"/>
  <c r="F5210" i="1"/>
  <c r="F5214" i="1"/>
  <c r="F5218" i="1"/>
  <c r="F5222" i="1"/>
  <c r="F5226" i="1"/>
  <c r="F5230" i="1"/>
  <c r="F5234" i="1"/>
  <c r="F5241" i="1"/>
  <c r="F5245" i="1"/>
  <c r="F5249" i="1"/>
  <c r="F5253" i="1"/>
  <c r="F5257" i="1"/>
  <c r="F5261" i="1"/>
  <c r="F5265" i="1"/>
  <c r="F5269" i="1"/>
  <c r="F5273" i="1"/>
  <c r="F5277" i="1"/>
  <c r="F5281" i="1"/>
  <c r="F5285" i="1"/>
  <c r="F5289" i="1"/>
  <c r="F5293" i="1"/>
  <c r="F5297" i="1"/>
  <c r="F5301" i="1"/>
  <c r="F5305" i="1"/>
  <c r="F5309" i="1"/>
  <c r="F5313" i="1"/>
  <c r="F5317" i="1"/>
  <c r="F5321" i="1"/>
  <c r="F5325" i="1"/>
  <c r="F5329" i="1"/>
  <c r="F5333" i="1"/>
  <c r="F5337" i="1"/>
  <c r="F5341" i="1"/>
  <c r="F5345" i="1"/>
  <c r="F5221" i="1"/>
  <c r="F5225" i="1"/>
  <c r="F5229" i="1"/>
  <c r="F5233" i="1"/>
  <c r="F5240" i="1"/>
  <c r="F5244" i="1"/>
  <c r="F5248" i="1"/>
  <c r="F5252" i="1"/>
  <c r="F5256" i="1"/>
  <c r="F5260" i="1"/>
  <c r="F5264" i="1"/>
  <c r="F5268" i="1"/>
  <c r="F5272" i="1"/>
  <c r="F5276" i="1"/>
  <c r="F5280" i="1"/>
  <c r="F5284" i="1"/>
  <c r="F5288" i="1"/>
  <c r="F5292" i="1"/>
  <c r="F5296" i="1"/>
  <c r="F5300" i="1"/>
  <c r="F5304" i="1"/>
  <c r="F5308" i="1"/>
  <c r="F5312" i="1"/>
  <c r="F5316" i="1"/>
  <c r="F5320" i="1"/>
  <c r="F5324" i="1"/>
  <c r="F5328" i="1"/>
  <c r="F5332" i="1"/>
  <c r="F5336" i="1"/>
  <c r="F5340" i="1"/>
  <c r="F5344" i="1"/>
  <c r="F5347" i="1"/>
  <c r="F5351" i="1"/>
  <c r="F5355" i="1"/>
  <c r="F5359" i="1"/>
  <c r="F5363" i="1"/>
  <c r="F5367" i="1"/>
  <c r="F5371" i="1"/>
  <c r="F5375" i="1"/>
  <c r="F5379" i="1"/>
  <c r="F5383" i="1"/>
  <c r="F5387" i="1"/>
  <c r="F5391" i="1"/>
  <c r="F5395" i="1"/>
  <c r="F5399" i="1"/>
  <c r="F5403" i="1"/>
  <c r="F5407" i="1"/>
  <c r="F5471" i="1"/>
  <c r="F5514" i="1"/>
  <c r="F5518" i="1"/>
  <c r="F5522" i="1"/>
  <c r="F5526" i="1"/>
  <c r="F5633" i="1"/>
  <c r="F5641" i="1"/>
  <c r="F5720" i="1"/>
  <c r="F5724" i="1"/>
  <c r="F5673" i="1"/>
  <c r="F5697" i="1"/>
  <c r="F5705" i="1"/>
  <c r="F5136" i="1"/>
  <c r="F5140" i="1"/>
  <c r="F5144" i="1"/>
  <c r="F5148" i="1"/>
  <c r="F5152" i="1"/>
  <c r="F5156" i="1"/>
  <c r="F5160" i="1"/>
  <c r="F5164" i="1"/>
  <c r="F5168" i="1"/>
  <c r="F5172" i="1"/>
  <c r="F5175" i="1"/>
  <c r="F5179" i="1"/>
  <c r="F5183" i="1"/>
  <c r="F5187" i="1"/>
  <c r="F5191" i="1"/>
  <c r="F5195" i="1"/>
  <c r="F5199" i="1"/>
  <c r="F5203" i="1"/>
  <c r="F5207" i="1"/>
  <c r="F5211" i="1"/>
  <c r="F5215" i="1"/>
  <c r="F5219" i="1"/>
  <c r="F5223" i="1"/>
  <c r="F5227" i="1"/>
  <c r="F5231" i="1"/>
  <c r="F5235" i="1"/>
  <c r="F5238" i="1"/>
  <c r="F5242" i="1"/>
  <c r="F5246" i="1"/>
  <c r="F5250" i="1"/>
  <c r="F5254" i="1"/>
  <c r="F5258" i="1"/>
  <c r="F5262" i="1"/>
  <c r="F5266" i="1"/>
  <c r="F5270" i="1"/>
  <c r="F5274" i="1"/>
  <c r="F5278" i="1"/>
  <c r="F5282" i="1"/>
  <c r="F5286" i="1"/>
  <c r="F5290" i="1"/>
  <c r="F5294" i="1"/>
  <c r="F5298" i="1"/>
  <c r="F5302" i="1"/>
  <c r="F5306" i="1"/>
  <c r="F5310" i="1"/>
  <c r="F5314" i="1"/>
  <c r="F5318" i="1"/>
  <c r="F5322" i="1"/>
  <c r="F5326" i="1"/>
  <c r="F5330" i="1"/>
  <c r="F5334" i="1"/>
  <c r="F5338" i="1"/>
  <c r="F5342" i="1"/>
  <c r="F5349" i="1"/>
  <c r="F5353" i="1"/>
  <c r="F5357" i="1"/>
  <c r="F5361" i="1"/>
  <c r="F5365" i="1"/>
  <c r="F5369" i="1"/>
  <c r="F5373" i="1"/>
  <c r="F5377" i="1"/>
  <c r="F5381" i="1"/>
  <c r="F5385" i="1"/>
  <c r="F5389" i="1"/>
  <c r="F5393" i="1"/>
  <c r="F5409" i="1"/>
  <c r="F5433" i="1"/>
  <c r="F5437" i="1"/>
  <c r="F5441" i="1"/>
  <c r="F5445" i="1"/>
  <c r="F5457" i="1"/>
  <c r="F5461" i="1"/>
  <c r="F5465" i="1"/>
  <c r="F5469" i="1"/>
  <c r="F5568" i="1"/>
  <c r="F5572" i="1"/>
  <c r="F5579" i="1"/>
  <c r="F5583" i="1"/>
  <c r="F5591" i="1"/>
  <c r="F5599" i="1"/>
  <c r="F6157" i="1"/>
  <c r="F5969" i="1"/>
  <c r="F5165" i="1"/>
  <c r="F5169" i="1"/>
  <c r="F5176" i="1"/>
  <c r="F5180" i="1"/>
  <c r="F5184" i="1"/>
  <c r="F5188" i="1"/>
  <c r="F5192" i="1"/>
  <c r="F5196" i="1"/>
  <c r="F5200" i="1"/>
  <c r="F5204" i="1"/>
  <c r="F5208" i="1"/>
  <c r="F5212" i="1"/>
  <c r="F5216" i="1"/>
  <c r="F5220" i="1"/>
  <c r="F5224" i="1"/>
  <c r="F5228" i="1"/>
  <c r="F5232" i="1"/>
  <c r="F5236" i="1"/>
  <c r="F5239" i="1"/>
  <c r="F5243" i="1"/>
  <c r="F5247" i="1"/>
  <c r="F5251" i="1"/>
  <c r="F5255" i="1"/>
  <c r="F5259" i="1"/>
  <c r="F5263" i="1"/>
  <c r="F5267" i="1"/>
  <c r="F5271" i="1"/>
  <c r="F5275" i="1"/>
  <c r="F5279" i="1"/>
  <c r="F5283" i="1"/>
  <c r="F5287" i="1"/>
  <c r="F5291" i="1"/>
  <c r="F5295" i="1"/>
  <c r="F5299" i="1"/>
  <c r="F5410" i="1"/>
  <c r="F5414" i="1"/>
  <c r="F5418" i="1"/>
  <c r="F5422" i="1"/>
  <c r="F5426" i="1"/>
  <c r="F5430" i="1"/>
  <c r="F5553" i="1"/>
  <c r="F5557" i="1"/>
  <c r="F5561" i="1"/>
  <c r="F5565" i="1"/>
  <c r="F5656" i="1"/>
  <c r="F5660" i="1"/>
  <c r="F5667" i="1"/>
  <c r="F5671" i="1"/>
  <c r="F6111" i="1"/>
  <c r="F5847" i="1"/>
  <c r="F6026" i="1"/>
  <c r="F6115" i="1"/>
  <c r="F5884" i="1"/>
  <c r="F6054" i="1"/>
  <c r="F6131" i="1"/>
  <c r="F5912" i="1"/>
  <c r="F6082" i="1"/>
  <c r="F6136" i="1"/>
  <c r="F5695" i="1"/>
  <c r="F5631" i="1"/>
  <c r="F5535" i="1"/>
  <c r="F5431" i="1"/>
  <c r="F5397" i="1"/>
  <c r="F5401" i="1"/>
  <c r="F5405" i="1"/>
  <c r="F5412" i="1"/>
  <c r="F5416" i="1"/>
  <c r="F5420" i="1"/>
  <c r="F5424" i="1"/>
  <c r="F5428" i="1"/>
  <c r="F5435" i="1"/>
  <c r="F5439" i="1"/>
  <c r="F5443" i="1"/>
  <c r="F5447" i="1"/>
  <c r="F5451" i="1"/>
  <c r="F5455" i="1"/>
  <c r="F5459" i="1"/>
  <c r="F5463" i="1"/>
  <c r="F5482" i="1"/>
  <c r="F5486" i="1"/>
  <c r="F5490" i="1"/>
  <c r="F5494" i="1"/>
  <c r="F5498" i="1"/>
  <c r="F5502" i="1"/>
  <c r="F5528" i="1"/>
  <c r="F5532" i="1"/>
  <c r="F5539" i="1"/>
  <c r="F5543" i="1"/>
  <c r="F5547" i="1"/>
  <c r="F5551" i="1"/>
  <c r="F5559" i="1"/>
  <c r="F5585" i="1"/>
  <c r="F5589" i="1"/>
  <c r="F5593" i="1"/>
  <c r="F5597" i="1"/>
  <c r="F5600" i="1"/>
  <c r="F5604" i="1"/>
  <c r="F5624" i="1"/>
  <c r="F5628" i="1"/>
  <c r="F5635" i="1"/>
  <c r="F5639" i="1"/>
  <c r="F5665" i="1"/>
  <c r="F5688" i="1"/>
  <c r="F5692" i="1"/>
  <c r="F5699" i="1"/>
  <c r="F5703" i="1"/>
  <c r="F5750" i="1"/>
  <c r="F6097" i="1"/>
  <c r="F6085" i="1"/>
  <c r="F6077" i="1"/>
  <c r="F6069" i="1"/>
  <c r="F6061" i="1"/>
  <c r="F6049" i="1"/>
  <c r="F6033" i="1"/>
  <c r="F6021" i="1"/>
  <c r="F6013" i="1"/>
  <c r="F6005" i="1"/>
  <c r="F5997" i="1"/>
  <c r="F5985" i="1"/>
  <c r="F5957" i="1"/>
  <c r="F5949" i="1"/>
  <c r="F5941" i="1"/>
  <c r="F5933" i="1"/>
  <c r="F5921" i="1"/>
  <c r="F5905" i="1"/>
  <c r="F5893" i="1"/>
  <c r="F5885" i="1"/>
  <c r="F5877" i="1"/>
  <c r="F5869" i="1"/>
  <c r="F5857" i="1"/>
  <c r="F5841" i="1"/>
  <c r="F5837" i="1"/>
  <c r="F5303" i="1"/>
  <c r="F5307" i="1"/>
  <c r="F5311" i="1"/>
  <c r="F5315" i="1"/>
  <c r="F5319" i="1"/>
  <c r="F5323" i="1"/>
  <c r="F5327" i="1"/>
  <c r="F5331" i="1"/>
  <c r="F5335" i="1"/>
  <c r="F5339" i="1"/>
  <c r="F5343" i="1"/>
  <c r="F5346" i="1"/>
  <c r="F5350" i="1"/>
  <c r="F5354" i="1"/>
  <c r="F5358" i="1"/>
  <c r="F5362" i="1"/>
  <c r="F5366" i="1"/>
  <c r="F5370" i="1"/>
  <c r="F5374" i="1"/>
  <c r="F5378" i="1"/>
  <c r="F5382" i="1"/>
  <c r="F5386" i="1"/>
  <c r="F5390" i="1"/>
  <c r="F5394" i="1"/>
  <c r="F5398" i="1"/>
  <c r="F5402" i="1"/>
  <c r="F5406" i="1"/>
  <c r="F5413" i="1"/>
  <c r="F5417" i="1"/>
  <c r="F5421" i="1"/>
  <c r="F5425" i="1"/>
  <c r="F5429" i="1"/>
  <c r="F5432" i="1"/>
  <c r="F5436" i="1"/>
  <c r="F5440" i="1"/>
  <c r="F5444" i="1"/>
  <c r="F5448" i="1"/>
  <c r="F5452" i="1"/>
  <c r="F5464" i="1"/>
  <c r="F5468" i="1"/>
  <c r="F5475" i="1"/>
  <c r="F5479" i="1"/>
  <c r="F5483" i="1"/>
  <c r="F5487" i="1"/>
  <c r="F5491" i="1"/>
  <c r="F5495" i="1"/>
  <c r="F5521" i="1"/>
  <c r="F5525" i="1"/>
  <c r="F5529" i="1"/>
  <c r="F5533" i="1"/>
  <c r="F5536" i="1"/>
  <c r="F5540" i="1"/>
  <c r="F5560" i="1"/>
  <c r="F5564" i="1"/>
  <c r="F5571" i="1"/>
  <c r="F5578" i="1"/>
  <c r="F5582" i="1"/>
  <c r="F5586" i="1"/>
  <c r="F5590" i="1"/>
  <c r="F5617" i="1"/>
  <c r="F5621" i="1"/>
  <c r="F5625" i="1"/>
  <c r="F5629" i="1"/>
  <c r="F5632" i="1"/>
  <c r="F5666" i="1"/>
  <c r="F5670" i="1"/>
  <c r="F5677" i="1"/>
  <c r="F5681" i="1"/>
  <c r="F5685" i="1"/>
  <c r="F5689" i="1"/>
  <c r="F5693" i="1"/>
  <c r="F5696" i="1"/>
  <c r="F5735" i="1"/>
  <c r="F5739" i="1"/>
  <c r="F5743" i="1"/>
  <c r="F5747" i="1"/>
  <c r="F5767" i="1"/>
  <c r="F5771" i="1"/>
  <c r="F5728" i="1"/>
  <c r="F5732" i="1"/>
  <c r="F5740" i="1"/>
  <c r="F5760" i="1"/>
  <c r="F5764" i="1"/>
  <c r="F5772" i="1"/>
  <c r="F6167" i="1"/>
  <c r="F6151" i="1"/>
  <c r="F5400" i="1"/>
  <c r="F5404" i="1"/>
  <c r="F5408" i="1"/>
  <c r="F5411" i="1"/>
  <c r="F5415" i="1"/>
  <c r="F5419" i="1"/>
  <c r="F5423" i="1"/>
  <c r="F5427" i="1"/>
  <c r="F5434" i="1"/>
  <c r="F5438" i="1"/>
  <c r="F5450" i="1"/>
  <c r="F5454" i="1"/>
  <c r="F5458" i="1"/>
  <c r="F5462" i="1"/>
  <c r="F5466" i="1"/>
  <c r="F5470" i="1"/>
  <c r="F5473" i="1"/>
  <c r="F5477" i="1"/>
  <c r="F5489" i="1"/>
  <c r="F5493" i="1"/>
  <c r="F5497" i="1"/>
  <c r="F5501" i="1"/>
  <c r="F5504" i="1"/>
  <c r="F5508" i="1"/>
  <c r="F5515" i="1"/>
  <c r="F5519" i="1"/>
  <c r="F5527" i="1"/>
  <c r="F5546" i="1"/>
  <c r="F5550" i="1"/>
  <c r="F5554" i="1"/>
  <c r="F5558" i="1"/>
  <c r="F5592" i="1"/>
  <c r="F5596" i="1"/>
  <c r="F5603" i="1"/>
  <c r="F5607" i="1"/>
  <c r="F5611" i="1"/>
  <c r="F5615" i="1"/>
  <c r="F5623" i="1"/>
  <c r="F5634" i="1"/>
  <c r="F5638" i="1"/>
  <c r="F5645" i="1"/>
  <c r="F5649" i="1"/>
  <c r="F5653" i="1"/>
  <c r="F5657" i="1"/>
  <c r="F5661" i="1"/>
  <c r="F5664" i="1"/>
  <c r="F5698" i="1"/>
  <c r="F5702" i="1"/>
  <c r="F5709" i="1"/>
  <c r="F5713" i="1"/>
  <c r="F5717" i="1"/>
  <c r="F5721" i="1"/>
  <c r="F5725" i="1"/>
  <c r="F5733" i="1"/>
  <c r="F5749" i="1"/>
  <c r="F5753" i="1"/>
  <c r="F5757" i="1"/>
  <c r="F5765" i="1"/>
  <c r="F5891" i="1"/>
  <c r="F5920" i="1"/>
  <c r="F5948" i="1"/>
  <c r="F5976" i="1"/>
  <c r="F6090" i="1"/>
  <c r="F5868" i="1"/>
  <c r="F5899" i="1"/>
  <c r="F5927" i="1"/>
  <c r="F5955" i="1"/>
  <c r="F5984" i="1"/>
  <c r="F6012" i="1"/>
  <c r="F6040" i="1"/>
  <c r="F6120" i="1"/>
  <c r="F6142" i="1"/>
  <c r="F6162" i="1"/>
  <c r="F5741" i="1"/>
  <c r="F5963" i="1"/>
  <c r="F5991" i="1"/>
  <c r="F6018" i="1"/>
  <c r="F6048" i="1"/>
  <c r="F6076" i="1"/>
  <c r="F6104" i="1"/>
  <c r="F6126" i="1"/>
  <c r="F6147" i="1"/>
  <c r="F5505" i="1"/>
  <c r="F5509" i="1"/>
  <c r="F5512" i="1"/>
  <c r="F5516" i="1"/>
  <c r="F5523" i="1"/>
  <c r="F5530" i="1"/>
  <c r="F5534" i="1"/>
  <c r="F5537" i="1"/>
  <c r="F5541" i="1"/>
  <c r="F5544" i="1"/>
  <c r="F5548" i="1"/>
  <c r="F5555" i="1"/>
  <c r="F5562" i="1"/>
  <c r="F5566" i="1"/>
  <c r="F5569" i="1"/>
  <c r="F5573" i="1"/>
  <c r="F5576" i="1"/>
  <c r="F5580" i="1"/>
  <c r="F5587" i="1"/>
  <c r="F5594" i="1"/>
  <c r="F5598" i="1"/>
  <c r="F5601" i="1"/>
  <c r="F5605" i="1"/>
  <c r="F5608" i="1"/>
  <c r="F5612" i="1"/>
  <c r="F5619" i="1"/>
  <c r="F5640" i="1"/>
  <c r="F5643" i="1"/>
  <c r="F5647" i="1"/>
  <c r="F5650" i="1"/>
  <c r="F5654" i="1"/>
  <c r="F5672" i="1"/>
  <c r="F5675" i="1"/>
  <c r="F5679" i="1"/>
  <c r="F5682" i="1"/>
  <c r="F5686" i="1"/>
  <c r="F5704" i="1"/>
  <c r="F5707" i="1"/>
  <c r="F5711" i="1"/>
  <c r="F5714" i="1"/>
  <c r="F5718" i="1"/>
  <c r="F5726" i="1"/>
  <c r="F5737" i="1"/>
  <c r="F5758" i="1"/>
  <c r="F5769" i="1"/>
  <c r="F5442" i="1"/>
  <c r="F5446" i="1"/>
  <c r="F5449" i="1"/>
  <c r="F5453" i="1"/>
  <c r="F5456" i="1"/>
  <c r="F5460" i="1"/>
  <c r="F5467" i="1"/>
  <c r="F5474" i="1"/>
  <c r="F5478" i="1"/>
  <c r="F5481" i="1"/>
  <c r="F5485" i="1"/>
  <c r="F5488" i="1"/>
  <c r="F5492" i="1"/>
  <c r="F5499" i="1"/>
  <c r="F5506" i="1"/>
  <c r="F5510" i="1"/>
  <c r="F5513" i="1"/>
  <c r="F5517" i="1"/>
  <c r="F5520" i="1"/>
  <c r="F5524" i="1"/>
  <c r="F5531" i="1"/>
  <c r="F5538" i="1"/>
  <c r="F5542" i="1"/>
  <c r="F5545" i="1"/>
  <c r="F5549" i="1"/>
  <c r="F5552" i="1"/>
  <c r="F5556" i="1"/>
  <c r="F5563" i="1"/>
  <c r="F5570" i="1"/>
  <c r="F5574" i="1"/>
  <c r="F5577" i="1"/>
  <c r="F5581" i="1"/>
  <c r="F5584" i="1"/>
  <c r="F5588" i="1"/>
  <c r="F5595" i="1"/>
  <c r="F5602" i="1"/>
  <c r="F5606" i="1"/>
  <c r="F5609" i="1"/>
  <c r="F5613" i="1"/>
  <c r="F5616" i="1"/>
  <c r="F5620" i="1"/>
  <c r="F5627" i="1"/>
  <c r="F5637" i="1"/>
  <c r="F5644" i="1"/>
  <c r="F5648" i="1"/>
  <c r="F5651" i="1"/>
  <c r="F5655" i="1"/>
  <c r="F5659" i="1"/>
  <c r="F5669" i="1"/>
  <c r="F5676" i="1"/>
  <c r="F5680" i="1"/>
  <c r="F5683" i="1"/>
  <c r="F5687" i="1"/>
  <c r="F5691" i="1"/>
  <c r="F5701" i="1"/>
  <c r="F5708" i="1"/>
  <c r="F5712" i="1"/>
  <c r="F5715" i="1"/>
  <c r="F5719" i="1"/>
  <c r="F5723" i="1"/>
  <c r="F5745" i="1"/>
  <c r="F5752" i="1"/>
  <c r="F5755" i="1"/>
  <c r="F5808" i="1"/>
  <c r="F5836" i="1"/>
  <c r="F5824" i="1"/>
  <c r="F5848" i="1"/>
  <c r="F5859" i="1"/>
  <c r="F5879" i="1"/>
  <c r="F5900" i="1"/>
  <c r="F5907" i="1"/>
  <c r="F5915" i="1"/>
  <c r="F5928" i="1"/>
  <c r="F5936" i="1"/>
  <c r="F5943" i="1"/>
  <c r="F5964" i="1"/>
  <c r="F5971" i="1"/>
  <c r="F5979" i="1"/>
  <c r="F5992" i="1"/>
  <c r="F6000" i="1"/>
  <c r="F6007" i="1"/>
  <c r="F6028" i="1"/>
  <c r="F6034" i="1"/>
  <c r="F6042" i="1"/>
  <c r="F6056" i="1"/>
  <c r="F6064" i="1"/>
  <c r="F6070" i="1"/>
  <c r="F6092" i="1"/>
  <c r="F6098" i="1"/>
  <c r="F6106" i="1"/>
  <c r="F6112" i="1"/>
  <c r="F6116" i="1"/>
  <c r="F6122" i="1"/>
  <c r="F6127" i="1"/>
  <c r="F6132" i="1"/>
  <c r="F6138" i="1"/>
  <c r="F6143" i="1"/>
  <c r="F6153" i="1"/>
  <c r="F6158" i="1"/>
  <c r="F6163" i="1"/>
  <c r="F6169" i="1"/>
  <c r="F5831" i="1"/>
  <c r="F5852" i="1"/>
  <c r="F5863" i="1"/>
  <c r="F5873" i="1"/>
  <c r="F5880" i="1"/>
  <c r="F5888" i="1"/>
  <c r="F5895" i="1"/>
  <c r="F5901" i="1"/>
  <c r="F5909" i="1"/>
  <c r="F5916" i="1"/>
  <c r="F5923" i="1"/>
  <c r="F5931" i="1"/>
  <c r="F5937" i="1"/>
  <c r="F5944" i="1"/>
  <c r="F5952" i="1"/>
  <c r="F5959" i="1"/>
  <c r="F5965" i="1"/>
  <c r="F5973" i="1"/>
  <c r="F5980" i="1"/>
  <c r="F5987" i="1"/>
  <c r="F5995" i="1"/>
  <c r="F6001" i="1"/>
  <c r="F6008" i="1"/>
  <c r="F6016" i="1"/>
  <c r="F6022" i="1"/>
  <c r="F6029" i="1"/>
  <c r="F6037" i="1"/>
  <c r="F6044" i="1"/>
  <c r="F6050" i="1"/>
  <c r="F6058" i="1"/>
  <c r="F6065" i="1"/>
  <c r="F6072" i="1"/>
  <c r="F6080" i="1"/>
  <c r="F6086" i="1"/>
  <c r="F6093" i="1"/>
  <c r="F6101" i="1"/>
  <c r="F6108" i="1"/>
  <c r="F6113" i="1"/>
  <c r="F6118" i="1"/>
  <c r="F6123" i="1"/>
  <c r="F6128" i="1"/>
  <c r="F6134" i="1"/>
  <c r="F6139" i="1"/>
  <c r="F6144" i="1"/>
  <c r="F6149" i="1"/>
  <c r="F6154" i="1"/>
  <c r="F6159" i="1"/>
  <c r="F6165" i="1"/>
  <c r="F6170" i="1"/>
  <c r="F5773" i="1"/>
  <c r="F5832" i="1"/>
  <c r="F5843" i="1"/>
  <c r="F5853" i="1"/>
  <c r="F5864" i="1"/>
  <c r="F5875" i="1"/>
  <c r="F5883" i="1"/>
  <c r="F5889" i="1"/>
  <c r="F5896" i="1"/>
  <c r="F5904" i="1"/>
  <c r="F5911" i="1"/>
  <c r="F5917" i="1"/>
  <c r="F5925" i="1"/>
  <c r="F5932" i="1"/>
  <c r="F5939" i="1"/>
  <c r="F5947" i="1"/>
  <c r="F5953" i="1"/>
  <c r="F5960" i="1"/>
  <c r="F5968" i="1"/>
  <c r="F5975" i="1"/>
  <c r="F5981" i="1"/>
  <c r="F5989" i="1"/>
  <c r="F5996" i="1"/>
  <c r="F6003" i="1"/>
  <c r="F6010" i="1"/>
  <c r="F6017" i="1"/>
  <c r="F6024" i="1"/>
  <c r="F6032" i="1"/>
  <c r="F6038" i="1"/>
  <c r="F6045" i="1"/>
  <c r="F6053" i="1"/>
  <c r="F6060" i="1"/>
  <c r="F6066" i="1"/>
  <c r="F6074" i="1"/>
  <c r="F6081" i="1"/>
  <c r="F6088" i="1"/>
  <c r="F6096" i="1"/>
  <c r="F6102" i="1"/>
  <c r="F6109" i="1"/>
  <c r="F6114" i="1"/>
  <c r="F6119" i="1"/>
  <c r="F6124" i="1"/>
  <c r="F6130" i="1"/>
  <c r="F6135" i="1"/>
  <c r="F6140" i="1"/>
  <c r="F6146" i="1"/>
  <c r="F6150" i="1"/>
  <c r="F6155" i="1"/>
  <c r="F6161" i="1"/>
  <c r="F6166" i="1"/>
  <c r="F5727" i="1"/>
  <c r="F5731" i="1"/>
  <c r="F5734" i="1"/>
  <c r="F5744" i="1"/>
  <c r="F5756" i="1"/>
  <c r="F5759" i="1"/>
  <c r="F5763" i="1"/>
  <c r="F5766" i="1"/>
  <c r="F5849" i="1"/>
  <c r="F5833" i="1"/>
  <c r="F5844" i="1"/>
  <c r="F5828" i="1"/>
  <c r="F5816" i="1"/>
  <c r="F5812" i="1"/>
  <c r="F5800" i="1"/>
  <c r="F5796" i="1"/>
  <c r="F5784" i="1"/>
  <c r="F5626" i="1"/>
  <c r="F5630" i="1"/>
  <c r="F5636" i="1"/>
  <c r="F5642" i="1"/>
  <c r="F5646" i="1"/>
  <c r="F5652" i="1"/>
  <c r="F5658" i="1"/>
  <c r="F5662" i="1"/>
  <c r="F5668" i="1"/>
  <c r="F5674" i="1"/>
  <c r="F5678" i="1"/>
  <c r="F5684" i="1"/>
  <c r="F5690" i="1"/>
  <c r="F5694" i="1"/>
  <c r="F5700" i="1"/>
  <c r="F5706" i="1"/>
  <c r="F5710" i="1"/>
  <c r="F5716" i="1"/>
  <c r="F5729" i="1"/>
  <c r="F5736" i="1"/>
  <c r="F5742" i="1"/>
  <c r="F5748" i="1"/>
  <c r="F5751" i="1"/>
  <c r="F5761" i="1"/>
  <c r="F5" i="1"/>
  <c r="F5827" i="1"/>
  <c r="F5839" i="1"/>
  <c r="F5855" i="1"/>
  <c r="F5860" i="1"/>
  <c r="F5865" i="1"/>
  <c r="F5871" i="1"/>
  <c r="F5876" i="1"/>
  <c r="F5881" i="1"/>
  <c r="F5887" i="1"/>
  <c r="F5892" i="1"/>
  <c r="F5897" i="1"/>
  <c r="F5903" i="1"/>
  <c r="F5908" i="1"/>
  <c r="F5913" i="1"/>
  <c r="F5919" i="1"/>
  <c r="F5924" i="1"/>
  <c r="F5929" i="1"/>
  <c r="F5935" i="1"/>
  <c r="F5940" i="1"/>
  <c r="F5945" i="1"/>
  <c r="F5951" i="1"/>
  <c r="F5956" i="1"/>
  <c r="F5961" i="1"/>
  <c r="F5967" i="1"/>
  <c r="F5972" i="1"/>
  <c r="F5977" i="1"/>
  <c r="F5983" i="1"/>
  <c r="F5988" i="1"/>
  <c r="F5993" i="1"/>
  <c r="F5999" i="1"/>
  <c r="F6004" i="1"/>
  <c r="F6009" i="1"/>
  <c r="F6014" i="1"/>
  <c r="F6020" i="1"/>
  <c r="F6025" i="1"/>
  <c r="F6030" i="1"/>
  <c r="F6036" i="1"/>
  <c r="F6041" i="1"/>
  <c r="F6046" i="1"/>
  <c r="F6052" i="1"/>
  <c r="F6057" i="1"/>
  <c r="F6062" i="1"/>
  <c r="F6068" i="1"/>
  <c r="F6073" i="1"/>
  <c r="F6078" i="1"/>
  <c r="F6084" i="1"/>
  <c r="F6089" i="1"/>
  <c r="F6094" i="1"/>
  <c r="F6100" i="1"/>
  <c r="F6105" i="1"/>
  <c r="F6110" i="1"/>
  <c r="F6117" i="1"/>
  <c r="F6121" i="1"/>
  <c r="F6125" i="1"/>
  <c r="F6129" i="1"/>
  <c r="F6133" i="1"/>
  <c r="F6137" i="1"/>
  <c r="F6141" i="1"/>
  <c r="F6145" i="1"/>
  <c r="F6148" i="1"/>
  <c r="F6152" i="1"/>
  <c r="F6156" i="1"/>
  <c r="F6160" i="1"/>
  <c r="F6164" i="1"/>
  <c r="F6168" i="1"/>
  <c r="F5788" i="1"/>
  <c r="F5804" i="1"/>
  <c r="F5820" i="1"/>
  <c r="F5829" i="1"/>
  <c r="F5835" i="1"/>
  <c r="F5840" i="1"/>
  <c r="F5845" i="1"/>
  <c r="F5851" i="1"/>
  <c r="F5856" i="1"/>
  <c r="F5861" i="1"/>
  <c r="F5867" i="1"/>
  <c r="F5872" i="1"/>
  <c r="F5792" i="1"/>
  <c r="F20" i="2"/>
  <c r="F10" i="2"/>
  <c r="F5722" i="1"/>
  <c r="F5730" i="1"/>
  <c r="F5738" i="1"/>
  <c r="F5746" i="1"/>
  <c r="F5754" i="1"/>
  <c r="F5762" i="1"/>
  <c r="F4" i="2"/>
  <c r="F4" i="1"/>
  <c r="F5774" i="1"/>
  <c r="F5778" i="1"/>
  <c r="F5782" i="1"/>
  <c r="F5786" i="1"/>
  <c r="F5790" i="1"/>
  <c r="F5794" i="1"/>
  <c r="F5798" i="1"/>
  <c r="F5802" i="1"/>
  <c r="F5806" i="1"/>
  <c r="F5810" i="1"/>
  <c r="F5814" i="1"/>
  <c r="F5818" i="1"/>
  <c r="F5822" i="1"/>
  <c r="F5826" i="1"/>
  <c r="F5830" i="1"/>
  <c r="F5834" i="1"/>
  <c r="F5838" i="1"/>
  <c r="F5842" i="1"/>
  <c r="F5846" i="1"/>
  <c r="F5850" i="1"/>
  <c r="F5854" i="1"/>
  <c r="F5858" i="1"/>
  <c r="F5862" i="1"/>
  <c r="F5866" i="1"/>
  <c r="F5870" i="1"/>
  <c r="F5874" i="1"/>
  <c r="F5878" i="1"/>
  <c r="F5882" i="1"/>
  <c r="F5886" i="1"/>
  <c r="F5890" i="1"/>
  <c r="F5894" i="1"/>
  <c r="F5898" i="1"/>
  <c r="F5902" i="1"/>
  <c r="F5906" i="1"/>
  <c r="F5910" i="1"/>
  <c r="F5914" i="1"/>
  <c r="F5918" i="1"/>
  <c r="F5922" i="1"/>
  <c r="F5926" i="1"/>
  <c r="F5930" i="1"/>
  <c r="F5934" i="1"/>
  <c r="F5938" i="1"/>
  <c r="F5942" i="1"/>
  <c r="F5946" i="1"/>
  <c r="F5950" i="1"/>
  <c r="F5954" i="1"/>
  <c r="F5958" i="1"/>
  <c r="F5962" i="1"/>
  <c r="F5966" i="1"/>
  <c r="F5970" i="1"/>
  <c r="F5974" i="1"/>
  <c r="F5978" i="1"/>
  <c r="F5982" i="1"/>
  <c r="F5986" i="1"/>
  <c r="F5990" i="1"/>
  <c r="F5994" i="1"/>
  <c r="F5998" i="1"/>
  <c r="F6002" i="1"/>
  <c r="F6006" i="1"/>
  <c r="F6011" i="1"/>
  <c r="F6015" i="1"/>
  <c r="F6019" i="1"/>
  <c r="F6023" i="1"/>
  <c r="F6027" i="1"/>
  <c r="F6031" i="1"/>
  <c r="F6035" i="1"/>
  <c r="F6039" i="1"/>
  <c r="F6043" i="1"/>
  <c r="F6047" i="1"/>
  <c r="F6051" i="1"/>
  <c r="F6055" i="1"/>
  <c r="F6059" i="1"/>
  <c r="F6063" i="1"/>
  <c r="F6067" i="1"/>
  <c r="F6071" i="1"/>
  <c r="F6075" i="1"/>
  <c r="F6079" i="1"/>
  <c r="F6083" i="1"/>
  <c r="F6087" i="1"/>
  <c r="F6091" i="1"/>
  <c r="F6095" i="1"/>
  <c r="F6099" i="1"/>
  <c r="F6103" i="1"/>
  <c r="F6107" i="1"/>
  <c r="F5775" i="1"/>
  <c r="F5779" i="1"/>
  <c r="F5783" i="1"/>
  <c r="F5787" i="1"/>
  <c r="F5791" i="1"/>
  <c r="F5795" i="1"/>
  <c r="F5799" i="1"/>
  <c r="F5803" i="1"/>
  <c r="F5807" i="1"/>
  <c r="F5811" i="1"/>
  <c r="F5815" i="1"/>
  <c r="F5819" i="1"/>
  <c r="F5823" i="1"/>
  <c r="F5776" i="1"/>
  <c r="F5780" i="1"/>
  <c r="F5777" i="1"/>
  <c r="F5781" i="1"/>
  <c r="F5785" i="1"/>
  <c r="F5789" i="1"/>
  <c r="F5793" i="1"/>
  <c r="F5797" i="1"/>
  <c r="F5801" i="1"/>
  <c r="F5805" i="1"/>
  <c r="F5809" i="1"/>
  <c r="F5813" i="1"/>
  <c r="F5817" i="1"/>
  <c r="F5821" i="1"/>
  <c r="F5825" i="1"/>
  <c r="F6" i="2"/>
  <c r="F8" i="2"/>
  <c r="F11" i="2"/>
  <c r="F5770" i="1"/>
  <c r="F5768" i="1"/>
  <c r="F1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Santos</author>
  </authors>
  <commentList>
    <comment ref="G6718" authorId="0" shapeId="0" xr:uid="{5E10596B-E185-487C-AB23-1E64CBEC54C0}">
      <text>
        <r>
          <rPr>
            <b/>
            <sz val="9"/>
            <color indexed="81"/>
            <rFont val="Segoe UI"/>
            <family val="2"/>
          </rPr>
          <t>Vinicius Santos:</t>
        </r>
        <r>
          <rPr>
            <sz val="9"/>
            <color indexed="81"/>
            <rFont val="Segoe UI"/>
            <family val="2"/>
          </rPr>
          <t xml:space="preserve">
O repasse foi realizado antes de receber a lista de pagamento da Quantiq, pois demoraram para enviar</t>
        </r>
      </text>
    </comment>
    <comment ref="G6719" authorId="0" shapeId="0" xr:uid="{E0205844-21A2-4727-AA69-A6CDB5C6DA00}">
      <text>
        <r>
          <rPr>
            <b/>
            <sz val="9"/>
            <color indexed="81"/>
            <rFont val="Segoe UI"/>
            <family val="2"/>
          </rPr>
          <t>Vinicius Santos:</t>
        </r>
        <r>
          <rPr>
            <sz val="9"/>
            <color indexed="81"/>
            <rFont val="Segoe UI"/>
            <family val="2"/>
          </rPr>
          <t xml:space="preserve">
O repasse foi realizado antes de receber a lista de pagamento da Quantiq, pois demoraram para enviar</t>
        </r>
      </text>
    </comment>
    <comment ref="G6720" authorId="0" shapeId="0" xr:uid="{1931B722-7EF5-4ABA-861B-644C246203B3}">
      <text>
        <r>
          <rPr>
            <b/>
            <sz val="9"/>
            <color indexed="81"/>
            <rFont val="Segoe UI"/>
            <family val="2"/>
          </rPr>
          <t>Vinicius Santos:</t>
        </r>
        <r>
          <rPr>
            <sz val="9"/>
            <color indexed="81"/>
            <rFont val="Segoe UI"/>
            <family val="2"/>
          </rPr>
          <t xml:space="preserve">
O repasse foi realizado antes de receber a lista de pagamento da Quantiq, pois demoraram para enviar</t>
        </r>
      </text>
    </comment>
    <comment ref="G6721" authorId="0" shapeId="0" xr:uid="{258202AE-F387-49FE-BAE4-14E1567D9871}">
      <text>
        <r>
          <rPr>
            <b/>
            <sz val="9"/>
            <color indexed="81"/>
            <rFont val="Segoe UI"/>
            <family val="2"/>
          </rPr>
          <t>Vinicius Santos:</t>
        </r>
        <r>
          <rPr>
            <sz val="9"/>
            <color indexed="81"/>
            <rFont val="Segoe UI"/>
            <family val="2"/>
          </rPr>
          <t xml:space="preserve">
O repasse foi realizado antes de receber a lista de pagamento da Quantiq, pois demoraram para enviar</t>
        </r>
      </text>
    </comment>
    <comment ref="G6722" authorId="0" shapeId="0" xr:uid="{5529DD10-515F-49C5-A785-37D10C40E604}">
      <text>
        <r>
          <rPr>
            <b/>
            <sz val="9"/>
            <color indexed="81"/>
            <rFont val="Segoe UI"/>
            <family val="2"/>
          </rPr>
          <t>Vinicius Santos:</t>
        </r>
        <r>
          <rPr>
            <sz val="9"/>
            <color indexed="81"/>
            <rFont val="Segoe UI"/>
            <family val="2"/>
          </rPr>
          <t xml:space="preserve">
O repasse foi realizado antes de receber a lista de pagamento da Quantiq, pois demoraram para enviar</t>
        </r>
      </text>
    </comment>
    <comment ref="G6723" authorId="0" shapeId="0" xr:uid="{5FB47038-83AE-4418-A457-BB7E3CB45F4E}">
      <text>
        <r>
          <rPr>
            <b/>
            <sz val="9"/>
            <color indexed="81"/>
            <rFont val="Segoe UI"/>
            <family val="2"/>
          </rPr>
          <t>Vinicius Santos:</t>
        </r>
        <r>
          <rPr>
            <sz val="9"/>
            <color indexed="81"/>
            <rFont val="Segoe UI"/>
            <family val="2"/>
          </rPr>
          <t xml:space="preserve">
O repasse foi realizado antes de receber a lista de pagamento da Quantiq, pois demoraram para enviar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Santos</author>
  </authors>
  <commentList>
    <comment ref="A1" authorId="0" shapeId="0" xr:uid="{6917E539-E843-4443-A002-0B465D3F7935}">
      <text>
        <r>
          <rPr>
            <b/>
            <sz val="9"/>
            <color indexed="81"/>
            <rFont val="Segoe UI"/>
            <family val="2"/>
          </rPr>
          <t>Vinicius Santos:</t>
        </r>
        <r>
          <rPr>
            <sz val="9"/>
            <color indexed="81"/>
            <rFont val="Segoe UI"/>
            <family val="2"/>
          </rPr>
          <t xml:space="preserve">
Série:
0 = NFS
4 = Cte
ND = ND</t>
        </r>
      </text>
    </comment>
  </commentList>
</comments>
</file>

<file path=xl/sharedStrings.xml><?xml version="1.0" encoding="utf-8"?>
<sst xmlns="http://schemas.openxmlformats.org/spreadsheetml/2006/main" count="2731" uniqueCount="162">
  <si>
    <t>Serie</t>
  </si>
  <si>
    <t>CT-e/NFS</t>
  </si>
  <si>
    <t>Data pagamento</t>
  </si>
  <si>
    <t>Valor Pago</t>
  </si>
  <si>
    <t>Dt. Repasse</t>
  </si>
  <si>
    <t>Duplic. ?</t>
  </si>
  <si>
    <t>Obs</t>
  </si>
  <si>
    <t>houve um pagamento da PQ e da IQAG para o mesmo documento</t>
  </si>
  <si>
    <t>sdf</t>
  </si>
  <si>
    <t>Data Emissão</t>
  </si>
  <si>
    <t>Data Repasse Sub.</t>
  </si>
  <si>
    <t>Retenções</t>
  </si>
  <si>
    <t>ICMS</t>
  </si>
  <si>
    <t>Pedagios</t>
  </si>
  <si>
    <t>VALOR LIQUIDO</t>
  </si>
  <si>
    <t>RAPASSE</t>
  </si>
  <si>
    <t>PLACAS</t>
  </si>
  <si>
    <t>NOTA FISCAL</t>
  </si>
  <si>
    <t>Fatura</t>
  </si>
  <si>
    <t>Adicional</t>
  </si>
  <si>
    <t>Vlr Advalorem</t>
  </si>
  <si>
    <t>Sub-Contratados</t>
  </si>
  <si>
    <t>Veiculos</t>
  </si>
  <si>
    <t>RESUMO DOS DEBITOS</t>
  </si>
  <si>
    <t>ANTONIO MARCOS LIMA SANTOS TRANSPORTADORA</t>
  </si>
  <si>
    <t>LINEMASE</t>
  </si>
  <si>
    <t>MXF7C50</t>
  </si>
  <si>
    <t>DPF6642</t>
  </si>
  <si>
    <t>FBP5269</t>
  </si>
  <si>
    <t>FBP5C69</t>
  </si>
  <si>
    <t>EZU5717</t>
  </si>
  <si>
    <t>Total</t>
  </si>
  <si>
    <t>Placa</t>
  </si>
  <si>
    <t>Valor Total</t>
  </si>
  <si>
    <t>Debitos</t>
  </si>
  <si>
    <t>Valor A Receber</t>
  </si>
  <si>
    <t>Repasse</t>
  </si>
  <si>
    <t>ANDERSON HENRIQUE</t>
  </si>
  <si>
    <t>DZH1627</t>
  </si>
  <si>
    <t>ESTACIONAMENTO</t>
  </si>
  <si>
    <t>DUPLICATA DE PAGAMENTO DA QUINZENA</t>
  </si>
  <si>
    <t>PLACA</t>
  </si>
  <si>
    <t>PROPIETÁRIO</t>
  </si>
  <si>
    <t>VEICULO</t>
  </si>
  <si>
    <t>LUIS CARLOS</t>
  </si>
  <si>
    <t>DLP0249</t>
  </si>
  <si>
    <t>VALOR</t>
  </si>
  <si>
    <t>ATN7300</t>
  </si>
  <si>
    <t>ANTONIO MARCOS L SANTOS</t>
  </si>
  <si>
    <t>TRUCK</t>
  </si>
  <si>
    <t>BUD4I62</t>
  </si>
  <si>
    <t>MARCO ANTONIO</t>
  </si>
  <si>
    <t>DPE2217</t>
  </si>
  <si>
    <t>BENEFICIARIO</t>
  </si>
  <si>
    <t>DPF8J05</t>
  </si>
  <si>
    <t>MARCOS CEZAR CASTRO</t>
  </si>
  <si>
    <t>PLACA:</t>
  </si>
  <si>
    <t>Todos</t>
  </si>
  <si>
    <t>VEICULO:</t>
  </si>
  <si>
    <t>ALESSANDRO RODRIGUES</t>
  </si>
  <si>
    <t>TOCO</t>
  </si>
  <si>
    <t xml:space="preserve">A M SANTOS </t>
  </si>
  <si>
    <t>DQN4261</t>
  </si>
  <si>
    <t>DTC5939</t>
  </si>
  <si>
    <t>DT. EMISSÃO</t>
  </si>
  <si>
    <t>QNTD. DOCS:</t>
  </si>
  <si>
    <t>EJY3619</t>
  </si>
  <si>
    <t>JOÃO DE DEUS</t>
  </si>
  <si>
    <t>3/4</t>
  </si>
  <si>
    <t>VL. DE DESCONTO:</t>
  </si>
  <si>
    <t>VL TOTAL:</t>
  </si>
  <si>
    <t>DT. PAGAMENTO:</t>
  </si>
  <si>
    <t>ANDERSON RODRIGUES</t>
  </si>
  <si>
    <t>EDUARDO LEITE</t>
  </si>
  <si>
    <t>IRS3513</t>
  </si>
  <si>
    <t>DOCUMENTOS</t>
  </si>
  <si>
    <t>ERY7461</t>
  </si>
  <si>
    <t>DIEGO PACHECO ALVES</t>
  </si>
  <si>
    <t xml:space="preserve">NFe </t>
  </si>
  <si>
    <t>TIPO</t>
  </si>
  <si>
    <t>Nº DOC</t>
  </si>
  <si>
    <t>DATA</t>
  </si>
  <si>
    <t>FRETE</t>
  </si>
  <si>
    <t>ORIGEM</t>
  </si>
  <si>
    <t>DESTINO</t>
  </si>
  <si>
    <t>MUN</t>
  </si>
  <si>
    <t>EDUARDO LEITE ROSA</t>
  </si>
  <si>
    <t>W. TRANSP</t>
  </si>
  <si>
    <t>DKX4959</t>
  </si>
  <si>
    <t xml:space="preserve">Descontos - GLOBAL 5 </t>
  </si>
  <si>
    <t>DQV2091</t>
  </si>
  <si>
    <t>WELLINGTON DA SILVA</t>
  </si>
  <si>
    <t>VAN</t>
  </si>
  <si>
    <t>BONGO</t>
  </si>
  <si>
    <t>BRUTUS</t>
  </si>
  <si>
    <t>MARCOS ANTONIO PEREIRA</t>
  </si>
  <si>
    <t>MASTER</t>
  </si>
  <si>
    <t>ANDERSON HENRIQUE DE MELO</t>
  </si>
  <si>
    <t>HR</t>
  </si>
  <si>
    <t>DIEGO PACHECO</t>
  </si>
  <si>
    <t>Desconto - Financiamento caminhão / MXF7C50 Anderson - R$109522,8 / 36X</t>
  </si>
  <si>
    <t>Desconto - Seguro / MXF7C50 Anderson - R$497,21 (10X)</t>
  </si>
  <si>
    <t>LUIZ CARLOS GOMES</t>
  </si>
  <si>
    <t>FIORINO</t>
  </si>
  <si>
    <t>WELTON HENRIQUE DO NASCIMENTO</t>
  </si>
  <si>
    <t>RAPHAEL MARASCA</t>
  </si>
  <si>
    <t>DMA5806</t>
  </si>
  <si>
    <t>EFR2489</t>
  </si>
  <si>
    <t>RAPHAEL DA SILVA</t>
  </si>
  <si>
    <t>SERIE</t>
  </si>
  <si>
    <t/>
  </si>
  <si>
    <t>Doc</t>
  </si>
  <si>
    <t>Dt emissao</t>
  </si>
  <si>
    <t>Dt Repasse</t>
  </si>
  <si>
    <t>Frete</t>
  </si>
  <si>
    <t>Origem</t>
  </si>
  <si>
    <t>Destino</t>
  </si>
  <si>
    <t>Municipio</t>
  </si>
  <si>
    <t>NFe</t>
  </si>
  <si>
    <t>Série</t>
  </si>
  <si>
    <t>Doc.</t>
  </si>
  <si>
    <t>Dt. Emissão</t>
  </si>
  <si>
    <t>Dt. Pagamento</t>
  </si>
  <si>
    <t>Dt. Repasse Sub.</t>
  </si>
  <si>
    <t>Pago</t>
  </si>
  <si>
    <t>Icms</t>
  </si>
  <si>
    <t>Advalorem</t>
  </si>
  <si>
    <t>Ajudante</t>
  </si>
  <si>
    <t>Frete Bruto</t>
  </si>
  <si>
    <t>Nota Fiscal</t>
  </si>
  <si>
    <t>DQN4C61</t>
  </si>
  <si>
    <t>Foi pago duplicado</t>
  </si>
  <si>
    <t>Aqui deve ser informada a data que o cliente pagou</t>
  </si>
  <si>
    <t>Aqui deve ser informado o valor que o cliente pagou por cada CTe/NFS/ND</t>
  </si>
  <si>
    <r>
      <t xml:space="preserve">Aqui deve ser informada a data em que esse documento será repassado.
</t>
    </r>
    <r>
      <rPr>
        <b/>
        <sz val="8"/>
        <color rgb="FFFF0000"/>
        <rFont val="Arial"/>
        <family val="2"/>
      </rPr>
      <t>OBS</t>
    </r>
    <r>
      <rPr>
        <b/>
        <sz val="8"/>
        <color theme="1"/>
        <rFont val="Arial"/>
        <family val="2"/>
      </rPr>
      <t xml:space="preserve">: Deve estar SEMPRE organizado em ordem, todos do dia 15/MM um embaixo do outro e depois todos dias 30/MM um embaixo do outro, seguindo a sequencia de meses
</t>
    </r>
    <r>
      <rPr>
        <b/>
        <sz val="8"/>
        <color rgb="FFFF0000"/>
        <rFont val="Arial"/>
        <family val="2"/>
      </rPr>
      <t>OBS</t>
    </r>
    <r>
      <rPr>
        <b/>
        <sz val="8"/>
        <color theme="1"/>
        <rFont val="Arial"/>
        <family val="2"/>
      </rPr>
      <t>: Por padrão utiliza-se 15/MM e 30/MM.. Com exceção Fevereiro que coloca-se 28/FEV</t>
    </r>
  </si>
  <si>
    <r>
      <t xml:space="preserve">Aqui deve se colar o numedo do documento que foi pago.
</t>
    </r>
    <r>
      <rPr>
        <b/>
        <sz val="8"/>
        <color rgb="FFFF0000"/>
        <rFont val="Arial"/>
        <family val="2"/>
      </rPr>
      <t>OBS</t>
    </r>
    <r>
      <rPr>
        <b/>
        <sz val="8"/>
        <color theme="1"/>
        <rFont val="Arial"/>
        <family val="2"/>
      </rPr>
      <t>: Se atentar para colar APENAS o numero do documento, sem "-" ou "/" ou qualquer outro caractere que venha no relatorio de pagamento da QuantiQ</t>
    </r>
  </si>
  <si>
    <r>
      <t xml:space="preserve">Esta coluna </t>
    </r>
    <r>
      <rPr>
        <b/>
        <u/>
        <sz val="8"/>
        <color rgb="FFFF0000"/>
        <rFont val="Arial"/>
        <family val="2"/>
      </rPr>
      <t>contém formula</t>
    </r>
    <r>
      <rPr>
        <b/>
        <sz val="8"/>
        <color theme="1"/>
        <rFont val="Arial"/>
        <family val="2"/>
      </rPr>
      <t>, o numero de série é gerado automaticamente, identificando se é CTe ou NFS ou ND</t>
    </r>
  </si>
  <si>
    <r>
      <t xml:space="preserve">Uma coluna que </t>
    </r>
    <r>
      <rPr>
        <b/>
        <u/>
        <sz val="8"/>
        <color rgb="FFFF0000"/>
        <rFont val="Arial"/>
        <family val="2"/>
      </rPr>
      <t>contém uma formula</t>
    </r>
    <r>
      <rPr>
        <b/>
        <sz val="8"/>
        <color theme="1"/>
        <rFont val="Arial"/>
        <family val="2"/>
      </rPr>
      <t>.. Faz a verificação se o documento já foi pago</t>
    </r>
  </si>
  <si>
    <t>MANUAL DE UTILIZAÇÃO</t>
  </si>
  <si>
    <t>Pagamento sem documento</t>
  </si>
  <si>
    <t>Ecotri</t>
  </si>
  <si>
    <t>AJR</t>
  </si>
  <si>
    <t>Pago duplicado, em 26/06/2023 e 06/08/2023</t>
  </si>
  <si>
    <t xml:space="preserve">Acerto com DZH1627, valor subtraido do saldo de 9268,75 referente ao CTe 44788 </t>
  </si>
  <si>
    <t>Valores de acerto</t>
  </si>
  <si>
    <t>DZH1627 - coleta evonik</t>
  </si>
  <si>
    <t>DUPLICADOS PAGO EM 26/01/2024</t>
  </si>
  <si>
    <t>Adiantamento</t>
  </si>
  <si>
    <t>Estava faltando fazer repasse</t>
  </si>
  <si>
    <t>Adiantamento DLP0249</t>
  </si>
  <si>
    <t>DQV2A91</t>
  </si>
  <si>
    <t>Adiantado, porém, não pago pela QuantiQ ainda (17/12/2024)</t>
  </si>
  <si>
    <t>Doc pago em 01/12/24, porém, não repassado no adiantamento</t>
  </si>
  <si>
    <t>50485</t>
  </si>
  <si>
    <t>50486</t>
  </si>
  <si>
    <t>50484</t>
  </si>
  <si>
    <t>50483</t>
  </si>
  <si>
    <t>50488</t>
  </si>
  <si>
    <t>50489</t>
  </si>
  <si>
    <t>50492</t>
  </si>
  <si>
    <t>50494</t>
  </si>
  <si>
    <t>50487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</si>
</sst>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&quot;R$&quot;\ #,##0.00"/>
    <numFmt numFmtId="167" formatCode="00000"/>
  </numFmts>
  <fonts count="68" x14ac:knownFonts="1">
    <font>
      <sz val="11"/>
      <color theme="1"/>
      <name val="Tw Cen MT"/>
      <family val="2"/>
      <scheme val="minor"/>
    </font>
    <font>
      <sz val="11"/>
      <color theme="1"/>
      <name val="Times New Roman"/>
      <family val="2"/>
    </font>
    <font>
      <b/>
      <sz val="11"/>
      <color theme="1"/>
      <name val="Tw Cen MT"/>
      <family val="2"/>
      <scheme val="minor"/>
    </font>
    <font>
      <b/>
      <sz val="11"/>
      <name val="Tw Cen MT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Tw Cen MT"/>
      <family val="2"/>
      <scheme val="minor"/>
    </font>
    <font>
      <b/>
      <sz val="11"/>
      <color theme="1"/>
      <name val="Times New Roman"/>
      <family val="2"/>
    </font>
    <font>
      <b/>
      <sz val="11"/>
      <color theme="1"/>
      <name val="Times New Roman"/>
      <family val="1"/>
    </font>
    <font>
      <b/>
      <i/>
      <sz val="10"/>
      <color theme="4" tint="-0.499984740745262"/>
      <name val="Tw Cen MT"/>
      <family val="2"/>
      <scheme val="minor"/>
    </font>
    <font>
      <b/>
      <sz val="10"/>
      <color theme="1"/>
      <name val="Tw Cen MT"/>
      <family val="2"/>
      <scheme val="minor"/>
    </font>
    <font>
      <b/>
      <sz val="10"/>
      <name val="Times New Roman"/>
      <family val="1"/>
    </font>
    <font>
      <sz val="10"/>
      <color theme="1"/>
      <name val="Tw Cen MT"/>
      <family val="2"/>
      <scheme val="minor"/>
    </font>
    <font>
      <b/>
      <sz val="10"/>
      <color rgb="FF0000FF"/>
      <name val="Tw Cen MT"/>
      <family val="2"/>
      <scheme val="minor"/>
    </font>
    <font>
      <b/>
      <sz val="10"/>
      <color rgb="FF0000FF"/>
      <name val="Times New Roman"/>
      <family val="1"/>
    </font>
    <font>
      <b/>
      <sz val="9"/>
      <color rgb="FFFF0000"/>
      <name val="Times New Roman"/>
      <family val="1"/>
    </font>
    <font>
      <b/>
      <sz val="9"/>
      <color rgb="FFFF0000"/>
      <name val="Tw Cen MT"/>
      <family val="2"/>
      <scheme val="minor"/>
    </font>
    <font>
      <b/>
      <sz val="10"/>
      <color rgb="FFFF0000"/>
      <name val="Tw Cen MT"/>
      <family val="2"/>
      <scheme val="minor"/>
    </font>
    <font>
      <b/>
      <i/>
      <sz val="8"/>
      <color rgb="FFFF0000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u/>
      <sz val="11"/>
      <color theme="1"/>
      <name val="Tw Cen MT"/>
      <family val="2"/>
      <scheme val="minor"/>
    </font>
    <font>
      <sz val="9"/>
      <color rgb="FFFF0000"/>
      <name val="Tw Cen MT"/>
      <family val="2"/>
      <scheme val="minor"/>
    </font>
    <font>
      <b/>
      <i/>
      <sz val="11"/>
      <color theme="1"/>
      <name val="Tw Cen MT"/>
      <family val="2"/>
      <scheme val="minor"/>
    </font>
    <font>
      <sz val="8"/>
      <color theme="1"/>
      <name val="Tw Cen MT"/>
      <family val="2"/>
      <scheme val="minor"/>
    </font>
    <font>
      <sz val="9"/>
      <color theme="1"/>
      <name val="Tw Cen MT"/>
      <family val="2"/>
      <scheme val="minor"/>
    </font>
    <font>
      <b/>
      <sz val="9"/>
      <color theme="1"/>
      <name val="Tw Cen MT"/>
      <family val="2"/>
      <scheme val="minor"/>
    </font>
    <font>
      <sz val="8"/>
      <name val="Times New Roman"/>
      <family val="2"/>
    </font>
    <font>
      <b/>
      <sz val="8"/>
      <color rgb="FF00B050"/>
      <name val="Times New Roman"/>
      <family val="1"/>
    </font>
    <font>
      <b/>
      <sz val="8"/>
      <color rgb="FFFF0000"/>
      <name val="Times New Roman"/>
      <family val="1"/>
    </font>
    <font>
      <b/>
      <sz val="8"/>
      <color rgb="FF0000FF"/>
      <name val="Times New Roman"/>
      <family val="1"/>
    </font>
    <font>
      <sz val="10"/>
      <color theme="1"/>
      <name val="Arial"/>
      <family val="2"/>
    </font>
    <font>
      <b/>
      <sz val="12"/>
      <color theme="0"/>
      <name val="Tw Cen MT"/>
      <family val="2"/>
      <scheme val="minor"/>
    </font>
    <font>
      <sz val="11"/>
      <color theme="8" tint="-0.499984740745262"/>
      <name val="Tw Cen MT"/>
      <family val="2"/>
      <scheme val="minor"/>
    </font>
    <font>
      <sz val="4"/>
      <color theme="6" tint="0.39997558519241921"/>
      <name val="Tw Cen MT"/>
      <family val="2"/>
      <scheme val="minor"/>
    </font>
    <font>
      <sz val="4"/>
      <color theme="1"/>
      <name val="Tw Cen MT"/>
      <family val="2"/>
      <scheme val="minor"/>
    </font>
    <font>
      <b/>
      <sz val="4"/>
      <color theme="1"/>
      <name val="Tw Cen MT"/>
      <family val="2"/>
      <scheme val="minor"/>
    </font>
    <font>
      <b/>
      <sz val="4"/>
      <color theme="6"/>
      <name val="Tw Cen MT"/>
      <family val="2"/>
      <scheme val="minor"/>
    </font>
    <font>
      <sz val="4"/>
      <color theme="6"/>
      <name val="Tw Cen MT"/>
      <family val="2"/>
      <scheme val="minor"/>
    </font>
    <font>
      <sz val="4"/>
      <color rgb="FFFF0000"/>
      <name val="Tw Cen MT"/>
      <family val="2"/>
      <scheme val="minor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b/>
      <sz val="10"/>
      <color theme="1"/>
      <name val="Arial"/>
      <family val="2"/>
    </font>
    <font>
      <b/>
      <u/>
      <sz val="8"/>
      <color rgb="FFFF0000"/>
      <name val="Arial"/>
      <family val="2"/>
    </font>
    <font>
      <b/>
      <sz val="14"/>
      <color theme="1"/>
      <name val="Tw Cen MT"/>
      <family val="2"/>
      <scheme val="minor"/>
    </font>
    <font>
      <sz val="11"/>
      <color theme="1" tint="0.249977111117893"/>
      <name val="Tw Cen MT"/>
      <family val="2"/>
      <scheme val="minor"/>
    </font>
    <font>
      <b/>
      <sz val="11"/>
      <color theme="1" tint="0.249977111117893"/>
      <name val="Tw Cen MT"/>
      <family val="2"/>
      <scheme val="minor"/>
    </font>
    <font>
      <b/>
      <sz val="11"/>
      <color rgb="FFFF0000"/>
      <name val="Tw Cen MT"/>
      <family val="2"/>
      <scheme val="minor"/>
    </font>
    <font>
      <sz val="11"/>
      <color theme="8"/>
      <name val="Tw Cen MT"/>
      <family val="2"/>
      <scheme val="minor"/>
    </font>
    <font>
      <i/>
      <sz val="9"/>
      <color theme="1" tint="0.249977111117893"/>
      <name val="Tw Cen MT"/>
      <family val="2"/>
      <scheme val="minor"/>
    </font>
    <font>
      <sz val="18"/>
      <color theme="3"/>
      <name val="Tw Cen MT Condensed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1"/>
      <color rgb="FF006100"/>
      <name val="Times New Roman"/>
      <family val="2"/>
    </font>
    <font>
      <sz val="11"/>
      <color rgb="FF9C0006"/>
      <name val="Times New Roman"/>
      <family val="2"/>
    </font>
    <font>
      <sz val="11"/>
      <color rgb="FF9C5700"/>
      <name val="Times New Roman"/>
      <family val="2"/>
    </font>
    <font>
      <sz val="11"/>
      <color rgb="FF3F3F76"/>
      <name val="Times New Roman"/>
      <family val="2"/>
    </font>
    <font>
      <b/>
      <sz val="11"/>
      <color rgb="FF3F3F3F"/>
      <name val="Times New Roman"/>
      <family val="2"/>
    </font>
    <font>
      <b/>
      <sz val="11"/>
      <color rgb="FFFA7D00"/>
      <name val="Times New Roman"/>
      <family val="2"/>
    </font>
    <font>
      <sz val="11"/>
      <color rgb="FFFA7D00"/>
      <name val="Times New Roman"/>
      <family val="2"/>
    </font>
    <font>
      <b/>
      <sz val="11"/>
      <color theme="0"/>
      <name val="Times New Roman"/>
      <family val="2"/>
    </font>
    <font>
      <sz val="11"/>
      <color rgb="FFFF0000"/>
      <name val="Times New Roman"/>
      <family val="2"/>
    </font>
    <font>
      <i/>
      <sz val="11"/>
      <color rgb="FF7F7F7F"/>
      <name val="Times New Roman"/>
      <family val="2"/>
    </font>
    <font>
      <sz val="11"/>
      <color theme="0"/>
      <name val="Times New Roman"/>
      <family val="2"/>
    </font>
    <font>
      <i/>
      <sz val="11"/>
      <color theme="8"/>
      <name val="Tw Cen MT"/>
      <family val="2"/>
      <scheme val="minor"/>
    </font>
    <font>
      <sz val="11"/>
      <color rgb="FFC00000"/>
      <name val="Tw Cen MT"/>
      <family val="2"/>
      <scheme val="minor"/>
    </font>
    <font>
      <i/>
      <sz val="9"/>
      <color rgb="FFC00000"/>
      <name val="Tw Cen MT"/>
      <family val="2"/>
      <scheme val="minor"/>
    </font>
    <font>
      <i/>
      <sz val="8"/>
      <color theme="1" tint="0.249977111117893"/>
      <name val="Tw Cen MT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DE4B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ADF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5">
    <xf numFmtId="0" fontId="0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4" applyNumberFormat="0" applyFill="0" applyAlignment="0" applyProtection="0"/>
    <xf numFmtId="0" fontId="49" fillId="0" borderId="0" applyNumberFormat="0" applyFill="0" applyBorder="0" applyAlignment="0" applyProtection="0"/>
    <xf numFmtId="0" fontId="50" fillId="0" borderId="25" applyNumberFormat="0" applyFill="0" applyAlignment="0" applyProtection="0"/>
    <xf numFmtId="0" fontId="51" fillId="0" borderId="26" applyNumberFormat="0" applyFill="0" applyAlignment="0" applyProtection="0"/>
    <xf numFmtId="0" fontId="52" fillId="0" borderId="27" applyNumberFormat="0" applyFill="0" applyAlignment="0" applyProtection="0"/>
    <xf numFmtId="0" fontId="52" fillId="0" borderId="0" applyNumberFormat="0" applyFill="0" applyBorder="0" applyAlignment="0" applyProtection="0"/>
    <xf numFmtId="0" fontId="53" fillId="19" borderId="0" applyNumberFormat="0" applyBorder="0" applyAlignment="0" applyProtection="0"/>
    <xf numFmtId="0" fontId="54" fillId="20" borderId="0" applyNumberFormat="0" applyBorder="0" applyAlignment="0" applyProtection="0"/>
    <xf numFmtId="0" fontId="55" fillId="21" borderId="0" applyNumberFormat="0" applyBorder="0" applyAlignment="0" applyProtection="0"/>
    <xf numFmtId="0" fontId="56" fillId="22" borderId="28" applyNumberFormat="0" applyAlignment="0" applyProtection="0"/>
    <xf numFmtId="0" fontId="57" fillId="23" borderId="29" applyNumberFormat="0" applyAlignment="0" applyProtection="0"/>
    <xf numFmtId="0" fontId="58" fillId="23" borderId="28" applyNumberFormat="0" applyAlignment="0" applyProtection="0"/>
    <xf numFmtId="0" fontId="59" fillId="0" borderId="30" applyNumberFormat="0" applyFill="0" applyAlignment="0" applyProtection="0"/>
    <xf numFmtId="0" fontId="60" fillId="24" borderId="31" applyNumberFormat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6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63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63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63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63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0" borderId="0"/>
    <xf numFmtId="0" fontId="1" fillId="25" borderId="32" applyNumberFormat="0" applyFont="0" applyAlignment="0" applyProtection="0"/>
  </cellStyleXfs>
  <cellXfs count="15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1" fontId="3" fillId="2" borderId="2" xfId="0" applyNumberFormat="1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166" fontId="3" fillId="3" borderId="3" xfId="2" applyNumberFormat="1" applyFont="1" applyFill="1" applyBorder="1" applyAlignment="1">
      <alignment horizontal="center" vertical="center"/>
    </xf>
    <xf numFmtId="166" fontId="3" fillId="4" borderId="3" xfId="2" applyNumberFormat="1" applyFont="1" applyFill="1" applyBorder="1" applyAlignment="1">
      <alignment horizontal="center" vertical="center"/>
    </xf>
    <xf numFmtId="166" fontId="3" fillId="5" borderId="3" xfId="2" applyNumberFormat="1" applyFont="1" applyFill="1" applyBorder="1" applyAlignment="1">
      <alignment horizontal="center" vertical="center"/>
    </xf>
    <xf numFmtId="166" fontId="3" fillId="6" borderId="3" xfId="2" applyNumberFormat="1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165" fontId="3" fillId="6" borderId="3" xfId="1" applyFont="1" applyFill="1" applyBorder="1" applyAlignment="1">
      <alignment horizontal="center" vertical="center"/>
    </xf>
    <xf numFmtId="166" fontId="0" fillId="0" borderId="0" xfId="0" applyNumberFormat="1"/>
    <xf numFmtId="0" fontId="8" fillId="0" borderId="1" xfId="0" applyFont="1" applyBorder="1" applyAlignment="1">
      <alignment horizontal="center"/>
    </xf>
    <xf numFmtId="165" fontId="10" fillId="0" borderId="6" xfId="1" applyFont="1" applyFill="1" applyBorder="1" applyAlignment="1">
      <alignment horizontal="center" vertical="center"/>
    </xf>
    <xf numFmtId="165" fontId="10" fillId="7" borderId="5" xfId="1" applyFont="1" applyFill="1" applyBorder="1" applyAlignment="1">
      <alignment horizontal="center"/>
    </xf>
    <xf numFmtId="165" fontId="10" fillId="0" borderId="5" xfId="1" applyFont="1" applyBorder="1" applyAlignment="1">
      <alignment horizontal="center"/>
    </xf>
    <xf numFmtId="164" fontId="11" fillId="0" borderId="5" xfId="2" applyFont="1" applyFill="1" applyBorder="1" applyAlignment="1">
      <alignment horizontal="center"/>
    </xf>
    <xf numFmtId="165" fontId="10" fillId="0" borderId="5" xfId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0" fillId="0" borderId="7" xfId="0" applyBorder="1"/>
    <xf numFmtId="165" fontId="10" fillId="0" borderId="5" xfId="1" applyFont="1" applyFill="1" applyBorder="1" applyAlignment="1">
      <alignment horizontal="center"/>
    </xf>
    <xf numFmtId="0" fontId="7" fillId="0" borderId="4" xfId="3"/>
    <xf numFmtId="166" fontId="7" fillId="0" borderId="4" xfId="3" applyNumberFormat="1"/>
    <xf numFmtId="0" fontId="2" fillId="0" borderId="1" xfId="0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/>
    </xf>
    <xf numFmtId="166" fontId="2" fillId="0" borderId="5" xfId="0" applyNumberFormat="1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2" fillId="8" borderId="5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0" fillId="0" borderId="15" xfId="0" applyBorder="1"/>
    <xf numFmtId="0" fontId="2" fillId="0" borderId="15" xfId="0" applyFont="1" applyBorder="1"/>
    <xf numFmtId="0" fontId="12" fillId="0" borderId="15" xfId="0" applyFont="1" applyBorder="1" applyAlignment="1">
      <alignment horizontal="left"/>
    </xf>
    <xf numFmtId="0" fontId="0" fillId="0" borderId="0" xfId="0" applyAlignment="1">
      <alignment horizontal="left" vertical="center"/>
    </xf>
    <xf numFmtId="166" fontId="2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left"/>
    </xf>
    <xf numFmtId="0" fontId="24" fillId="0" borderId="15" xfId="0" applyFont="1" applyBorder="1"/>
    <xf numFmtId="0" fontId="10" fillId="0" borderId="0" xfId="0" applyFont="1" applyAlignment="1">
      <alignment horizontal="center"/>
    </xf>
    <xf numFmtId="0" fontId="25" fillId="0" borderId="0" xfId="0" applyFont="1" applyAlignment="1">
      <alignment horizontal="center" vertical="center" wrapText="1"/>
    </xf>
    <xf numFmtId="166" fontId="29" fillId="0" borderId="0" xfId="0" applyNumberFormat="1" applyFont="1" applyAlignment="1">
      <alignment horizontal="center"/>
    </xf>
    <xf numFmtId="0" fontId="26" fillId="0" borderId="0" xfId="0" applyFont="1"/>
    <xf numFmtId="166" fontId="27" fillId="0" borderId="0" xfId="0" applyNumberFormat="1" applyFont="1" applyAlignment="1">
      <alignment horizontal="center"/>
    </xf>
    <xf numFmtId="166" fontId="28" fillId="0" borderId="0" xfId="0" applyNumberFormat="1" applyFont="1" applyAlignment="1">
      <alignment horizontal="center"/>
    </xf>
    <xf numFmtId="165" fontId="12" fillId="10" borderId="5" xfId="1" applyFont="1" applyFill="1" applyBorder="1" applyAlignment="1">
      <alignment horizontal="center" vertical="center"/>
    </xf>
    <xf numFmtId="166" fontId="13" fillId="10" borderId="5" xfId="1" applyNumberFormat="1" applyFont="1" applyFill="1" applyBorder="1" applyAlignment="1">
      <alignment horizontal="center"/>
    </xf>
    <xf numFmtId="166" fontId="14" fillId="10" borderId="5" xfId="2" applyNumberFormat="1" applyFont="1" applyFill="1" applyBorder="1" applyAlignment="1">
      <alignment horizontal="center"/>
    </xf>
    <xf numFmtId="165" fontId="9" fillId="12" borderId="5" xfId="1" applyFont="1" applyFill="1" applyBorder="1" applyAlignment="1">
      <alignment horizontal="center" vertical="center"/>
    </xf>
    <xf numFmtId="0" fontId="15" fillId="13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66" fontId="13" fillId="10" borderId="5" xfId="1" applyNumberFormat="1" applyFont="1" applyFill="1" applyBorder="1" applyAlignment="1">
      <alignment horizontal="center" vertical="center"/>
    </xf>
    <xf numFmtId="166" fontId="14" fillId="10" borderId="5" xfId="2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26" fillId="0" borderId="0" xfId="0" applyFont="1" applyAlignment="1">
      <alignment vertical="center"/>
    </xf>
    <xf numFmtId="166" fontId="27" fillId="0" borderId="0" xfId="0" applyNumberFormat="1" applyFont="1" applyAlignment="1">
      <alignment horizontal="center" vertical="center"/>
    </xf>
    <xf numFmtId="166" fontId="28" fillId="0" borderId="0" xfId="0" applyNumberFormat="1" applyFont="1" applyAlignment="1">
      <alignment horizontal="center" vertical="center"/>
    </xf>
    <xf numFmtId="166" fontId="29" fillId="0" borderId="0" xfId="0" applyNumberFormat="1" applyFont="1" applyAlignment="1">
      <alignment horizontal="center" vertical="center"/>
    </xf>
    <xf numFmtId="0" fontId="0" fillId="14" borderId="0" xfId="0" applyFill="1"/>
    <xf numFmtId="0" fontId="0" fillId="14" borderId="18" xfId="0" applyFill="1" applyBorder="1" applyAlignment="1">
      <alignment horizontal="center"/>
    </xf>
    <xf numFmtId="14" fontId="0" fillId="14" borderId="18" xfId="0" applyNumberFormat="1" applyFill="1" applyBorder="1" applyAlignment="1">
      <alignment horizontal="center"/>
    </xf>
    <xf numFmtId="0" fontId="33" fillId="0" borderId="0" xfId="0" applyFont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6" fillId="0" borderId="0" xfId="0" applyFont="1" applyAlignment="1">
      <alignment horizontal="left"/>
    </xf>
    <xf numFmtId="0" fontId="37" fillId="0" borderId="0" xfId="0" applyFont="1" applyAlignment="1">
      <alignment horizontal="left"/>
    </xf>
    <xf numFmtId="0" fontId="34" fillId="0" borderId="0" xfId="0" applyFont="1" applyAlignment="1">
      <alignment horizontal="center" vertical="center" wrapText="1"/>
    </xf>
    <xf numFmtId="0" fontId="34" fillId="0" borderId="0" xfId="0" quotePrefix="1" applyFont="1" applyAlignment="1">
      <alignment horizontal="center" vertical="center"/>
    </xf>
    <xf numFmtId="14" fontId="34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left"/>
    </xf>
    <xf numFmtId="14" fontId="34" fillId="0" borderId="0" xfId="0" applyNumberFormat="1" applyFont="1" applyAlignment="1">
      <alignment horizontal="lef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left" vertical="center"/>
    </xf>
    <xf numFmtId="166" fontId="38" fillId="0" borderId="0" xfId="0" applyNumberFormat="1" applyFont="1" applyAlignment="1">
      <alignment horizontal="left" vertical="center"/>
    </xf>
    <xf numFmtId="0" fontId="0" fillId="16" borderId="0" xfId="0" applyFill="1"/>
    <xf numFmtId="0" fontId="30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14" fontId="30" fillId="0" borderId="0" xfId="0" applyNumberFormat="1" applyFont="1" applyAlignment="1">
      <alignment horizontal="right" vertical="center"/>
    </xf>
    <xf numFmtId="0" fontId="31" fillId="15" borderId="19" xfId="0" applyFont="1" applyFill="1" applyBorder="1" applyAlignment="1">
      <alignment horizontal="center"/>
    </xf>
    <xf numFmtId="0" fontId="31" fillId="15" borderId="20" xfId="0" applyFont="1" applyFill="1" applyBorder="1" applyAlignment="1">
      <alignment horizontal="center"/>
    </xf>
    <xf numFmtId="14" fontId="31" fillId="15" borderId="20" xfId="0" applyNumberFormat="1" applyFont="1" applyFill="1" applyBorder="1" applyAlignment="1">
      <alignment horizontal="center"/>
    </xf>
    <xf numFmtId="14" fontId="31" fillId="15" borderId="21" xfId="0" applyNumberFormat="1" applyFont="1" applyFill="1" applyBorder="1" applyAlignment="1">
      <alignment horizontal="center"/>
    </xf>
    <xf numFmtId="0" fontId="39" fillId="0" borderId="22" xfId="0" applyFont="1" applyBorder="1" applyAlignment="1">
      <alignment horizontal="left" vertical="center" wrapText="1"/>
    </xf>
    <xf numFmtId="0" fontId="39" fillId="0" borderId="15" xfId="0" applyFont="1" applyBorder="1" applyAlignment="1">
      <alignment horizontal="left" vertical="center" wrapText="1"/>
    </xf>
    <xf numFmtId="0" fontId="39" fillId="0" borderId="15" xfId="0" applyFont="1" applyBorder="1" applyAlignment="1">
      <alignment horizontal="left" vertical="center"/>
    </xf>
    <xf numFmtId="14" fontId="39" fillId="0" borderId="17" xfId="0" applyNumberFormat="1" applyFont="1" applyBorder="1" applyAlignment="1">
      <alignment horizontal="left" vertical="center" wrapText="1"/>
    </xf>
    <xf numFmtId="0" fontId="30" fillId="17" borderId="0" xfId="0" applyFont="1" applyFill="1" applyAlignment="1">
      <alignment vertical="center"/>
    </xf>
    <xf numFmtId="0" fontId="30" fillId="17" borderId="0" xfId="0" applyFont="1" applyFill="1" applyAlignment="1">
      <alignment horizontal="right" vertical="center"/>
    </xf>
    <xf numFmtId="14" fontId="30" fillId="17" borderId="0" xfId="0" applyNumberFormat="1" applyFont="1" applyFill="1" applyAlignment="1">
      <alignment horizontal="right" vertical="center"/>
    </xf>
    <xf numFmtId="0" fontId="0" fillId="17" borderId="0" xfId="0" applyFill="1"/>
    <xf numFmtId="0" fontId="41" fillId="17" borderId="23" xfId="0" applyFont="1" applyFill="1" applyBorder="1" applyAlignment="1">
      <alignment horizontal="center" vertical="center" wrapText="1"/>
    </xf>
    <xf numFmtId="0" fontId="30" fillId="17" borderId="24" xfId="0" applyFont="1" applyFill="1" applyBorder="1" applyAlignment="1">
      <alignment horizontal="center" vertical="center" wrapText="1"/>
    </xf>
    <xf numFmtId="0" fontId="41" fillId="17" borderId="16" xfId="0" applyFont="1" applyFill="1" applyBorder="1" applyAlignment="1">
      <alignment horizontal="center" vertical="center" wrapText="1"/>
    </xf>
    <xf numFmtId="0" fontId="3" fillId="15" borderId="0" xfId="0" applyFont="1" applyFill="1" applyAlignment="1">
      <alignment vertical="center"/>
    </xf>
    <xf numFmtId="0" fontId="43" fillId="0" borderId="0" xfId="0" applyFont="1"/>
    <xf numFmtId="0" fontId="44" fillId="0" borderId="0" xfId="0" applyFont="1" applyAlignment="1">
      <alignment horizontal="center"/>
    </xf>
    <xf numFmtId="14" fontId="44" fillId="0" borderId="0" xfId="0" applyNumberFormat="1" applyFont="1" applyAlignment="1">
      <alignment horizontal="center"/>
    </xf>
    <xf numFmtId="0" fontId="31" fillId="18" borderId="0" xfId="0" applyFont="1" applyFill="1" applyAlignment="1">
      <alignment horizontal="center" vertical="center"/>
    </xf>
    <xf numFmtId="14" fontId="31" fillId="18" borderId="0" xfId="0" applyNumberFormat="1" applyFont="1" applyFill="1" applyAlignment="1">
      <alignment horizontal="center" vertical="center"/>
    </xf>
    <xf numFmtId="0" fontId="3" fillId="18" borderId="0" xfId="0" applyFont="1" applyFill="1" applyAlignment="1">
      <alignment vertical="center"/>
    </xf>
    <xf numFmtId="0" fontId="0" fillId="9" borderId="0" xfId="0" applyFill="1" applyAlignment="1">
      <alignment horizontal="center"/>
    </xf>
    <xf numFmtId="14" fontId="0" fillId="9" borderId="0" xfId="0" applyNumberFormat="1" applyFill="1" applyAlignment="1">
      <alignment horizontal="center"/>
    </xf>
    <xf numFmtId="0" fontId="0" fillId="9" borderId="0" xfId="0" applyFill="1"/>
    <xf numFmtId="0" fontId="32" fillId="9" borderId="0" xfId="0" applyFont="1" applyFill="1"/>
    <xf numFmtId="0" fontId="45" fillId="0" borderId="0" xfId="0" applyFont="1" applyAlignment="1">
      <alignment horizontal="center"/>
    </xf>
    <xf numFmtId="14" fontId="45" fillId="0" borderId="0" xfId="0" applyNumberFormat="1" applyFont="1" applyAlignment="1">
      <alignment horizontal="center"/>
    </xf>
    <xf numFmtId="4" fontId="44" fillId="0" borderId="0" xfId="0" applyNumberFormat="1" applyFont="1" applyAlignment="1">
      <alignment horizontal="center"/>
    </xf>
    <xf numFmtId="8" fontId="44" fillId="0" borderId="0" xfId="0" applyNumberFormat="1" applyFont="1" applyAlignment="1">
      <alignment horizontal="center"/>
    </xf>
    <xf numFmtId="0" fontId="47" fillId="0" borderId="0" xfId="0" applyFont="1" applyAlignment="1">
      <alignment horizontal="center"/>
    </xf>
    <xf numFmtId="14" fontId="47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64" fillId="0" borderId="0" xfId="0" applyFont="1" applyAlignment="1">
      <alignment horizontal="center"/>
    </xf>
    <xf numFmtId="14" fontId="64" fillId="0" borderId="0" xfId="0" applyNumberFormat="1" applyFont="1" applyAlignment="1">
      <alignment horizontal="center"/>
    </xf>
    <xf numFmtId="0" fontId="65" fillId="8" borderId="0" xfId="0" applyFont="1" applyFill="1" applyAlignment="1">
      <alignment horizontal="center"/>
    </xf>
    <xf numFmtId="14" fontId="65" fillId="8" borderId="0" xfId="0" applyNumberFormat="1" applyFont="1" applyFill="1" applyAlignment="1">
      <alignment horizontal="center"/>
    </xf>
    <xf numFmtId="0" fontId="66" fillId="8" borderId="0" xfId="0" applyFont="1" applyFill="1" applyAlignment="1">
      <alignment horizontal="left"/>
    </xf>
    <xf numFmtId="0" fontId="67" fillId="0" borderId="0" xfId="0" applyFont="1" applyAlignment="1">
      <alignment horizontal="left"/>
    </xf>
    <xf numFmtId="0" fontId="1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6" fillId="8" borderId="0" xfId="0" applyFont="1" applyFill="1" applyAlignment="1">
      <alignment horizontal="center"/>
    </xf>
    <xf numFmtId="0" fontId="8" fillId="0" borderId="1" xfId="0" applyFont="1" applyBorder="1" applyAlignment="1">
      <alignment horizontal="center"/>
    </xf>
    <xf numFmtId="165" fontId="9" fillId="11" borderId="5" xfId="1" applyFont="1" applyFill="1" applyBorder="1" applyAlignment="1">
      <alignment horizontal="center" vertical="center"/>
    </xf>
    <xf numFmtId="0" fontId="15" fillId="13" borderId="5" xfId="0" applyFont="1" applyFill="1" applyBorder="1" applyAlignment="1">
      <alignment horizontal="center" vertical="center"/>
    </xf>
    <xf numFmtId="0" fontId="16" fillId="13" borderId="5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/>
    </xf>
    <xf numFmtId="0" fontId="17" fillId="13" borderId="9" xfId="0" applyFont="1" applyFill="1" applyBorder="1" applyAlignment="1">
      <alignment horizontal="center"/>
    </xf>
    <xf numFmtId="0" fontId="17" fillId="13" borderId="10" xfId="0" applyFont="1" applyFill="1" applyBorder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2" fillId="9" borderId="0" xfId="0" applyFont="1" applyFill="1" applyAlignment="1">
      <alignment horizontal="center"/>
    </xf>
    <xf numFmtId="167" fontId="18" fillId="13" borderId="11" xfId="1" applyNumberFormat="1" applyFont="1" applyFill="1" applyBorder="1" applyAlignment="1">
      <alignment horizontal="center" vertical="center" wrapText="1"/>
    </xf>
    <xf numFmtId="167" fontId="18" fillId="13" borderId="12" xfId="1" applyNumberFormat="1" applyFont="1" applyFill="1" applyBorder="1" applyAlignment="1">
      <alignment horizontal="center" vertical="center" wrapText="1"/>
    </xf>
    <xf numFmtId="167" fontId="18" fillId="13" borderId="13" xfId="1" applyNumberFormat="1" applyFont="1" applyFill="1" applyBorder="1" applyAlignment="1">
      <alignment horizontal="center" vertical="center" wrapText="1"/>
    </xf>
    <xf numFmtId="167" fontId="18" fillId="13" borderId="14" xfId="1" applyNumberFormat="1" applyFont="1" applyFill="1" applyBorder="1" applyAlignment="1">
      <alignment horizontal="center" vertical="center" wrapText="1"/>
    </xf>
  </cellXfs>
  <cellStyles count="45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2" builtinId="20" customBuiltin="1"/>
    <cellStyle name="Moeda" xfId="2" builtinId="4"/>
    <cellStyle name="Neutro" xfId="11" builtinId="28" customBuiltin="1"/>
    <cellStyle name="Normal" xfId="0" builtinId="0"/>
    <cellStyle name="Normal 2" xfId="43" xr:uid="{C64976C8-C1E3-4376-A8CA-0DE558371BF2}"/>
    <cellStyle name="Nota 2" xfId="44" xr:uid="{807850C7-30B7-4E04-8A5E-2DB5D7CAEF95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3" builtinId="25" customBuiltin="1"/>
    <cellStyle name="Vírgula" xfId="1" builtinId="3"/>
  </cellStyles>
  <dxfs count="74"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5"/>
      </font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5"/>
      </font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5"/>
      </font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5"/>
      </font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5"/>
      </font>
      <border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5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5"/>
      </font>
      <border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 tint="0.249977111117893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2" tint="-0.749992370372631"/>
        </left>
        <right/>
        <top style="thin">
          <color theme="2" tint="-0.749992370372631"/>
        </top>
        <bottom/>
      </border>
    </dxf>
    <dxf>
      <font>
        <strike val="0"/>
        <outline val="0"/>
        <shadow val="0"/>
        <u val="none"/>
        <vertAlign val="baseline"/>
        <color theme="1" tint="0.249977111117893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8" formatCode="m/d/yyyy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2" tint="-0.749992370372631"/>
        </left>
        <right style="thin">
          <color theme="2" tint="-0.749992370372631"/>
        </right>
        <top style="thin">
          <color theme="2" tint="-0.749992370372631"/>
        </top>
        <bottom/>
      </border>
    </dxf>
    <dxf>
      <font>
        <strike val="0"/>
        <outline val="0"/>
        <shadow val="0"/>
        <u val="none"/>
        <vertAlign val="baseline"/>
        <color theme="1" tint="0.249977111117893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6" formatCode="&quot;R$&quot;\ #,##0.00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2" tint="-0.749992370372631"/>
        </left>
        <right style="thin">
          <color theme="2" tint="-0.749992370372631"/>
        </right>
        <top style="thin">
          <color theme="2" tint="-0.749992370372631"/>
        </top>
        <bottom/>
      </border>
    </dxf>
    <dxf>
      <font>
        <strike val="0"/>
        <outline val="0"/>
        <shadow val="0"/>
        <u val="none"/>
        <vertAlign val="baseline"/>
        <color theme="1" tint="0.249977111117893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8" formatCode="m/d/yyyy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2" tint="-0.749992370372631"/>
        </left>
        <right style="thin">
          <color theme="2" tint="-0.749992370372631"/>
        </right>
        <top style="thin">
          <color theme="2" tint="-0.749992370372631"/>
        </top>
        <bottom/>
      </border>
    </dxf>
    <dxf>
      <font>
        <strike val="0"/>
        <outline val="0"/>
        <shadow val="0"/>
        <u val="none"/>
        <vertAlign val="baseline"/>
        <color theme="1" tint="0.249977111117893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2" tint="-0.749992370372631"/>
        </left>
        <right style="thin">
          <color theme="2" tint="-0.749992370372631"/>
        </right>
        <top style="thin">
          <color theme="2" tint="-0.749992370372631"/>
        </top>
        <bottom/>
      </border>
    </dxf>
    <dxf>
      <font>
        <strike val="0"/>
        <outline val="0"/>
        <shadow val="0"/>
        <u val="none"/>
        <vertAlign val="baseline"/>
        <color theme="1" tint="0.249977111117893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w Cen MT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749992370372631"/>
        </right>
        <top style="thin">
          <color theme="2" tint="-0.74999237037263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Tw Cen MT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249977111117893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Tw Cen MT"/>
        <family val="2"/>
        <scheme val="minor"/>
      </font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749992370372631"/>
        </left>
        <right style="thin">
          <color theme="2" tint="-0.749992370372631"/>
        </right>
        <top/>
        <bottom/>
      </border>
    </dxf>
  </dxfs>
  <tableStyles count="0" defaultTableStyle="TableStyleMedium2" defaultPivotStyle="PivotStyleLight16"/>
  <colors>
    <mruColors>
      <color rgb="FFCADFF2"/>
      <color rgb="FFCDE4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Instru&#231;&#245;es!A1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https://d.docs.live.net/4e3b5932ee9624d1/SERVIDOR/FATURAMENTO/05%20-%20FATURAMENTO%20GERAL/Banco%20de%20Emiss&#245;es.xlsm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767985</xdr:colOff>
      <xdr:row>0</xdr:row>
      <xdr:rowOff>0</xdr:rowOff>
    </xdr:from>
    <xdr:ext cx="5187574" cy="717176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03691" y="0"/>
          <a:ext cx="5187574" cy="717176"/>
        </a:xfrm>
        <a:prstGeom prst="rect">
          <a:avLst/>
        </a:prstGeom>
        <a:noFill/>
      </xdr:spPr>
      <xdr:txBody>
        <a:bodyPr wrap="none" lIns="91440" tIns="45720" rIns="91440" bIns="45720" anchor="b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tx2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gency FB" panose="020B0503020202020204" pitchFamily="34" charset="0"/>
            </a:rPr>
            <a:t>Documentos</a:t>
          </a:r>
          <a:r>
            <a:rPr lang="pt-BR" sz="5400" b="0" cap="none" spc="0" baseline="0">
              <a:ln w="0"/>
              <a:solidFill>
                <a:schemeClr val="tx2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gency FB" panose="020B0503020202020204" pitchFamily="34" charset="0"/>
            </a:rPr>
            <a:t> pagos</a:t>
          </a:r>
          <a:endParaRPr lang="pt-BR" sz="5400" b="0" cap="none" spc="0">
            <a:ln w="0"/>
            <a:solidFill>
              <a:schemeClr val="tx2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gency FB" panose="020B0503020202020204" pitchFamily="34" charset="0"/>
          </a:endParaRPr>
        </a:p>
      </xdr:txBody>
    </xdr:sp>
    <xdr:clientData/>
  </xdr:oneCellAnchor>
  <xdr:twoCellAnchor>
    <xdr:from>
      <xdr:col>2</xdr:col>
      <xdr:colOff>235320</xdr:colOff>
      <xdr:row>0</xdr:row>
      <xdr:rowOff>0</xdr:rowOff>
    </xdr:from>
    <xdr:to>
      <xdr:col>3</xdr:col>
      <xdr:colOff>560294</xdr:colOff>
      <xdr:row>0</xdr:row>
      <xdr:rowOff>739588</xdr:rowOff>
    </xdr:to>
    <xdr:grpSp>
      <xdr:nvGrpSpPr>
        <xdr:cNvPr id="11" name="Agrupar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806945" y="0"/>
          <a:ext cx="1477499" cy="739588"/>
          <a:chOff x="2633380" y="0"/>
          <a:chExt cx="1367119" cy="840442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2633380" y="392204"/>
            <a:ext cx="1367119" cy="448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50" b="1">
                <a:solidFill>
                  <a:srgbClr val="C00000"/>
                </a:solidFill>
              </a:rPr>
              <a:t>Verificar</a:t>
            </a:r>
            <a:r>
              <a:rPr lang="pt-BR" sz="1050" b="1" baseline="0">
                <a:solidFill>
                  <a:srgbClr val="C00000"/>
                </a:solidFill>
              </a:rPr>
              <a:t> instrução de preenchimento</a:t>
            </a:r>
            <a:endParaRPr lang="pt-BR" sz="1050" b="1">
              <a:solidFill>
                <a:srgbClr val="C00000"/>
              </a:solidFill>
            </a:endParaRPr>
          </a:p>
        </xdr:txBody>
      </xdr:sp>
      <xdr:pic>
        <xdr:nvPicPr>
          <xdr:cNvPr id="10" name="Gráfico 9" descr="Aviso com preenchimento sólido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048001" y="0"/>
            <a:ext cx="526676" cy="4370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33616</xdr:colOff>
      <xdr:row>0</xdr:row>
      <xdr:rowOff>11206</xdr:rowOff>
    </xdr:from>
    <xdr:to>
      <xdr:col>2</xdr:col>
      <xdr:colOff>168087</xdr:colOff>
      <xdr:row>0</xdr:row>
      <xdr:rowOff>694765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616" y="11206"/>
          <a:ext cx="1706096" cy="683559"/>
          <a:chOff x="33616" y="11206"/>
          <a:chExt cx="1703295" cy="683559"/>
        </a:xfrm>
      </xdr:grpSpPr>
      <xdr:pic macro="[0]!AbrirForm1">
        <xdr:nvPicPr>
          <xdr:cNvPr id="7" name="Gráfico 6" descr="Engrenagens com preenchimento sólido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683559" y="11206"/>
            <a:ext cx="414618" cy="414618"/>
          </a:xfrm>
          <a:prstGeom prst="rect">
            <a:avLst/>
          </a:prstGeom>
        </xdr:spPr>
      </xdr:pic>
      <xdr:sp macro="[0]!AbrirForm1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33616" y="414619"/>
            <a:ext cx="1703295" cy="2801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>
                <a:latin typeface="Agency FB" panose="020B0503020202020204" pitchFamily="34" charset="0"/>
              </a:rPr>
              <a:t>Gerar repasse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19051</xdr:colOff>
      <xdr:row>3</xdr:row>
      <xdr:rowOff>47625</xdr:rowOff>
    </xdr:from>
    <xdr:to>
      <xdr:col>1</xdr:col>
      <xdr:colOff>1200151</xdr:colOff>
      <xdr:row>17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79" r="1585" b="2901"/>
        <a:stretch/>
      </xdr:blipFill>
      <xdr:spPr>
        <a:xfrm>
          <a:off x="19051" y="1400175"/>
          <a:ext cx="3581400" cy="25622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1371600</xdr:colOff>
      <xdr:row>3</xdr:row>
      <xdr:rowOff>38099</xdr:rowOff>
    </xdr:from>
    <xdr:to>
      <xdr:col>2</xdr:col>
      <xdr:colOff>1905000</xdr:colOff>
      <xdr:row>14</xdr:row>
      <xdr:rowOff>66675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771900" y="1390649"/>
          <a:ext cx="3609975" cy="2038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/>
            <a:t>Ao clicar no botão "Gerar planilha de repasse", será aberto o formulário ao lado, onde:</a:t>
          </a:r>
        </a:p>
        <a:p>
          <a:br>
            <a:rPr lang="pt-BR" sz="1050"/>
          </a:br>
          <a:r>
            <a:rPr lang="pt-BR" sz="1050" b="1"/>
            <a:t>TÍTULO</a:t>
          </a:r>
          <a:r>
            <a:rPr lang="pt-BR" sz="1050"/>
            <a:t>: Deve se escolher o nome da planilha que sera criada, para padronizar, preenhce com a quinzena em questão, em seguida o mês e depois o ano. (OBS:Não é permitido o uso de caracteres especiais, se não a planilha não sera salva)</a:t>
          </a:r>
        </a:p>
        <a:p>
          <a:r>
            <a:rPr lang="pt-BR" sz="1050" b="1"/>
            <a:t>DATA DE REPASSE</a:t>
          </a:r>
          <a:r>
            <a:rPr lang="pt-BR" sz="1050"/>
            <a:t>: Deve se informar a data de acordo com o que foi informado na planilha, utilizando 15/MM/AAAA ou 30/MM/AAAA exatamente igual ao informado na coluna "E" "Dt. Repasse". </a:t>
          </a:r>
          <a:r>
            <a:rPr lang="pt-BR" sz="1050" b="1">
              <a:solidFill>
                <a:srgbClr val="FF0000"/>
              </a:solidFill>
            </a:rPr>
            <a:t>OBS</a:t>
          </a:r>
          <a:r>
            <a:rPr lang="pt-BR" sz="1050"/>
            <a:t>: Nessa campo, deve ser informado de acordo com o Exemplo, utilizando o espaçador "/" entre o dia e ano</a:t>
          </a:r>
        </a:p>
      </xdr:txBody>
    </xdr:sp>
    <xdr:clientData/>
  </xdr:twoCellAnchor>
  <xdr:twoCellAnchor>
    <xdr:from>
      <xdr:col>2</xdr:col>
      <xdr:colOff>2057400</xdr:colOff>
      <xdr:row>3</xdr:row>
      <xdr:rowOff>38100</xdr:rowOff>
    </xdr:from>
    <xdr:to>
      <xdr:col>4</xdr:col>
      <xdr:colOff>457200</xdr:colOff>
      <xdr:row>9</xdr:row>
      <xdr:rowOff>123826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534275" y="1638300"/>
          <a:ext cx="3609975" cy="11906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/>
            <a:t>Ao clicar no botão "</a:t>
          </a:r>
          <a:r>
            <a:rPr lang="pt-BR" sz="1050" b="1"/>
            <a:t>Gerar Relatório</a:t>
          </a:r>
          <a:r>
            <a:rPr lang="pt-BR" sz="1050"/>
            <a:t>",</a:t>
          </a:r>
          <a:r>
            <a:rPr lang="pt-BR" sz="1050" baseline="0"/>
            <a:t> irá rodar uma macro onde pegará todos os documentos referente a data que você informou no formulario e os buscara no banco de dados "</a:t>
          </a:r>
          <a:r>
            <a:rPr lang="pt-BR" sz="1050" i="1" u="sng" baseline="0">
              <a:solidFill>
                <a:srgbClr val="0070C0"/>
              </a:solidFill>
            </a:rPr>
            <a:t>Banco de Emissões</a:t>
          </a:r>
          <a:r>
            <a:rPr lang="pt-BR" sz="1050" baseline="0"/>
            <a:t>"(A qual este deve sempre estar sendo atualizado para que tudo possa funcionar corretamente), e extraira as informações de Destinatairo, placa, frete e etc de acordo a cada documento.</a:t>
          </a:r>
        </a:p>
      </xdr:txBody>
    </xdr:sp>
    <xdr:clientData/>
  </xdr:twoCellAnchor>
  <xdr:twoCellAnchor>
    <xdr:from>
      <xdr:col>2</xdr:col>
      <xdr:colOff>2019300</xdr:colOff>
      <xdr:row>10</xdr:row>
      <xdr:rowOff>76201</xdr:rowOff>
    </xdr:from>
    <xdr:to>
      <xdr:col>3</xdr:col>
      <xdr:colOff>485775</xdr:colOff>
      <xdr:row>14</xdr:row>
      <xdr:rowOff>104775</xdr:rowOff>
    </xdr:to>
    <xdr:grpSp>
      <xdr:nvGrpSpPr>
        <xdr:cNvPr id="8" name="Agrupar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496175" y="2819401"/>
          <a:ext cx="1333500" cy="752474"/>
          <a:chOff x="7686675" y="2933700"/>
          <a:chExt cx="1286707" cy="668868"/>
        </a:xfrm>
      </xdr:grpSpPr>
      <xdr:pic>
        <xdr:nvPicPr>
          <xdr:cNvPr id="6" name="Gráfico 5" descr="Link estrutura de tópicos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905750" y="2933700"/>
            <a:ext cx="762000" cy="428625"/>
          </a:xfrm>
          <a:prstGeom prst="rect">
            <a:avLst/>
          </a:prstGeom>
        </xdr:spPr>
      </xdr:pic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7686675" y="3238501"/>
            <a:ext cx="1286707" cy="364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>
                <a:solidFill>
                  <a:srgbClr val="0070C0"/>
                </a:solidFill>
              </a:rPr>
              <a:t>Link para</a:t>
            </a:r>
            <a:r>
              <a:rPr lang="pt-BR" sz="1000" baseline="0">
                <a:solidFill>
                  <a:srgbClr val="0070C0"/>
                </a:solidFill>
              </a:rPr>
              <a:t> planilha de Banco de Emissões</a:t>
            </a:r>
            <a:endParaRPr lang="pt-BR" sz="10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3</xdr:col>
      <xdr:colOff>647698</xdr:colOff>
      <xdr:row>10</xdr:row>
      <xdr:rowOff>76199</xdr:rowOff>
    </xdr:from>
    <xdr:to>
      <xdr:col>4</xdr:col>
      <xdr:colOff>495300</xdr:colOff>
      <xdr:row>14</xdr:row>
      <xdr:rowOff>9524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8991598" y="2962274"/>
          <a:ext cx="2190752" cy="657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Ou,</a:t>
          </a:r>
          <a:r>
            <a:rPr lang="pt-BR" sz="1100" baseline="0">
              <a:solidFill>
                <a:schemeClr val="bg1"/>
              </a:solidFill>
            </a:rPr>
            <a:t> caminho para o arquivo:</a:t>
          </a:r>
          <a:br>
            <a:rPr lang="pt-BR" sz="1100" baseline="0">
              <a:solidFill>
                <a:srgbClr val="FF0000"/>
              </a:solidFill>
            </a:rPr>
          </a:br>
          <a:r>
            <a:rPr lang="pt-BR" sz="900" u="sng" baseline="0">
              <a:solidFill>
                <a:srgbClr val="0070C0"/>
              </a:solidFill>
            </a:rPr>
            <a:t>SERVIDOR\FATURAMENTO\05 - FATURAMENTO GERAL\Banco de Emissões.xlsm</a:t>
          </a:r>
          <a:endParaRPr lang="pt-BR" sz="1100" u="sng">
            <a:solidFill>
              <a:srgbClr val="0070C0"/>
            </a:solidFill>
          </a:endParaRPr>
        </a:p>
      </xdr:txBody>
    </xdr:sp>
    <xdr:clientData/>
  </xdr:twoCellAnchor>
  <xdr:twoCellAnchor>
    <xdr:from>
      <xdr:col>2</xdr:col>
      <xdr:colOff>2047875</xdr:colOff>
      <xdr:row>15</xdr:row>
      <xdr:rowOff>47624</xdr:rowOff>
    </xdr:from>
    <xdr:to>
      <xdr:col>4</xdr:col>
      <xdr:colOff>1209675</xdr:colOff>
      <xdr:row>24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7524750" y="3838574"/>
          <a:ext cx="4371975" cy="1714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/>
            <a:t>Demora</a:t>
          </a:r>
          <a:r>
            <a:rPr lang="pt-BR" sz="1050" baseline="0"/>
            <a:t> cerca de 5 a 10 min para gerar uma planilha nova, dentro da pasta "Repasse Sub-Contratados", com o nome que vocês escolheu. Nessa planilha abrira os documentos de acordo com a data de repasse que voce escolheu e com outras informações complementares.</a:t>
          </a:r>
          <a:br>
            <a:rPr lang="pt-BR" sz="1050" baseline="0"/>
          </a:br>
          <a:r>
            <a:rPr lang="pt-BR" sz="1050" baseline="0"/>
            <a:t>Se atentar para a primeira aba, se há algum documento que não tem a informação da placa ou do frete. Se isso ocorrer é porque o documento não foi atualizado no Banco de Emissões, logo, a macro não trouxe nenhuma informação sobre ele, assim deve ser preenchido manualmente, ou, atualizar ele no Banco de emissões e rodar a macro novamente (Lembre de excluir a planilha que foi criada, para que não de conflito de duas planilha com o mesmo nome)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19051</xdr:colOff>
      <xdr:row>0</xdr:row>
      <xdr:rowOff>19050</xdr:rowOff>
    </xdr:from>
    <xdr:to>
      <xdr:col>22</xdr:col>
      <xdr:colOff>685801</xdr:colOff>
      <xdr:row>6</xdr:row>
      <xdr:rowOff>83100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3851" y="19050"/>
          <a:ext cx="1428750" cy="1216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002BF6-2927-4AF9-968C-D3D359253624}" name="Tabela2" displayName="Tabela2" ref="A2:G8360" totalsRowShown="0" headerRowDxfId="73" dataDxfId="72">
  <autoFilter ref="A2:G8360" xr:uid="{54002BF6-2927-4AF9-968C-D3D359253624}"/>
  <tableColumns count="7">
    <tableColumn id="1" xr3:uid="{DA00EC04-C2D5-4486-A57E-0726CBE9C419}" name="Serie" dataDxfId="71" totalsRowDxfId="70">
      <calculatedColumnFormula>IF(ISNUMBER(Tabela2[[#This Row],[CT-e/NFS]])=TRUE,(IF(B3&gt;30000,4,IF(B3&lt;1000,"ND",0))),"-")</calculatedColumnFormula>
    </tableColumn>
    <tableColumn id="2" xr3:uid="{CE3F5C0F-C309-4D06-954F-0CACEEA602EA}" name="CT-e/NFS" dataDxfId="69" totalsRowDxfId="68"/>
    <tableColumn id="3" xr3:uid="{8719782C-1620-4669-911D-A5519F703E26}" name="Data pagamento" dataDxfId="67" totalsRowDxfId="66"/>
    <tableColumn id="4" xr3:uid="{98629AA9-B495-4190-BEF9-18C405300448}" name="Valor Pago" dataDxfId="65" totalsRowDxfId="64"/>
    <tableColumn id="6" xr3:uid="{D8E8FC03-4863-4B08-9FA6-ADB919B66574}" name="Dt. Repasse" dataDxfId="63" totalsRowDxfId="62"/>
    <tableColumn id="5" xr3:uid="{4FA64706-2756-4DAF-8C32-DB9661B4DFEE}" name="Duplic. ?" dataDxfId="61" totalsRowDxfId="60">
      <calculatedColumnFormula>COUNTIFS($A$3:A8253,A3,$B$3:B8253,B3)</calculatedColumnFormula>
    </tableColumn>
    <tableColumn id="7" xr3:uid="{95029A6C-AEE4-4D87-8080-0F98DF66F829}" name="Obs" dataDxfId="59"/>
  </tableColumns>
  <tableStyleInfo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ombra Superior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U8360"/>
  <sheetViews>
    <sheetView showGridLines="0" tabSelected="1" zoomScaleNormal="100" workbookViewId="0">
      <pane ySplit="2" topLeftCell="A8345" activePane="bottomLeft" state="frozen"/>
      <selection pane="bottomLeft" activeCell="F8354" sqref="F8354"/>
    </sheetView>
  </sheetViews>
  <sheetFormatPr defaultColWidth="0" defaultRowHeight="14.25" x14ac:dyDescent="0.2"/>
  <cols>
    <col min="1" max="1" width="10" style="1" customWidth="1"/>
    <col min="2" max="2" width="10.625" style="1" customWidth="1"/>
    <col min="3" max="3" width="15.125" style="2" bestFit="1" customWidth="1"/>
    <col min="4" max="4" width="9.75" style="1" customWidth="1"/>
    <col min="5" max="5" width="13" style="2" customWidth="1"/>
    <col min="6" max="6" width="14.25" style="1" customWidth="1"/>
    <col min="7" max="7" width="19.375" bestFit="1" customWidth="1"/>
    <col min="8" max="8" width="9.625" customWidth="1"/>
    <col min="9" max="9" width="15" bestFit="1" customWidth="1"/>
    <col min="10" max="14" width="9" customWidth="1"/>
    <col min="15" max="15" width="15.5" customWidth="1"/>
    <col min="16" max="21" width="9" customWidth="1"/>
    <col min="22" max="16384" width="8" style="77" hidden="1"/>
  </cols>
  <sheetData>
    <row r="1" spans="1:21" s="95" customFormat="1" ht="60" customHeight="1" x14ac:dyDescent="0.2">
      <c r="A1" s="121"/>
      <c r="B1" s="121"/>
      <c r="C1" s="122"/>
      <c r="D1" s="121"/>
      <c r="E1" s="122"/>
      <c r="F1" s="121"/>
      <c r="G1" s="123"/>
      <c r="H1" s="123"/>
      <c r="I1" s="124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</row>
    <row r="2" spans="1:21" s="114" customFormat="1" ht="27" customHeight="1" x14ac:dyDescent="0.2">
      <c r="A2" s="118" t="s">
        <v>0</v>
      </c>
      <c r="B2" s="118" t="s">
        <v>1</v>
      </c>
      <c r="C2" s="119" t="s">
        <v>2</v>
      </c>
      <c r="D2" s="118" t="s">
        <v>3</v>
      </c>
      <c r="E2" s="119" t="s">
        <v>4</v>
      </c>
      <c r="F2" s="119" t="s">
        <v>5</v>
      </c>
      <c r="G2" s="119" t="s">
        <v>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/>
    </row>
    <row r="3" spans="1:21" x14ac:dyDescent="0.2">
      <c r="A3" s="116">
        <f>IF(ISNUMBER(Tabela2[[#This Row],[CT-e/NFS]])=TRUE,(IF(B3&gt;30000,4,IF(B3&lt;1000,"ND",0))),"-")</f>
        <v>4</v>
      </c>
      <c r="B3" s="116">
        <v>45358</v>
      </c>
      <c r="C3" s="117">
        <v>45297</v>
      </c>
      <c r="D3" s="116">
        <v>518.79999999999995</v>
      </c>
      <c r="E3" s="117">
        <v>45306</v>
      </c>
      <c r="F3" s="1">
        <f>COUNTIFS($A$3:A8360,A3,$B$3:B8360,B3)</f>
        <v>1</v>
      </c>
      <c r="G3" s="116"/>
    </row>
    <row r="4" spans="1:21" x14ac:dyDescent="0.2">
      <c r="A4" s="116">
        <f>IF(ISNUMBER(Tabela2[[#This Row],[CT-e/NFS]])=TRUE,(IF(B4&gt;30000,4,IF(B4&lt;1000,"ND",0))),"-")</f>
        <v>4</v>
      </c>
      <c r="B4" s="116">
        <v>45346</v>
      </c>
      <c r="C4" s="117">
        <v>45297</v>
      </c>
      <c r="D4" s="116">
        <v>124.2</v>
      </c>
      <c r="E4" s="117">
        <v>45306</v>
      </c>
      <c r="F4" s="116">
        <f>COUNTIFS($A$3:A8247,A4,$B$3:B8247,B4)</f>
        <v>1</v>
      </c>
      <c r="G4" s="116"/>
    </row>
    <row r="5" spans="1:21" x14ac:dyDescent="0.2">
      <c r="A5" s="116">
        <f>IF(ISNUMBER(Tabela2[[#This Row],[CT-e/NFS]])=TRUE,(IF(B5&gt;30000,4,IF(B5&lt;1000,"ND",0))),"-")</f>
        <v>4</v>
      </c>
      <c r="B5" s="116">
        <v>45357</v>
      </c>
      <c r="C5" s="117">
        <v>45297</v>
      </c>
      <c r="D5" s="116">
        <v>238.99</v>
      </c>
      <c r="E5" s="117">
        <v>45306</v>
      </c>
      <c r="F5" s="116">
        <f>COUNTIFS($A$3:A8248,A5,$B$3:B8248,B5)</f>
        <v>1</v>
      </c>
      <c r="G5" s="116"/>
    </row>
    <row r="6" spans="1:21" x14ac:dyDescent="0.2">
      <c r="A6" s="116">
        <f>IF(ISNUMBER(Tabela2[[#This Row],[CT-e/NFS]])=TRUE,(IF(B6&gt;30000,4,IF(B6&lt;1000,"ND",0))),"-")</f>
        <v>4</v>
      </c>
      <c r="B6" s="116">
        <v>45356</v>
      </c>
      <c r="C6" s="117">
        <v>45297</v>
      </c>
      <c r="D6" s="116">
        <v>243.09</v>
      </c>
      <c r="E6" s="117">
        <v>45306</v>
      </c>
      <c r="F6" s="1">
        <f>COUNTIFS($A$3:A8360,A6,$B$3:B8360,B6)</f>
        <v>1</v>
      </c>
      <c r="G6" s="116"/>
    </row>
    <row r="7" spans="1:21" x14ac:dyDescent="0.2">
      <c r="A7" s="116">
        <f>IF(ISNUMBER(Tabela2[[#This Row],[CT-e/NFS]])=TRUE,(IF(B7&gt;30000,4,IF(B7&lt;1000,"ND",0))),"-")</f>
        <v>4</v>
      </c>
      <c r="B7" s="116">
        <v>45343</v>
      </c>
      <c r="C7" s="117">
        <v>45297</v>
      </c>
      <c r="D7" s="116">
        <v>126.23</v>
      </c>
      <c r="E7" s="117">
        <v>45306</v>
      </c>
      <c r="F7" s="1">
        <f>COUNTIFS($A$3:A8360,A7,$B$3:B8360,B7)</f>
        <v>1</v>
      </c>
      <c r="G7" s="116"/>
    </row>
    <row r="8" spans="1:21" x14ac:dyDescent="0.2">
      <c r="A8" s="116">
        <f>IF(ISNUMBER(Tabela2[[#This Row],[CT-e/NFS]])=TRUE,(IF(B8&gt;30000,4,IF(B8&lt;1000,"ND",0))),"-")</f>
        <v>4</v>
      </c>
      <c r="B8" s="116">
        <v>45345</v>
      </c>
      <c r="C8" s="117">
        <v>45297</v>
      </c>
      <c r="D8" s="116">
        <v>124.03</v>
      </c>
      <c r="E8" s="117">
        <v>45306</v>
      </c>
      <c r="F8" s="116">
        <f>COUNTIFS($A$3:A8251,A8,$B$3:B8251,B8)</f>
        <v>1</v>
      </c>
      <c r="G8" s="116"/>
    </row>
    <row r="9" spans="1:21" x14ac:dyDescent="0.2">
      <c r="A9" s="116">
        <f>IF(ISNUMBER(Tabela2[[#This Row],[CT-e/NFS]])=TRUE,(IF(B9&gt;30000,4,IF(B9&lt;1000,"ND",0))),"-")</f>
        <v>4</v>
      </c>
      <c r="B9" s="116">
        <v>45347</v>
      </c>
      <c r="C9" s="117">
        <v>45297</v>
      </c>
      <c r="D9" s="116">
        <v>124.42</v>
      </c>
      <c r="E9" s="117">
        <v>45306</v>
      </c>
      <c r="F9" s="116">
        <f>COUNTIFS($A$3:A8252,A9,$B$3:B8252,B9)</f>
        <v>1</v>
      </c>
      <c r="G9" s="116"/>
    </row>
    <row r="10" spans="1:21" x14ac:dyDescent="0.2">
      <c r="A10" s="116">
        <f>IF(ISNUMBER(Tabela2[[#This Row],[CT-e/NFS]])=TRUE,(IF(B10&gt;30000,4,IF(B10&lt;1000,"ND",0))),"-")</f>
        <v>4</v>
      </c>
      <c r="B10" s="116">
        <v>45339</v>
      </c>
      <c r="C10" s="117">
        <v>45297</v>
      </c>
      <c r="D10" s="116">
        <v>124.34</v>
      </c>
      <c r="E10" s="117">
        <v>45306</v>
      </c>
      <c r="F10" s="116">
        <f>COUNTIFS($A$3:A8253,A10,$B$3:B8253,B10)</f>
        <v>1</v>
      </c>
      <c r="G10" s="116"/>
    </row>
    <row r="11" spans="1:21" x14ac:dyDescent="0.2">
      <c r="A11" s="116">
        <f>IF(ISNUMBER(Tabela2[[#This Row],[CT-e/NFS]])=TRUE,(IF(B11&gt;30000,4,IF(B11&lt;1000,"ND",0))),"-")</f>
        <v>0</v>
      </c>
      <c r="B11" s="116">
        <v>20956</v>
      </c>
      <c r="C11" s="117">
        <v>45297</v>
      </c>
      <c r="D11" s="116">
        <v>348.37</v>
      </c>
      <c r="E11" s="117">
        <v>45306</v>
      </c>
      <c r="F11" s="116">
        <f>COUNTIFS($A$3:A8254,A11,$B$3:B8254,B11)</f>
        <v>1</v>
      </c>
      <c r="G11" s="116"/>
    </row>
    <row r="12" spans="1:21" x14ac:dyDescent="0.2">
      <c r="A12" s="116">
        <f>IF(ISNUMBER(Tabela2[[#This Row],[CT-e/NFS]])=TRUE,(IF(B12&gt;30000,4,IF(B12&lt;1000,"ND",0))),"-")</f>
        <v>0</v>
      </c>
      <c r="B12" s="116">
        <v>20953</v>
      </c>
      <c r="C12" s="117">
        <v>45297</v>
      </c>
      <c r="D12" s="116">
        <v>75.760000000000005</v>
      </c>
      <c r="E12" s="117">
        <v>45306</v>
      </c>
      <c r="F12" s="116">
        <f>COUNTIFS($A$3:A8255,A12,$B$3:B8255,B12)</f>
        <v>1</v>
      </c>
      <c r="G12" s="116"/>
    </row>
    <row r="13" spans="1:21" x14ac:dyDescent="0.2">
      <c r="A13" s="116">
        <f>IF(ISNUMBER(Tabela2[[#This Row],[CT-e/NFS]])=TRUE,(IF(B13&gt;30000,4,IF(B13&lt;1000,"ND",0))),"-")</f>
        <v>0</v>
      </c>
      <c r="B13" s="116">
        <v>20958</v>
      </c>
      <c r="C13" s="117">
        <v>45297</v>
      </c>
      <c r="D13" s="116">
        <v>76.34</v>
      </c>
      <c r="E13" s="117">
        <v>45306</v>
      </c>
      <c r="F13" s="116">
        <f>COUNTIFS($A$3:A8256,A13,$B$3:B8256,B13)</f>
        <v>1</v>
      </c>
      <c r="G13" s="116"/>
    </row>
    <row r="14" spans="1:21" x14ac:dyDescent="0.2">
      <c r="A14" s="116">
        <f>IF(ISNUMBER(Tabela2[[#This Row],[CT-e/NFS]])=TRUE,(IF(B14&gt;30000,4,IF(B14&lt;1000,"ND",0))),"-")</f>
        <v>0</v>
      </c>
      <c r="B14" s="116">
        <v>20954</v>
      </c>
      <c r="C14" s="117">
        <v>45297</v>
      </c>
      <c r="D14" s="116">
        <v>76.34</v>
      </c>
      <c r="E14" s="117">
        <v>45306</v>
      </c>
      <c r="F14" s="116">
        <f>COUNTIFS($A$3:A8257,A14,$B$3:B8257,B14)</f>
        <v>1</v>
      </c>
      <c r="G14" s="116"/>
    </row>
    <row r="15" spans="1:21" x14ac:dyDescent="0.2">
      <c r="A15" s="116">
        <f>IF(ISNUMBER(Tabela2[[#This Row],[CT-e/NFS]])=TRUE,(IF(B15&gt;30000,4,IF(B15&lt;1000,"ND",0))),"-")</f>
        <v>0</v>
      </c>
      <c r="B15" s="116">
        <v>20955</v>
      </c>
      <c r="C15" s="117">
        <v>45297</v>
      </c>
      <c r="D15" s="116">
        <v>140.06</v>
      </c>
      <c r="E15" s="117">
        <v>45306</v>
      </c>
      <c r="F15" s="116">
        <f>COUNTIFS($A$3:A8258,A15,$B$3:B8258,B15)</f>
        <v>1</v>
      </c>
      <c r="G15" s="116"/>
    </row>
    <row r="16" spans="1:21" x14ac:dyDescent="0.2">
      <c r="A16" s="116">
        <f>IF(ISNUMBER(Tabela2[[#This Row],[CT-e/NFS]])=TRUE,(IF(B16&gt;30000,4,IF(B16&lt;1000,"ND",0))),"-")</f>
        <v>0</v>
      </c>
      <c r="B16" s="116">
        <v>20957</v>
      </c>
      <c r="C16" s="117">
        <v>45297</v>
      </c>
      <c r="D16" s="116">
        <v>76.2</v>
      </c>
      <c r="E16" s="117">
        <v>45306</v>
      </c>
      <c r="F16" s="116">
        <f>COUNTIFS($A$3:A8259,A16,$B$3:B8259,B16)</f>
        <v>1</v>
      </c>
      <c r="G16" s="116"/>
    </row>
    <row r="17" spans="1:7" x14ac:dyDescent="0.2">
      <c r="A17" s="116">
        <f>IF(ISNUMBER(Tabela2[[#This Row],[CT-e/NFS]])=TRUE,(IF(B17&gt;30000,4,IF(B17&lt;1000,"ND",0))),"-")</f>
        <v>0</v>
      </c>
      <c r="B17" s="116">
        <v>20959</v>
      </c>
      <c r="C17" s="117">
        <v>45297</v>
      </c>
      <c r="D17" s="116">
        <v>394.47</v>
      </c>
      <c r="E17" s="117">
        <v>45306</v>
      </c>
      <c r="F17" s="116">
        <f>COUNTIFS($A$3:A8260,A17,$B$3:B8260,B17)</f>
        <v>1</v>
      </c>
      <c r="G17" s="116"/>
    </row>
    <row r="18" spans="1:7" x14ac:dyDescent="0.2">
      <c r="A18" s="116">
        <f>IF(ISNUMBER(Tabela2[[#This Row],[CT-e/NFS]])=TRUE,(IF(B18&gt;30000,4,IF(B18&lt;1000,"ND",0))),"-")</f>
        <v>0</v>
      </c>
      <c r="B18" s="116">
        <v>20960</v>
      </c>
      <c r="C18" s="117">
        <v>45297</v>
      </c>
      <c r="D18" s="116">
        <v>84.96</v>
      </c>
      <c r="E18" s="117">
        <v>45306</v>
      </c>
      <c r="F18" s="116">
        <f>COUNTIFS($A$3:A8261,A18,$B$3:B8261,B18)</f>
        <v>1</v>
      </c>
      <c r="G18" s="116"/>
    </row>
    <row r="19" spans="1:7" x14ac:dyDescent="0.2">
      <c r="A19" s="116">
        <f>IF(ISNUMBER(Tabela2[[#This Row],[CT-e/NFS]])=TRUE,(IF(B19&gt;30000,4,IF(B19&lt;1000,"ND",0))),"-")</f>
        <v>0</v>
      </c>
      <c r="B19" s="116">
        <v>20961</v>
      </c>
      <c r="C19" s="117">
        <v>45297</v>
      </c>
      <c r="D19" s="116">
        <v>76.28</v>
      </c>
      <c r="E19" s="117">
        <v>45306</v>
      </c>
      <c r="F19" s="116">
        <f>COUNTIFS($A$3:A8262,A19,$B$3:B8262,B19)</f>
        <v>1</v>
      </c>
      <c r="G19" s="116"/>
    </row>
    <row r="20" spans="1:7" x14ac:dyDescent="0.2">
      <c r="A20" s="116">
        <f>IF(ISNUMBER(Tabela2[[#This Row],[CT-e/NFS]])=TRUE,(IF(B20&gt;30000,4,IF(B20&lt;1000,"ND",0))),"-")</f>
        <v>0</v>
      </c>
      <c r="B20" s="116">
        <v>20964</v>
      </c>
      <c r="C20" s="117">
        <v>45297</v>
      </c>
      <c r="D20" s="116">
        <v>136.38</v>
      </c>
      <c r="E20" s="117">
        <v>45306</v>
      </c>
      <c r="F20" s="116">
        <f>COUNTIFS($A$3:A8263,A20,$B$3:B8263,B20)</f>
        <v>1</v>
      </c>
      <c r="G20" s="116"/>
    </row>
    <row r="21" spans="1:7" x14ac:dyDescent="0.2">
      <c r="A21" s="116">
        <f>IF(ISNUMBER(Tabela2[[#This Row],[CT-e/NFS]])=TRUE,(IF(B21&gt;30000,4,IF(B21&lt;1000,"ND",0))),"-")</f>
        <v>0</v>
      </c>
      <c r="B21" s="116">
        <v>20962</v>
      </c>
      <c r="C21" s="117">
        <v>45297</v>
      </c>
      <c r="D21" s="116">
        <v>76.23</v>
      </c>
      <c r="E21" s="117">
        <v>45306</v>
      </c>
      <c r="F21" s="116">
        <f>COUNTIFS($A$3:A8264,A21,$B$3:B8264,B21)</f>
        <v>1</v>
      </c>
      <c r="G21" s="116"/>
    </row>
    <row r="22" spans="1:7" x14ac:dyDescent="0.2">
      <c r="A22" s="116">
        <f>IF(ISNUMBER(Tabela2[[#This Row],[CT-e/NFS]])=TRUE,(IF(B22&gt;30000,4,IF(B22&lt;1000,"ND",0))),"-")</f>
        <v>0</v>
      </c>
      <c r="B22" s="116">
        <v>20963</v>
      </c>
      <c r="C22" s="117">
        <v>45297</v>
      </c>
      <c r="D22" s="116">
        <v>348.37</v>
      </c>
      <c r="E22" s="117">
        <v>45306</v>
      </c>
      <c r="F22" s="116">
        <f>COUNTIFS($A$3:A8265,A22,$B$3:B8265,B22)</f>
        <v>1</v>
      </c>
      <c r="G22" s="116"/>
    </row>
    <row r="23" spans="1:7" x14ac:dyDescent="0.2">
      <c r="A23" s="116">
        <f>IF(ISNUMBER(Tabela2[[#This Row],[CT-e/NFS]])=TRUE,(IF(B23&gt;30000,4,IF(B23&lt;1000,"ND",0))),"-")</f>
        <v>4</v>
      </c>
      <c r="B23" s="116">
        <v>45353</v>
      </c>
      <c r="C23" s="117">
        <v>45297</v>
      </c>
      <c r="D23" s="116">
        <v>123.13</v>
      </c>
      <c r="E23" s="117">
        <v>45306</v>
      </c>
      <c r="F23" s="116">
        <f>COUNTIFS($A$3:A8266,A23,$B$3:B8266,B23)</f>
        <v>1</v>
      </c>
      <c r="G23" s="116"/>
    </row>
    <row r="24" spans="1:7" x14ac:dyDescent="0.2">
      <c r="A24" s="116">
        <f>IF(ISNUMBER(Tabela2[[#This Row],[CT-e/NFS]])=TRUE,(IF(B24&gt;30000,4,IF(B24&lt;1000,"ND",0))),"-")</f>
        <v>4</v>
      </c>
      <c r="B24" s="116">
        <v>45352</v>
      </c>
      <c r="C24" s="117">
        <v>45297</v>
      </c>
      <c r="D24" s="116">
        <v>301.69</v>
      </c>
      <c r="E24" s="117">
        <v>45306</v>
      </c>
      <c r="F24" s="116">
        <f>COUNTIFS($A$3:A8267,A24,$B$3:B8267,B24)</f>
        <v>1</v>
      </c>
      <c r="G24" s="116"/>
    </row>
    <row r="25" spans="1:7" x14ac:dyDescent="0.2">
      <c r="A25" s="116">
        <f>IF(ISNUMBER(Tabela2[[#This Row],[CT-e/NFS]])=TRUE,(IF(B25&gt;30000,4,IF(B25&lt;1000,"ND",0))),"-")</f>
        <v>4</v>
      </c>
      <c r="B25" s="116">
        <v>45354</v>
      </c>
      <c r="C25" s="117">
        <v>45297</v>
      </c>
      <c r="D25" s="116">
        <v>570.9</v>
      </c>
      <c r="E25" s="117">
        <v>45306</v>
      </c>
      <c r="F25" s="116">
        <f>COUNTIFS($A$3:A8268,A25,$B$3:B8268,B25)</f>
        <v>1</v>
      </c>
      <c r="G25" s="116"/>
    </row>
    <row r="26" spans="1:7" x14ac:dyDescent="0.2">
      <c r="A26" s="116">
        <f>IF(ISNUMBER(Tabela2[[#This Row],[CT-e/NFS]])=TRUE,(IF(B26&gt;30000,4,IF(B26&lt;1000,"ND",0))),"-")</f>
        <v>4</v>
      </c>
      <c r="B26" s="116">
        <v>45355</v>
      </c>
      <c r="C26" s="117">
        <v>45297</v>
      </c>
      <c r="D26" s="116">
        <v>260.3</v>
      </c>
      <c r="E26" s="117">
        <v>45306</v>
      </c>
      <c r="F26" s="116">
        <f>COUNTIFS($A$3:A8269,A26,$B$3:B8269,B26)</f>
        <v>1</v>
      </c>
      <c r="G26" s="116"/>
    </row>
    <row r="27" spans="1:7" x14ac:dyDescent="0.2">
      <c r="A27" s="116">
        <f>IF(ISNUMBER(Tabela2[[#This Row],[CT-e/NFS]])=TRUE,(IF(B27&gt;30000,4,IF(B27&lt;1000,"ND",0))),"-")</f>
        <v>4</v>
      </c>
      <c r="B27" s="116">
        <v>45344</v>
      </c>
      <c r="C27" s="117">
        <v>45297</v>
      </c>
      <c r="D27" s="116">
        <v>126.56</v>
      </c>
      <c r="E27" s="117">
        <v>45306</v>
      </c>
      <c r="F27" s="116">
        <f>COUNTIFS($A$3:A8270,A27,$B$3:B8270,B27)</f>
        <v>1</v>
      </c>
      <c r="G27" s="116"/>
    </row>
    <row r="28" spans="1:7" x14ac:dyDescent="0.2">
      <c r="A28" s="116">
        <f>IF(ISNUMBER(Tabela2[[#This Row],[CT-e/NFS]])=TRUE,(IF(B28&gt;30000,4,IF(B28&lt;1000,"ND",0))),"-")</f>
        <v>4</v>
      </c>
      <c r="B28" s="116">
        <v>45338</v>
      </c>
      <c r="C28" s="117">
        <v>45297</v>
      </c>
      <c r="D28" s="116">
        <v>125.36</v>
      </c>
      <c r="E28" s="117">
        <v>45306</v>
      </c>
      <c r="F28" s="116">
        <f>COUNTIFS($A$3:A8271,A28,$B$3:B8271,B28)</f>
        <v>1</v>
      </c>
      <c r="G28" s="116"/>
    </row>
    <row r="29" spans="1:7" x14ac:dyDescent="0.2">
      <c r="A29" s="116">
        <f>IF(ISNUMBER(Tabela2[[#This Row],[CT-e/NFS]])=TRUE,(IF(B29&gt;30000,4,IF(B29&lt;1000,"ND",0))),"-")</f>
        <v>4</v>
      </c>
      <c r="B29" s="116">
        <v>45349</v>
      </c>
      <c r="C29" s="117">
        <v>45297</v>
      </c>
      <c r="D29" s="116">
        <v>123.13</v>
      </c>
      <c r="E29" s="117">
        <v>45306</v>
      </c>
      <c r="F29" s="116">
        <f>COUNTIFS($A$3:A8272,A29,$B$3:B8272,B29)</f>
        <v>1</v>
      </c>
      <c r="G29" s="116"/>
    </row>
    <row r="30" spans="1:7" x14ac:dyDescent="0.2">
      <c r="A30" s="116">
        <f>IF(ISNUMBER(Tabela2[[#This Row],[CT-e/NFS]])=TRUE,(IF(B30&gt;30000,4,IF(B30&lt;1000,"ND",0))),"-")</f>
        <v>4</v>
      </c>
      <c r="B30" s="116">
        <v>45351</v>
      </c>
      <c r="C30" s="117">
        <v>45297</v>
      </c>
      <c r="D30" s="116">
        <v>124.42</v>
      </c>
      <c r="E30" s="117">
        <v>45306</v>
      </c>
      <c r="F30" s="116">
        <f>COUNTIFS($A$3:A8273,A30,$B$3:B8273,B30)</f>
        <v>1</v>
      </c>
      <c r="G30" s="116"/>
    </row>
    <row r="31" spans="1:7" x14ac:dyDescent="0.2">
      <c r="A31" s="116">
        <f>IF(ISNUMBER(Tabela2[[#This Row],[CT-e/NFS]])=TRUE,(IF(B31&gt;30000,4,IF(B31&lt;1000,"ND",0))),"-")</f>
        <v>4</v>
      </c>
      <c r="B31" s="116">
        <v>45350</v>
      </c>
      <c r="C31" s="117">
        <v>45297</v>
      </c>
      <c r="D31" s="116">
        <v>122.88</v>
      </c>
      <c r="E31" s="117">
        <v>45306</v>
      </c>
      <c r="F31" s="116">
        <f>COUNTIFS($A$3:A8274,A31,$B$3:B8274,B31)</f>
        <v>1</v>
      </c>
      <c r="G31" s="116"/>
    </row>
    <row r="32" spans="1:7" x14ac:dyDescent="0.2">
      <c r="A32" s="116">
        <f>IF(ISNUMBER(Tabela2[[#This Row],[CT-e/NFS]])=TRUE,(IF(B32&gt;30000,4,IF(B32&lt;1000,"ND",0))),"-")</f>
        <v>4</v>
      </c>
      <c r="B32" s="116">
        <v>45348</v>
      </c>
      <c r="C32" s="117">
        <v>45297</v>
      </c>
      <c r="D32" s="116">
        <v>862.16</v>
      </c>
      <c r="E32" s="117">
        <v>45306</v>
      </c>
      <c r="F32" s="116">
        <f>COUNTIFS($A$3:A8275,A32,$B$3:B8275,B32)</f>
        <v>1</v>
      </c>
      <c r="G32" s="116"/>
    </row>
    <row r="33" spans="1:7" x14ac:dyDescent="0.2">
      <c r="A33" s="116">
        <f>IF(ISNUMBER(Tabela2[[#This Row],[CT-e/NFS]])=TRUE,(IF(B33&gt;30000,4,IF(B33&lt;1000,"ND",0))),"-")</f>
        <v>4</v>
      </c>
      <c r="B33" s="116">
        <v>45340</v>
      </c>
      <c r="C33" s="117">
        <v>45297</v>
      </c>
      <c r="D33" s="116">
        <v>124.26</v>
      </c>
      <c r="E33" s="117">
        <v>45306</v>
      </c>
      <c r="F33" s="116">
        <f>COUNTIFS($A$3:A8276,A33,$B$3:B8276,B33)</f>
        <v>1</v>
      </c>
      <c r="G33" s="116"/>
    </row>
    <row r="34" spans="1:7" x14ac:dyDescent="0.2">
      <c r="A34" s="116">
        <f>IF(ISNUMBER(Tabela2[[#This Row],[CT-e/NFS]])=TRUE,(IF(B34&gt;30000,4,IF(B34&lt;1000,"ND",0))),"-")</f>
        <v>4</v>
      </c>
      <c r="B34" s="116">
        <v>45361</v>
      </c>
      <c r="C34" s="117">
        <v>45297</v>
      </c>
      <c r="D34" s="116">
        <v>124.35</v>
      </c>
      <c r="E34" s="117">
        <v>45306</v>
      </c>
      <c r="F34" s="116">
        <f>COUNTIFS($A$3:A8277,A34,$B$3:B8277,B34)</f>
        <v>1</v>
      </c>
      <c r="G34" s="116"/>
    </row>
    <row r="35" spans="1:7" x14ac:dyDescent="0.2">
      <c r="A35" s="116">
        <f>IF(ISNUMBER(Tabela2[[#This Row],[CT-e/NFS]])=TRUE,(IF(B35&gt;30000,4,IF(B35&lt;1000,"ND",0))),"-")</f>
        <v>4</v>
      </c>
      <c r="B35" s="116">
        <v>45362</v>
      </c>
      <c r="C35" s="117">
        <v>45297</v>
      </c>
      <c r="D35" s="116">
        <v>301.89</v>
      </c>
      <c r="E35" s="117">
        <v>45306</v>
      </c>
      <c r="F35" s="1">
        <f>COUNTIFS($A$3:A8360,A35,$B$3:B8360,B35)</f>
        <v>1</v>
      </c>
      <c r="G35" s="116"/>
    </row>
    <row r="36" spans="1:7" x14ac:dyDescent="0.2">
      <c r="A36" s="116">
        <f>IF(ISNUMBER(Tabela2[[#This Row],[CT-e/NFS]])=TRUE,(IF(B36&gt;30000,4,IF(B36&lt;1000,"ND",0))),"-")</f>
        <v>4</v>
      </c>
      <c r="B36" s="116">
        <v>45342</v>
      </c>
      <c r="C36" s="117">
        <v>45297</v>
      </c>
      <c r="D36" s="116">
        <v>137.94</v>
      </c>
      <c r="E36" s="117">
        <v>45306</v>
      </c>
      <c r="F36" s="1">
        <f>COUNTIFS($A$3:A8360,A36,$B$3:B8360,B36)</f>
        <v>1</v>
      </c>
      <c r="G36" s="116"/>
    </row>
    <row r="37" spans="1:7" x14ac:dyDescent="0.2">
      <c r="A37" s="116">
        <f>IF(ISNUMBER(Tabela2[[#This Row],[CT-e/NFS]])=TRUE,(IF(B37&gt;30000,4,IF(B37&lt;1000,"ND",0))),"-")</f>
        <v>4</v>
      </c>
      <c r="B37" s="116">
        <v>45341</v>
      </c>
      <c r="C37" s="117">
        <v>45297</v>
      </c>
      <c r="D37" s="116">
        <v>159.22999999999999</v>
      </c>
      <c r="E37" s="117">
        <v>45306</v>
      </c>
      <c r="F37" s="116">
        <f>COUNTIFS($A$3:A8280,A37,$B$3:B8280,B37)</f>
        <v>1</v>
      </c>
      <c r="G37" s="116"/>
    </row>
    <row r="38" spans="1:7" x14ac:dyDescent="0.2">
      <c r="A38" s="116">
        <f>IF(ISNUMBER(Tabela2[[#This Row],[CT-e/NFS]])=TRUE,(IF(B38&gt;30000,4,IF(B38&lt;1000,"ND",0))),"-")</f>
        <v>4</v>
      </c>
      <c r="B38" s="116">
        <v>45363</v>
      </c>
      <c r="C38" s="117">
        <v>45297</v>
      </c>
      <c r="D38" s="116">
        <v>147.80000000000001</v>
      </c>
      <c r="E38" s="117">
        <v>45306</v>
      </c>
      <c r="F38" s="116">
        <f>COUNTIFS($A$3:A8281,A38,$B$3:B8281,B38)</f>
        <v>1</v>
      </c>
      <c r="G38" s="116"/>
    </row>
    <row r="39" spans="1:7" x14ac:dyDescent="0.2">
      <c r="A39" s="116">
        <f>IF(ISNUMBER(Tabela2[[#This Row],[CT-e/NFS]])=TRUE,(IF(B39&gt;30000,4,IF(B39&lt;1000,"ND",0))),"-")</f>
        <v>4</v>
      </c>
      <c r="B39" s="116">
        <v>45364</v>
      </c>
      <c r="C39" s="117">
        <v>45297</v>
      </c>
      <c r="D39" s="116">
        <v>738.99</v>
      </c>
      <c r="E39" s="117">
        <v>45306</v>
      </c>
      <c r="F39" s="116">
        <f>COUNTIFS($A$3:A8282,A39,$B$3:B8282,B39)</f>
        <v>1</v>
      </c>
      <c r="G39" s="116"/>
    </row>
    <row r="40" spans="1:7" x14ac:dyDescent="0.2">
      <c r="A40" s="116">
        <f>IF(ISNUMBER(Tabela2[[#This Row],[CT-e/NFS]])=TRUE,(IF(B40&gt;30000,4,IF(B40&lt;1000,"ND",0))),"-")</f>
        <v>4</v>
      </c>
      <c r="B40" s="116">
        <v>45365</v>
      </c>
      <c r="C40" s="117">
        <v>45297</v>
      </c>
      <c r="D40" s="116">
        <v>122.73</v>
      </c>
      <c r="E40" s="117">
        <v>45306</v>
      </c>
      <c r="F40" s="116">
        <f>COUNTIFS($A$3:A8283,A40,$B$3:B8283,B40)</f>
        <v>1</v>
      </c>
      <c r="G40" s="116"/>
    </row>
    <row r="41" spans="1:7" x14ac:dyDescent="0.2">
      <c r="A41" s="116">
        <f>IF(ISNUMBER(Tabela2[[#This Row],[CT-e/NFS]])=TRUE,(IF(B41&gt;30000,4,IF(B41&lt;1000,"ND",0))),"-")</f>
        <v>4</v>
      </c>
      <c r="B41" s="116">
        <v>45336</v>
      </c>
      <c r="C41" s="117">
        <v>45297</v>
      </c>
      <c r="D41" s="116">
        <v>189.13</v>
      </c>
      <c r="E41" s="117">
        <v>45306</v>
      </c>
      <c r="F41" s="116">
        <f>COUNTIFS($A$3:A8284,A41,$B$3:B8284,B41)</f>
        <v>1</v>
      </c>
      <c r="G41" s="116"/>
    </row>
    <row r="42" spans="1:7" x14ac:dyDescent="0.2">
      <c r="A42" s="116">
        <f>IF(ISNUMBER(Tabela2[[#This Row],[CT-e/NFS]])=TRUE,(IF(B42&gt;30000,4,IF(B42&lt;1000,"ND",0))),"-")</f>
        <v>4</v>
      </c>
      <c r="B42" s="116">
        <v>45337</v>
      </c>
      <c r="C42" s="117">
        <v>45297</v>
      </c>
      <c r="D42" s="116">
        <v>148.75</v>
      </c>
      <c r="E42" s="117">
        <v>45306</v>
      </c>
      <c r="F42" s="116">
        <f>COUNTIFS($A$3:A8285,A42,$B$3:B8285,B42)</f>
        <v>1</v>
      </c>
      <c r="G42" s="116"/>
    </row>
    <row r="43" spans="1:7" x14ac:dyDescent="0.2">
      <c r="A43" s="116">
        <f>IF(ISNUMBER(Tabela2[[#This Row],[CT-e/NFS]])=TRUE,(IF(B43&gt;30000,4,IF(B43&lt;1000,"ND",0))),"-")</f>
        <v>4</v>
      </c>
      <c r="B43" s="116">
        <v>45335</v>
      </c>
      <c r="C43" s="117">
        <v>45297</v>
      </c>
      <c r="D43" s="116">
        <v>173.99</v>
      </c>
      <c r="E43" s="117">
        <v>45306</v>
      </c>
      <c r="F43" s="116">
        <f>COUNTIFS($A$3:A8286,A43,$B$3:B8286,B43)</f>
        <v>1</v>
      </c>
      <c r="G43" s="116"/>
    </row>
    <row r="44" spans="1:7" x14ac:dyDescent="0.2">
      <c r="A44" s="116">
        <f>IF(ISNUMBER(Tabela2[[#This Row],[CT-e/NFS]])=TRUE,(IF(B44&gt;30000,4,IF(B44&lt;1000,"ND",0))),"-")</f>
        <v>4</v>
      </c>
      <c r="B44" s="116">
        <v>45334</v>
      </c>
      <c r="C44" s="117">
        <v>45297</v>
      </c>
      <c r="D44" s="116">
        <v>455.2</v>
      </c>
      <c r="E44" s="117">
        <v>45306</v>
      </c>
      <c r="F44" s="116">
        <f>COUNTIFS($A$3:A8287,A44,$B$3:B8287,B44)</f>
        <v>1</v>
      </c>
      <c r="G44" s="116"/>
    </row>
    <row r="45" spans="1:7" x14ac:dyDescent="0.2">
      <c r="A45" s="116">
        <f>IF(ISNUMBER(Tabela2[[#This Row],[CT-e/NFS]])=TRUE,(IF(B45&gt;30000,4,IF(B45&lt;1000,"ND",0))),"-")</f>
        <v>4</v>
      </c>
      <c r="B45" s="116">
        <v>45374</v>
      </c>
      <c r="C45" s="117">
        <v>45297</v>
      </c>
      <c r="D45" s="116">
        <v>205.53</v>
      </c>
      <c r="E45" s="117">
        <v>45306</v>
      </c>
      <c r="F45" s="116">
        <f>COUNTIFS($A$3:A8288,A45,$B$3:B8288,B45)</f>
        <v>1</v>
      </c>
      <c r="G45" s="116"/>
    </row>
    <row r="46" spans="1:7" x14ac:dyDescent="0.2">
      <c r="A46" s="116">
        <f>IF(ISNUMBER(Tabela2[[#This Row],[CT-e/NFS]])=TRUE,(IF(B46&gt;30000,4,IF(B46&lt;1000,"ND",0))),"-")</f>
        <v>4</v>
      </c>
      <c r="B46" s="116">
        <v>45376</v>
      </c>
      <c r="C46" s="117">
        <v>45297</v>
      </c>
      <c r="D46" s="116">
        <v>124.35</v>
      </c>
      <c r="E46" s="117">
        <v>45306</v>
      </c>
      <c r="F46" s="116">
        <f>COUNTIFS($A$3:A8289,A46,$B$3:B8289,B46)</f>
        <v>1</v>
      </c>
      <c r="G46" s="116"/>
    </row>
    <row r="47" spans="1:7" x14ac:dyDescent="0.2">
      <c r="A47" s="116">
        <f>IF(ISNUMBER(Tabela2[[#This Row],[CT-e/NFS]])=TRUE,(IF(B47&gt;30000,4,IF(B47&lt;1000,"ND",0))),"-")</f>
        <v>4</v>
      </c>
      <c r="B47" s="116">
        <v>45368</v>
      </c>
      <c r="C47" s="117">
        <v>45297</v>
      </c>
      <c r="D47" s="116">
        <v>246.33</v>
      </c>
      <c r="E47" s="117">
        <v>45306</v>
      </c>
      <c r="F47" s="116">
        <f>COUNTIFS($A$3:A8290,A47,$B$3:B8290,B47)</f>
        <v>1</v>
      </c>
      <c r="G47" s="116"/>
    </row>
    <row r="48" spans="1:7" x14ac:dyDescent="0.2">
      <c r="A48" s="116">
        <f>IF(ISNUMBER(Tabela2[[#This Row],[CT-e/NFS]])=TRUE,(IF(B48&gt;30000,4,IF(B48&lt;1000,"ND",0))),"-")</f>
        <v>4</v>
      </c>
      <c r="B48" s="116">
        <v>45369</v>
      </c>
      <c r="C48" s="117">
        <v>45297</v>
      </c>
      <c r="D48" s="116">
        <v>122.93</v>
      </c>
      <c r="E48" s="117">
        <v>45306</v>
      </c>
      <c r="F48" s="116">
        <f>COUNTIFS($A$3:A8291,A48,$B$3:B8291,B48)</f>
        <v>1</v>
      </c>
      <c r="G48" s="116"/>
    </row>
    <row r="49" spans="1:7" x14ac:dyDescent="0.2">
      <c r="A49" s="116">
        <f>IF(ISNUMBER(Tabela2[[#This Row],[CT-e/NFS]])=TRUE,(IF(B49&gt;30000,4,IF(B49&lt;1000,"ND",0))),"-")</f>
        <v>4</v>
      </c>
      <c r="B49" s="116">
        <v>45371</v>
      </c>
      <c r="C49" s="117">
        <v>45297</v>
      </c>
      <c r="D49" s="116">
        <v>123.32</v>
      </c>
      <c r="E49" s="117">
        <v>45306</v>
      </c>
      <c r="F49" s="116">
        <f>COUNTIFS($A$3:A8292,A49,$B$3:B8292,B49)</f>
        <v>1</v>
      </c>
      <c r="G49" s="116"/>
    </row>
    <row r="50" spans="1:7" x14ac:dyDescent="0.2">
      <c r="A50" s="116">
        <f>IF(ISNUMBER(Tabela2[[#This Row],[CT-e/NFS]])=TRUE,(IF(B50&gt;30000,4,IF(B50&lt;1000,"ND",0))),"-")</f>
        <v>4</v>
      </c>
      <c r="B50" s="116">
        <v>45378</v>
      </c>
      <c r="C50" s="117">
        <v>45297</v>
      </c>
      <c r="D50" s="116">
        <v>255.58</v>
      </c>
      <c r="E50" s="117">
        <v>45306</v>
      </c>
      <c r="F50" s="116">
        <f>COUNTIFS($A$3:A8293,A50,$B$3:B8293,B50)</f>
        <v>1</v>
      </c>
      <c r="G50" s="116"/>
    </row>
    <row r="51" spans="1:7" x14ac:dyDescent="0.2">
      <c r="A51" s="116">
        <f>IF(ISNUMBER(Tabela2[[#This Row],[CT-e/NFS]])=TRUE,(IF(B51&gt;30000,4,IF(B51&lt;1000,"ND",0))),"-")</f>
        <v>4</v>
      </c>
      <c r="B51" s="116">
        <v>45381</v>
      </c>
      <c r="C51" s="117">
        <v>45297</v>
      </c>
      <c r="D51" s="116">
        <v>114.28</v>
      </c>
      <c r="E51" s="117">
        <v>45306</v>
      </c>
      <c r="F51" s="116">
        <f>COUNTIFS($A$3:A8294,A51,$B$3:B8294,B51)</f>
        <v>1</v>
      </c>
      <c r="G51" s="116"/>
    </row>
    <row r="52" spans="1:7" x14ac:dyDescent="0.2">
      <c r="A52" s="116">
        <f>IF(ISNUMBER(Tabela2[[#This Row],[CT-e/NFS]])=TRUE,(IF(B52&gt;30000,4,IF(B52&lt;1000,"ND",0))),"-")</f>
        <v>4</v>
      </c>
      <c r="B52" s="116">
        <v>45372</v>
      </c>
      <c r="C52" s="117">
        <v>45297</v>
      </c>
      <c r="D52" s="116">
        <v>124.33</v>
      </c>
      <c r="E52" s="117">
        <v>45306</v>
      </c>
      <c r="F52" s="116">
        <f>COUNTIFS($A$3:A8295,A52,$B$3:B8295,B52)</f>
        <v>1</v>
      </c>
      <c r="G52" s="116"/>
    </row>
    <row r="53" spans="1:7" x14ac:dyDescent="0.2">
      <c r="A53" s="116">
        <f>IF(ISNUMBER(Tabela2[[#This Row],[CT-e/NFS]])=TRUE,(IF(B53&gt;30000,4,IF(B53&lt;1000,"ND",0))),"-")</f>
        <v>4</v>
      </c>
      <c r="B53" s="116">
        <v>45370</v>
      </c>
      <c r="C53" s="117">
        <v>45297</v>
      </c>
      <c r="D53" s="116">
        <v>278.64999999999998</v>
      </c>
      <c r="E53" s="117">
        <v>45306</v>
      </c>
      <c r="F53" s="116">
        <f>COUNTIFS($A$3:A8296,A53,$B$3:B8296,B53)</f>
        <v>1</v>
      </c>
      <c r="G53" s="116"/>
    </row>
    <row r="54" spans="1:7" x14ac:dyDescent="0.2">
      <c r="A54" s="116">
        <f>IF(ISNUMBER(Tabela2[[#This Row],[CT-e/NFS]])=TRUE,(IF(B54&gt;30000,4,IF(B54&lt;1000,"ND",0))),"-")</f>
        <v>4</v>
      </c>
      <c r="B54" s="116">
        <v>45377</v>
      </c>
      <c r="C54" s="117">
        <v>45297</v>
      </c>
      <c r="D54" s="116">
        <v>85.93</v>
      </c>
      <c r="E54" s="117">
        <v>45306</v>
      </c>
      <c r="F54" s="116">
        <f>COUNTIFS($A$3:A8297,A54,$B$3:B8297,B54)</f>
        <v>1</v>
      </c>
      <c r="G54" s="116"/>
    </row>
    <row r="55" spans="1:7" x14ac:dyDescent="0.2">
      <c r="A55" s="116">
        <f>IF(ISNUMBER(Tabela2[[#This Row],[CT-e/NFS]])=TRUE,(IF(B55&gt;30000,4,IF(B55&lt;1000,"ND",0))),"-")</f>
        <v>4</v>
      </c>
      <c r="B55" s="116">
        <v>45382</v>
      </c>
      <c r="C55" s="117">
        <v>45297</v>
      </c>
      <c r="D55" s="116">
        <v>63.27</v>
      </c>
      <c r="E55" s="117">
        <v>45306</v>
      </c>
      <c r="F55" s="116">
        <f>COUNTIFS($A$3:A8298,A55,$B$3:B8298,B55)</f>
        <v>1</v>
      </c>
      <c r="G55" s="116"/>
    </row>
    <row r="56" spans="1:7" x14ac:dyDescent="0.2">
      <c r="A56" s="116">
        <f>IF(ISNUMBER(Tabela2[[#This Row],[CT-e/NFS]])=TRUE,(IF(B56&gt;30000,4,IF(B56&lt;1000,"ND",0))),"-")</f>
        <v>4</v>
      </c>
      <c r="B56" s="116">
        <v>45375</v>
      </c>
      <c r="C56" s="117">
        <v>45297</v>
      </c>
      <c r="D56" s="116">
        <v>124.47</v>
      </c>
      <c r="E56" s="117">
        <v>45306</v>
      </c>
      <c r="F56" s="116">
        <f>COUNTIFS($A$3:A8299,A56,$B$3:B8299,B56)</f>
        <v>1</v>
      </c>
      <c r="G56" s="116"/>
    </row>
    <row r="57" spans="1:7" x14ac:dyDescent="0.2">
      <c r="A57" s="116">
        <f>IF(ISNUMBER(Tabela2[[#This Row],[CT-e/NFS]])=TRUE,(IF(B57&gt;30000,4,IF(B57&lt;1000,"ND",0))),"-")</f>
        <v>4</v>
      </c>
      <c r="B57" s="116">
        <v>45367</v>
      </c>
      <c r="C57" s="117">
        <v>45297</v>
      </c>
      <c r="D57" s="116">
        <v>1352.34</v>
      </c>
      <c r="E57" s="117">
        <v>45306</v>
      </c>
      <c r="F57" s="116">
        <f>COUNTIFS($A$3:A8300,A57,$B$3:B8300,B57)</f>
        <v>1</v>
      </c>
      <c r="G57" s="116"/>
    </row>
    <row r="58" spans="1:7" x14ac:dyDescent="0.2">
      <c r="A58" s="116">
        <f>IF(ISNUMBER(Tabela2[[#This Row],[CT-e/NFS]])=TRUE,(IF(B58&gt;30000,4,IF(B58&lt;1000,"ND",0))),"-")</f>
        <v>4</v>
      </c>
      <c r="B58" s="116">
        <v>45380</v>
      </c>
      <c r="C58" s="117">
        <v>45297</v>
      </c>
      <c r="D58" s="116">
        <v>124.05</v>
      </c>
      <c r="E58" s="117">
        <v>45306</v>
      </c>
      <c r="F58" s="116">
        <f>COUNTIFS($A$3:A8301,A58,$B$3:B8301,B58)</f>
        <v>1</v>
      </c>
      <c r="G58" s="116"/>
    </row>
    <row r="59" spans="1:7" x14ac:dyDescent="0.2">
      <c r="A59" s="116">
        <f>IF(ISNUMBER(Tabela2[[#This Row],[CT-e/NFS]])=TRUE,(IF(B59&gt;30000,4,IF(B59&lt;1000,"ND",0))),"-")</f>
        <v>0</v>
      </c>
      <c r="B59" s="116">
        <v>20969</v>
      </c>
      <c r="C59" s="117">
        <v>45297</v>
      </c>
      <c r="D59" s="116">
        <v>75.64</v>
      </c>
      <c r="E59" s="117">
        <v>45306</v>
      </c>
      <c r="F59" s="116">
        <f>COUNTIFS($A$3:A8302,A59,$B$3:B8302,B59)</f>
        <v>1</v>
      </c>
      <c r="G59" s="116"/>
    </row>
    <row r="60" spans="1:7" x14ac:dyDescent="0.2">
      <c r="A60" s="116">
        <f>IF(ISNUMBER(Tabela2[[#This Row],[CT-e/NFS]])=TRUE,(IF(B60&gt;30000,4,IF(B60&lt;1000,"ND",0))),"-")</f>
        <v>0</v>
      </c>
      <c r="B60" s="116">
        <v>20968</v>
      </c>
      <c r="C60" s="117">
        <v>45297</v>
      </c>
      <c r="D60" s="116">
        <v>77.63</v>
      </c>
      <c r="E60" s="117">
        <v>45306</v>
      </c>
      <c r="F60" s="116">
        <f>COUNTIFS($A$3:A8303,A60,$B$3:B8303,B60)</f>
        <v>1</v>
      </c>
      <c r="G60" s="116"/>
    </row>
    <row r="61" spans="1:7" x14ac:dyDescent="0.2">
      <c r="A61" s="116">
        <f>IF(ISNUMBER(Tabela2[[#This Row],[CT-e/NFS]])=TRUE,(IF(B61&gt;30000,4,IF(B61&lt;1000,"ND",0))),"-")</f>
        <v>0</v>
      </c>
      <c r="B61" s="116">
        <v>20966</v>
      </c>
      <c r="C61" s="117">
        <v>45297</v>
      </c>
      <c r="D61" s="116">
        <v>75.599999999999994</v>
      </c>
      <c r="E61" s="117">
        <v>45306</v>
      </c>
      <c r="F61" s="116">
        <f>COUNTIFS($A$3:A8304,A61,$B$3:B8304,B61)</f>
        <v>1</v>
      </c>
      <c r="G61" s="116"/>
    </row>
    <row r="62" spans="1:7" x14ac:dyDescent="0.2">
      <c r="A62" s="116">
        <f>IF(ISNUMBER(Tabela2[[#This Row],[CT-e/NFS]])=TRUE,(IF(B62&gt;30000,4,IF(B62&lt;1000,"ND",0))),"-")</f>
        <v>0</v>
      </c>
      <c r="B62" s="116">
        <v>20970</v>
      </c>
      <c r="C62" s="117">
        <v>45297</v>
      </c>
      <c r="D62" s="116">
        <v>140.06</v>
      </c>
      <c r="E62" s="117">
        <v>45306</v>
      </c>
      <c r="F62" s="1">
        <f>COUNTIFS($A$3:A8360,A62,$B$3:B8360,B62)</f>
        <v>1</v>
      </c>
      <c r="G62" s="116"/>
    </row>
    <row r="63" spans="1:7" x14ac:dyDescent="0.2">
      <c r="A63" s="116">
        <f>IF(ISNUMBER(Tabela2[[#This Row],[CT-e/NFS]])=TRUE,(IF(B63&gt;30000,4,IF(B63&lt;1000,"ND",0))),"-")</f>
        <v>0</v>
      </c>
      <c r="B63" s="116">
        <v>20967</v>
      </c>
      <c r="C63" s="117">
        <v>45297</v>
      </c>
      <c r="D63" s="116">
        <v>758.82</v>
      </c>
      <c r="E63" s="117">
        <v>45306</v>
      </c>
      <c r="F63" s="116">
        <f>COUNTIFS($A$3:A8306,A63,$B$3:B8306,B63)</f>
        <v>1</v>
      </c>
      <c r="G63" s="116"/>
    </row>
    <row r="64" spans="1:7" x14ac:dyDescent="0.2">
      <c r="A64" s="116">
        <f>IF(ISNUMBER(Tabela2[[#This Row],[CT-e/NFS]])=TRUE,(IF(B64&gt;30000,4,IF(B64&lt;1000,"ND",0))),"-")</f>
        <v>0</v>
      </c>
      <c r="B64" s="116">
        <v>20972</v>
      </c>
      <c r="C64" s="117">
        <v>45297</v>
      </c>
      <c r="D64" s="116">
        <v>76</v>
      </c>
      <c r="E64" s="117">
        <v>45306</v>
      </c>
      <c r="F64" s="116">
        <f>COUNTIFS($A$3:A8307,A64,$B$3:B8307,B64)</f>
        <v>1</v>
      </c>
      <c r="G64" s="116"/>
    </row>
    <row r="65" spans="1:7" x14ac:dyDescent="0.2">
      <c r="A65" s="116">
        <f>IF(ISNUMBER(Tabela2[[#This Row],[CT-e/NFS]])=TRUE,(IF(B65&gt;30000,4,IF(B65&lt;1000,"ND",0))),"-")</f>
        <v>0</v>
      </c>
      <c r="B65" s="116">
        <v>20973</v>
      </c>
      <c r="C65" s="117">
        <v>45297</v>
      </c>
      <c r="D65" s="116">
        <v>76.28</v>
      </c>
      <c r="E65" s="117">
        <v>45306</v>
      </c>
      <c r="F65" s="116">
        <f>COUNTIFS($A$3:A8308,A65,$B$3:B8308,B65)</f>
        <v>1</v>
      </c>
      <c r="G65" s="116"/>
    </row>
    <row r="66" spans="1:7" x14ac:dyDescent="0.2">
      <c r="A66" s="116">
        <f>IF(ISNUMBER(Tabela2[[#This Row],[CT-e/NFS]])=TRUE,(IF(B66&gt;30000,4,IF(B66&lt;1000,"ND",0))),"-")</f>
        <v>0</v>
      </c>
      <c r="B66" s="116">
        <v>20974</v>
      </c>
      <c r="C66" s="117">
        <v>45297</v>
      </c>
      <c r="D66" s="116">
        <v>77.260000000000005</v>
      </c>
      <c r="E66" s="117">
        <v>45306</v>
      </c>
      <c r="F66" s="116">
        <f>COUNTIFS($A$3:A8309,A66,$B$3:B8309,B66)</f>
        <v>1</v>
      </c>
      <c r="G66" s="116"/>
    </row>
    <row r="67" spans="1:7" x14ac:dyDescent="0.2">
      <c r="A67" s="116">
        <f>IF(ISNUMBER(Tabela2[[#This Row],[CT-e/NFS]])=TRUE,(IF(B67&gt;30000,4,IF(B67&lt;1000,"ND",0))),"-")</f>
        <v>0</v>
      </c>
      <c r="B67" s="116">
        <v>20971</v>
      </c>
      <c r="C67" s="117">
        <v>45297</v>
      </c>
      <c r="D67" s="116">
        <v>75.61</v>
      </c>
      <c r="E67" s="117">
        <v>45306</v>
      </c>
      <c r="F67" s="116">
        <f>COUNTIFS($A$3:A8310,A67,$B$3:B8310,B67)</f>
        <v>1</v>
      </c>
      <c r="G67" s="116"/>
    </row>
    <row r="68" spans="1:7" x14ac:dyDescent="0.2">
      <c r="A68" s="116">
        <f>IF(ISNUMBER(Tabela2[[#This Row],[CT-e/NFS]])=TRUE,(IF(B68&gt;30000,4,IF(B68&lt;1000,"ND",0))),"-")</f>
        <v>0</v>
      </c>
      <c r="B68" s="116">
        <v>20975</v>
      </c>
      <c r="C68" s="117">
        <v>45297</v>
      </c>
      <c r="D68" s="116">
        <v>76.41</v>
      </c>
      <c r="E68" s="117">
        <v>45306</v>
      </c>
      <c r="F68" s="116">
        <f>COUNTIFS($A$3:A8311,A68,$B$3:B8311,B68)</f>
        <v>1</v>
      </c>
      <c r="G68" s="116"/>
    </row>
    <row r="69" spans="1:7" x14ac:dyDescent="0.2">
      <c r="A69" s="116">
        <f>IF(ISNUMBER(Tabela2[[#This Row],[CT-e/NFS]])=TRUE,(IF(B69&gt;30000,4,IF(B69&lt;1000,"ND",0))),"-")</f>
        <v>4</v>
      </c>
      <c r="B69" s="116">
        <v>45379</v>
      </c>
      <c r="C69" s="117">
        <v>45297</v>
      </c>
      <c r="D69" s="116">
        <v>702.74</v>
      </c>
      <c r="E69" s="117">
        <v>45306</v>
      </c>
      <c r="F69" s="116">
        <f>COUNTIFS($A$3:A8312,A69,$B$3:B8312,B69)</f>
        <v>1</v>
      </c>
      <c r="G69" s="116"/>
    </row>
    <row r="70" spans="1:7" x14ac:dyDescent="0.2">
      <c r="A70" s="116">
        <f>IF(ISNUMBER(Tabela2[[#This Row],[CT-e/NFS]])=TRUE,(IF(B70&gt;30000,4,IF(B70&lt;1000,"ND",0))),"-")</f>
        <v>4</v>
      </c>
      <c r="B70" s="116">
        <v>45373</v>
      </c>
      <c r="C70" s="117">
        <v>45297</v>
      </c>
      <c r="D70" s="116">
        <v>2100.69</v>
      </c>
      <c r="E70" s="117">
        <v>45306</v>
      </c>
      <c r="F70" s="116">
        <f>COUNTIFS($A$3:A8313,A70,$B$3:B8313,B70)</f>
        <v>1</v>
      </c>
      <c r="G70" s="116"/>
    </row>
    <row r="71" spans="1:7" x14ac:dyDescent="0.2">
      <c r="A71" s="116">
        <f>IF(ISNUMBER(Tabela2[[#This Row],[CT-e/NFS]])=TRUE,(IF(B71&gt;30000,4,IF(B71&lt;1000,"ND",0))),"-")</f>
        <v>4</v>
      </c>
      <c r="B71" s="116">
        <v>45389</v>
      </c>
      <c r="C71" s="117">
        <v>45297</v>
      </c>
      <c r="D71" s="116">
        <v>62.13</v>
      </c>
      <c r="E71" s="117">
        <v>45306</v>
      </c>
      <c r="F71" s="116">
        <f>COUNTIFS($A$3:A8314,A71,$B$3:B8314,B71)</f>
        <v>1</v>
      </c>
      <c r="G71" s="116"/>
    </row>
    <row r="72" spans="1:7" x14ac:dyDescent="0.2">
      <c r="A72" s="116">
        <f>IF(ISNUMBER(Tabela2[[#This Row],[CT-e/NFS]])=TRUE,(IF(B72&gt;30000,4,IF(B72&lt;1000,"ND",0))),"-")</f>
        <v>4</v>
      </c>
      <c r="B72" s="116">
        <v>45390</v>
      </c>
      <c r="C72" s="117">
        <v>45297</v>
      </c>
      <c r="D72" s="116">
        <v>111.99</v>
      </c>
      <c r="E72" s="117">
        <v>45306</v>
      </c>
      <c r="F72" s="116">
        <f>COUNTIFS($A$3:A8315,A72,$B$3:B8315,B72)</f>
        <v>1</v>
      </c>
      <c r="G72" s="116"/>
    </row>
    <row r="73" spans="1:7" x14ac:dyDescent="0.2">
      <c r="A73" s="116">
        <f>IF(ISNUMBER(Tabela2[[#This Row],[CT-e/NFS]])=TRUE,(IF(B73&gt;30000,4,IF(B73&lt;1000,"ND",0))),"-")</f>
        <v>4</v>
      </c>
      <c r="B73" s="116">
        <v>45385</v>
      </c>
      <c r="C73" s="117">
        <v>45297</v>
      </c>
      <c r="D73" s="116">
        <v>4544.72</v>
      </c>
      <c r="E73" s="117">
        <v>45306</v>
      </c>
      <c r="F73" s="116">
        <f>COUNTIFS($A$3:A8316,A73,$B$3:B8316,B73)</f>
        <v>1</v>
      </c>
      <c r="G73" s="116"/>
    </row>
    <row r="74" spans="1:7" x14ac:dyDescent="0.2">
      <c r="A74" s="116">
        <f>IF(ISNUMBER(Tabela2[[#This Row],[CT-e/NFS]])=TRUE,(IF(B74&gt;30000,4,IF(B74&lt;1000,"ND",0))),"-")</f>
        <v>4</v>
      </c>
      <c r="B74" s="116">
        <v>45388</v>
      </c>
      <c r="C74" s="117">
        <v>45297</v>
      </c>
      <c r="D74" s="116">
        <v>4039.75</v>
      </c>
      <c r="E74" s="117">
        <v>45306</v>
      </c>
      <c r="F74" s="1">
        <f>COUNTIFS($A$3:A8360,A74,$B$3:B8360,B74)</f>
        <v>1</v>
      </c>
      <c r="G74" s="116"/>
    </row>
    <row r="75" spans="1:7" x14ac:dyDescent="0.2">
      <c r="A75" s="116">
        <f>IF(ISNUMBER(Tabela2[[#This Row],[CT-e/NFS]])=TRUE,(IF(B75&gt;30000,4,IF(B75&lt;1000,"ND",0))),"-")</f>
        <v>4</v>
      </c>
      <c r="B75" s="116">
        <v>45387</v>
      </c>
      <c r="C75" s="117">
        <v>45297</v>
      </c>
      <c r="D75" s="116">
        <v>5049.68</v>
      </c>
      <c r="E75" s="117">
        <v>45306</v>
      </c>
      <c r="F75" s="1">
        <f>COUNTIFS($A$3:A8360,A75,$B$3:B8360,B75)</f>
        <v>1</v>
      </c>
      <c r="G75" s="116"/>
    </row>
    <row r="76" spans="1:7" x14ac:dyDescent="0.2">
      <c r="A76" s="116">
        <f>IF(ISNUMBER(Tabela2[[#This Row],[CT-e/NFS]])=TRUE,(IF(B76&gt;30000,4,IF(B76&lt;1000,"ND",0))),"-")</f>
        <v>4</v>
      </c>
      <c r="B76" s="116">
        <v>45386</v>
      </c>
      <c r="C76" s="117">
        <v>45297</v>
      </c>
      <c r="D76" s="116">
        <v>5049.68</v>
      </c>
      <c r="E76" s="117">
        <v>45306</v>
      </c>
      <c r="F76" s="1">
        <f>COUNTIFS($A$3:A8360,A76,$B$3:B8360,B76)</f>
        <v>1</v>
      </c>
      <c r="G76" s="116"/>
    </row>
    <row r="77" spans="1:7" x14ac:dyDescent="0.2">
      <c r="A77" s="116">
        <f>IF(ISNUMBER(Tabela2[[#This Row],[CT-e/NFS]])=TRUE,(IF(B77&gt;30000,4,IF(B77&lt;1000,"ND",0))),"-")</f>
        <v>0</v>
      </c>
      <c r="B77" s="116">
        <v>20977</v>
      </c>
      <c r="C77" s="117">
        <v>45297</v>
      </c>
      <c r="D77" s="116">
        <v>122.46</v>
      </c>
      <c r="E77" s="117">
        <v>45306</v>
      </c>
      <c r="F77" s="1">
        <f>COUNTIFS($A$3:A8360,A77,$B$3:B8360,B77)</f>
        <v>1</v>
      </c>
      <c r="G77" s="116"/>
    </row>
    <row r="78" spans="1:7" x14ac:dyDescent="0.2">
      <c r="A78" s="116">
        <f>IF(ISNUMBER(Tabela2[[#This Row],[CT-e/NFS]])=TRUE,(IF(B78&gt;30000,4,IF(B78&lt;1000,"ND",0))),"-")</f>
        <v>0</v>
      </c>
      <c r="B78" s="116">
        <v>20979</v>
      </c>
      <c r="C78" s="117">
        <v>45297</v>
      </c>
      <c r="D78" s="116">
        <v>77.58</v>
      </c>
      <c r="E78" s="117">
        <v>45306</v>
      </c>
      <c r="F78" s="1">
        <f>COUNTIFS($A$3:A8360,A78,$B$3:B8360,B78)</f>
        <v>1</v>
      </c>
      <c r="G78" s="116"/>
    </row>
    <row r="79" spans="1:7" x14ac:dyDescent="0.2">
      <c r="A79" s="116">
        <f>IF(ISNUMBER(Tabela2[[#This Row],[CT-e/NFS]])=TRUE,(IF(B79&gt;30000,4,IF(B79&lt;1000,"ND",0))),"-")</f>
        <v>0</v>
      </c>
      <c r="B79" s="116">
        <v>20978</v>
      </c>
      <c r="C79" s="117">
        <v>45297</v>
      </c>
      <c r="D79" s="116">
        <v>75.81</v>
      </c>
      <c r="E79" s="117">
        <v>45306</v>
      </c>
      <c r="F79" s="116">
        <f>COUNTIFS($A$3:A8319,A79,$B$3:B8319,B79)</f>
        <v>1</v>
      </c>
      <c r="G79" s="116"/>
    </row>
    <row r="80" spans="1:7" x14ac:dyDescent="0.2">
      <c r="A80" s="116">
        <f>IF(ISNUMBER(Tabela2[[#This Row],[CT-e/NFS]])=TRUE,(IF(B80&gt;30000,4,IF(B80&lt;1000,"ND",0))),"-")</f>
        <v>0</v>
      </c>
      <c r="B80" s="116">
        <v>20980</v>
      </c>
      <c r="C80" s="117">
        <v>45297</v>
      </c>
      <c r="D80" s="116">
        <v>99.62</v>
      </c>
      <c r="E80" s="117">
        <v>45306</v>
      </c>
      <c r="F80" s="116">
        <f>COUNTIFS($A$3:A8320,A80,$B$3:B8320,B80)</f>
        <v>1</v>
      </c>
      <c r="G80" s="116"/>
    </row>
    <row r="81" spans="1:7" x14ac:dyDescent="0.2">
      <c r="A81" s="116">
        <f>IF(ISNUMBER(Tabela2[[#This Row],[CT-e/NFS]])=TRUE,(IF(B81&gt;30000,4,IF(B81&lt;1000,"ND",0))),"-")</f>
        <v>0</v>
      </c>
      <c r="B81" s="116">
        <v>20981</v>
      </c>
      <c r="C81" s="117">
        <v>45297</v>
      </c>
      <c r="D81" s="116">
        <v>101.39</v>
      </c>
      <c r="E81" s="117">
        <v>45306</v>
      </c>
      <c r="F81" s="116">
        <f>COUNTIFS($A$3:A8321,A81,$B$3:B8321,B81)</f>
        <v>1</v>
      </c>
      <c r="G81" s="116"/>
    </row>
    <row r="82" spans="1:7" x14ac:dyDescent="0.2">
      <c r="A82" s="116">
        <f>IF(ISNUMBER(Tabela2[[#This Row],[CT-e/NFS]])=TRUE,(IF(B82&gt;30000,4,IF(B82&lt;1000,"ND",0))),"-")</f>
        <v>0</v>
      </c>
      <c r="B82" s="116">
        <v>20982</v>
      </c>
      <c r="C82" s="117">
        <v>45297</v>
      </c>
      <c r="D82" s="116">
        <v>91.82</v>
      </c>
      <c r="E82" s="117">
        <v>45306</v>
      </c>
      <c r="F82" s="116">
        <f>COUNTIFS($A$3:A8322,A82,$B$3:B8322,B82)</f>
        <v>1</v>
      </c>
      <c r="G82" s="116"/>
    </row>
    <row r="83" spans="1:7" x14ac:dyDescent="0.2">
      <c r="A83" s="116">
        <f>IF(ISNUMBER(Tabela2[[#This Row],[CT-e/NFS]])=TRUE,(IF(B83&gt;30000,4,IF(B83&lt;1000,"ND",0))),"-")</f>
        <v>4</v>
      </c>
      <c r="B83" s="116">
        <v>45410</v>
      </c>
      <c r="C83" s="117">
        <v>45297</v>
      </c>
      <c r="D83" s="116">
        <v>323.08</v>
      </c>
      <c r="E83" s="117">
        <v>45306</v>
      </c>
      <c r="F83" s="116">
        <f>COUNTIFS($A$3:A8323,A83,$B$3:B8323,B83)</f>
        <v>1</v>
      </c>
      <c r="G83" s="116"/>
    </row>
    <row r="84" spans="1:7" x14ac:dyDescent="0.2">
      <c r="A84" s="116">
        <f>IF(ISNUMBER(Tabela2[[#This Row],[CT-e/NFS]])=TRUE,(IF(B84&gt;30000,4,IF(B84&lt;1000,"ND",0))),"-")</f>
        <v>4</v>
      </c>
      <c r="B84" s="116">
        <v>45411</v>
      </c>
      <c r="C84" s="117">
        <v>45297</v>
      </c>
      <c r="D84" s="116">
        <v>323.08</v>
      </c>
      <c r="E84" s="117">
        <v>45306</v>
      </c>
      <c r="F84" s="116">
        <f>COUNTIFS($A$3:A8324,A84,$B$3:B8324,B84)</f>
        <v>1</v>
      </c>
      <c r="G84" s="116"/>
    </row>
    <row r="85" spans="1:7" x14ac:dyDescent="0.2">
      <c r="A85" s="116">
        <f>IF(ISNUMBER(Tabela2[[#This Row],[CT-e/NFS]])=TRUE,(IF(B85&gt;30000,4,IF(B85&lt;1000,"ND",0))),"-")</f>
        <v>4</v>
      </c>
      <c r="B85" s="116">
        <v>45412</v>
      </c>
      <c r="C85" s="117">
        <v>45297</v>
      </c>
      <c r="D85" s="116">
        <v>136.6</v>
      </c>
      <c r="E85" s="117">
        <v>45306</v>
      </c>
      <c r="F85" s="1">
        <f>COUNTIFS($A$3:A8360,A85,$B$3:B8360,B85)</f>
        <v>1</v>
      </c>
      <c r="G85" s="116"/>
    </row>
    <row r="86" spans="1:7" x14ac:dyDescent="0.2">
      <c r="A86" s="116">
        <f>IF(ISNUMBER(Tabela2[[#This Row],[CT-e/NFS]])=TRUE,(IF(B86&gt;30000,4,IF(B86&lt;1000,"ND",0))),"-")</f>
        <v>4</v>
      </c>
      <c r="B86" s="116">
        <v>45409</v>
      </c>
      <c r="C86" s="117">
        <v>45297</v>
      </c>
      <c r="D86" s="116">
        <v>184.31</v>
      </c>
      <c r="E86" s="117">
        <v>45306</v>
      </c>
      <c r="F86" s="116">
        <f>COUNTIFS($A$3:A8331,A86,$B$3:B8331,B86)</f>
        <v>1</v>
      </c>
      <c r="G86" s="116"/>
    </row>
    <row r="87" spans="1:7" x14ac:dyDescent="0.2">
      <c r="A87" s="116">
        <f>IF(ISNUMBER(Tabela2[[#This Row],[CT-e/NFS]])=TRUE,(IF(B87&gt;30000,4,IF(B87&lt;1000,"ND",0))),"-")</f>
        <v>4</v>
      </c>
      <c r="B87" s="116">
        <v>45401</v>
      </c>
      <c r="C87" s="117">
        <v>45297</v>
      </c>
      <c r="D87" s="116">
        <v>124.3</v>
      </c>
      <c r="E87" s="117">
        <v>45306</v>
      </c>
      <c r="F87" s="116">
        <f>COUNTIFS($A$3:A8332,A87,$B$3:B8332,B87)</f>
        <v>1</v>
      </c>
      <c r="G87" s="116"/>
    </row>
    <row r="88" spans="1:7" x14ac:dyDescent="0.2">
      <c r="A88" s="116">
        <f>IF(ISNUMBER(Tabela2[[#This Row],[CT-e/NFS]])=TRUE,(IF(B88&gt;30000,4,IF(B88&lt;1000,"ND",0))),"-")</f>
        <v>4</v>
      </c>
      <c r="B88" s="116">
        <v>45402</v>
      </c>
      <c r="C88" s="117">
        <v>45297</v>
      </c>
      <c r="D88" s="116">
        <v>124.3</v>
      </c>
      <c r="E88" s="117">
        <v>45306</v>
      </c>
      <c r="F88" s="116">
        <f>COUNTIFS($A$3:A8333,A88,$B$3:B8333,B88)</f>
        <v>1</v>
      </c>
      <c r="G88" s="116"/>
    </row>
    <row r="89" spans="1:7" x14ac:dyDescent="0.2">
      <c r="A89" s="116">
        <f>IF(ISNUMBER(Tabela2[[#This Row],[CT-e/NFS]])=TRUE,(IF(B89&gt;30000,4,IF(B89&lt;1000,"ND",0))),"-")</f>
        <v>4</v>
      </c>
      <c r="B89" s="116">
        <v>45394</v>
      </c>
      <c r="C89" s="117">
        <v>45297</v>
      </c>
      <c r="D89" s="116">
        <v>123.52</v>
      </c>
      <c r="E89" s="117">
        <v>45306</v>
      </c>
      <c r="F89" s="116">
        <f>COUNTIFS($A$3:A8334,A89,$B$3:B8334,B89)</f>
        <v>1</v>
      </c>
      <c r="G89" s="116"/>
    </row>
    <row r="90" spans="1:7" x14ac:dyDescent="0.2">
      <c r="A90" s="116">
        <f>IF(ISNUMBER(Tabela2[[#This Row],[CT-e/NFS]])=TRUE,(IF(B90&gt;30000,4,IF(B90&lt;1000,"ND",0))),"-")</f>
        <v>4</v>
      </c>
      <c r="B90" s="116">
        <v>45393</v>
      </c>
      <c r="C90" s="117">
        <v>45297</v>
      </c>
      <c r="D90" s="116">
        <v>123.5</v>
      </c>
      <c r="E90" s="117">
        <v>45306</v>
      </c>
      <c r="F90" s="116">
        <f>COUNTIFS($A$3:A8335,A90,$B$3:B8335,B90)</f>
        <v>1</v>
      </c>
      <c r="G90" s="116"/>
    </row>
    <row r="91" spans="1:7" x14ac:dyDescent="0.2">
      <c r="A91" s="116">
        <f>IF(ISNUMBER(Tabela2[[#This Row],[CT-e/NFS]])=TRUE,(IF(B91&gt;30000,4,IF(B91&lt;1000,"ND",0))),"-")</f>
        <v>4</v>
      </c>
      <c r="B91" s="116">
        <v>45413</v>
      </c>
      <c r="C91" s="117">
        <v>45297</v>
      </c>
      <c r="D91" s="116">
        <v>125.72</v>
      </c>
      <c r="E91" s="117">
        <v>45306</v>
      </c>
      <c r="F91" s="116">
        <f>COUNTIFS($A$3:A8336,A91,$B$3:B8336,B91)</f>
        <v>1</v>
      </c>
      <c r="G91" s="116"/>
    </row>
    <row r="92" spans="1:7" x14ac:dyDescent="0.2">
      <c r="A92" s="116">
        <f>IF(ISNUMBER(Tabela2[[#This Row],[CT-e/NFS]])=TRUE,(IF(B92&gt;30000,4,IF(B92&lt;1000,"ND",0))),"-")</f>
        <v>4</v>
      </c>
      <c r="B92" s="116">
        <v>45399</v>
      </c>
      <c r="C92" s="117">
        <v>45297</v>
      </c>
      <c r="D92" s="116">
        <v>126.56</v>
      </c>
      <c r="E92" s="117">
        <v>45306</v>
      </c>
      <c r="F92" s="116">
        <f>COUNTIFS($A$3:A8337,A92,$B$3:B8337,B92)</f>
        <v>1</v>
      </c>
      <c r="G92" s="116"/>
    </row>
    <row r="93" spans="1:7" x14ac:dyDescent="0.2">
      <c r="A93" s="116">
        <f>IF(ISNUMBER(Tabela2[[#This Row],[CT-e/NFS]])=TRUE,(IF(B93&gt;30000,4,IF(B93&lt;1000,"ND",0))),"-")</f>
        <v>4</v>
      </c>
      <c r="B93" s="116">
        <v>45396</v>
      </c>
      <c r="C93" s="117">
        <v>45297</v>
      </c>
      <c r="D93" s="116">
        <v>125.7</v>
      </c>
      <c r="E93" s="117">
        <v>45306</v>
      </c>
      <c r="F93" s="116">
        <f>COUNTIFS($A$3:A8338,A93,$B$3:B8338,B93)</f>
        <v>1</v>
      </c>
      <c r="G93" s="116"/>
    </row>
    <row r="94" spans="1:7" x14ac:dyDescent="0.2">
      <c r="A94" s="116">
        <f>IF(ISNUMBER(Tabela2[[#This Row],[CT-e/NFS]])=TRUE,(IF(B94&gt;30000,4,IF(B94&lt;1000,"ND",0))),"-")</f>
        <v>4</v>
      </c>
      <c r="B94" s="116">
        <v>45400</v>
      </c>
      <c r="C94" s="117">
        <v>45297</v>
      </c>
      <c r="D94" s="116">
        <v>137.99</v>
      </c>
      <c r="E94" s="117">
        <v>45306</v>
      </c>
      <c r="F94" s="116">
        <f>COUNTIFS($A$3:A8339,A94,$B$3:B8339,B94)</f>
        <v>1</v>
      </c>
      <c r="G94" s="116"/>
    </row>
    <row r="95" spans="1:7" x14ac:dyDescent="0.2">
      <c r="A95" s="116">
        <f>IF(ISNUMBER(Tabela2[[#This Row],[CT-e/NFS]])=TRUE,(IF(B95&gt;30000,4,IF(B95&lt;1000,"ND",0))),"-")</f>
        <v>4</v>
      </c>
      <c r="B95" s="116">
        <v>45407</v>
      </c>
      <c r="C95" s="117">
        <v>45297</v>
      </c>
      <c r="D95" s="116">
        <v>124.38</v>
      </c>
      <c r="E95" s="117">
        <v>45306</v>
      </c>
      <c r="F95" s="116">
        <f>COUNTIFS($A$3:A8340,A95,$B$3:B8340,B95)</f>
        <v>1</v>
      </c>
      <c r="G95" s="116"/>
    </row>
    <row r="96" spans="1:7" x14ac:dyDescent="0.2">
      <c r="A96" s="116">
        <f>IF(ISNUMBER(Tabela2[[#This Row],[CT-e/NFS]])=TRUE,(IF(B96&gt;30000,4,IF(B96&lt;1000,"ND",0))),"-")</f>
        <v>4</v>
      </c>
      <c r="B96" s="116">
        <v>45397</v>
      </c>
      <c r="C96" s="117">
        <v>45297</v>
      </c>
      <c r="D96" s="116">
        <v>122.76</v>
      </c>
      <c r="E96" s="117">
        <v>45306</v>
      </c>
      <c r="F96" s="116">
        <f>COUNTIFS($A$3:A8341,A96,$B$3:B8341,B96)</f>
        <v>1</v>
      </c>
      <c r="G96" s="116"/>
    </row>
    <row r="97" spans="1:7" x14ac:dyDescent="0.2">
      <c r="A97" s="116">
        <f>IF(ISNUMBER(Tabela2[[#This Row],[CT-e/NFS]])=TRUE,(IF(B97&gt;30000,4,IF(B97&lt;1000,"ND",0))),"-")</f>
        <v>4</v>
      </c>
      <c r="B97" s="116">
        <v>45398</v>
      </c>
      <c r="C97" s="117">
        <v>45297</v>
      </c>
      <c r="D97" s="116">
        <v>182.64</v>
      </c>
      <c r="E97" s="117">
        <v>45306</v>
      </c>
      <c r="F97" s="116">
        <f>COUNTIFS($A$3:A8342,A97,$B$3:B8342,B97)</f>
        <v>1</v>
      </c>
      <c r="G97" s="116"/>
    </row>
    <row r="98" spans="1:7" x14ac:dyDescent="0.2">
      <c r="A98" s="116">
        <f>IF(ISNUMBER(Tabela2[[#This Row],[CT-e/NFS]])=TRUE,(IF(B98&gt;30000,4,IF(B98&lt;1000,"ND",0))),"-")</f>
        <v>4</v>
      </c>
      <c r="B98" s="116">
        <v>45406</v>
      </c>
      <c r="C98" s="117">
        <v>45297</v>
      </c>
      <c r="D98" s="116">
        <v>125.64</v>
      </c>
      <c r="E98" s="117">
        <v>45306</v>
      </c>
      <c r="F98" s="116">
        <f>COUNTIFS($A$3:A8343,A98,$B$3:B8343,B98)</f>
        <v>1</v>
      </c>
      <c r="G98" s="116"/>
    </row>
    <row r="99" spans="1:7" x14ac:dyDescent="0.2">
      <c r="A99" s="116">
        <f>IF(ISNUMBER(Tabela2[[#This Row],[CT-e/NFS]])=TRUE,(IF(B99&gt;30000,4,IF(B99&lt;1000,"ND",0))),"-")</f>
        <v>4</v>
      </c>
      <c r="B99" s="116">
        <v>45403</v>
      </c>
      <c r="C99" s="117">
        <v>45297</v>
      </c>
      <c r="D99" s="116">
        <v>124.06</v>
      </c>
      <c r="E99" s="117">
        <v>45306</v>
      </c>
      <c r="F99" s="116">
        <f>COUNTIFS($A$3:A8344,A99,$B$3:B8344,B99)</f>
        <v>1</v>
      </c>
      <c r="G99" s="116"/>
    </row>
    <row r="100" spans="1:7" x14ac:dyDescent="0.2">
      <c r="A100" s="116">
        <f>IF(ISNUMBER(Tabela2[[#This Row],[CT-e/NFS]])=TRUE,(IF(B100&gt;30000,4,IF(B100&lt;1000,"ND",0))),"-")</f>
        <v>4</v>
      </c>
      <c r="B100" s="116">
        <v>45405</v>
      </c>
      <c r="C100" s="117">
        <v>45297</v>
      </c>
      <c r="D100" s="116">
        <v>124.15</v>
      </c>
      <c r="E100" s="117">
        <v>45306</v>
      </c>
      <c r="F100" s="1">
        <f>COUNTIFS($A$3:A8360,A100,$B$3:B8360,B100)</f>
        <v>1</v>
      </c>
      <c r="G100" s="116"/>
    </row>
    <row r="101" spans="1:7" x14ac:dyDescent="0.2">
      <c r="A101" s="116">
        <f>IF(ISNUMBER(Tabela2[[#This Row],[CT-e/NFS]])=TRUE,(IF(B101&gt;30000,4,IF(B101&lt;1000,"ND",0))),"-")</f>
        <v>4</v>
      </c>
      <c r="B101" s="116">
        <v>45392</v>
      </c>
      <c r="C101" s="117">
        <v>45297</v>
      </c>
      <c r="D101" s="116">
        <v>486.99</v>
      </c>
      <c r="E101" s="117">
        <v>45306</v>
      </c>
      <c r="F101" s="1">
        <f>COUNTIFS($A$3:A8360,A101,$B$3:B8360,B101)</f>
        <v>1</v>
      </c>
      <c r="G101" s="116"/>
    </row>
    <row r="102" spans="1:7" x14ac:dyDescent="0.2">
      <c r="A102" s="116">
        <f>IF(ISNUMBER(Tabela2[[#This Row],[CT-e/NFS]])=TRUE,(IF(B102&gt;30000,4,IF(B102&lt;1000,"ND",0))),"-")</f>
        <v>4</v>
      </c>
      <c r="B102" s="116">
        <v>45391</v>
      </c>
      <c r="C102" s="117">
        <v>45297</v>
      </c>
      <c r="D102" s="116">
        <v>279.10000000000002</v>
      </c>
      <c r="E102" s="117">
        <v>45306</v>
      </c>
      <c r="F102" s="1">
        <f>COUNTIFS($A$3:A8360,A102,$B$3:B8360,B102)</f>
        <v>1</v>
      </c>
      <c r="G102" s="116"/>
    </row>
    <row r="103" spans="1:7" x14ac:dyDescent="0.2">
      <c r="A103" s="116">
        <f>IF(ISNUMBER(Tabela2[[#This Row],[CT-e/NFS]])=TRUE,(IF(B103&gt;30000,4,IF(B103&lt;1000,"ND",0))),"-")</f>
        <v>4</v>
      </c>
      <c r="B103" s="116">
        <v>45404</v>
      </c>
      <c r="C103" s="117">
        <v>45297</v>
      </c>
      <c r="D103" s="116">
        <v>532.16999999999996</v>
      </c>
      <c r="E103" s="117">
        <v>45306</v>
      </c>
      <c r="F103" s="1">
        <f>COUNTIFS($A$3:A8360,A103,$B$3:B8360,B103)</f>
        <v>1</v>
      </c>
      <c r="G103" s="116"/>
    </row>
    <row r="104" spans="1:7" x14ac:dyDescent="0.2">
      <c r="A104" s="116">
        <f>IF(ISNUMBER(Tabela2[[#This Row],[CT-e/NFS]])=TRUE,(IF(B104&gt;30000,4,IF(B104&lt;1000,"ND",0))),"-")</f>
        <v>4</v>
      </c>
      <c r="B104" s="116">
        <v>45395</v>
      </c>
      <c r="C104" s="117">
        <v>45297</v>
      </c>
      <c r="D104" s="116">
        <v>134.05000000000001</v>
      </c>
      <c r="E104" s="117">
        <v>45306</v>
      </c>
      <c r="F104" s="1">
        <f>COUNTIFS($A$3:A8360,A104,$B$3:B8360,B104)</f>
        <v>1</v>
      </c>
      <c r="G104" s="116"/>
    </row>
    <row r="105" spans="1:7" x14ac:dyDescent="0.2">
      <c r="A105" s="116">
        <f>IF(ISNUMBER(Tabela2[[#This Row],[CT-e/NFS]])=TRUE,(IF(B105&gt;30000,4,IF(B105&lt;1000,"ND",0))),"-")</f>
        <v>4</v>
      </c>
      <c r="B105" s="116">
        <v>45408</v>
      </c>
      <c r="C105" s="117">
        <v>45297</v>
      </c>
      <c r="D105" s="116">
        <v>1003.68</v>
      </c>
      <c r="E105" s="117">
        <v>45306</v>
      </c>
      <c r="F105" s="1">
        <f>COUNTIFS($A$3:A8360,A105,$B$3:B8360,B105)</f>
        <v>1</v>
      </c>
      <c r="G105" s="116"/>
    </row>
    <row r="106" spans="1:7" x14ac:dyDescent="0.2">
      <c r="A106" s="116">
        <f>IF(ISNUMBER(Tabela2[[#This Row],[CT-e/NFS]])=TRUE,(IF(B106&gt;30000,4,IF(B106&lt;1000,"ND",0))),"-")</f>
        <v>4</v>
      </c>
      <c r="B106" s="116">
        <v>45416</v>
      </c>
      <c r="C106" s="117">
        <v>45297</v>
      </c>
      <c r="D106" s="116">
        <v>61.36</v>
      </c>
      <c r="E106" s="117">
        <v>45306</v>
      </c>
      <c r="F106" s="116">
        <f>COUNTIFS($A$3:A8358,A106,$B$3:B8358,B106)</f>
        <v>1</v>
      </c>
      <c r="G106" s="116"/>
    </row>
    <row r="107" spans="1:7" x14ac:dyDescent="0.2">
      <c r="A107" s="116">
        <f>IF(ISNUMBER(Tabela2[[#This Row],[CT-e/NFS]])=TRUE,(IF(B107&gt;30000,4,IF(B107&lt;1000,"ND",0))),"-")</f>
        <v>4</v>
      </c>
      <c r="B107" s="116">
        <v>45417</v>
      </c>
      <c r="C107" s="117">
        <v>45297</v>
      </c>
      <c r="D107" s="116">
        <v>125.63</v>
      </c>
      <c r="E107" s="117">
        <v>45306</v>
      </c>
      <c r="F107" s="116">
        <f>COUNTIFS($A$3:A8359,A107,$B$3:B8359,B107)</f>
        <v>1</v>
      </c>
      <c r="G107" s="116"/>
    </row>
    <row r="108" spans="1:7" x14ac:dyDescent="0.2">
      <c r="A108" s="116">
        <f>IF(ISNUMBER(Tabela2[[#This Row],[CT-e/NFS]])=TRUE,(IF(B108&gt;30000,4,IF(B108&lt;1000,"ND",0))),"-")</f>
        <v>4</v>
      </c>
      <c r="B108" s="116">
        <v>45418</v>
      </c>
      <c r="C108" s="117">
        <v>45297</v>
      </c>
      <c r="D108" s="116">
        <v>226.92</v>
      </c>
      <c r="E108" s="117">
        <v>45306</v>
      </c>
      <c r="F108" s="116">
        <f>COUNTIFS($A$3:A8360,A108,$B$3:B8360,B108)</f>
        <v>1</v>
      </c>
      <c r="G108" s="116"/>
    </row>
    <row r="109" spans="1:7" x14ac:dyDescent="0.2">
      <c r="A109" s="116">
        <f>IF(ISNUMBER(Tabela2[[#This Row],[CT-e/NFS]])=TRUE,(IF(B109&gt;30000,4,IF(B109&lt;1000,"ND",0))),"-")</f>
        <v>4</v>
      </c>
      <c r="B109" s="116">
        <v>45422</v>
      </c>
      <c r="C109" s="117">
        <v>45297</v>
      </c>
      <c r="D109" s="116">
        <v>255.47</v>
      </c>
      <c r="E109" s="117">
        <v>45306</v>
      </c>
      <c r="F109" s="116">
        <f>COUNTIFS($A$3:A8360,A109,$B$3:B8360,B109)</f>
        <v>1</v>
      </c>
      <c r="G109" s="116"/>
    </row>
    <row r="110" spans="1:7" x14ac:dyDescent="0.2">
      <c r="A110" s="116">
        <f>IF(ISNUMBER(Tabela2[[#This Row],[CT-e/NFS]])=TRUE,(IF(B110&gt;30000,4,IF(B110&lt;1000,"ND",0))),"-")</f>
        <v>4</v>
      </c>
      <c r="B110" s="116">
        <v>45419</v>
      </c>
      <c r="C110" s="117">
        <v>45297</v>
      </c>
      <c r="D110" s="116">
        <v>204.01</v>
      </c>
      <c r="E110" s="117">
        <v>45306</v>
      </c>
      <c r="F110" s="116">
        <f>COUNTIFS($A$3:A8360,A110,$B$3:B8360,B110)</f>
        <v>1</v>
      </c>
      <c r="G110" s="116"/>
    </row>
    <row r="111" spans="1:7" x14ac:dyDescent="0.2">
      <c r="A111" s="116">
        <f>IF(ISNUMBER(Tabela2[[#This Row],[CT-e/NFS]])=TRUE,(IF(B111&gt;30000,4,IF(B111&lt;1000,"ND",0))),"-")</f>
        <v>4</v>
      </c>
      <c r="B111" s="116">
        <v>45421</v>
      </c>
      <c r="C111" s="117">
        <v>45297</v>
      </c>
      <c r="D111" s="116">
        <v>141.43</v>
      </c>
      <c r="E111" s="117">
        <v>45306</v>
      </c>
      <c r="F111" s="116">
        <f>COUNTIFS($A$3:A8361,A111,$B$3:B8361,B111)</f>
        <v>1</v>
      </c>
      <c r="G111" s="116"/>
    </row>
    <row r="112" spans="1:7" x14ac:dyDescent="0.2">
      <c r="A112" s="116">
        <f>IF(ISNUMBER(Tabela2[[#This Row],[CT-e/NFS]])=TRUE,(IF(B112&gt;30000,4,IF(B112&lt;1000,"ND",0))),"-")</f>
        <v>4</v>
      </c>
      <c r="B112" s="116">
        <v>45423</v>
      </c>
      <c r="C112" s="117">
        <v>45297</v>
      </c>
      <c r="D112" s="116">
        <v>120.24</v>
      </c>
      <c r="E112" s="117">
        <v>45306</v>
      </c>
      <c r="F112" s="116">
        <f>COUNTIFS($A$3:A8362,A112,$B$3:B8362,B112)</f>
        <v>1</v>
      </c>
      <c r="G112" s="116"/>
    </row>
    <row r="113" spans="1:7" x14ac:dyDescent="0.2">
      <c r="A113" s="116">
        <f>IF(ISNUMBER(Tabela2[[#This Row],[CT-e/NFS]])=TRUE,(IF(B113&gt;30000,4,IF(B113&lt;1000,"ND",0))),"-")</f>
        <v>4</v>
      </c>
      <c r="B113" s="116">
        <v>45424</v>
      </c>
      <c r="C113" s="117">
        <v>45297</v>
      </c>
      <c r="D113" s="116">
        <v>216.63</v>
      </c>
      <c r="E113" s="117">
        <v>45306</v>
      </c>
      <c r="F113" s="116">
        <f>COUNTIFS($A$3:A8363,A113,$B$3:B8363,B113)</f>
        <v>1</v>
      </c>
      <c r="G113" s="116"/>
    </row>
    <row r="114" spans="1:7" x14ac:dyDescent="0.2">
      <c r="A114" s="116">
        <f>IF(ISNUMBER(Tabela2[[#This Row],[CT-e/NFS]])=TRUE,(IF(B114&gt;30000,4,IF(B114&lt;1000,"ND",0))),"-")</f>
        <v>4</v>
      </c>
      <c r="B114" s="116">
        <v>45426</v>
      </c>
      <c r="C114" s="117">
        <v>45297</v>
      </c>
      <c r="D114" s="116">
        <v>110.63</v>
      </c>
      <c r="E114" s="117">
        <v>45306</v>
      </c>
      <c r="F114" s="116">
        <f>COUNTIFS($A$3:A8364,A114,$B$3:B8364,B114)</f>
        <v>1</v>
      </c>
      <c r="G114" s="116"/>
    </row>
    <row r="115" spans="1:7" x14ac:dyDescent="0.2">
      <c r="A115" s="116">
        <f>IF(ISNUMBER(Tabela2[[#This Row],[CT-e/NFS]])=TRUE,(IF(B115&gt;30000,4,IF(B115&lt;1000,"ND",0))),"-")</f>
        <v>4</v>
      </c>
      <c r="B115" s="116">
        <v>45425</v>
      </c>
      <c r="C115" s="117">
        <v>45297</v>
      </c>
      <c r="D115" s="116">
        <v>61.53</v>
      </c>
      <c r="E115" s="117">
        <v>45306</v>
      </c>
      <c r="F115" s="116">
        <f>COUNTIFS($A$3:A8365,A115,$B$3:B8365,B115)</f>
        <v>1</v>
      </c>
      <c r="G115" s="116"/>
    </row>
    <row r="116" spans="1:7" x14ac:dyDescent="0.2">
      <c r="A116" s="116">
        <f>IF(ISNUMBER(Tabela2[[#This Row],[CT-e/NFS]])=TRUE,(IF(B116&gt;30000,4,IF(B116&lt;1000,"ND",0))),"-")</f>
        <v>4</v>
      </c>
      <c r="B116" s="116">
        <v>45366</v>
      </c>
      <c r="C116" s="117">
        <v>45297</v>
      </c>
      <c r="D116" s="116">
        <v>122.81</v>
      </c>
      <c r="E116" s="117">
        <v>45306</v>
      </c>
      <c r="F116" s="116">
        <f>COUNTIFS($A$3:A8366,A116,$B$3:B8366,B116)</f>
        <v>1</v>
      </c>
      <c r="G116" s="116"/>
    </row>
    <row r="117" spans="1:7" x14ac:dyDescent="0.2">
      <c r="A117" s="116">
        <f>IF(ISNUMBER(Tabela2[[#This Row],[CT-e/NFS]])=TRUE,(IF(B117&gt;30000,4,IF(B117&lt;1000,"ND",0))),"-")</f>
        <v>4</v>
      </c>
      <c r="B117" s="116">
        <v>45427</v>
      </c>
      <c r="C117" s="117">
        <v>45297</v>
      </c>
      <c r="D117" s="116">
        <v>967.07</v>
      </c>
      <c r="E117" s="117">
        <v>45306</v>
      </c>
      <c r="F117" s="116">
        <f>COUNTIFS($A$3:A8367,A117,$B$3:B8367,B117)</f>
        <v>1</v>
      </c>
      <c r="G117" s="116"/>
    </row>
    <row r="118" spans="1:7" x14ac:dyDescent="0.2">
      <c r="A118" s="116">
        <f>IF(ISNUMBER(Tabela2[[#This Row],[CT-e/NFS]])=TRUE,(IF(B118&gt;30000,4,IF(B118&lt;1000,"ND",0))),"-")</f>
        <v>4</v>
      </c>
      <c r="B118" s="116">
        <v>45428</v>
      </c>
      <c r="C118" s="117">
        <v>45297</v>
      </c>
      <c r="D118" s="116">
        <v>384.32</v>
      </c>
      <c r="E118" s="117">
        <v>45306</v>
      </c>
      <c r="F118" s="116">
        <f>COUNTIFS($A$3:A8368,A118,$B$3:B8368,B118)</f>
        <v>1</v>
      </c>
      <c r="G118" s="116"/>
    </row>
    <row r="119" spans="1:7" x14ac:dyDescent="0.2">
      <c r="A119" s="116">
        <f>IF(ISNUMBER(Tabela2[[#This Row],[CT-e/NFS]])=TRUE,(IF(B119&gt;30000,4,IF(B119&lt;1000,"ND",0))),"-")</f>
        <v>0</v>
      </c>
      <c r="B119" s="116">
        <v>20944</v>
      </c>
      <c r="C119" s="117">
        <v>45297</v>
      </c>
      <c r="D119" s="116">
        <v>406.37</v>
      </c>
      <c r="E119" s="117">
        <v>45306</v>
      </c>
      <c r="F119" s="116">
        <f>COUNTIFS($A$3:A8369,A119,$B$3:B8369,B119)</f>
        <v>1</v>
      </c>
      <c r="G119" s="116"/>
    </row>
    <row r="120" spans="1:7" x14ac:dyDescent="0.2">
      <c r="A120" s="116">
        <f>IF(ISNUMBER(Tabela2[[#This Row],[CT-e/NFS]])=TRUE,(IF(B120&gt;30000,4,IF(B120&lt;1000,"ND",0))),"-")</f>
        <v>4</v>
      </c>
      <c r="B120" s="116">
        <v>45444</v>
      </c>
      <c r="C120" s="117">
        <v>45297</v>
      </c>
      <c r="D120" s="116">
        <v>226.63</v>
      </c>
      <c r="E120" s="117">
        <v>45306</v>
      </c>
      <c r="F120" s="116">
        <f>COUNTIFS($A$3:A8370,A120,$B$3:B8370,B120)</f>
        <v>1</v>
      </c>
      <c r="G120" s="116"/>
    </row>
    <row r="121" spans="1:7" x14ac:dyDescent="0.2">
      <c r="A121" s="116">
        <f>IF(ISNUMBER(Tabela2[[#This Row],[CT-e/NFS]])=TRUE,(IF(B121&gt;30000,4,IF(B121&lt;1000,"ND",0))),"-")</f>
        <v>4</v>
      </c>
      <c r="B121" s="116">
        <v>45443</v>
      </c>
      <c r="C121" s="117">
        <v>45297</v>
      </c>
      <c r="D121" s="116">
        <v>124.35</v>
      </c>
      <c r="E121" s="117">
        <v>45306</v>
      </c>
      <c r="F121" s="116">
        <f>COUNTIFS($A$3:A8371,A121,$B$3:B8371,B121)</f>
        <v>1</v>
      </c>
      <c r="G121" s="116"/>
    </row>
    <row r="122" spans="1:7" x14ac:dyDescent="0.2">
      <c r="A122" s="116">
        <f>IF(ISNUMBER(Tabela2[[#This Row],[CT-e/NFS]])=TRUE,(IF(B122&gt;30000,4,IF(B122&lt;1000,"ND",0))),"-")</f>
        <v>4</v>
      </c>
      <c r="B122" s="116">
        <v>45437</v>
      </c>
      <c r="C122" s="117">
        <v>45297</v>
      </c>
      <c r="D122" s="116">
        <v>123.2</v>
      </c>
      <c r="E122" s="117">
        <v>45306</v>
      </c>
      <c r="F122" s="116">
        <f>COUNTIFS($A$3:A8372,A122,$B$3:B8372,B122)</f>
        <v>1</v>
      </c>
      <c r="G122" s="116"/>
    </row>
    <row r="123" spans="1:7" x14ac:dyDescent="0.2">
      <c r="A123" s="116">
        <f>IF(ISNUMBER(Tabela2[[#This Row],[CT-e/NFS]])=TRUE,(IF(B123&gt;30000,4,IF(B123&lt;1000,"ND",0))),"-")</f>
        <v>4</v>
      </c>
      <c r="B123" s="116">
        <v>45439</v>
      </c>
      <c r="C123" s="117">
        <v>45297</v>
      </c>
      <c r="D123" s="116">
        <v>136.01</v>
      </c>
      <c r="E123" s="117">
        <v>45306</v>
      </c>
      <c r="F123" s="116">
        <f>COUNTIFS($A$3:A8373,A123,$B$3:B8373,B123)</f>
        <v>1</v>
      </c>
      <c r="G123" s="116"/>
    </row>
    <row r="124" spans="1:7" x14ac:dyDescent="0.2">
      <c r="A124" s="116">
        <f>IF(ISNUMBER(Tabela2[[#This Row],[CT-e/NFS]])=TRUE,(IF(B124&gt;30000,4,IF(B124&lt;1000,"ND",0))),"-")</f>
        <v>4</v>
      </c>
      <c r="B124" s="116">
        <v>45446</v>
      </c>
      <c r="C124" s="117">
        <v>45297</v>
      </c>
      <c r="D124" s="116">
        <v>123.32</v>
      </c>
      <c r="E124" s="117">
        <v>45306</v>
      </c>
      <c r="F124" s="116">
        <f>COUNTIFS($A$3:A8374,A124,$B$3:B8374,B124)</f>
        <v>1</v>
      </c>
      <c r="G124" s="116"/>
    </row>
    <row r="125" spans="1:7" x14ac:dyDescent="0.2">
      <c r="A125" s="116">
        <f>IF(ISNUMBER(Tabela2[[#This Row],[CT-e/NFS]])=TRUE,(IF(B125&gt;30000,4,IF(B125&lt;1000,"ND",0))),"-")</f>
        <v>4</v>
      </c>
      <c r="B125" s="116">
        <v>45442</v>
      </c>
      <c r="C125" s="117">
        <v>45297</v>
      </c>
      <c r="D125" s="116">
        <v>124.15</v>
      </c>
      <c r="E125" s="117">
        <v>45306</v>
      </c>
      <c r="F125" s="116">
        <f>COUNTIFS($A$3:A8375,A125,$B$3:B8375,B125)</f>
        <v>1</v>
      </c>
      <c r="G125" s="116"/>
    </row>
    <row r="126" spans="1:7" x14ac:dyDescent="0.2">
      <c r="A126" s="116">
        <f>IF(ISNUMBER(Tabela2[[#This Row],[CT-e/NFS]])=TRUE,(IF(B126&gt;30000,4,IF(B126&lt;1000,"ND",0))),"-")</f>
        <v>4</v>
      </c>
      <c r="B126" s="116">
        <v>45433</v>
      </c>
      <c r="C126" s="117">
        <v>45297</v>
      </c>
      <c r="D126" s="116">
        <v>282.05</v>
      </c>
      <c r="E126" s="117">
        <v>45306</v>
      </c>
      <c r="F126" s="116">
        <f>COUNTIFS($A$3:A8376,A126,$B$3:B8376,B126)</f>
        <v>1</v>
      </c>
      <c r="G126" s="116"/>
    </row>
    <row r="127" spans="1:7" x14ac:dyDescent="0.2">
      <c r="A127" s="116">
        <f>IF(ISNUMBER(Tabela2[[#This Row],[CT-e/NFS]])=TRUE,(IF(B127&gt;30000,4,IF(B127&lt;1000,"ND",0))),"-")</f>
        <v>4</v>
      </c>
      <c r="B127" s="116">
        <v>45445</v>
      </c>
      <c r="C127" s="117">
        <v>45297</v>
      </c>
      <c r="D127" s="116">
        <v>123.13</v>
      </c>
      <c r="E127" s="117">
        <v>45306</v>
      </c>
      <c r="F127" s="116">
        <f>COUNTIFS($A$3:A8377,A127,$B$3:B8377,B127)</f>
        <v>1</v>
      </c>
      <c r="G127" s="116"/>
    </row>
    <row r="128" spans="1:7" x14ac:dyDescent="0.2">
      <c r="A128" s="116">
        <f>IF(ISNUMBER(Tabela2[[#This Row],[CT-e/NFS]])=TRUE,(IF(B128&gt;30000,4,IF(B128&lt;1000,"ND",0))),"-")</f>
        <v>4</v>
      </c>
      <c r="B128" s="116">
        <v>45434</v>
      </c>
      <c r="C128" s="117">
        <v>45297</v>
      </c>
      <c r="D128" s="116">
        <v>124.26</v>
      </c>
      <c r="E128" s="117">
        <v>45306</v>
      </c>
      <c r="F128" s="116">
        <f>COUNTIFS($A$3:A8378,A128,$B$3:B8378,B128)</f>
        <v>1</v>
      </c>
      <c r="G128" s="116"/>
    </row>
    <row r="129" spans="1:7" x14ac:dyDescent="0.2">
      <c r="A129" s="116">
        <f>IF(ISNUMBER(Tabela2[[#This Row],[CT-e/NFS]])=TRUE,(IF(B129&gt;30000,4,IF(B129&lt;1000,"ND",0))),"-")</f>
        <v>4</v>
      </c>
      <c r="B129" s="116">
        <v>45441</v>
      </c>
      <c r="C129" s="117">
        <v>45297</v>
      </c>
      <c r="D129" s="116">
        <v>146.02000000000001</v>
      </c>
      <c r="E129" s="117">
        <v>45306</v>
      </c>
      <c r="F129" s="116">
        <f>COUNTIFS($A$3:A8379,A129,$B$3:B8379,B129)</f>
        <v>1</v>
      </c>
      <c r="G129" s="116"/>
    </row>
    <row r="130" spans="1:7" x14ac:dyDescent="0.2">
      <c r="A130" s="116">
        <f>IF(ISNUMBER(Tabela2[[#This Row],[CT-e/NFS]])=TRUE,(IF(B130&gt;30000,4,IF(B130&lt;1000,"ND",0))),"-")</f>
        <v>4</v>
      </c>
      <c r="B130" s="116">
        <v>45435</v>
      </c>
      <c r="C130" s="117">
        <v>45297</v>
      </c>
      <c r="D130" s="116">
        <v>210.17</v>
      </c>
      <c r="E130" s="117">
        <v>45306</v>
      </c>
      <c r="F130" s="116">
        <f>COUNTIFS($A$3:A8380,A130,$B$3:B8380,B130)</f>
        <v>1</v>
      </c>
      <c r="G130" s="116"/>
    </row>
    <row r="131" spans="1:7" x14ac:dyDescent="0.2">
      <c r="A131" s="116">
        <f>IF(ISNUMBER(Tabela2[[#This Row],[CT-e/NFS]])=TRUE,(IF(B131&gt;30000,4,IF(B131&lt;1000,"ND",0))),"-")</f>
        <v>4</v>
      </c>
      <c r="B131" s="116">
        <v>45436</v>
      </c>
      <c r="C131" s="117">
        <v>45297</v>
      </c>
      <c r="D131" s="116">
        <v>229.67</v>
      </c>
      <c r="E131" s="117">
        <v>45306</v>
      </c>
      <c r="F131" s="116">
        <f>COUNTIFS($A$3:A8381,A131,$B$3:B8381,B131)</f>
        <v>1</v>
      </c>
      <c r="G131" s="116"/>
    </row>
    <row r="132" spans="1:7" x14ac:dyDescent="0.2">
      <c r="A132" s="116">
        <f>IF(ISNUMBER(Tabela2[[#This Row],[CT-e/NFS]])=TRUE,(IF(B132&gt;30000,4,IF(B132&lt;1000,"ND",0))),"-")</f>
        <v>4</v>
      </c>
      <c r="B132" s="116">
        <v>45438</v>
      </c>
      <c r="C132" s="117">
        <v>45297</v>
      </c>
      <c r="D132" s="116">
        <v>147.35</v>
      </c>
      <c r="E132" s="117">
        <v>45306</v>
      </c>
      <c r="F132" s="116">
        <f>COUNTIFS($A$3:A8382,A132,$B$3:B8382,B132)</f>
        <v>1</v>
      </c>
      <c r="G132" s="116"/>
    </row>
    <row r="133" spans="1:7" x14ac:dyDescent="0.2">
      <c r="A133" s="116">
        <f>IF(ISNUMBER(Tabela2[[#This Row],[CT-e/NFS]])=TRUE,(IF(B133&gt;30000,4,IF(B133&lt;1000,"ND",0))),"-")</f>
        <v>4</v>
      </c>
      <c r="B133" s="116">
        <v>45440</v>
      </c>
      <c r="C133" s="117">
        <v>45297</v>
      </c>
      <c r="D133" s="116">
        <v>124.05</v>
      </c>
      <c r="E133" s="117">
        <v>45306</v>
      </c>
      <c r="F133" s="116">
        <f>COUNTIFS($A$3:A8383,A133,$B$3:B8383,B133)</f>
        <v>1</v>
      </c>
      <c r="G133" s="116"/>
    </row>
    <row r="134" spans="1:7" x14ac:dyDescent="0.2">
      <c r="A134" s="116">
        <f>IF(ISNUMBER(Tabela2[[#This Row],[CT-e/NFS]])=TRUE,(IF(B134&gt;30000,4,IF(B134&lt;1000,"ND",0))),"-")</f>
        <v>4</v>
      </c>
      <c r="B134" s="116">
        <v>45450</v>
      </c>
      <c r="C134" s="117">
        <v>45297</v>
      </c>
      <c r="D134" s="116">
        <v>408.02</v>
      </c>
      <c r="E134" s="117">
        <v>45306</v>
      </c>
      <c r="F134" s="116">
        <f>COUNTIFS($A$3:A8384,A134,$B$3:B8384,B134)</f>
        <v>1</v>
      </c>
      <c r="G134" s="116"/>
    </row>
    <row r="135" spans="1:7" x14ac:dyDescent="0.2">
      <c r="A135" s="116">
        <f>IF(ISNUMBER(Tabela2[[#This Row],[CT-e/NFS]])=TRUE,(IF(B135&gt;30000,4,IF(B135&lt;1000,"ND",0))),"-")</f>
        <v>4</v>
      </c>
      <c r="B135" s="116">
        <v>45455</v>
      </c>
      <c r="C135" s="117">
        <v>45297</v>
      </c>
      <c r="D135" s="116">
        <v>176.14</v>
      </c>
      <c r="E135" s="117">
        <v>45306</v>
      </c>
      <c r="F135" s="116">
        <f>COUNTIFS($A$3:A8385,A135,$B$3:B8385,B135)</f>
        <v>1</v>
      </c>
      <c r="G135" s="116"/>
    </row>
    <row r="136" spans="1:7" x14ac:dyDescent="0.2">
      <c r="A136" s="116">
        <f>IF(ISNUMBER(Tabela2[[#This Row],[CT-e/NFS]])=TRUE,(IF(B136&gt;30000,4,IF(B136&lt;1000,"ND",0))),"-")</f>
        <v>4</v>
      </c>
      <c r="B136" s="116">
        <v>45458</v>
      </c>
      <c r="C136" s="117">
        <v>45297</v>
      </c>
      <c r="D136" s="116">
        <v>179.17</v>
      </c>
      <c r="E136" s="117">
        <v>45306</v>
      </c>
      <c r="F136" s="116">
        <f>COUNTIFS($A$3:A8386,A136,$B$3:B8386,B136)</f>
        <v>1</v>
      </c>
      <c r="G136" s="116"/>
    </row>
    <row r="137" spans="1:7" x14ac:dyDescent="0.2">
      <c r="A137" s="116">
        <f>IF(ISNUMBER(Tabela2[[#This Row],[CT-e/NFS]])=TRUE,(IF(B137&gt;30000,4,IF(B137&lt;1000,"ND",0))),"-")</f>
        <v>4</v>
      </c>
      <c r="B137" s="116">
        <v>45459</v>
      </c>
      <c r="C137" s="117">
        <v>45297</v>
      </c>
      <c r="D137" s="116">
        <v>212.6</v>
      </c>
      <c r="E137" s="117">
        <v>45306</v>
      </c>
      <c r="F137" s="116">
        <f>COUNTIFS($A$3:A8387,A137,$B$3:B8387,B137)</f>
        <v>1</v>
      </c>
      <c r="G137" s="116"/>
    </row>
    <row r="138" spans="1:7" x14ac:dyDescent="0.2">
      <c r="A138" s="116">
        <f>IF(ISNUMBER(Tabela2[[#This Row],[CT-e/NFS]])=TRUE,(IF(B138&gt;30000,4,IF(B138&lt;1000,"ND",0))),"-")</f>
        <v>4</v>
      </c>
      <c r="B138" s="116">
        <v>45460</v>
      </c>
      <c r="C138" s="117">
        <v>45297</v>
      </c>
      <c r="D138" s="116">
        <v>212.6</v>
      </c>
      <c r="E138" s="117">
        <v>45306</v>
      </c>
      <c r="F138" s="116">
        <f>COUNTIFS($A$3:A8388,A138,$B$3:B8388,B138)</f>
        <v>1</v>
      </c>
      <c r="G138" s="116"/>
    </row>
    <row r="139" spans="1:7" x14ac:dyDescent="0.2">
      <c r="A139" s="116">
        <f>IF(ISNUMBER(Tabela2[[#This Row],[CT-e/NFS]])=TRUE,(IF(B139&gt;30000,4,IF(B139&lt;1000,"ND",0))),"-")</f>
        <v>4</v>
      </c>
      <c r="B139" s="116">
        <v>45461</v>
      </c>
      <c r="C139" s="117">
        <v>45297</v>
      </c>
      <c r="D139" s="116">
        <v>181.35</v>
      </c>
      <c r="E139" s="117">
        <v>45306</v>
      </c>
      <c r="F139" s="116">
        <f>COUNTIFS($A$3:A8389,A139,$B$3:B8389,B139)</f>
        <v>1</v>
      </c>
      <c r="G139" s="116"/>
    </row>
    <row r="140" spans="1:7" x14ac:dyDescent="0.2">
      <c r="A140" s="116">
        <f>IF(ISNUMBER(Tabela2[[#This Row],[CT-e/NFS]])=TRUE,(IF(B140&gt;30000,4,IF(B140&lt;1000,"ND",0))),"-")</f>
        <v>4</v>
      </c>
      <c r="B140" s="116">
        <v>45462</v>
      </c>
      <c r="C140" s="117">
        <v>45297</v>
      </c>
      <c r="D140" s="116">
        <v>181.35</v>
      </c>
      <c r="E140" s="117">
        <v>45306</v>
      </c>
      <c r="F140" s="116">
        <f>COUNTIFS($A$3:A8390,A140,$B$3:B8390,B140)</f>
        <v>1</v>
      </c>
      <c r="G140" s="116"/>
    </row>
    <row r="141" spans="1:7" x14ac:dyDescent="0.2">
      <c r="A141" s="116">
        <f>IF(ISNUMBER(Tabela2[[#This Row],[CT-e/NFS]])=TRUE,(IF(B141&gt;30000,4,IF(B141&lt;1000,"ND",0))),"-")</f>
        <v>4</v>
      </c>
      <c r="B141" s="116">
        <v>45432</v>
      </c>
      <c r="C141" s="117">
        <v>45297</v>
      </c>
      <c r="D141" s="116">
        <v>1323.86</v>
      </c>
      <c r="E141" s="117">
        <v>45306</v>
      </c>
      <c r="F141" s="116">
        <f>COUNTIFS($A$3:A8391,A141,$B$3:B8391,B141)</f>
        <v>1</v>
      </c>
      <c r="G141" s="116"/>
    </row>
    <row r="142" spans="1:7" x14ac:dyDescent="0.2">
      <c r="A142" s="116">
        <f>IF(ISNUMBER(Tabela2[[#This Row],[CT-e/NFS]])=TRUE,(IF(B142&gt;30000,4,IF(B142&lt;1000,"ND",0))),"-")</f>
        <v>4</v>
      </c>
      <c r="B142" s="116">
        <v>45431</v>
      </c>
      <c r="C142" s="117">
        <v>45297</v>
      </c>
      <c r="D142" s="116">
        <v>1086.24</v>
      </c>
      <c r="E142" s="117">
        <v>45306</v>
      </c>
      <c r="F142" s="116">
        <f>COUNTIFS($A$3:A8392,A142,$B$3:B8392,B142)</f>
        <v>1</v>
      </c>
      <c r="G142" s="116"/>
    </row>
    <row r="143" spans="1:7" x14ac:dyDescent="0.2">
      <c r="A143" s="116">
        <f>IF(ISNUMBER(Tabela2[[#This Row],[CT-e/NFS]])=TRUE,(IF(B143&gt;30000,4,IF(B143&lt;1000,"ND",0))),"-")</f>
        <v>4</v>
      </c>
      <c r="B143" s="116">
        <v>45429</v>
      </c>
      <c r="C143" s="117">
        <v>45297</v>
      </c>
      <c r="D143" s="116">
        <v>1061.25</v>
      </c>
      <c r="E143" s="117">
        <v>45306</v>
      </c>
      <c r="F143" s="116">
        <f>COUNTIFS($A$3:A8393,A143,$B$3:B8393,B143)</f>
        <v>1</v>
      </c>
      <c r="G143" s="116"/>
    </row>
    <row r="144" spans="1:7" x14ac:dyDescent="0.2">
      <c r="A144" s="116">
        <f>IF(ISNUMBER(Tabela2[[#This Row],[CT-e/NFS]])=TRUE,(IF(B144&gt;30000,4,IF(B144&lt;1000,"ND",0))),"-")</f>
        <v>4</v>
      </c>
      <c r="B144" s="116">
        <v>45473</v>
      </c>
      <c r="C144" s="117">
        <v>45297</v>
      </c>
      <c r="D144" s="116">
        <v>123.99</v>
      </c>
      <c r="E144" s="117">
        <v>45306</v>
      </c>
      <c r="F144" s="116">
        <f>COUNTIFS($A$3:A8394,A144,$B$3:B8394,B144)</f>
        <v>1</v>
      </c>
      <c r="G144" s="116"/>
    </row>
    <row r="145" spans="1:7" x14ac:dyDescent="0.2">
      <c r="A145" s="116">
        <f>IF(ISNUMBER(Tabela2[[#This Row],[CT-e/NFS]])=TRUE,(IF(B145&gt;30000,4,IF(B145&lt;1000,"ND",0))),"-")</f>
        <v>4</v>
      </c>
      <c r="B145" s="116">
        <v>45468</v>
      </c>
      <c r="C145" s="117">
        <v>45297</v>
      </c>
      <c r="D145" s="116">
        <v>122.85</v>
      </c>
      <c r="E145" s="117">
        <v>45306</v>
      </c>
      <c r="F145" s="116">
        <f>COUNTIFS($A$3:A8395,A145,$B$3:B8395,B145)</f>
        <v>1</v>
      </c>
      <c r="G145" s="116"/>
    </row>
    <row r="146" spans="1:7" x14ac:dyDescent="0.2">
      <c r="A146" s="116">
        <f>IF(ISNUMBER(Tabela2[[#This Row],[CT-e/NFS]])=TRUE,(IF(B146&gt;30000,4,IF(B146&lt;1000,"ND",0))),"-")</f>
        <v>4</v>
      </c>
      <c r="B146" s="116">
        <v>45472</v>
      </c>
      <c r="C146" s="117">
        <v>45297</v>
      </c>
      <c r="D146" s="116">
        <v>122.89</v>
      </c>
      <c r="E146" s="117">
        <v>45306</v>
      </c>
      <c r="F146" s="116">
        <f>COUNTIFS($A$3:A8396,A146,$B$3:B8396,B146)</f>
        <v>1</v>
      </c>
      <c r="G146" s="116"/>
    </row>
    <row r="147" spans="1:7" x14ac:dyDescent="0.2">
      <c r="A147" s="116">
        <f>IF(ISNUMBER(Tabela2[[#This Row],[CT-e/NFS]])=TRUE,(IF(B147&gt;30000,4,IF(B147&lt;1000,"ND",0))),"-")</f>
        <v>4</v>
      </c>
      <c r="B147" s="116">
        <v>45474</v>
      </c>
      <c r="C147" s="117">
        <v>45297</v>
      </c>
      <c r="D147" s="116">
        <v>124.03</v>
      </c>
      <c r="E147" s="117">
        <v>45306</v>
      </c>
      <c r="F147" s="116">
        <f>COUNTIFS($A$3:A8397,A147,$B$3:B8397,B147)</f>
        <v>1</v>
      </c>
      <c r="G147" s="116"/>
    </row>
    <row r="148" spans="1:7" x14ac:dyDescent="0.2">
      <c r="A148" s="116">
        <f>IF(ISNUMBER(Tabela2[[#This Row],[CT-e/NFS]])=TRUE,(IF(B148&gt;30000,4,IF(B148&lt;1000,"ND",0))),"-")</f>
        <v>4</v>
      </c>
      <c r="B148" s="116">
        <v>45477</v>
      </c>
      <c r="C148" s="117">
        <v>45297</v>
      </c>
      <c r="D148" s="116">
        <v>125.36</v>
      </c>
      <c r="E148" s="117">
        <v>45306</v>
      </c>
      <c r="F148" s="116">
        <f>COUNTIFS($A$3:A8398,A148,$B$3:B8398,B148)</f>
        <v>1</v>
      </c>
      <c r="G148" s="116"/>
    </row>
    <row r="149" spans="1:7" x14ac:dyDescent="0.2">
      <c r="A149" s="116">
        <f>IF(ISNUMBER(Tabela2[[#This Row],[CT-e/NFS]])=TRUE,(IF(B149&gt;30000,4,IF(B149&lt;1000,"ND",0))),"-")</f>
        <v>4</v>
      </c>
      <c r="B149" s="116">
        <v>45470</v>
      </c>
      <c r="C149" s="117">
        <v>45297</v>
      </c>
      <c r="D149" s="116">
        <v>124.03</v>
      </c>
      <c r="E149" s="117">
        <v>45306</v>
      </c>
      <c r="F149" s="116">
        <f>COUNTIFS($A$3:A8399,A149,$B$3:B8399,B149)</f>
        <v>1</v>
      </c>
      <c r="G149" s="116"/>
    </row>
    <row r="150" spans="1:7" x14ac:dyDescent="0.2">
      <c r="A150" s="116">
        <f>IF(ISNUMBER(Tabela2[[#This Row],[CT-e/NFS]])=TRUE,(IF(B150&gt;30000,4,IF(B150&lt;1000,"ND",0))),"-")</f>
        <v>4</v>
      </c>
      <c r="B150" s="116">
        <v>45476</v>
      </c>
      <c r="C150" s="117">
        <v>45297</v>
      </c>
      <c r="D150" s="116">
        <v>147.30000000000001</v>
      </c>
      <c r="E150" s="117">
        <v>45306</v>
      </c>
      <c r="F150" s="116">
        <f>COUNTIFS($A$3:A8400,A150,$B$3:B8400,B150)</f>
        <v>1</v>
      </c>
      <c r="G150" s="116"/>
    </row>
    <row r="151" spans="1:7" x14ac:dyDescent="0.2">
      <c r="A151" s="116">
        <f>IF(ISNUMBER(Tabela2[[#This Row],[CT-e/NFS]])=TRUE,(IF(B151&gt;30000,4,IF(B151&lt;1000,"ND",0))),"-")</f>
        <v>4</v>
      </c>
      <c r="B151" s="116">
        <v>45465</v>
      </c>
      <c r="C151" s="117">
        <v>45297</v>
      </c>
      <c r="D151" s="116">
        <v>123.31</v>
      </c>
      <c r="E151" s="117">
        <v>45306</v>
      </c>
      <c r="F151" s="116">
        <f>COUNTIFS($A$3:A8401,A151,$B$3:B8401,B151)</f>
        <v>1</v>
      </c>
      <c r="G151" s="116"/>
    </row>
    <row r="152" spans="1:7" x14ac:dyDescent="0.2">
      <c r="A152" s="116">
        <f>IF(ISNUMBER(Tabela2[[#This Row],[CT-e/NFS]])=TRUE,(IF(B152&gt;30000,4,IF(B152&lt;1000,"ND",0))),"-")</f>
        <v>4</v>
      </c>
      <c r="B152" s="116">
        <v>45469</v>
      </c>
      <c r="C152" s="117">
        <v>45297</v>
      </c>
      <c r="D152" s="116">
        <v>155.41</v>
      </c>
      <c r="E152" s="117">
        <v>45306</v>
      </c>
      <c r="F152" s="116">
        <f>COUNTIFS($A$3:A8402,A152,$B$3:B8402,B152)</f>
        <v>1</v>
      </c>
      <c r="G152" s="116"/>
    </row>
    <row r="153" spans="1:7" x14ac:dyDescent="0.2">
      <c r="A153" s="116">
        <f>IF(ISNUMBER(Tabela2[[#This Row],[CT-e/NFS]])=TRUE,(IF(B153&gt;30000,4,IF(B153&lt;1000,"ND",0))),"-")</f>
        <v>4</v>
      </c>
      <c r="B153" s="116">
        <v>45467</v>
      </c>
      <c r="C153" s="117">
        <v>45297</v>
      </c>
      <c r="D153" s="116">
        <v>125.35</v>
      </c>
      <c r="E153" s="117">
        <v>45306</v>
      </c>
      <c r="F153" s="116">
        <f>COUNTIFS($A$3:A8403,A153,$B$3:B8403,B153)</f>
        <v>1</v>
      </c>
      <c r="G153" s="116"/>
    </row>
    <row r="154" spans="1:7" x14ac:dyDescent="0.2">
      <c r="A154" s="116">
        <f>IF(ISNUMBER(Tabela2[[#This Row],[CT-e/NFS]])=TRUE,(IF(B154&gt;30000,4,IF(B154&lt;1000,"ND",0))),"-")</f>
        <v>4</v>
      </c>
      <c r="B154" s="116">
        <v>45464</v>
      </c>
      <c r="C154" s="117">
        <v>45297</v>
      </c>
      <c r="D154" s="116">
        <v>125.13</v>
      </c>
      <c r="E154" s="117">
        <v>45306</v>
      </c>
      <c r="F154" s="116">
        <f>COUNTIFS($A$3:A8404,A154,$B$3:B8404,B154)</f>
        <v>1</v>
      </c>
      <c r="G154" s="116"/>
    </row>
    <row r="155" spans="1:7" x14ac:dyDescent="0.2">
      <c r="A155" s="116">
        <f>IF(ISNUMBER(Tabela2[[#This Row],[CT-e/NFS]])=TRUE,(IF(B155&gt;30000,4,IF(B155&lt;1000,"ND",0))),"-")</f>
        <v>4</v>
      </c>
      <c r="B155" s="116">
        <v>45463</v>
      </c>
      <c r="C155" s="117">
        <v>45297</v>
      </c>
      <c r="D155" s="116">
        <v>492.66</v>
      </c>
      <c r="E155" s="117">
        <v>45306</v>
      </c>
      <c r="F155" s="116">
        <f>COUNTIFS($A$3:A8405,A155,$B$3:B8405,B155)</f>
        <v>1</v>
      </c>
      <c r="G155" s="116"/>
    </row>
    <row r="156" spans="1:7" x14ac:dyDescent="0.2">
      <c r="A156" s="116">
        <f>IF(ISNUMBER(Tabela2[[#This Row],[CT-e/NFS]])=TRUE,(IF(B156&gt;30000,4,IF(B156&lt;1000,"ND",0))),"-")</f>
        <v>4</v>
      </c>
      <c r="B156" s="116">
        <v>45466</v>
      </c>
      <c r="C156" s="117">
        <v>45297</v>
      </c>
      <c r="D156" s="116">
        <v>328.06</v>
      </c>
      <c r="E156" s="117">
        <v>45306</v>
      </c>
      <c r="F156" s="116">
        <f>COUNTIFS($A$3:A8406,A156,$B$3:B8406,B156)</f>
        <v>1</v>
      </c>
      <c r="G156" s="116"/>
    </row>
    <row r="157" spans="1:7" x14ac:dyDescent="0.2">
      <c r="A157" s="116">
        <f>IF(ISNUMBER(Tabela2[[#This Row],[CT-e/NFS]])=TRUE,(IF(B157&gt;30000,4,IF(B157&lt;1000,"ND",0))),"-")</f>
        <v>4</v>
      </c>
      <c r="B157" s="116">
        <v>45475</v>
      </c>
      <c r="C157" s="117">
        <v>45297</v>
      </c>
      <c r="D157" s="116">
        <v>271.05</v>
      </c>
      <c r="E157" s="117">
        <v>45306</v>
      </c>
      <c r="F157" s="116">
        <f>COUNTIFS($A$3:A8407,A157,$B$3:B8407,B157)</f>
        <v>1</v>
      </c>
      <c r="G157" s="116"/>
    </row>
    <row r="158" spans="1:7" x14ac:dyDescent="0.2">
      <c r="A158" s="116">
        <f>IF(ISNUMBER(Tabela2[[#This Row],[CT-e/NFS]])=TRUE,(IF(B158&gt;30000,4,IF(B158&lt;1000,"ND",0))),"-")</f>
        <v>4</v>
      </c>
      <c r="B158" s="116">
        <v>45471</v>
      </c>
      <c r="C158" s="117">
        <v>45297</v>
      </c>
      <c r="D158" s="116">
        <v>246.33</v>
      </c>
      <c r="E158" s="117">
        <v>45306</v>
      </c>
      <c r="F158" s="116">
        <f>COUNTIFS($A$3:A8408,A158,$B$3:B8408,B158)</f>
        <v>1</v>
      </c>
      <c r="G158" s="116"/>
    </row>
    <row r="159" spans="1:7" x14ac:dyDescent="0.2">
      <c r="A159" s="116">
        <f>IF(ISNUMBER(Tabela2[[#This Row],[CT-e/NFS]])=TRUE,(IF(B159&gt;30000,4,IF(B159&lt;1000,"ND",0))),"-")</f>
        <v>4</v>
      </c>
      <c r="B159" s="116">
        <v>45415</v>
      </c>
      <c r="C159" s="117">
        <v>45297</v>
      </c>
      <c r="D159" s="116">
        <v>1235.5899999999999</v>
      </c>
      <c r="E159" s="117">
        <v>45306</v>
      </c>
      <c r="F159" s="116">
        <f>COUNTIFS($A$3:A8409,A159,$B$3:B8409,B159)</f>
        <v>1</v>
      </c>
      <c r="G159" s="116"/>
    </row>
    <row r="160" spans="1:7" x14ac:dyDescent="0.2">
      <c r="A160" s="116">
        <f>IF(ISNUMBER(Tabela2[[#This Row],[CT-e/NFS]])=TRUE,(IF(B160&gt;30000,4,IF(B160&lt;1000,"ND",0))),"-")</f>
        <v>4</v>
      </c>
      <c r="B160" s="116">
        <v>45493</v>
      </c>
      <c r="C160" s="117">
        <v>45297</v>
      </c>
      <c r="D160" s="116">
        <v>61.36</v>
      </c>
      <c r="E160" s="117">
        <v>45306</v>
      </c>
      <c r="F160" s="116">
        <f>COUNTIFS($A$3:A8410,A160,$B$3:B8410,B160)</f>
        <v>1</v>
      </c>
      <c r="G160" s="116"/>
    </row>
    <row r="161" spans="1:7" x14ac:dyDescent="0.2">
      <c r="A161" s="116">
        <f>IF(ISNUMBER(Tabela2[[#This Row],[CT-e/NFS]])=TRUE,(IF(B161&gt;30000,4,IF(B161&lt;1000,"ND",0))),"-")</f>
        <v>4</v>
      </c>
      <c r="B161" s="116">
        <v>45495</v>
      </c>
      <c r="C161" s="117">
        <v>45297</v>
      </c>
      <c r="D161" s="116">
        <v>144.22</v>
      </c>
      <c r="E161" s="117">
        <v>45306</v>
      </c>
      <c r="F161" s="116">
        <f>COUNTIFS($A$3:A8411,A161,$B$3:B8411,B161)</f>
        <v>1</v>
      </c>
      <c r="G161" s="116"/>
    </row>
    <row r="162" spans="1:7" x14ac:dyDescent="0.2">
      <c r="A162" s="116">
        <f>IF(ISNUMBER(Tabela2[[#This Row],[CT-e/NFS]])=TRUE,(IF(B162&gt;30000,4,IF(B162&lt;1000,"ND",0))),"-")</f>
        <v>4</v>
      </c>
      <c r="B162" s="116">
        <v>45494</v>
      </c>
      <c r="C162" s="117">
        <v>45297</v>
      </c>
      <c r="D162" s="116">
        <v>110.55</v>
      </c>
      <c r="E162" s="117">
        <v>45306</v>
      </c>
      <c r="F162" s="116">
        <f>COUNTIFS($A$3:A8412,A162,$B$3:B8412,B162)</f>
        <v>1</v>
      </c>
      <c r="G162" s="116"/>
    </row>
    <row r="163" spans="1:7" x14ac:dyDescent="0.2">
      <c r="A163" s="116">
        <f>IF(ISNUMBER(Tabela2[[#This Row],[CT-e/NFS]])=TRUE,(IF(B163&gt;30000,4,IF(B163&lt;1000,"ND",0))),"-")</f>
        <v>4</v>
      </c>
      <c r="B163" s="116">
        <v>45496</v>
      </c>
      <c r="C163" s="117">
        <v>45297</v>
      </c>
      <c r="D163" s="116">
        <v>260.26</v>
      </c>
      <c r="E163" s="117">
        <v>45306</v>
      </c>
      <c r="F163" s="116">
        <f>COUNTIFS($A$3:A8413,A163,$B$3:B8413,B163)</f>
        <v>1</v>
      </c>
      <c r="G163" s="116"/>
    </row>
    <row r="164" spans="1:7" x14ac:dyDescent="0.2">
      <c r="A164" s="116">
        <f>IF(ISNUMBER(Tabela2[[#This Row],[CT-e/NFS]])=TRUE,(IF(B164&gt;30000,4,IF(B164&lt;1000,"ND",0))),"-")</f>
        <v>4</v>
      </c>
      <c r="B164" s="116">
        <v>45483</v>
      </c>
      <c r="C164" s="117">
        <v>45297</v>
      </c>
      <c r="D164" s="116">
        <v>143.69999999999999</v>
      </c>
      <c r="E164" s="117">
        <v>45306</v>
      </c>
      <c r="F164" s="116">
        <f>COUNTIFS($A$3:A8414,A164,$B$3:B8414,B164)</f>
        <v>1</v>
      </c>
      <c r="G164" s="116"/>
    </row>
    <row r="165" spans="1:7" x14ac:dyDescent="0.2">
      <c r="A165" s="116">
        <f>IF(ISNUMBER(Tabela2[[#This Row],[CT-e/NFS]])=TRUE,(IF(B165&gt;30000,4,IF(B165&lt;1000,"ND",0))),"-")</f>
        <v>4</v>
      </c>
      <c r="B165" s="116">
        <v>45485</v>
      </c>
      <c r="C165" s="117">
        <v>45297</v>
      </c>
      <c r="D165" s="116">
        <v>61.36</v>
      </c>
      <c r="E165" s="117">
        <v>45306</v>
      </c>
      <c r="F165" s="116">
        <f>COUNTIFS($A$3:A8415,A165,$B$3:B8415,B165)</f>
        <v>1</v>
      </c>
      <c r="G165" s="116"/>
    </row>
    <row r="166" spans="1:7" x14ac:dyDescent="0.2">
      <c r="A166" s="116">
        <f>IF(ISNUMBER(Tabela2[[#This Row],[CT-e/NFS]])=TRUE,(IF(B166&gt;30000,4,IF(B166&lt;1000,"ND",0))),"-")</f>
        <v>4</v>
      </c>
      <c r="B166" s="116">
        <v>45484</v>
      </c>
      <c r="C166" s="117">
        <v>45297</v>
      </c>
      <c r="D166" s="116">
        <v>259.56</v>
      </c>
      <c r="E166" s="117">
        <v>45306</v>
      </c>
      <c r="F166" s="116">
        <f>COUNTIFS($A$3:A8416,A166,$B$3:B8416,B166)</f>
        <v>1</v>
      </c>
      <c r="G166" s="116"/>
    </row>
    <row r="167" spans="1:7" x14ac:dyDescent="0.2">
      <c r="A167" s="116">
        <f>IF(ISNUMBER(Tabela2[[#This Row],[CT-e/NFS]])=TRUE,(IF(B167&gt;30000,4,IF(B167&lt;1000,"ND",0))),"-")</f>
        <v>4</v>
      </c>
      <c r="B167" s="116">
        <v>45486</v>
      </c>
      <c r="C167" s="117">
        <v>45297</v>
      </c>
      <c r="D167" s="116">
        <v>110.45</v>
      </c>
      <c r="E167" s="117">
        <v>45306</v>
      </c>
      <c r="F167" s="116">
        <f>COUNTIFS($A$3:A8417,A167,$B$3:B8417,B167)</f>
        <v>1</v>
      </c>
      <c r="G167" s="116"/>
    </row>
    <row r="168" spans="1:7" x14ac:dyDescent="0.2">
      <c r="A168" s="116">
        <f>IF(ISNUMBER(Tabela2[[#This Row],[CT-e/NFS]])=TRUE,(IF(B168&gt;30000,4,IF(B168&lt;1000,"ND",0))),"-")</f>
        <v>4</v>
      </c>
      <c r="B168" s="116">
        <v>45489</v>
      </c>
      <c r="C168" s="117">
        <v>45297</v>
      </c>
      <c r="D168" s="116">
        <v>61.36</v>
      </c>
      <c r="E168" s="117">
        <v>45306</v>
      </c>
      <c r="F168" s="116">
        <f>COUNTIFS($A$3:A8418,A168,$B$3:B8418,B168)</f>
        <v>1</v>
      </c>
      <c r="G168" s="116"/>
    </row>
    <row r="169" spans="1:7" x14ac:dyDescent="0.2">
      <c r="A169" s="116">
        <f>IF(ISNUMBER(Tabela2[[#This Row],[CT-e/NFS]])=TRUE,(IF(B169&gt;30000,4,IF(B169&lt;1000,"ND",0))),"-")</f>
        <v>4</v>
      </c>
      <c r="B169" s="116">
        <v>45488</v>
      </c>
      <c r="C169" s="117">
        <v>45297</v>
      </c>
      <c r="D169" s="116">
        <v>110.45</v>
      </c>
      <c r="E169" s="117">
        <v>45306</v>
      </c>
      <c r="F169" s="116">
        <f>COUNTIFS($A$3:A8419,A169,$B$3:B8419,B169)</f>
        <v>1</v>
      </c>
      <c r="G169" s="116"/>
    </row>
    <row r="170" spans="1:7" x14ac:dyDescent="0.2">
      <c r="A170" s="116">
        <f>IF(ISNUMBER(Tabela2[[#This Row],[CT-e/NFS]])=TRUE,(IF(B170&gt;30000,4,IF(B170&lt;1000,"ND",0))),"-")</f>
        <v>4</v>
      </c>
      <c r="B170" s="116">
        <v>45490</v>
      </c>
      <c r="C170" s="117">
        <v>45297</v>
      </c>
      <c r="D170" s="116">
        <v>110.45</v>
      </c>
      <c r="E170" s="117">
        <v>45306</v>
      </c>
      <c r="F170" s="116">
        <f>COUNTIFS($A$3:A8420,A170,$B$3:B8420,B170)</f>
        <v>1</v>
      </c>
      <c r="G170" s="116"/>
    </row>
    <row r="171" spans="1:7" x14ac:dyDescent="0.2">
      <c r="A171" s="116">
        <f>IF(ISNUMBER(Tabela2[[#This Row],[CT-e/NFS]])=TRUE,(IF(B171&gt;30000,4,IF(B171&lt;1000,"ND",0))),"-")</f>
        <v>4</v>
      </c>
      <c r="B171" s="116">
        <v>45487</v>
      </c>
      <c r="C171" s="117">
        <v>45297</v>
      </c>
      <c r="D171" s="116">
        <v>61.36</v>
      </c>
      <c r="E171" s="117">
        <v>45306</v>
      </c>
      <c r="F171" s="116">
        <f>COUNTIFS($A$3:A8421,A171,$B$3:B8421,B171)</f>
        <v>1</v>
      </c>
      <c r="G171" s="116"/>
    </row>
    <row r="172" spans="1:7" x14ac:dyDescent="0.2">
      <c r="A172" s="116">
        <f>IF(ISNUMBER(Tabela2[[#This Row],[CT-e/NFS]])=TRUE,(IF(B172&gt;30000,4,IF(B172&lt;1000,"ND",0))),"-")</f>
        <v>4</v>
      </c>
      <c r="B172" s="116">
        <v>45492</v>
      </c>
      <c r="C172" s="117">
        <v>45297</v>
      </c>
      <c r="D172" s="116">
        <v>110.66</v>
      </c>
      <c r="E172" s="117">
        <v>45306</v>
      </c>
      <c r="F172" s="116">
        <f>COUNTIFS($A$3:A8422,A172,$B$3:B8422,B172)</f>
        <v>1</v>
      </c>
      <c r="G172" s="116"/>
    </row>
    <row r="173" spans="1:7" x14ac:dyDescent="0.2">
      <c r="A173" s="116">
        <f>IF(ISNUMBER(Tabela2[[#This Row],[CT-e/NFS]])=TRUE,(IF(B173&gt;30000,4,IF(B173&lt;1000,"ND",0))),"-")</f>
        <v>4</v>
      </c>
      <c r="B173" s="116">
        <v>45491</v>
      </c>
      <c r="C173" s="117">
        <v>45297</v>
      </c>
      <c r="D173" s="116">
        <v>61.47</v>
      </c>
      <c r="E173" s="117">
        <v>45306</v>
      </c>
      <c r="F173" s="116">
        <f>COUNTIFS($A$3:A8423,A173,$B$3:B8423,B173)</f>
        <v>1</v>
      </c>
      <c r="G173" s="116"/>
    </row>
    <row r="174" spans="1:7" x14ac:dyDescent="0.2">
      <c r="A174" s="116">
        <f>IF(ISNUMBER(Tabela2[[#This Row],[CT-e/NFS]])=TRUE,(IF(B174&gt;30000,4,IF(B174&lt;1000,"ND",0))),"-")</f>
        <v>4</v>
      </c>
      <c r="B174" s="116">
        <v>45508</v>
      </c>
      <c r="C174" s="117">
        <v>45297</v>
      </c>
      <c r="D174" s="116">
        <v>122.91</v>
      </c>
      <c r="E174" s="117">
        <v>45306</v>
      </c>
      <c r="F174" s="116">
        <f>COUNTIFS($A$3:A8424,A174,$B$3:B8424,B174)</f>
        <v>1</v>
      </c>
      <c r="G174" s="116"/>
    </row>
    <row r="175" spans="1:7" x14ac:dyDescent="0.2">
      <c r="A175" s="116">
        <f>IF(ISNUMBER(Tabela2[[#This Row],[CT-e/NFS]])=TRUE,(IF(B175&gt;30000,4,IF(B175&lt;1000,"ND",0))),"-")</f>
        <v>4</v>
      </c>
      <c r="B175" s="116">
        <v>45512</v>
      </c>
      <c r="C175" s="117">
        <v>45297</v>
      </c>
      <c r="D175" s="116">
        <v>314.5</v>
      </c>
      <c r="E175" s="117">
        <v>45306</v>
      </c>
      <c r="F175" s="116">
        <f>COUNTIFS($A$3:A8425,A175,$B$3:B8425,B175)</f>
        <v>1</v>
      </c>
      <c r="G175" s="116"/>
    </row>
    <row r="176" spans="1:7" x14ac:dyDescent="0.2">
      <c r="A176" s="116">
        <f>IF(ISNUMBER(Tabela2[[#This Row],[CT-e/NFS]])=TRUE,(IF(B176&gt;30000,4,IF(B176&lt;1000,"ND",0))),"-")</f>
        <v>4</v>
      </c>
      <c r="B176" s="116">
        <v>45507</v>
      </c>
      <c r="C176" s="117">
        <v>45297</v>
      </c>
      <c r="D176" s="116">
        <v>123.24</v>
      </c>
      <c r="E176" s="117">
        <v>45306</v>
      </c>
      <c r="F176" s="116">
        <f>COUNTIFS($A$3:A8426,A176,$B$3:B8426,B176)</f>
        <v>1</v>
      </c>
      <c r="G176" s="116"/>
    </row>
    <row r="177" spans="1:7" x14ac:dyDescent="0.2">
      <c r="A177" s="116">
        <f>IF(ISNUMBER(Tabela2[[#This Row],[CT-e/NFS]])=TRUE,(IF(B177&gt;30000,4,IF(B177&lt;1000,"ND",0))),"-")</f>
        <v>4</v>
      </c>
      <c r="B177" s="116">
        <v>45505</v>
      </c>
      <c r="C177" s="117">
        <v>45297</v>
      </c>
      <c r="D177" s="116">
        <v>125.93</v>
      </c>
      <c r="E177" s="117">
        <v>45306</v>
      </c>
      <c r="F177" s="116">
        <f>COUNTIFS($A$3:A8427,A177,$B$3:B8427,B177)</f>
        <v>1</v>
      </c>
      <c r="G177" s="116"/>
    </row>
    <row r="178" spans="1:7" x14ac:dyDescent="0.2">
      <c r="A178" s="116">
        <f>IF(ISNUMBER(Tabela2[[#This Row],[CT-e/NFS]])=TRUE,(IF(B178&gt;30000,4,IF(B178&lt;1000,"ND",0))),"-")</f>
        <v>4</v>
      </c>
      <c r="B178" s="116">
        <v>45506</v>
      </c>
      <c r="C178" s="117">
        <v>45297</v>
      </c>
      <c r="D178" s="116">
        <v>283.06</v>
      </c>
      <c r="E178" s="117">
        <v>45306</v>
      </c>
      <c r="F178" s="116">
        <f>COUNTIFS($A$3:A8428,A178,$B$3:B8428,B178)</f>
        <v>1</v>
      </c>
      <c r="G178" s="116"/>
    </row>
    <row r="179" spans="1:7" x14ac:dyDescent="0.2">
      <c r="A179" s="116">
        <f>IF(ISNUMBER(Tabela2[[#This Row],[CT-e/NFS]])=TRUE,(IF(B179&gt;30000,4,IF(B179&lt;1000,"ND",0))),"-")</f>
        <v>4</v>
      </c>
      <c r="B179" s="116">
        <v>45500</v>
      </c>
      <c r="C179" s="117">
        <v>45297</v>
      </c>
      <c r="D179" s="116">
        <v>246.33</v>
      </c>
      <c r="E179" s="117">
        <v>45306</v>
      </c>
      <c r="F179" s="116">
        <f>COUNTIFS($A$3:A8429,A179,$B$3:B8429,B179)</f>
        <v>1</v>
      </c>
      <c r="G179" s="116"/>
    </row>
    <row r="180" spans="1:7" x14ac:dyDescent="0.2">
      <c r="A180" s="116">
        <f>IF(ISNUMBER(Tabela2[[#This Row],[CT-e/NFS]])=TRUE,(IF(B180&gt;30000,4,IF(B180&lt;1000,"ND",0))),"-")</f>
        <v>4</v>
      </c>
      <c r="B180" s="116">
        <v>45502</v>
      </c>
      <c r="C180" s="117">
        <v>45297</v>
      </c>
      <c r="D180" s="116">
        <v>271.05</v>
      </c>
      <c r="E180" s="117">
        <v>45306</v>
      </c>
      <c r="F180" s="116">
        <f>COUNTIFS($A$3:A8430,A180,$B$3:B8430,B180)</f>
        <v>1</v>
      </c>
      <c r="G180" s="116"/>
    </row>
    <row r="181" spans="1:7" x14ac:dyDescent="0.2">
      <c r="A181" s="116">
        <f>IF(ISNUMBER(Tabela2[[#This Row],[CT-e/NFS]])=TRUE,(IF(B181&gt;30000,4,IF(B181&lt;1000,"ND",0))),"-")</f>
        <v>4</v>
      </c>
      <c r="B181" s="116">
        <v>45509</v>
      </c>
      <c r="C181" s="117">
        <v>45297</v>
      </c>
      <c r="D181" s="116">
        <v>252.74</v>
      </c>
      <c r="E181" s="117">
        <v>45306</v>
      </c>
      <c r="F181" s="116">
        <f>COUNTIFS($A$3:A8431,A181,$B$3:B8431,B181)</f>
        <v>1</v>
      </c>
      <c r="G181" s="116"/>
    </row>
    <row r="182" spans="1:7" x14ac:dyDescent="0.2">
      <c r="A182" s="116">
        <f>IF(ISNUMBER(Tabela2[[#This Row],[CT-e/NFS]])=TRUE,(IF(B182&gt;30000,4,IF(B182&lt;1000,"ND",0))),"-")</f>
        <v>4</v>
      </c>
      <c r="B182" s="116">
        <v>45383</v>
      </c>
      <c r="C182" s="117">
        <v>45297</v>
      </c>
      <c r="D182" s="116">
        <v>150.94</v>
      </c>
      <c r="E182" s="117">
        <v>45306</v>
      </c>
      <c r="F182" s="116">
        <f>COUNTIFS($A$3:A8432,A182,$B$3:B8432,B182)</f>
        <v>1</v>
      </c>
      <c r="G182" s="116"/>
    </row>
    <row r="183" spans="1:7" x14ac:dyDescent="0.2">
      <c r="A183" s="116">
        <f>IF(ISNUMBER(Tabela2[[#This Row],[CT-e/NFS]])=TRUE,(IF(B183&gt;30000,4,IF(B183&lt;1000,"ND",0))),"-")</f>
        <v>4</v>
      </c>
      <c r="B183" s="116">
        <v>45384</v>
      </c>
      <c r="C183" s="117">
        <v>45297</v>
      </c>
      <c r="D183" s="116">
        <v>272.64</v>
      </c>
      <c r="E183" s="117">
        <v>45306</v>
      </c>
      <c r="F183" s="116">
        <f>COUNTIFS($A$3:A8433,A183,$B$3:B8433,B183)</f>
        <v>1</v>
      </c>
      <c r="G183" s="116"/>
    </row>
    <row r="184" spans="1:7" x14ac:dyDescent="0.2">
      <c r="A184" s="116">
        <f>IF(ISNUMBER(Tabela2[[#This Row],[CT-e/NFS]])=TRUE,(IF(B184&gt;30000,4,IF(B184&lt;1000,"ND",0))),"-")</f>
        <v>4</v>
      </c>
      <c r="B184" s="116">
        <v>45511</v>
      </c>
      <c r="C184" s="117">
        <v>45297</v>
      </c>
      <c r="D184" s="116">
        <v>124.18</v>
      </c>
      <c r="E184" s="117">
        <v>45306</v>
      </c>
      <c r="F184" s="116">
        <f>COUNTIFS($A$3:A8434,A184,$B$3:B8434,B184)</f>
        <v>1</v>
      </c>
      <c r="G184" s="116"/>
    </row>
    <row r="185" spans="1:7" x14ac:dyDescent="0.2">
      <c r="A185" s="116">
        <f>IF(ISNUMBER(Tabela2[[#This Row],[CT-e/NFS]])=TRUE,(IF(B185&gt;30000,4,IF(B185&lt;1000,"ND",0))),"-")</f>
        <v>4</v>
      </c>
      <c r="B185" s="116">
        <v>45510</v>
      </c>
      <c r="C185" s="117">
        <v>45297</v>
      </c>
      <c r="D185" s="116">
        <v>86.88</v>
      </c>
      <c r="E185" s="117">
        <v>45306</v>
      </c>
      <c r="F185" s="116">
        <f>COUNTIFS($A$3:A8435,A185,$B$3:B8435,B185)</f>
        <v>1</v>
      </c>
      <c r="G185" s="116"/>
    </row>
    <row r="186" spans="1:7" x14ac:dyDescent="0.2">
      <c r="A186" s="116">
        <f>IF(ISNUMBER(Tabela2[[#This Row],[CT-e/NFS]])=TRUE,(IF(B186&gt;30000,4,IF(B186&lt;1000,"ND",0))),"-")</f>
        <v>4</v>
      </c>
      <c r="B186" s="116">
        <v>45457</v>
      </c>
      <c r="C186" s="117">
        <v>45297</v>
      </c>
      <c r="D186" s="116">
        <v>6769.38</v>
      </c>
      <c r="E186" s="117">
        <v>45306</v>
      </c>
      <c r="F186" s="116">
        <f>COUNTIFS($A$3:A8436,A186,$B$3:B8436,B186)</f>
        <v>1</v>
      </c>
      <c r="G186" s="116"/>
    </row>
    <row r="187" spans="1:7" x14ac:dyDescent="0.2">
      <c r="A187" s="116">
        <f>IF(ISNUMBER(Tabela2[[#This Row],[CT-e/NFS]])=TRUE,(IF(B187&gt;30000,4,IF(B187&lt;1000,"ND",0))),"-")</f>
        <v>4</v>
      </c>
      <c r="B187" s="116">
        <v>45456</v>
      </c>
      <c r="C187" s="117">
        <v>45297</v>
      </c>
      <c r="D187" s="116">
        <v>20589.43</v>
      </c>
      <c r="E187" s="117">
        <v>45306</v>
      </c>
      <c r="F187" s="116">
        <f>COUNTIFS($A$3:A8437,A187,$B$3:B8437,B187)</f>
        <v>1</v>
      </c>
      <c r="G187" s="116"/>
    </row>
    <row r="188" spans="1:7" x14ac:dyDescent="0.2">
      <c r="A188" s="116">
        <f>IF(ISNUMBER(Tabela2[[#This Row],[CT-e/NFS]])=TRUE,(IF(B188&gt;30000,4,IF(B188&lt;1000,"ND",0))),"-")</f>
        <v>4</v>
      </c>
      <c r="B188" s="116">
        <v>45504</v>
      </c>
      <c r="C188" s="117">
        <v>45297</v>
      </c>
      <c r="D188" s="116">
        <v>125.56</v>
      </c>
      <c r="E188" s="117">
        <v>45306</v>
      </c>
      <c r="F188" s="116">
        <f>COUNTIFS($A$3:A8438,A188,$B$3:B8438,B188)</f>
        <v>1</v>
      </c>
      <c r="G188" s="116"/>
    </row>
    <row r="189" spans="1:7" x14ac:dyDescent="0.2">
      <c r="A189" s="116">
        <f>IF(ISNUMBER(Tabela2[[#This Row],[CT-e/NFS]])=TRUE,(IF(B189&gt;30000,4,IF(B189&lt;1000,"ND",0))),"-")</f>
        <v>4</v>
      </c>
      <c r="B189" s="116">
        <v>45498</v>
      </c>
      <c r="C189" s="117">
        <v>45297</v>
      </c>
      <c r="D189" s="116">
        <v>222.49</v>
      </c>
      <c r="E189" s="117">
        <v>45306</v>
      </c>
      <c r="F189" s="116">
        <f>COUNTIFS($A$3:A8439,A189,$B$3:B8439,B189)</f>
        <v>1</v>
      </c>
      <c r="G189" s="116"/>
    </row>
    <row r="190" spans="1:7" x14ac:dyDescent="0.2">
      <c r="A190" s="116">
        <f>IF(ISNUMBER(Tabela2[[#This Row],[CT-e/NFS]])=TRUE,(IF(B190&gt;30000,4,IF(B190&lt;1000,"ND",0))),"-")</f>
        <v>4</v>
      </c>
      <c r="B190" s="116">
        <v>45499</v>
      </c>
      <c r="C190" s="117">
        <v>45297</v>
      </c>
      <c r="D190" s="116">
        <v>745.32</v>
      </c>
      <c r="E190" s="117">
        <v>45306</v>
      </c>
      <c r="F190" s="116">
        <f>COUNTIFS($A$3:A8440,A190,$B$3:B8440,B190)</f>
        <v>1</v>
      </c>
      <c r="G190" s="116"/>
    </row>
    <row r="191" spans="1:7" x14ac:dyDescent="0.2">
      <c r="A191" s="116">
        <f>IF(ISNUMBER(Tabela2[[#This Row],[CT-e/NFS]])=TRUE,(IF(B191&gt;30000,4,IF(B191&lt;1000,"ND",0))),"-")</f>
        <v>4</v>
      </c>
      <c r="B191" s="116">
        <v>45515</v>
      </c>
      <c r="C191" s="117">
        <v>45297</v>
      </c>
      <c r="D191" s="116">
        <v>471.06</v>
      </c>
      <c r="E191" s="117">
        <v>45306</v>
      </c>
      <c r="F191" s="116">
        <f>COUNTIFS($A$3:A8441,A191,$B$3:B8441,B191)</f>
        <v>1</v>
      </c>
      <c r="G191" s="116"/>
    </row>
    <row r="192" spans="1:7" x14ac:dyDescent="0.2">
      <c r="A192" s="116">
        <f>IF(ISNUMBER(Tabela2[[#This Row],[CT-e/NFS]])=TRUE,(IF(B192&gt;30000,4,IF(B192&lt;1000,"ND",0))),"-")</f>
        <v>4</v>
      </c>
      <c r="B192" s="116">
        <v>45513</v>
      </c>
      <c r="C192" s="117">
        <v>45297</v>
      </c>
      <c r="D192" s="116">
        <v>258.92</v>
      </c>
      <c r="E192" s="117">
        <v>45306</v>
      </c>
      <c r="F192" s="116">
        <f>COUNTIFS($A$3:A8442,A192,$B$3:B8442,B192)</f>
        <v>1</v>
      </c>
      <c r="G192" s="116"/>
    </row>
    <row r="193" spans="1:7" x14ac:dyDescent="0.2">
      <c r="A193" s="116">
        <f>IF(ISNUMBER(Tabela2[[#This Row],[CT-e/NFS]])=TRUE,(IF(B193&gt;30000,4,IF(B193&lt;1000,"ND",0))),"-")</f>
        <v>4</v>
      </c>
      <c r="B193" s="116">
        <v>45514</v>
      </c>
      <c r="C193" s="117">
        <v>45297</v>
      </c>
      <c r="D193" s="116">
        <v>237.09</v>
      </c>
      <c r="E193" s="117">
        <v>45306</v>
      </c>
      <c r="F193" s="116">
        <f>COUNTIFS($A$3:A8443,A193,$B$3:B8443,B193)</f>
        <v>1</v>
      </c>
      <c r="G193" s="116"/>
    </row>
    <row r="194" spans="1:7" x14ac:dyDescent="0.2">
      <c r="A194" s="116">
        <f>IF(ISNUMBER(Tabela2[[#This Row],[CT-e/NFS]])=TRUE,(IF(B194&gt;30000,4,IF(B194&lt;1000,"ND",0))),"-")</f>
        <v>0</v>
      </c>
      <c r="B194" s="116">
        <v>20984</v>
      </c>
      <c r="C194" s="117">
        <v>45297</v>
      </c>
      <c r="D194" s="116">
        <v>314.43</v>
      </c>
      <c r="E194" s="117">
        <v>45306</v>
      </c>
      <c r="F194" s="116">
        <f>COUNTIFS($A$3:A8444,A194,$B$3:B8444,B194)</f>
        <v>1</v>
      </c>
      <c r="G194" s="116"/>
    </row>
    <row r="195" spans="1:7" x14ac:dyDescent="0.2">
      <c r="A195" s="116">
        <f>IF(ISNUMBER(Tabela2[[#This Row],[CT-e/NFS]])=TRUE,(IF(B195&gt;30000,4,IF(B195&lt;1000,"ND",0))),"-")</f>
        <v>0</v>
      </c>
      <c r="B195" s="116">
        <v>20983</v>
      </c>
      <c r="C195" s="117">
        <v>45297</v>
      </c>
      <c r="D195" s="116">
        <v>174.19</v>
      </c>
      <c r="E195" s="117">
        <v>45306</v>
      </c>
      <c r="F195" s="116">
        <f>COUNTIFS($A$3:A8445,A195,$B$3:B8445,B195)</f>
        <v>1</v>
      </c>
      <c r="G195" s="116"/>
    </row>
    <row r="196" spans="1:7" x14ac:dyDescent="0.2">
      <c r="A196" s="116">
        <f>IF(ISNUMBER(Tabela2[[#This Row],[CT-e/NFS]])=TRUE,(IF(B196&gt;30000,4,IF(B196&lt;1000,"ND",0))),"-")</f>
        <v>4</v>
      </c>
      <c r="B196" s="116">
        <v>45497</v>
      </c>
      <c r="C196" s="117">
        <v>45297</v>
      </c>
      <c r="D196" s="116">
        <v>1003.68</v>
      </c>
      <c r="E196" s="117">
        <v>45306</v>
      </c>
      <c r="F196" s="116">
        <f>COUNTIFS($A$3:A8446,A196,$B$3:B8446,B196)</f>
        <v>1</v>
      </c>
      <c r="G196" s="116"/>
    </row>
    <row r="197" spans="1:7" x14ac:dyDescent="0.2">
      <c r="A197" s="116">
        <f>IF(ISNUMBER(Tabela2[[#This Row],[CT-e/NFS]])=TRUE,(IF(B197&gt;30000,4,IF(B197&lt;1000,"ND",0))),"-")</f>
        <v>4</v>
      </c>
      <c r="B197" s="116">
        <v>45503</v>
      </c>
      <c r="C197" s="117">
        <v>45297</v>
      </c>
      <c r="D197" s="116">
        <v>2049.4699999999998</v>
      </c>
      <c r="E197" s="117">
        <v>45306</v>
      </c>
      <c r="F197" s="116">
        <f>COUNTIFS($A$3:A8447,A197,$B$3:B8447,B197)</f>
        <v>1</v>
      </c>
      <c r="G197" s="116"/>
    </row>
    <row r="198" spans="1:7" x14ac:dyDescent="0.2">
      <c r="A198" s="116">
        <f>IF(ISNUMBER(Tabela2[[#This Row],[CT-e/NFS]])=TRUE,(IF(B198&gt;30000,4,IF(B198&lt;1000,"ND",0))),"-")</f>
        <v>4</v>
      </c>
      <c r="B198" s="116">
        <v>45521</v>
      </c>
      <c r="C198" s="117">
        <v>45297</v>
      </c>
      <c r="D198" s="116">
        <v>124.22</v>
      </c>
      <c r="E198" s="117">
        <v>45306</v>
      </c>
      <c r="F198" s="116">
        <f>COUNTIFS($A$3:A8448,A198,$B$3:B8448,B198)</f>
        <v>1</v>
      </c>
      <c r="G198" s="116"/>
    </row>
    <row r="199" spans="1:7" x14ac:dyDescent="0.2">
      <c r="A199" s="116">
        <f>IF(ISNUMBER(Tabela2[[#This Row],[CT-e/NFS]])=TRUE,(IF(B199&gt;30000,4,IF(B199&lt;1000,"ND",0))),"-")</f>
        <v>4</v>
      </c>
      <c r="B199" s="116">
        <v>45522</v>
      </c>
      <c r="C199" s="117">
        <v>45297</v>
      </c>
      <c r="D199" s="116">
        <v>124.38</v>
      </c>
      <c r="E199" s="117">
        <v>45306</v>
      </c>
      <c r="F199" s="116">
        <f>COUNTIFS($A$3:A8449,A199,$B$3:B8449,B199)</f>
        <v>1</v>
      </c>
      <c r="G199" s="116"/>
    </row>
    <row r="200" spans="1:7" x14ac:dyDescent="0.2">
      <c r="A200" s="116">
        <f>IF(ISNUMBER(Tabela2[[#This Row],[CT-e/NFS]])=TRUE,(IF(B200&gt;30000,4,IF(B200&lt;1000,"ND",0))),"-")</f>
        <v>4</v>
      </c>
      <c r="B200" s="116">
        <v>45532</v>
      </c>
      <c r="C200" s="117">
        <v>45297</v>
      </c>
      <c r="D200" s="116">
        <v>125.8</v>
      </c>
      <c r="E200" s="117">
        <v>45306</v>
      </c>
      <c r="F200" s="116">
        <f>COUNTIFS($A$3:A8450,A200,$B$3:B8450,B200)</f>
        <v>1</v>
      </c>
      <c r="G200" s="116"/>
    </row>
    <row r="201" spans="1:7" x14ac:dyDescent="0.2">
      <c r="A201" s="116">
        <f>IF(ISNUMBER(Tabela2[[#This Row],[CT-e/NFS]])=TRUE,(IF(B201&gt;30000,4,IF(B201&lt;1000,"ND",0))),"-")</f>
        <v>4</v>
      </c>
      <c r="B201" s="116">
        <v>45519</v>
      </c>
      <c r="C201" s="117">
        <v>45297</v>
      </c>
      <c r="D201" s="116">
        <v>125.6</v>
      </c>
      <c r="E201" s="117">
        <v>45306</v>
      </c>
      <c r="F201" s="116">
        <f>COUNTIFS($A$3:A8451,A201,$B$3:B8451,B201)</f>
        <v>1</v>
      </c>
      <c r="G201" s="116"/>
    </row>
    <row r="202" spans="1:7" x14ac:dyDescent="0.2">
      <c r="A202" s="116">
        <f>IF(ISNUMBER(Tabela2[[#This Row],[CT-e/NFS]])=TRUE,(IF(B202&gt;30000,4,IF(B202&lt;1000,"ND",0))),"-")</f>
        <v>4</v>
      </c>
      <c r="B202" s="116">
        <v>45518</v>
      </c>
      <c r="C202" s="117">
        <v>45297</v>
      </c>
      <c r="D202" s="116">
        <v>125.42</v>
      </c>
      <c r="E202" s="117">
        <v>45306</v>
      </c>
      <c r="F202" s="116">
        <f>COUNTIFS($A$3:A8452,A202,$B$3:B8452,B202)</f>
        <v>1</v>
      </c>
      <c r="G202" s="116"/>
    </row>
    <row r="203" spans="1:7" x14ac:dyDescent="0.2">
      <c r="A203" s="116">
        <f>IF(ISNUMBER(Tabela2[[#This Row],[CT-e/NFS]])=TRUE,(IF(B203&gt;30000,4,IF(B203&lt;1000,"ND",0))),"-")</f>
        <v>4</v>
      </c>
      <c r="B203" s="116">
        <v>45533</v>
      </c>
      <c r="C203" s="117">
        <v>45297</v>
      </c>
      <c r="D203" s="116">
        <v>90.49</v>
      </c>
      <c r="E203" s="117">
        <v>45306</v>
      </c>
      <c r="F203" s="116">
        <f>COUNTIFS($A$3:A8453,A203,$B$3:B8453,B203)</f>
        <v>1</v>
      </c>
      <c r="G203" s="116"/>
    </row>
    <row r="204" spans="1:7" x14ac:dyDescent="0.2">
      <c r="A204" s="116">
        <f>IF(ISNUMBER(Tabela2[[#This Row],[CT-e/NFS]])=TRUE,(IF(B204&gt;30000,4,IF(B204&lt;1000,"ND",0))),"-")</f>
        <v>4</v>
      </c>
      <c r="B204" s="116">
        <v>45501</v>
      </c>
      <c r="C204" s="117">
        <v>45297</v>
      </c>
      <c r="D204" s="116">
        <v>609.98</v>
      </c>
      <c r="E204" s="117">
        <v>45306</v>
      </c>
      <c r="F204" s="116">
        <f>COUNTIFS($A$3:A8454,A204,$B$3:B8454,B204)</f>
        <v>1</v>
      </c>
      <c r="G204" s="116"/>
    </row>
    <row r="205" spans="1:7" x14ac:dyDescent="0.2">
      <c r="A205" s="116">
        <f>IF(ISNUMBER(Tabela2[[#This Row],[CT-e/NFS]])=TRUE,(IF(B205&gt;30000,4,IF(B205&lt;1000,"ND",0))),"-")</f>
        <v>4</v>
      </c>
      <c r="B205" s="116">
        <v>45534</v>
      </c>
      <c r="C205" s="117">
        <v>45297</v>
      </c>
      <c r="D205" s="116">
        <v>123.93</v>
      </c>
      <c r="E205" s="117">
        <v>45306</v>
      </c>
      <c r="F205" s="116">
        <f>COUNTIFS($A$3:A8455,A205,$B$3:B8455,B205)</f>
        <v>1</v>
      </c>
      <c r="G205" s="116"/>
    </row>
    <row r="206" spans="1:7" x14ac:dyDescent="0.2">
      <c r="A206" s="116">
        <f>IF(ISNUMBER(Tabela2[[#This Row],[CT-e/NFS]])=TRUE,(IF(B206&gt;30000,4,IF(B206&lt;1000,"ND",0))),"-")</f>
        <v>4</v>
      </c>
      <c r="B206" s="116">
        <v>45530</v>
      </c>
      <c r="C206" s="117">
        <v>45297</v>
      </c>
      <c r="D206" s="116">
        <v>131.9</v>
      </c>
      <c r="E206" s="117">
        <v>45306</v>
      </c>
      <c r="F206" s="116">
        <f>COUNTIFS($A$3:A8456,A206,$B$3:B8456,B206)</f>
        <v>1</v>
      </c>
      <c r="G206" s="116"/>
    </row>
    <row r="207" spans="1:7" x14ac:dyDescent="0.2">
      <c r="A207" s="116">
        <f>IF(ISNUMBER(Tabela2[[#This Row],[CT-e/NFS]])=TRUE,(IF(B207&gt;30000,4,IF(B207&lt;1000,"ND",0))),"-")</f>
        <v>4</v>
      </c>
      <c r="B207" s="116">
        <v>45523</v>
      </c>
      <c r="C207" s="117">
        <v>45297</v>
      </c>
      <c r="D207" s="116">
        <v>168.92</v>
      </c>
      <c r="E207" s="117">
        <v>45306</v>
      </c>
      <c r="F207" s="116">
        <f>COUNTIFS($A$3:A8457,A207,$B$3:B8457,B207)</f>
        <v>1</v>
      </c>
      <c r="G207" s="116"/>
    </row>
    <row r="208" spans="1:7" x14ac:dyDescent="0.2">
      <c r="A208" s="116">
        <f>IF(ISNUMBER(Tabela2[[#This Row],[CT-e/NFS]])=TRUE,(IF(B208&gt;30000,4,IF(B208&lt;1000,"ND",0))),"-")</f>
        <v>4</v>
      </c>
      <c r="B208" s="116">
        <v>45520</v>
      </c>
      <c r="C208" s="117">
        <v>45297</v>
      </c>
      <c r="D208" s="116">
        <v>122.94</v>
      </c>
      <c r="E208" s="117">
        <v>45306</v>
      </c>
      <c r="F208" s="116">
        <f>COUNTIFS($A$3:A8458,A208,$B$3:B8458,B208)</f>
        <v>1</v>
      </c>
      <c r="G208" s="116"/>
    </row>
    <row r="209" spans="1:7" x14ac:dyDescent="0.2">
      <c r="A209" s="116">
        <f>IF(ISNUMBER(Tabela2[[#This Row],[CT-e/NFS]])=TRUE,(IF(B209&gt;30000,4,IF(B209&lt;1000,"ND",0))),"-")</f>
        <v>4</v>
      </c>
      <c r="B209" s="116">
        <v>45524</v>
      </c>
      <c r="C209" s="117">
        <v>45297</v>
      </c>
      <c r="D209" s="116">
        <v>351.66</v>
      </c>
      <c r="E209" s="117">
        <v>45306</v>
      </c>
      <c r="F209" s="116">
        <f>COUNTIFS($A$3:A8459,A209,$B$3:B8459,B209)</f>
        <v>1</v>
      </c>
      <c r="G209" s="116"/>
    </row>
    <row r="210" spans="1:7" x14ac:dyDescent="0.2">
      <c r="A210" s="116">
        <f>IF(ISNUMBER(Tabela2[[#This Row],[CT-e/NFS]])=TRUE,(IF(B210&gt;30000,4,IF(B210&lt;1000,"ND",0))),"-")</f>
        <v>4</v>
      </c>
      <c r="B210" s="116">
        <v>45525</v>
      </c>
      <c r="C210" s="117">
        <v>45297</v>
      </c>
      <c r="D210" s="116">
        <v>125.81</v>
      </c>
      <c r="E210" s="117">
        <v>45306</v>
      </c>
      <c r="F210" s="116">
        <f>COUNTIFS($A$3:A8460,A210,$B$3:B8460,B210)</f>
        <v>1</v>
      </c>
      <c r="G210" s="116"/>
    </row>
    <row r="211" spans="1:7" x14ac:dyDescent="0.2">
      <c r="A211" s="116">
        <f>IF(ISNUMBER(Tabela2[[#This Row],[CT-e/NFS]])=TRUE,(IF(B211&gt;30000,4,IF(B211&lt;1000,"ND",0))),"-")</f>
        <v>4</v>
      </c>
      <c r="B211" s="116">
        <v>45526</v>
      </c>
      <c r="C211" s="117">
        <v>45297</v>
      </c>
      <c r="D211" s="116">
        <v>355.11</v>
      </c>
      <c r="E211" s="117">
        <v>45306</v>
      </c>
      <c r="F211" s="116">
        <f>COUNTIFS($A$3:A8461,A211,$B$3:B8461,B211)</f>
        <v>1</v>
      </c>
      <c r="G211" s="116"/>
    </row>
    <row r="212" spans="1:7" x14ac:dyDescent="0.2">
      <c r="A212" s="116">
        <f>IF(ISNUMBER(Tabela2[[#This Row],[CT-e/NFS]])=TRUE,(IF(B212&gt;30000,4,IF(B212&lt;1000,"ND",0))),"-")</f>
        <v>4</v>
      </c>
      <c r="B212" s="116">
        <v>45516</v>
      </c>
      <c r="C212" s="117">
        <v>45297</v>
      </c>
      <c r="D212" s="116">
        <v>123.31</v>
      </c>
      <c r="E212" s="117">
        <v>45306</v>
      </c>
      <c r="F212" s="116">
        <f>COUNTIFS($A$3:A8462,A212,$B$3:B8462,B212)</f>
        <v>1</v>
      </c>
      <c r="G212" s="116"/>
    </row>
    <row r="213" spans="1:7" x14ac:dyDescent="0.2">
      <c r="A213" s="116">
        <f>IF(ISNUMBER(Tabela2[[#This Row],[CT-e/NFS]])=TRUE,(IF(B213&gt;30000,4,IF(B213&lt;1000,"ND",0))),"-")</f>
        <v>4</v>
      </c>
      <c r="B213" s="116">
        <v>45531</v>
      </c>
      <c r="C213" s="117">
        <v>45297</v>
      </c>
      <c r="D213" s="116">
        <v>124.05</v>
      </c>
      <c r="E213" s="117">
        <v>45306</v>
      </c>
      <c r="F213" s="116">
        <f>COUNTIFS($A$3:A8463,A213,$B$3:B8463,B213)</f>
        <v>1</v>
      </c>
      <c r="G213" s="116"/>
    </row>
    <row r="214" spans="1:7" x14ac:dyDescent="0.2">
      <c r="A214" s="116">
        <f>IF(ISNUMBER(Tabela2[[#This Row],[CT-e/NFS]])=TRUE,(IF(B214&gt;30000,4,IF(B214&lt;1000,"ND",0))),"-")</f>
        <v>4</v>
      </c>
      <c r="B214" s="116">
        <v>45528</v>
      </c>
      <c r="C214" s="117">
        <v>45297</v>
      </c>
      <c r="D214" s="116">
        <v>122.92</v>
      </c>
      <c r="E214" s="117">
        <v>45306</v>
      </c>
      <c r="F214" s="116">
        <f>COUNTIFS($A$3:A8464,A214,$B$3:B8464,B214)</f>
        <v>1</v>
      </c>
      <c r="G214" s="116"/>
    </row>
    <row r="215" spans="1:7" x14ac:dyDescent="0.2">
      <c r="A215" s="116">
        <f>IF(ISNUMBER(Tabela2[[#This Row],[CT-e/NFS]])=TRUE,(IF(B215&gt;30000,4,IF(B215&lt;1000,"ND",0))),"-")</f>
        <v>4</v>
      </c>
      <c r="B215" s="116">
        <v>45527</v>
      </c>
      <c r="C215" s="117">
        <v>45297</v>
      </c>
      <c r="D215" s="116">
        <v>125.35</v>
      </c>
      <c r="E215" s="117">
        <v>45306</v>
      </c>
      <c r="F215" s="116">
        <f>COUNTIFS($A$3:A8465,A215,$B$3:B8465,B215)</f>
        <v>1</v>
      </c>
      <c r="G215" s="116"/>
    </row>
    <row r="216" spans="1:7" x14ac:dyDescent="0.2">
      <c r="A216" s="116">
        <f>IF(ISNUMBER(Tabela2[[#This Row],[CT-e/NFS]])=TRUE,(IF(B216&gt;30000,4,IF(B216&lt;1000,"ND",0))),"-")</f>
        <v>4</v>
      </c>
      <c r="B216" s="116">
        <v>45529</v>
      </c>
      <c r="C216" s="117">
        <v>45297</v>
      </c>
      <c r="D216" s="116">
        <v>271.05</v>
      </c>
      <c r="E216" s="117">
        <v>45306</v>
      </c>
      <c r="F216" s="116">
        <f>COUNTIFS($A$3:A8466,A216,$B$3:B8466,B216)</f>
        <v>1</v>
      </c>
      <c r="G216" s="116"/>
    </row>
    <row r="217" spans="1:7" x14ac:dyDescent="0.2">
      <c r="A217" s="116">
        <f>IF(ISNUMBER(Tabela2[[#This Row],[CT-e/NFS]])=TRUE,(IF(B217&gt;30000,4,IF(B217&lt;1000,"ND",0))),"-")</f>
        <v>4</v>
      </c>
      <c r="B217" s="116">
        <v>45535</v>
      </c>
      <c r="C217" s="117">
        <v>45297</v>
      </c>
      <c r="D217" s="116">
        <v>942.6</v>
      </c>
      <c r="E217" s="117">
        <v>45306</v>
      </c>
      <c r="F217" s="116">
        <f>COUNTIFS($A$3:A8467,A217,$B$3:B8467,B217)</f>
        <v>1</v>
      </c>
      <c r="G217" s="116"/>
    </row>
    <row r="218" spans="1:7" x14ac:dyDescent="0.2">
      <c r="A218" s="116">
        <f>IF(ISNUMBER(Tabela2[[#This Row],[CT-e/NFS]])=TRUE,(IF(B218&gt;30000,4,IF(B218&lt;1000,"ND",0))),"-")</f>
        <v>4</v>
      </c>
      <c r="B218" s="116">
        <v>45449</v>
      </c>
      <c r="C218" s="117">
        <v>45297</v>
      </c>
      <c r="D218" s="116">
        <v>639</v>
      </c>
      <c r="E218" s="117">
        <v>45306</v>
      </c>
      <c r="F218" s="116">
        <f>COUNTIFS($A$3:A8468,A218,$B$3:B8468,B218)</f>
        <v>1</v>
      </c>
      <c r="G218" s="116"/>
    </row>
    <row r="219" spans="1:7" x14ac:dyDescent="0.2">
      <c r="A219" s="116">
        <f>IF(ISNUMBER(Tabela2[[#This Row],[CT-e/NFS]])=TRUE,(IF(B219&gt;30000,4,IF(B219&lt;1000,"ND",0))),"-")</f>
        <v>4</v>
      </c>
      <c r="B219" s="116">
        <v>45537</v>
      </c>
      <c r="C219" s="117">
        <v>45297</v>
      </c>
      <c r="D219" s="116">
        <v>395.89</v>
      </c>
      <c r="E219" s="117">
        <v>45306</v>
      </c>
      <c r="F219" s="116">
        <f>COUNTIFS($A$3:A8469,A219,$B$3:B8469,B219)</f>
        <v>1</v>
      </c>
      <c r="G219" s="116"/>
    </row>
    <row r="220" spans="1:7" x14ac:dyDescent="0.2">
      <c r="A220" s="116">
        <f>IF(ISNUMBER(Tabela2[[#This Row],[CT-e/NFS]])=TRUE,(IF(B220&gt;30000,4,IF(B220&lt;1000,"ND",0))),"-")</f>
        <v>4</v>
      </c>
      <c r="B220" s="116">
        <v>45481</v>
      </c>
      <c r="C220" s="117">
        <v>45297</v>
      </c>
      <c r="D220" s="116">
        <v>304.99</v>
      </c>
      <c r="E220" s="117">
        <v>45306</v>
      </c>
      <c r="F220" s="116">
        <f>COUNTIFS($A$3:A8470,A220,$B$3:B8470,B220)</f>
        <v>1</v>
      </c>
      <c r="G220" s="116"/>
    </row>
    <row r="221" spans="1:7" x14ac:dyDescent="0.2">
      <c r="A221" s="116">
        <f>IF(ISNUMBER(Tabela2[[#This Row],[CT-e/NFS]])=TRUE,(IF(B221&gt;30000,4,IF(B221&lt;1000,"ND",0))),"-")</f>
        <v>4</v>
      </c>
      <c r="B221" s="116">
        <v>45482</v>
      </c>
      <c r="C221" s="117">
        <v>45297</v>
      </c>
      <c r="D221" s="116">
        <v>553.41999999999996</v>
      </c>
      <c r="E221" s="117">
        <v>45306</v>
      </c>
      <c r="F221" s="116">
        <f>COUNTIFS($A$3:A8471,A221,$B$3:B8471,B221)</f>
        <v>1</v>
      </c>
      <c r="G221" s="116"/>
    </row>
    <row r="222" spans="1:7" x14ac:dyDescent="0.2">
      <c r="A222" s="116">
        <f>IF(ISNUMBER(Tabela2[[#This Row],[CT-e/NFS]])=TRUE,(IF(B222&gt;30000,4,IF(B222&lt;1000,"ND",0))),"-")</f>
        <v>4</v>
      </c>
      <c r="B222" s="116">
        <v>45536</v>
      </c>
      <c r="C222" s="117">
        <v>45297</v>
      </c>
      <c r="D222" s="116">
        <v>967.07</v>
      </c>
      <c r="E222" s="117">
        <v>45306</v>
      </c>
      <c r="F222" s="116">
        <f>COUNTIFS($A$3:A8472,A222,$B$3:B8472,B222)</f>
        <v>1</v>
      </c>
      <c r="G222" s="116"/>
    </row>
    <row r="223" spans="1:7" x14ac:dyDescent="0.2">
      <c r="A223" s="116">
        <f>IF(ISNUMBER(Tabela2[[#This Row],[CT-e/NFS]])=TRUE,(IF(B223&gt;30000,4,IF(B223&lt;1000,"ND",0))),"-")</f>
        <v>4</v>
      </c>
      <c r="B223" s="116">
        <v>45517</v>
      </c>
      <c r="C223" s="117">
        <v>45297</v>
      </c>
      <c r="D223" s="116">
        <v>126.32</v>
      </c>
      <c r="E223" s="117">
        <v>45306</v>
      </c>
      <c r="F223" s="116">
        <f>COUNTIFS($A$3:A8473,A223,$B$3:B8473,B223)</f>
        <v>1</v>
      </c>
      <c r="G223" s="116"/>
    </row>
    <row r="224" spans="1:7" x14ac:dyDescent="0.2">
      <c r="A224" s="116">
        <f>IF(ISNUMBER(Tabela2[[#This Row],[CT-e/NFS]])=TRUE,(IF(B224&gt;30000,4,IF(B224&lt;1000,"ND",0))),"-")</f>
        <v>4</v>
      </c>
      <c r="B224" s="116">
        <v>44998</v>
      </c>
      <c r="C224" s="117">
        <v>45297</v>
      </c>
      <c r="D224" s="116">
        <v>110.45</v>
      </c>
      <c r="E224" s="117">
        <v>45306</v>
      </c>
      <c r="F224" s="116">
        <f>COUNTIFS($A$3:A8474,A224,$B$3:B8474,B224)</f>
        <v>1</v>
      </c>
      <c r="G224" s="116"/>
    </row>
    <row r="225" spans="1:7" x14ac:dyDescent="0.2">
      <c r="A225" s="116">
        <f>IF(ISNUMBER(Tabela2[[#This Row],[CT-e/NFS]])=TRUE,(IF(B225&gt;30000,4,IF(B225&lt;1000,"ND",0))),"-")</f>
        <v>4</v>
      </c>
      <c r="B225" s="116">
        <v>44975</v>
      </c>
      <c r="C225" s="117">
        <v>45297</v>
      </c>
      <c r="D225" s="116">
        <v>145.09</v>
      </c>
      <c r="E225" s="117">
        <v>45306</v>
      </c>
      <c r="F225" s="116">
        <f>COUNTIFS($A$3:A8475,A225,$B$3:B8475,B225)</f>
        <v>1</v>
      </c>
      <c r="G225" s="116"/>
    </row>
    <row r="226" spans="1:7" x14ac:dyDescent="0.2">
      <c r="A226" s="116">
        <f>IF(ISNUMBER(Tabela2[[#This Row],[CT-e/NFS]])=TRUE,(IF(B226&gt;30000,4,IF(B226&lt;1000,"ND",0))),"-")</f>
        <v>4</v>
      </c>
      <c r="B226" s="116">
        <v>45538</v>
      </c>
      <c r="C226" s="117">
        <v>45297</v>
      </c>
      <c r="D226" s="116">
        <v>660.6</v>
      </c>
      <c r="E226" s="117">
        <v>45306</v>
      </c>
      <c r="F226" s="116">
        <f>COUNTIFS($A$3:A8476,A226,$B$3:B8476,B226)</f>
        <v>1</v>
      </c>
      <c r="G226" s="116"/>
    </row>
    <row r="227" spans="1:7" x14ac:dyDescent="0.2">
      <c r="A227" s="116">
        <f>IF(ISNUMBER(Tabela2[[#This Row],[CT-e/NFS]])=TRUE,(IF(B227&gt;30000,4,IF(B227&lt;1000,"ND",0))),"-")</f>
        <v>4</v>
      </c>
      <c r="B227" s="116">
        <v>45539</v>
      </c>
      <c r="C227" s="117">
        <v>45297</v>
      </c>
      <c r="D227" s="116">
        <v>1193.22</v>
      </c>
      <c r="E227" s="117">
        <v>45306</v>
      </c>
      <c r="F227" s="116">
        <f>COUNTIFS($A$3:A8477,A227,$B$3:B8477,B227)</f>
        <v>1</v>
      </c>
      <c r="G227" s="116"/>
    </row>
    <row r="228" spans="1:7" x14ac:dyDescent="0.2">
      <c r="A228" s="116">
        <f>IF(ISNUMBER(Tabela2[[#This Row],[CT-e/NFS]])=TRUE,(IF(B228&gt;30000,4,IF(B228&lt;1000,"ND",0))),"-")</f>
        <v>4</v>
      </c>
      <c r="B228" s="116">
        <v>45430</v>
      </c>
      <c r="C228" s="117">
        <v>45297</v>
      </c>
      <c r="D228" s="116">
        <v>1003.68</v>
      </c>
      <c r="E228" s="117">
        <v>45306</v>
      </c>
      <c r="F228" s="116">
        <f>COUNTIFS($A$3:A8478,A228,$B$3:B8478,B228)</f>
        <v>1</v>
      </c>
      <c r="G228" s="116"/>
    </row>
    <row r="229" spans="1:7" x14ac:dyDescent="0.2">
      <c r="A229" s="116">
        <f>IF(ISNUMBER(Tabela2[[#This Row],[CT-e/NFS]])=TRUE,(IF(B229&gt;30000,4,IF(B229&lt;1000,"ND",0))),"-")</f>
        <v>0</v>
      </c>
      <c r="B229" s="116">
        <v>20965</v>
      </c>
      <c r="C229" s="117">
        <v>45297</v>
      </c>
      <c r="D229" s="116">
        <v>77.69</v>
      </c>
      <c r="E229" s="117">
        <v>45306</v>
      </c>
      <c r="F229" s="116">
        <f>COUNTIFS($A$3:A8480,A229,$B$3:B8480,B229)</f>
        <v>1</v>
      </c>
      <c r="G229" s="116"/>
    </row>
    <row r="230" spans="1:7" x14ac:dyDescent="0.2">
      <c r="A230" s="125">
        <f>IF(ISNUMBER(Tabela2[[#This Row],[CT-e/NFS]])=TRUE,(IF(B230&gt;30000,4,IF(B230&lt;1000,"ND",0))),"-")</f>
        <v>4</v>
      </c>
      <c r="B230" s="125">
        <v>45137</v>
      </c>
      <c r="C230" s="126">
        <v>45302</v>
      </c>
      <c r="D230" s="125">
        <v>339.5</v>
      </c>
      <c r="E230" s="126">
        <v>45306</v>
      </c>
      <c r="F230" s="125">
        <f>COUNTIFS($A$3:A8481,A230,$B$3:B8481,B230)</f>
        <v>1</v>
      </c>
      <c r="G230" s="116" t="s">
        <v>145</v>
      </c>
    </row>
    <row r="231" spans="1:7" x14ac:dyDescent="0.2">
      <c r="A231" s="116">
        <f>IF(ISNUMBER(Tabela2[[#This Row],[CT-e/NFS]])=TRUE,(IF(B231&gt;30000,4,IF(B231&lt;1000,"ND",0))),"-")</f>
        <v>4</v>
      </c>
      <c r="B231" s="116">
        <v>45553</v>
      </c>
      <c r="C231" s="117">
        <v>45307</v>
      </c>
      <c r="D231" s="116">
        <v>124.06</v>
      </c>
      <c r="E231" s="117">
        <v>45321</v>
      </c>
      <c r="F231" s="116">
        <f>COUNTIFS($A$3:A8482,A231,$B$3:B8482,B231)</f>
        <v>1</v>
      </c>
      <c r="G231" s="116"/>
    </row>
    <row r="232" spans="1:7" x14ac:dyDescent="0.2">
      <c r="A232" s="116">
        <f>IF(ISNUMBER(Tabela2[[#This Row],[CT-e/NFS]])=TRUE,(IF(B232&gt;30000,4,IF(B232&lt;1000,"ND",0))),"-")</f>
        <v>4</v>
      </c>
      <c r="B232" s="116">
        <v>45546</v>
      </c>
      <c r="C232" s="117">
        <v>45307</v>
      </c>
      <c r="D232" s="116">
        <v>124.39</v>
      </c>
      <c r="E232" s="117">
        <v>45321</v>
      </c>
      <c r="F232" s="116">
        <f>COUNTIFS($A$3:A8483,A232,$B$3:B8483,B232)</f>
        <v>1</v>
      </c>
      <c r="G232" s="116"/>
    </row>
    <row r="233" spans="1:7" x14ac:dyDescent="0.2">
      <c r="A233" s="116">
        <f>IF(ISNUMBER(Tabela2[[#This Row],[CT-e/NFS]])=TRUE,(IF(B233&gt;30000,4,IF(B233&lt;1000,"ND",0))),"-")</f>
        <v>4</v>
      </c>
      <c r="B233" s="116">
        <v>45566</v>
      </c>
      <c r="C233" s="117">
        <v>45307</v>
      </c>
      <c r="D233" s="116">
        <v>122.73</v>
      </c>
      <c r="E233" s="117">
        <v>45321</v>
      </c>
      <c r="F233" s="116">
        <f>COUNTIFS($A$3:A8484,A233,$B$3:B8484,B233)</f>
        <v>1</v>
      </c>
      <c r="G233" s="116"/>
    </row>
    <row r="234" spans="1:7" x14ac:dyDescent="0.2">
      <c r="A234" s="116">
        <f>IF(ISNUMBER(Tabela2[[#This Row],[CT-e/NFS]])=TRUE,(IF(B234&gt;30000,4,IF(B234&lt;1000,"ND",0))),"-")</f>
        <v>4</v>
      </c>
      <c r="B234" s="116">
        <v>45568</v>
      </c>
      <c r="C234" s="117">
        <v>45307</v>
      </c>
      <c r="D234" s="116">
        <v>122.73</v>
      </c>
      <c r="E234" s="117">
        <v>45321</v>
      </c>
      <c r="F234" s="116">
        <f>COUNTIFS($A$3:A8485,A234,$B$3:B8485,B234)</f>
        <v>1</v>
      </c>
      <c r="G234" s="116"/>
    </row>
    <row r="235" spans="1:7" x14ac:dyDescent="0.2">
      <c r="A235" s="116">
        <f>IF(ISNUMBER(Tabela2[[#This Row],[CT-e/NFS]])=TRUE,(IF(B235&gt;30000,4,IF(B235&lt;1000,"ND",0))),"-")</f>
        <v>4</v>
      </c>
      <c r="B235" s="116">
        <v>45567</v>
      </c>
      <c r="C235" s="117">
        <v>45307</v>
      </c>
      <c r="D235" s="116">
        <v>122.74</v>
      </c>
      <c r="E235" s="117">
        <v>45321</v>
      </c>
      <c r="F235" s="116">
        <f>COUNTIFS($A$3:A8486,A235,$B$3:B8486,B235)</f>
        <v>1</v>
      </c>
      <c r="G235" s="116"/>
    </row>
    <row r="236" spans="1:7" x14ac:dyDescent="0.2">
      <c r="A236" s="116">
        <f>IF(ISNUMBER(Tabela2[[#This Row],[CT-e/NFS]])=TRUE,(IF(B236&gt;30000,4,IF(B236&lt;1000,"ND",0))),"-")</f>
        <v>4</v>
      </c>
      <c r="B236" s="116">
        <v>45549</v>
      </c>
      <c r="C236" s="117">
        <v>45307</v>
      </c>
      <c r="D236" s="116">
        <v>229.99</v>
      </c>
      <c r="E236" s="117">
        <v>45321</v>
      </c>
      <c r="F236" s="116">
        <f>COUNTIFS($A$3:A8487,A236,$B$3:B8487,B236)</f>
        <v>1</v>
      </c>
      <c r="G236" s="116"/>
    </row>
    <row r="237" spans="1:7" x14ac:dyDescent="0.2">
      <c r="A237" s="116">
        <f>IF(ISNUMBER(Tabela2[[#This Row],[CT-e/NFS]])=TRUE,(IF(B237&gt;30000,4,IF(B237&lt;1000,"ND",0))),"-")</f>
        <v>4</v>
      </c>
      <c r="B237" s="116">
        <v>45552</v>
      </c>
      <c r="C237" s="117">
        <v>45307</v>
      </c>
      <c r="D237" s="116">
        <v>125.03</v>
      </c>
      <c r="E237" s="117">
        <v>45321</v>
      </c>
      <c r="F237" s="116">
        <f>COUNTIFS($A$3:A8488,A237,$B$3:B8488,B237)</f>
        <v>1</v>
      </c>
      <c r="G237" s="116"/>
    </row>
    <row r="238" spans="1:7" x14ac:dyDescent="0.2">
      <c r="A238" s="116">
        <f>IF(ISNUMBER(Tabela2[[#This Row],[CT-e/NFS]])=TRUE,(IF(B238&gt;30000,4,IF(B238&lt;1000,"ND",0))),"-")</f>
        <v>4</v>
      </c>
      <c r="B238" s="116">
        <v>45562</v>
      </c>
      <c r="C238" s="117">
        <v>45307</v>
      </c>
      <c r="D238" s="116">
        <v>122.91</v>
      </c>
      <c r="E238" s="117">
        <v>45321</v>
      </c>
      <c r="F238" s="116">
        <f>COUNTIFS($A$3:A8489,A238,$B$3:B8489,B238)</f>
        <v>1</v>
      </c>
      <c r="G238" s="116"/>
    </row>
    <row r="239" spans="1:7" x14ac:dyDescent="0.2">
      <c r="A239" s="116">
        <f>IF(ISNUMBER(Tabela2[[#This Row],[CT-e/NFS]])=TRUE,(IF(B239&gt;30000,4,IF(B239&lt;1000,"ND",0))),"-")</f>
        <v>4</v>
      </c>
      <c r="B239" s="116">
        <v>45543</v>
      </c>
      <c r="C239" s="117">
        <v>45307</v>
      </c>
      <c r="D239" s="116">
        <v>124.32</v>
      </c>
      <c r="E239" s="117">
        <v>45321</v>
      </c>
      <c r="F239" s="116">
        <f>COUNTIFS($A$3:A8490,A239,$B$3:B8490,B239)</f>
        <v>1</v>
      </c>
      <c r="G239" s="116"/>
    </row>
    <row r="240" spans="1:7" x14ac:dyDescent="0.2">
      <c r="A240" s="116">
        <f>IF(ISNUMBER(Tabela2[[#This Row],[CT-e/NFS]])=TRUE,(IF(B240&gt;30000,4,IF(B240&lt;1000,"ND",0))),"-")</f>
        <v>4</v>
      </c>
      <c r="B240" s="116">
        <v>45547</v>
      </c>
      <c r="C240" s="117">
        <v>45307</v>
      </c>
      <c r="D240" s="116">
        <v>123.89</v>
      </c>
      <c r="E240" s="117">
        <v>45321</v>
      </c>
      <c r="F240" s="116">
        <f>COUNTIFS($A$3:A8491,A240,$B$3:B8491,B240)</f>
        <v>1</v>
      </c>
      <c r="G240" s="116"/>
    </row>
    <row r="241" spans="1:7" x14ac:dyDescent="0.2">
      <c r="A241" s="116">
        <f>IF(ISNUMBER(Tabela2[[#This Row],[CT-e/NFS]])=TRUE,(IF(B241&gt;30000,4,IF(B241&lt;1000,"ND",0))),"-")</f>
        <v>4</v>
      </c>
      <c r="B241" s="116">
        <v>45540</v>
      </c>
      <c r="C241" s="117">
        <v>45307</v>
      </c>
      <c r="D241" s="116">
        <v>125.56</v>
      </c>
      <c r="E241" s="117">
        <v>45321</v>
      </c>
      <c r="F241" s="116">
        <f>COUNTIFS($A$3:A8492,A241,$B$3:B8492,B241)</f>
        <v>1</v>
      </c>
      <c r="G241" s="116"/>
    </row>
    <row r="242" spans="1:7" x14ac:dyDescent="0.2">
      <c r="A242" s="116">
        <f>IF(ISNUMBER(Tabela2[[#This Row],[CT-e/NFS]])=TRUE,(IF(B242&gt;30000,4,IF(B242&lt;1000,"ND",0))),"-")</f>
        <v>4</v>
      </c>
      <c r="B242" s="116">
        <v>45557</v>
      </c>
      <c r="C242" s="117">
        <v>45307</v>
      </c>
      <c r="D242" s="116">
        <v>122.77</v>
      </c>
      <c r="E242" s="117">
        <v>45321</v>
      </c>
      <c r="F242" s="116">
        <f>COUNTIFS($A$3:A8493,A242,$B$3:B8493,B242)</f>
        <v>1</v>
      </c>
      <c r="G242" s="116"/>
    </row>
    <row r="243" spans="1:7" x14ac:dyDescent="0.2">
      <c r="A243" s="116">
        <f>IF(ISNUMBER(Tabela2[[#This Row],[CT-e/NFS]])=TRUE,(IF(B243&gt;30000,4,IF(B243&lt;1000,"ND",0))),"-")</f>
        <v>4</v>
      </c>
      <c r="B243" s="116">
        <v>45555</v>
      </c>
      <c r="C243" s="117">
        <v>45307</v>
      </c>
      <c r="D243" s="116">
        <v>124.19</v>
      </c>
      <c r="E243" s="117">
        <v>45321</v>
      </c>
      <c r="F243" s="116">
        <f>COUNTIFS($A$3:A8494,A243,$B$3:B8494,B243)</f>
        <v>1</v>
      </c>
      <c r="G243" s="116"/>
    </row>
    <row r="244" spans="1:7" x14ac:dyDescent="0.2">
      <c r="A244" s="116">
        <f>IF(ISNUMBER(Tabela2[[#This Row],[CT-e/NFS]])=TRUE,(IF(B244&gt;30000,4,IF(B244&lt;1000,"ND",0))),"-")</f>
        <v>4</v>
      </c>
      <c r="B244" s="116">
        <v>45554</v>
      </c>
      <c r="C244" s="117">
        <v>45307</v>
      </c>
      <c r="D244" s="116">
        <v>246.33</v>
      </c>
      <c r="E244" s="117">
        <v>45321</v>
      </c>
      <c r="F244" s="116">
        <f>COUNTIFS($A$3:A8495,A244,$B$3:B8495,B244)</f>
        <v>1</v>
      </c>
      <c r="G244" s="116"/>
    </row>
    <row r="245" spans="1:7" x14ac:dyDescent="0.2">
      <c r="A245" s="116">
        <f>IF(ISNUMBER(Tabela2[[#This Row],[CT-e/NFS]])=TRUE,(IF(B245&gt;30000,4,IF(B245&lt;1000,"ND",0))),"-")</f>
        <v>4</v>
      </c>
      <c r="B245" s="116">
        <v>45561</v>
      </c>
      <c r="C245" s="117">
        <v>45307</v>
      </c>
      <c r="D245" s="116">
        <v>408.02</v>
      </c>
      <c r="E245" s="117">
        <v>45321</v>
      </c>
      <c r="F245" s="116">
        <f>COUNTIFS($A$3:A8496,A245,$B$3:B8496,B245)</f>
        <v>1</v>
      </c>
      <c r="G245" s="116"/>
    </row>
    <row r="246" spans="1:7" x14ac:dyDescent="0.2">
      <c r="A246" s="116">
        <f>IF(ISNUMBER(Tabela2[[#This Row],[CT-e/NFS]])=TRUE,(IF(B246&gt;30000,4,IF(B246&lt;1000,"ND",0))),"-")</f>
        <v>4</v>
      </c>
      <c r="B246" s="116">
        <v>45544</v>
      </c>
      <c r="C246" s="117">
        <v>45307</v>
      </c>
      <c r="D246" s="116">
        <v>239.81</v>
      </c>
      <c r="E246" s="117">
        <v>45321</v>
      </c>
      <c r="F246" s="116">
        <f>COUNTIFS($A$3:A8497,A246,$B$3:B8497,B246)</f>
        <v>1</v>
      </c>
      <c r="G246" s="116"/>
    </row>
    <row r="247" spans="1:7" x14ac:dyDescent="0.2">
      <c r="A247" s="116">
        <f>IF(ISNUMBER(Tabela2[[#This Row],[CT-e/NFS]])=TRUE,(IF(B247&gt;30000,4,IF(B247&lt;1000,"ND",0))),"-")</f>
        <v>4</v>
      </c>
      <c r="B247" s="116">
        <v>45545</v>
      </c>
      <c r="C247" s="117">
        <v>45307</v>
      </c>
      <c r="D247" s="116">
        <v>238.85</v>
      </c>
      <c r="E247" s="117">
        <v>45321</v>
      </c>
      <c r="F247" s="116">
        <f>COUNTIFS($A$3:A8498,A247,$B$3:B8498,B247)</f>
        <v>1</v>
      </c>
      <c r="G247" s="116"/>
    </row>
    <row r="248" spans="1:7" x14ac:dyDescent="0.2">
      <c r="A248" s="116">
        <f>IF(ISNUMBER(Tabela2[[#This Row],[CT-e/NFS]])=TRUE,(IF(B248&gt;30000,4,IF(B248&lt;1000,"ND",0))),"-")</f>
        <v>4</v>
      </c>
      <c r="B248" s="116">
        <v>45573</v>
      </c>
      <c r="C248" s="117">
        <v>45307</v>
      </c>
      <c r="D248" s="116">
        <v>122.75</v>
      </c>
      <c r="E248" s="117">
        <v>45321</v>
      </c>
      <c r="F248" s="116">
        <f>COUNTIFS($A$3:A8499,A248,$B$3:B8499,B248)</f>
        <v>1</v>
      </c>
      <c r="G248" s="116"/>
    </row>
    <row r="249" spans="1:7" x14ac:dyDescent="0.2">
      <c r="A249" s="116">
        <f>IF(ISNUMBER(Tabela2[[#This Row],[CT-e/NFS]])=TRUE,(IF(B249&gt;30000,4,IF(B249&lt;1000,"ND",0))),"-")</f>
        <v>4</v>
      </c>
      <c r="B249" s="116">
        <v>45542</v>
      </c>
      <c r="C249" s="117">
        <v>45307</v>
      </c>
      <c r="D249" s="116">
        <v>566.66999999999996</v>
      </c>
      <c r="E249" s="117">
        <v>45321</v>
      </c>
      <c r="F249" s="116">
        <f>COUNTIFS($A$3:A8500,A249,$B$3:B8500,B249)</f>
        <v>1</v>
      </c>
      <c r="G249" s="116"/>
    </row>
    <row r="250" spans="1:7" x14ac:dyDescent="0.2">
      <c r="A250" s="116">
        <f>IF(ISNUMBER(Tabela2[[#This Row],[CT-e/NFS]])=TRUE,(IF(B250&gt;30000,4,IF(B250&lt;1000,"ND",0))),"-")</f>
        <v>4</v>
      </c>
      <c r="B250" s="116">
        <v>45548</v>
      </c>
      <c r="C250" s="117">
        <v>45307</v>
      </c>
      <c r="D250" s="116">
        <v>505.47</v>
      </c>
      <c r="E250" s="117">
        <v>45321</v>
      </c>
      <c r="F250" s="116">
        <f>COUNTIFS($A$3:A8501,A250,$B$3:B8501,B250)</f>
        <v>1</v>
      </c>
      <c r="G250" s="116"/>
    </row>
    <row r="251" spans="1:7" x14ac:dyDescent="0.2">
      <c r="A251" s="116">
        <f>IF(ISNUMBER(Tabela2[[#This Row],[CT-e/NFS]])=TRUE,(IF(B251&gt;30000,4,IF(B251&lt;1000,"ND",0))),"-")</f>
        <v>4</v>
      </c>
      <c r="B251" s="116">
        <v>45559</v>
      </c>
      <c r="C251" s="117">
        <v>45307</v>
      </c>
      <c r="D251" s="116">
        <v>379.3</v>
      </c>
      <c r="E251" s="117">
        <v>45321</v>
      </c>
      <c r="F251" s="116">
        <f>COUNTIFS($A$3:A8502,A251,$B$3:B8502,B251)</f>
        <v>1</v>
      </c>
      <c r="G251" s="116"/>
    </row>
    <row r="252" spans="1:7" x14ac:dyDescent="0.2">
      <c r="A252" s="116">
        <f>IF(ISNUMBER(Tabela2[[#This Row],[CT-e/NFS]])=TRUE,(IF(B252&gt;30000,4,IF(B252&lt;1000,"ND",0))),"-")</f>
        <v>4</v>
      </c>
      <c r="B252" s="116">
        <v>45558</v>
      </c>
      <c r="C252" s="117">
        <v>45307</v>
      </c>
      <c r="D252" s="116">
        <v>168.92</v>
      </c>
      <c r="E252" s="117">
        <v>45321</v>
      </c>
      <c r="F252" s="116">
        <f>COUNTIFS($A$3:A8503,A252,$B$3:B8503,B252)</f>
        <v>1</v>
      </c>
      <c r="G252" s="116"/>
    </row>
    <row r="253" spans="1:7" x14ac:dyDescent="0.2">
      <c r="A253" s="116">
        <f>IF(ISNUMBER(Tabela2[[#This Row],[CT-e/NFS]])=TRUE,(IF(B253&gt;30000,4,IF(B253&lt;1000,"ND",0))),"-")</f>
        <v>4</v>
      </c>
      <c r="B253" s="116">
        <v>45560</v>
      </c>
      <c r="C253" s="117">
        <v>45307</v>
      </c>
      <c r="D253" s="116">
        <v>217.69</v>
      </c>
      <c r="E253" s="117">
        <v>45321</v>
      </c>
      <c r="F253" s="116">
        <f>COUNTIFS($A$3:A8504,A253,$B$3:B8504,B253)</f>
        <v>1</v>
      </c>
      <c r="G253" s="116"/>
    </row>
    <row r="254" spans="1:7" x14ac:dyDescent="0.2">
      <c r="A254" s="116">
        <f>IF(ISNUMBER(Tabela2[[#This Row],[CT-e/NFS]])=TRUE,(IF(B254&gt;30000,4,IF(B254&lt;1000,"ND",0))),"-")</f>
        <v>4</v>
      </c>
      <c r="B254" s="116">
        <v>45556</v>
      </c>
      <c r="C254" s="117">
        <v>45307</v>
      </c>
      <c r="D254" s="116">
        <v>125.57</v>
      </c>
      <c r="E254" s="117">
        <v>45321</v>
      </c>
      <c r="F254" s="116">
        <f>COUNTIFS($A$3:A8505,A254,$B$3:B8505,B254)</f>
        <v>1</v>
      </c>
      <c r="G254" s="116"/>
    </row>
    <row r="255" spans="1:7" x14ac:dyDescent="0.2">
      <c r="A255" s="116">
        <f>IF(ISNUMBER(Tabela2[[#This Row],[CT-e/NFS]])=TRUE,(IF(B255&gt;30000,4,IF(B255&lt;1000,"ND",0))),"-")</f>
        <v>4</v>
      </c>
      <c r="B255" s="116">
        <v>45541</v>
      </c>
      <c r="C255" s="117">
        <v>45307</v>
      </c>
      <c r="D255" s="116">
        <v>185.44</v>
      </c>
      <c r="E255" s="117">
        <v>45321</v>
      </c>
      <c r="F255" s="116">
        <f>COUNTIFS($A$3:A8506,A255,$B$3:B8506,B255)</f>
        <v>1</v>
      </c>
      <c r="G255" s="116"/>
    </row>
    <row r="256" spans="1:7" x14ac:dyDescent="0.2">
      <c r="A256" s="116">
        <f>IF(ISNUMBER(Tabela2[[#This Row],[CT-e/NFS]])=TRUE,(IF(B256&gt;30000,4,IF(B256&lt;1000,"ND",0))),"-")</f>
        <v>4</v>
      </c>
      <c r="B256" s="116">
        <v>45593</v>
      </c>
      <c r="C256" s="117">
        <v>45307</v>
      </c>
      <c r="D256" s="116">
        <v>123.13</v>
      </c>
      <c r="E256" s="117">
        <v>45321</v>
      </c>
      <c r="F256" s="116">
        <f>COUNTIFS($A$3:A8507,A256,$B$3:B8507,B256)</f>
        <v>1</v>
      </c>
      <c r="G256" s="116"/>
    </row>
    <row r="257" spans="1:7" x14ac:dyDescent="0.2">
      <c r="A257" s="116">
        <f>IF(ISNUMBER(Tabela2[[#This Row],[CT-e/NFS]])=TRUE,(IF(B257&gt;30000,4,IF(B257&lt;1000,"ND",0))),"-")</f>
        <v>4</v>
      </c>
      <c r="B257" s="116">
        <v>45587</v>
      </c>
      <c r="C257" s="117">
        <v>45307</v>
      </c>
      <c r="D257" s="116">
        <v>243.8</v>
      </c>
      <c r="E257" s="117">
        <v>45321</v>
      </c>
      <c r="F257" s="116">
        <f>COUNTIFS($A$3:A8508,A257,$B$3:B8508,B257)</f>
        <v>1</v>
      </c>
      <c r="G257" s="116"/>
    </row>
    <row r="258" spans="1:7" x14ac:dyDescent="0.2">
      <c r="A258" s="116">
        <f>IF(ISNUMBER(Tabela2[[#This Row],[CT-e/NFS]])=TRUE,(IF(B258&gt;30000,4,IF(B258&lt;1000,"ND",0))),"-")</f>
        <v>4</v>
      </c>
      <c r="B258" s="116">
        <v>45585</v>
      </c>
      <c r="C258" s="117">
        <v>45307</v>
      </c>
      <c r="D258" s="116">
        <v>408.02</v>
      </c>
      <c r="E258" s="117">
        <v>45321</v>
      </c>
      <c r="F258" s="116">
        <f>COUNTIFS($A$3:A8509,A258,$B$3:B8509,B258)</f>
        <v>1</v>
      </c>
      <c r="G258" s="116"/>
    </row>
    <row r="259" spans="1:7" x14ac:dyDescent="0.2">
      <c r="A259" s="116">
        <f>IF(ISNUMBER(Tabela2[[#This Row],[CT-e/NFS]])=TRUE,(IF(B259&gt;30000,4,IF(B259&lt;1000,"ND",0))),"-")</f>
        <v>4</v>
      </c>
      <c r="B259" s="116">
        <v>45586</v>
      </c>
      <c r="C259" s="117">
        <v>45307</v>
      </c>
      <c r="D259" s="116">
        <v>122.85</v>
      </c>
      <c r="E259" s="117">
        <v>45321</v>
      </c>
      <c r="F259" s="116">
        <f>COUNTIFS($A$3:A8510,A259,$B$3:B8510,B259)</f>
        <v>1</v>
      </c>
      <c r="G259" s="116"/>
    </row>
    <row r="260" spans="1:7" x14ac:dyDescent="0.2">
      <c r="A260" s="116">
        <f>IF(ISNUMBER(Tabela2[[#This Row],[CT-e/NFS]])=TRUE,(IF(B260&gt;30000,4,IF(B260&lt;1000,"ND",0))),"-")</f>
        <v>4</v>
      </c>
      <c r="B260" s="116">
        <v>45590</v>
      </c>
      <c r="C260" s="117">
        <v>45307</v>
      </c>
      <c r="D260" s="116">
        <v>123.31</v>
      </c>
      <c r="E260" s="117">
        <v>45321</v>
      </c>
      <c r="F260" s="116">
        <f>COUNTIFS($A$3:A8511,A260,$B$3:B8511,B260)</f>
        <v>1</v>
      </c>
      <c r="G260" s="116"/>
    </row>
    <row r="261" spans="1:7" x14ac:dyDescent="0.2">
      <c r="A261" s="116">
        <f>IF(ISNUMBER(Tabela2[[#This Row],[CT-e/NFS]])=TRUE,(IF(B261&gt;30000,4,IF(B261&lt;1000,"ND",0))),"-")</f>
        <v>4</v>
      </c>
      <c r="B261" s="116">
        <v>45588</v>
      </c>
      <c r="C261" s="117">
        <v>45307</v>
      </c>
      <c r="D261" s="116">
        <v>255.58</v>
      </c>
      <c r="E261" s="117">
        <v>45321</v>
      </c>
      <c r="F261" s="116">
        <f>COUNTIFS($A$3:A8512,A261,$B$3:B8512,B261)</f>
        <v>1</v>
      </c>
      <c r="G261" s="116"/>
    </row>
    <row r="262" spans="1:7" x14ac:dyDescent="0.2">
      <c r="A262" s="116">
        <f>IF(ISNUMBER(Tabela2[[#This Row],[CT-e/NFS]])=TRUE,(IF(B262&gt;30000,4,IF(B262&lt;1000,"ND",0))),"-")</f>
        <v>4</v>
      </c>
      <c r="B262" s="116">
        <v>45591</v>
      </c>
      <c r="C262" s="117">
        <v>45307</v>
      </c>
      <c r="D262" s="116">
        <v>123.93</v>
      </c>
      <c r="E262" s="117">
        <v>45321</v>
      </c>
      <c r="F262" s="116">
        <f>COUNTIFS($A$3:A8513,A262,$B$3:B8513,B262)</f>
        <v>1</v>
      </c>
      <c r="G262" s="116"/>
    </row>
    <row r="263" spans="1:7" x14ac:dyDescent="0.2">
      <c r="A263" s="116">
        <f>IF(ISNUMBER(Tabela2[[#This Row],[CT-e/NFS]])=TRUE,(IF(B263&gt;30000,4,IF(B263&lt;1000,"ND",0))),"-")</f>
        <v>4</v>
      </c>
      <c r="B263" s="116">
        <v>45592</v>
      </c>
      <c r="C263" s="117">
        <v>45307</v>
      </c>
      <c r="D263" s="116">
        <v>476.27</v>
      </c>
      <c r="E263" s="117">
        <v>45321</v>
      </c>
      <c r="F263" s="116">
        <f>COUNTIFS($A$3:A8514,A263,$B$3:B8514,B263)</f>
        <v>1</v>
      </c>
      <c r="G263" s="116"/>
    </row>
    <row r="264" spans="1:7" x14ac:dyDescent="0.2">
      <c r="A264" s="116">
        <f>IF(ISNUMBER(Tabela2[[#This Row],[CT-e/NFS]])=TRUE,(IF(B264&gt;30000,4,IF(B264&lt;1000,"ND",0))),"-")</f>
        <v>4</v>
      </c>
      <c r="B264" s="116">
        <v>45582</v>
      </c>
      <c r="C264" s="117">
        <v>45307</v>
      </c>
      <c r="D264" s="116">
        <v>268.95</v>
      </c>
      <c r="E264" s="117">
        <v>45321</v>
      </c>
      <c r="F264" s="116">
        <f>COUNTIFS($A$3:A8515,A264,$B$3:B8515,B264)</f>
        <v>1</v>
      </c>
      <c r="G264" s="116"/>
    </row>
    <row r="265" spans="1:7" x14ac:dyDescent="0.2">
      <c r="A265" s="116">
        <f>IF(ISNUMBER(Tabela2[[#This Row],[CT-e/NFS]])=TRUE,(IF(B265&gt;30000,4,IF(B265&lt;1000,"ND",0))),"-")</f>
        <v>4</v>
      </c>
      <c r="B265" s="116">
        <v>45581</v>
      </c>
      <c r="C265" s="117">
        <v>45307</v>
      </c>
      <c r="D265" s="116">
        <v>440.44</v>
      </c>
      <c r="E265" s="117">
        <v>45321</v>
      </c>
      <c r="F265" s="116">
        <f>COUNTIFS($A$3:A8516,A265,$B$3:B8516,B265)</f>
        <v>1</v>
      </c>
      <c r="G265" s="116"/>
    </row>
    <row r="266" spans="1:7" x14ac:dyDescent="0.2">
      <c r="A266" s="116">
        <f>IF(ISNUMBER(Tabela2[[#This Row],[CT-e/NFS]])=TRUE,(IF(B266&gt;30000,4,IF(B266&lt;1000,"ND",0))),"-")</f>
        <v>4</v>
      </c>
      <c r="B266" s="116">
        <v>45583</v>
      </c>
      <c r="C266" s="117">
        <v>45307</v>
      </c>
      <c r="D266" s="116">
        <v>258.01</v>
      </c>
      <c r="E266" s="117">
        <v>45321</v>
      </c>
      <c r="F266" s="116">
        <f>COUNTIFS($A$3:A8517,A266,$B$3:B8517,B266)</f>
        <v>1</v>
      </c>
      <c r="G266" s="116"/>
    </row>
    <row r="267" spans="1:7" x14ac:dyDescent="0.2">
      <c r="A267" s="116">
        <f>IF(ISNUMBER(Tabela2[[#This Row],[CT-e/NFS]])=TRUE,(IF(B267&gt;30000,4,IF(B267&lt;1000,"ND",0))),"-")</f>
        <v>0</v>
      </c>
      <c r="B267" s="116">
        <v>21024</v>
      </c>
      <c r="C267" s="117">
        <v>45307</v>
      </c>
      <c r="D267" s="116">
        <v>454.8</v>
      </c>
      <c r="E267" s="117">
        <v>45321</v>
      </c>
      <c r="F267" s="116">
        <f>COUNTIFS($A$3:A8518,A267,$B$3:B8518,B267)</f>
        <v>1</v>
      </c>
      <c r="G267" s="116"/>
    </row>
    <row r="268" spans="1:7" x14ac:dyDescent="0.2">
      <c r="A268" s="116">
        <f>IF(ISNUMBER(Tabela2[[#This Row],[CT-e/NFS]])=TRUE,(IF(B268&gt;30000,4,IF(B268&lt;1000,"ND",0))),"-")</f>
        <v>0</v>
      </c>
      <c r="B268" s="116">
        <v>21025</v>
      </c>
      <c r="C268" s="117">
        <v>45307</v>
      </c>
      <c r="D268" s="116">
        <v>76.819999999999993</v>
      </c>
      <c r="E268" s="117">
        <v>45321</v>
      </c>
      <c r="F268" s="116">
        <f>COUNTIFS($A$3:A8519,A268,$B$3:B8519,B268)</f>
        <v>1</v>
      </c>
      <c r="G268" s="116"/>
    </row>
    <row r="269" spans="1:7" x14ac:dyDescent="0.2">
      <c r="A269" s="116">
        <f>IF(ISNUMBER(Tabela2[[#This Row],[CT-e/NFS]])=TRUE,(IF(B269&gt;30000,4,IF(B269&lt;1000,"ND",0))),"-")</f>
        <v>0</v>
      </c>
      <c r="B269" s="116">
        <v>21026</v>
      </c>
      <c r="C269" s="117">
        <v>45307</v>
      </c>
      <c r="D269" s="116">
        <v>158.52000000000001</v>
      </c>
      <c r="E269" s="117">
        <v>45321</v>
      </c>
      <c r="F269" s="116">
        <f>COUNTIFS($A$3:A8520,A269,$B$3:B8520,B269)</f>
        <v>1</v>
      </c>
      <c r="G269" s="116"/>
    </row>
    <row r="270" spans="1:7" x14ac:dyDescent="0.2">
      <c r="A270" s="116">
        <f>IF(ISNUMBER(Tabela2[[#This Row],[CT-e/NFS]])=TRUE,(IF(B270&gt;30000,4,IF(B270&lt;1000,"ND",0))),"-")</f>
        <v>0</v>
      </c>
      <c r="B270" s="116">
        <v>21027</v>
      </c>
      <c r="C270" s="117">
        <v>45307</v>
      </c>
      <c r="D270" s="116">
        <v>75.680000000000007</v>
      </c>
      <c r="E270" s="117">
        <v>45321</v>
      </c>
      <c r="F270" s="116">
        <f>COUNTIFS($A$3:A8521,A270,$B$3:B8521,B270)</f>
        <v>1</v>
      </c>
      <c r="G270" s="116"/>
    </row>
    <row r="271" spans="1:7" x14ac:dyDescent="0.2">
      <c r="A271" s="116">
        <f>IF(ISNUMBER(Tabela2[[#This Row],[CT-e/NFS]])=TRUE,(IF(B271&gt;30000,4,IF(B271&lt;1000,"ND",0))),"-")</f>
        <v>0</v>
      </c>
      <c r="B271" s="116">
        <v>21022</v>
      </c>
      <c r="C271" s="117">
        <v>45307</v>
      </c>
      <c r="D271" s="116">
        <v>139.25</v>
      </c>
      <c r="E271" s="117">
        <v>45321</v>
      </c>
      <c r="F271" s="116">
        <f>COUNTIFS($A$3:A8522,A271,$B$3:B8522,B271)</f>
        <v>1</v>
      </c>
      <c r="G271" s="116"/>
    </row>
    <row r="272" spans="1:7" x14ac:dyDescent="0.2">
      <c r="A272" s="116">
        <f>IF(ISNUMBER(Tabela2[[#This Row],[CT-e/NFS]])=TRUE,(IF(B272&gt;30000,4,IF(B272&lt;1000,"ND",0))),"-")</f>
        <v>0</v>
      </c>
      <c r="B272" s="116">
        <v>21021</v>
      </c>
      <c r="C272" s="117">
        <v>45307</v>
      </c>
      <c r="D272" s="116">
        <v>75.849999999999994</v>
      </c>
      <c r="E272" s="117">
        <v>45321</v>
      </c>
      <c r="F272" s="116">
        <f>COUNTIFS($A$3:A8523,A272,$B$3:B8523,B272)</f>
        <v>1</v>
      </c>
      <c r="G272" s="116"/>
    </row>
    <row r="273" spans="1:7" x14ac:dyDescent="0.2">
      <c r="A273" s="116">
        <f>IF(ISNUMBER(Tabela2[[#This Row],[CT-e/NFS]])=TRUE,(IF(B273&gt;30000,4,IF(B273&lt;1000,"ND",0))),"-")</f>
        <v>0</v>
      </c>
      <c r="B273" s="116">
        <v>21020</v>
      </c>
      <c r="C273" s="117">
        <v>45307</v>
      </c>
      <c r="D273" s="116">
        <v>75.62</v>
      </c>
      <c r="E273" s="117">
        <v>45321</v>
      </c>
      <c r="F273" s="116">
        <f>COUNTIFS($A$3:A8524,A273,$B$3:B8524,B273)</f>
        <v>1</v>
      </c>
      <c r="G273" s="116"/>
    </row>
    <row r="274" spans="1:7" x14ac:dyDescent="0.2">
      <c r="A274" s="116">
        <f>IF(ISNUMBER(Tabela2[[#This Row],[CT-e/NFS]])=TRUE,(IF(B274&gt;30000,4,IF(B274&lt;1000,"ND",0))),"-")</f>
        <v>0</v>
      </c>
      <c r="B274" s="116">
        <v>21018</v>
      </c>
      <c r="C274" s="117">
        <v>45307</v>
      </c>
      <c r="D274" s="116">
        <v>106.92</v>
      </c>
      <c r="E274" s="117">
        <v>45321</v>
      </c>
      <c r="F274" s="116">
        <f>COUNTIFS($A$3:A8525,A274,$B$3:B8525,B274)</f>
        <v>1</v>
      </c>
      <c r="G274" s="116"/>
    </row>
    <row r="275" spans="1:7" x14ac:dyDescent="0.2">
      <c r="A275" s="116">
        <f>IF(ISNUMBER(Tabela2[[#This Row],[CT-e/NFS]])=TRUE,(IF(B275&gt;30000,4,IF(B275&lt;1000,"ND",0))),"-")</f>
        <v>0</v>
      </c>
      <c r="B275" s="116">
        <v>21019</v>
      </c>
      <c r="C275" s="117">
        <v>45307</v>
      </c>
      <c r="D275" s="116">
        <v>367.36</v>
      </c>
      <c r="E275" s="117">
        <v>45321</v>
      </c>
      <c r="F275" s="116">
        <f>COUNTIFS($A$3:A8526,A275,$B$3:B8526,B275)</f>
        <v>1</v>
      </c>
      <c r="G275" s="116"/>
    </row>
    <row r="276" spans="1:7" x14ac:dyDescent="0.2">
      <c r="A276" s="116">
        <f>IF(ISNUMBER(Tabela2[[#This Row],[CT-e/NFS]])=TRUE,(IF(B276&gt;30000,4,IF(B276&lt;1000,"ND",0))),"-")</f>
        <v>0</v>
      </c>
      <c r="B276" s="116">
        <v>21000</v>
      </c>
      <c r="C276" s="117">
        <v>45307</v>
      </c>
      <c r="D276" s="116">
        <v>77.09</v>
      </c>
      <c r="E276" s="117">
        <v>45321</v>
      </c>
      <c r="F276" s="116">
        <f>COUNTIFS($A$3:A8527,A276,$B$3:B8527,B276)</f>
        <v>1</v>
      </c>
      <c r="G276" s="116"/>
    </row>
    <row r="277" spans="1:7" x14ac:dyDescent="0.2">
      <c r="A277" s="116">
        <f>IF(ISNUMBER(Tabela2[[#This Row],[CT-e/NFS]])=TRUE,(IF(B277&gt;30000,4,IF(B277&lt;1000,"ND",0))),"-")</f>
        <v>0</v>
      </c>
      <c r="B277" s="116">
        <v>21002</v>
      </c>
      <c r="C277" s="117">
        <v>45307</v>
      </c>
      <c r="D277" s="116">
        <v>803.93</v>
      </c>
      <c r="E277" s="117">
        <v>45321</v>
      </c>
      <c r="F277" s="116">
        <f>COUNTIFS($A$3:A8528,A277,$B$3:B8528,B277)</f>
        <v>1</v>
      </c>
      <c r="G277" s="116"/>
    </row>
    <row r="278" spans="1:7" x14ac:dyDescent="0.2">
      <c r="A278" s="116">
        <f>IF(ISNUMBER(Tabela2[[#This Row],[CT-e/NFS]])=TRUE,(IF(B278&gt;30000,4,IF(B278&lt;1000,"ND",0))),"-")</f>
        <v>0</v>
      </c>
      <c r="B278" s="116">
        <v>21001</v>
      </c>
      <c r="C278" s="117">
        <v>45307</v>
      </c>
      <c r="D278" s="116">
        <v>105.88</v>
      </c>
      <c r="E278" s="117">
        <v>45321</v>
      </c>
      <c r="F278" s="116">
        <f>COUNTIFS($A$3:A8529,A278,$B$3:B8529,B278)</f>
        <v>1</v>
      </c>
      <c r="G278" s="116"/>
    </row>
    <row r="279" spans="1:7" x14ac:dyDescent="0.2">
      <c r="A279" s="116">
        <f>IF(ISNUMBER(Tabela2[[#This Row],[CT-e/NFS]])=TRUE,(IF(B279&gt;30000,4,IF(B279&lt;1000,"ND",0))),"-")</f>
        <v>0</v>
      </c>
      <c r="B279" s="116">
        <v>21005</v>
      </c>
      <c r="C279" s="117">
        <v>45307</v>
      </c>
      <c r="D279" s="116">
        <v>76.28</v>
      </c>
      <c r="E279" s="117">
        <v>45321</v>
      </c>
      <c r="F279" s="116">
        <f>COUNTIFS($A$3:A8530,A279,$B$3:B8530,B279)</f>
        <v>1</v>
      </c>
      <c r="G279" s="116"/>
    </row>
    <row r="280" spans="1:7" x14ac:dyDescent="0.2">
      <c r="A280" s="116">
        <f>IF(ISNUMBER(Tabela2[[#This Row],[CT-e/NFS]])=TRUE,(IF(B280&gt;30000,4,IF(B280&lt;1000,"ND",0))),"-")</f>
        <v>0</v>
      </c>
      <c r="B280" s="116">
        <v>21029</v>
      </c>
      <c r="C280" s="117">
        <v>45307</v>
      </c>
      <c r="D280" s="116">
        <v>293.89</v>
      </c>
      <c r="E280" s="117">
        <v>45321</v>
      </c>
      <c r="F280" s="116">
        <f>COUNTIFS($A$3:A8531,A280,$B$3:B8531,B280)</f>
        <v>1</v>
      </c>
      <c r="G280" s="116"/>
    </row>
    <row r="281" spans="1:7" x14ac:dyDescent="0.2">
      <c r="A281" s="116">
        <f>IF(ISNUMBER(Tabela2[[#This Row],[CT-e/NFS]])=TRUE,(IF(B281&gt;30000,4,IF(B281&lt;1000,"ND",0))),"-")</f>
        <v>0</v>
      </c>
      <c r="B281" s="116">
        <v>20999</v>
      </c>
      <c r="C281" s="117">
        <v>45307</v>
      </c>
      <c r="D281" s="116">
        <v>75.7</v>
      </c>
      <c r="E281" s="117">
        <v>45321</v>
      </c>
      <c r="F281" s="116">
        <f>COUNTIFS($A$3:A8532,A281,$B$3:B8532,B281)</f>
        <v>1</v>
      </c>
      <c r="G281" s="116"/>
    </row>
    <row r="282" spans="1:7" x14ac:dyDescent="0.2">
      <c r="A282" s="116">
        <f>IF(ISNUMBER(Tabela2[[#This Row],[CT-e/NFS]])=TRUE,(IF(B282&gt;30000,4,IF(B282&lt;1000,"ND",0))),"-")</f>
        <v>0</v>
      </c>
      <c r="B282" s="116">
        <v>20996</v>
      </c>
      <c r="C282" s="117">
        <v>45307</v>
      </c>
      <c r="D282" s="116">
        <v>613.72</v>
      </c>
      <c r="E282" s="117">
        <v>45321</v>
      </c>
      <c r="F282" s="116">
        <f>COUNTIFS($A$3:A8533,A282,$B$3:B8533,B282)</f>
        <v>1</v>
      </c>
      <c r="G282" s="116"/>
    </row>
    <row r="283" spans="1:7" x14ac:dyDescent="0.2">
      <c r="A283" s="116">
        <f>IF(ISNUMBER(Tabela2[[#This Row],[CT-e/NFS]])=TRUE,(IF(B283&gt;30000,4,IF(B283&lt;1000,"ND",0))),"-")</f>
        <v>0</v>
      </c>
      <c r="B283" s="116">
        <v>20992</v>
      </c>
      <c r="C283" s="117">
        <v>45307</v>
      </c>
      <c r="D283" s="116">
        <v>75.599999999999994</v>
      </c>
      <c r="E283" s="117">
        <v>45321</v>
      </c>
      <c r="F283" s="116">
        <f>COUNTIFS($A$3:A8534,A283,$B$3:B8534,B283)</f>
        <v>1</v>
      </c>
      <c r="G283" s="116"/>
    </row>
    <row r="284" spans="1:7" x14ac:dyDescent="0.2">
      <c r="A284" s="116">
        <f>IF(ISNUMBER(Tabela2[[#This Row],[CT-e/NFS]])=TRUE,(IF(B284&gt;30000,4,IF(B284&lt;1000,"ND",0))),"-")</f>
        <v>0</v>
      </c>
      <c r="B284" s="116">
        <v>20993</v>
      </c>
      <c r="C284" s="117">
        <v>45307</v>
      </c>
      <c r="D284" s="116">
        <v>80.400000000000006</v>
      </c>
      <c r="E284" s="117">
        <v>45321</v>
      </c>
      <c r="F284" s="116">
        <f>COUNTIFS($A$3:A8535,A284,$B$3:B8535,B284)</f>
        <v>1</v>
      </c>
      <c r="G284" s="116"/>
    </row>
    <row r="285" spans="1:7" x14ac:dyDescent="0.2">
      <c r="A285" s="116">
        <f>IF(ISNUMBER(Tabela2[[#This Row],[CT-e/NFS]])=TRUE,(IF(B285&gt;30000,4,IF(B285&lt;1000,"ND",0))),"-")</f>
        <v>0</v>
      </c>
      <c r="B285" s="116">
        <v>20990</v>
      </c>
      <c r="C285" s="117">
        <v>45307</v>
      </c>
      <c r="D285" s="116">
        <v>878.58</v>
      </c>
      <c r="E285" s="117">
        <v>45321</v>
      </c>
      <c r="F285" s="116">
        <f>COUNTIFS($A$3:A8536,A285,$B$3:B8536,B285)</f>
        <v>1</v>
      </c>
      <c r="G285" s="116"/>
    </row>
    <row r="286" spans="1:7" x14ac:dyDescent="0.2">
      <c r="A286" s="116">
        <f>IF(ISNUMBER(Tabela2[[#This Row],[CT-e/NFS]])=TRUE,(IF(B286&gt;30000,4,IF(B286&lt;1000,"ND",0))),"-")</f>
        <v>0</v>
      </c>
      <c r="B286" s="116">
        <v>20991</v>
      </c>
      <c r="C286" s="117">
        <v>45307</v>
      </c>
      <c r="D286" s="116">
        <v>700.32</v>
      </c>
      <c r="E286" s="117">
        <v>45321</v>
      </c>
      <c r="F286" s="116">
        <f>COUNTIFS($A$3:A8537,A286,$B$3:B8537,B286)</f>
        <v>1</v>
      </c>
      <c r="G286" s="116"/>
    </row>
    <row r="287" spans="1:7" x14ac:dyDescent="0.2">
      <c r="A287" s="116">
        <f>IF(ISNUMBER(Tabela2[[#This Row],[CT-e/NFS]])=TRUE,(IF(B287&gt;30000,4,IF(B287&lt;1000,"ND",0))),"-")</f>
        <v>0</v>
      </c>
      <c r="B287" s="116">
        <v>20988</v>
      </c>
      <c r="C287" s="117">
        <v>45307</v>
      </c>
      <c r="D287" s="116">
        <v>77.69</v>
      </c>
      <c r="E287" s="117">
        <v>45321</v>
      </c>
      <c r="F287" s="116">
        <f>COUNTIFS($A$3:A8538,A287,$B$3:B8538,B287)</f>
        <v>1</v>
      </c>
      <c r="G287" s="116"/>
    </row>
    <row r="288" spans="1:7" x14ac:dyDescent="0.2">
      <c r="A288" s="116">
        <f>IF(ISNUMBER(Tabela2[[#This Row],[CT-e/NFS]])=TRUE,(IF(B288&gt;30000,4,IF(B288&lt;1000,"ND",0))),"-")</f>
        <v>0</v>
      </c>
      <c r="B288" s="116">
        <v>20987</v>
      </c>
      <c r="C288" s="117">
        <v>45307</v>
      </c>
      <c r="D288" s="116">
        <v>75.760000000000005</v>
      </c>
      <c r="E288" s="117">
        <v>45321</v>
      </c>
      <c r="F288" s="116">
        <f>COUNTIFS($A$3:A8539,A288,$B$3:B8539,B288)</f>
        <v>1</v>
      </c>
      <c r="G288" s="116"/>
    </row>
    <row r="289" spans="1:7" x14ac:dyDescent="0.2">
      <c r="A289" s="116">
        <f>IF(ISNUMBER(Tabela2[[#This Row],[CT-e/NFS]])=TRUE,(IF(B289&gt;30000,4,IF(B289&lt;1000,"ND",0))),"-")</f>
        <v>0</v>
      </c>
      <c r="B289" s="116">
        <v>20986</v>
      </c>
      <c r="C289" s="117">
        <v>45307</v>
      </c>
      <c r="D289" s="116">
        <v>75.62</v>
      </c>
      <c r="E289" s="117">
        <v>45321</v>
      </c>
      <c r="F289" s="116">
        <f>COUNTIFS($A$3:A8540,A289,$B$3:B8540,B289)</f>
        <v>1</v>
      </c>
      <c r="G289" s="116"/>
    </row>
    <row r="290" spans="1:7" x14ac:dyDescent="0.2">
      <c r="A290" s="116">
        <f>IF(ISNUMBER(Tabela2[[#This Row],[CT-e/NFS]])=TRUE,(IF(B290&gt;30000,4,IF(B290&lt;1000,"ND",0))),"-")</f>
        <v>0</v>
      </c>
      <c r="B290" s="116">
        <v>20985</v>
      </c>
      <c r="C290" s="117">
        <v>45307</v>
      </c>
      <c r="D290" s="116">
        <v>76.38</v>
      </c>
      <c r="E290" s="117">
        <v>45321</v>
      </c>
      <c r="F290" s="116">
        <f>COUNTIFS($A$3:A8541,A290,$B$3:B8541,B290)</f>
        <v>1</v>
      </c>
      <c r="G290" s="116"/>
    </row>
    <row r="291" spans="1:7" x14ac:dyDescent="0.2">
      <c r="A291" s="116">
        <f>IF(ISNUMBER(Tabela2[[#This Row],[CT-e/NFS]])=TRUE,(IF(B291&gt;30000,4,IF(B291&lt;1000,"ND",0))),"-")</f>
        <v>0</v>
      </c>
      <c r="B291" s="116">
        <v>21028</v>
      </c>
      <c r="C291" s="117">
        <v>45307</v>
      </c>
      <c r="D291" s="116">
        <v>76.44</v>
      </c>
      <c r="E291" s="117">
        <v>45321</v>
      </c>
      <c r="F291" s="116">
        <f>COUNTIFS($A$3:A8542,A291,$B$3:B8542,B291)</f>
        <v>1</v>
      </c>
      <c r="G291" s="116"/>
    </row>
    <row r="292" spans="1:7" x14ac:dyDescent="0.2">
      <c r="A292" s="116">
        <f>IF(ISNUMBER(Tabela2[[#This Row],[CT-e/NFS]])=TRUE,(IF(B292&gt;30000,4,IF(B292&lt;1000,"ND",0))),"-")</f>
        <v>0</v>
      </c>
      <c r="B292" s="116">
        <v>20989</v>
      </c>
      <c r="C292" s="117">
        <v>45307</v>
      </c>
      <c r="D292" s="116">
        <v>75.64</v>
      </c>
      <c r="E292" s="117">
        <v>45321</v>
      </c>
      <c r="F292" s="116">
        <f>COUNTIFS($A$3:A8543,A292,$B$3:B8543,B292)</f>
        <v>1</v>
      </c>
      <c r="G292" s="116"/>
    </row>
    <row r="293" spans="1:7" x14ac:dyDescent="0.2">
      <c r="A293" s="116">
        <f>IF(ISNUMBER(Tabela2[[#This Row],[CT-e/NFS]])=TRUE,(IF(B293&gt;30000,4,IF(B293&lt;1000,"ND",0))),"-")</f>
        <v>0</v>
      </c>
      <c r="B293" s="116">
        <v>21013</v>
      </c>
      <c r="C293" s="117">
        <v>45307</v>
      </c>
      <c r="D293" s="116">
        <v>700.32</v>
      </c>
      <c r="E293" s="117">
        <v>45321</v>
      </c>
      <c r="F293" s="116">
        <f>COUNTIFS($A$3:A8544,A293,$B$3:B8544,B293)</f>
        <v>1</v>
      </c>
      <c r="G293" s="116"/>
    </row>
    <row r="294" spans="1:7" x14ac:dyDescent="0.2">
      <c r="A294" s="116">
        <f>IF(ISNUMBER(Tabela2[[#This Row],[CT-e/NFS]])=TRUE,(IF(B294&gt;30000,4,IF(B294&lt;1000,"ND",0))),"-")</f>
        <v>0</v>
      </c>
      <c r="B294" s="116">
        <v>21011</v>
      </c>
      <c r="C294" s="117">
        <v>45307</v>
      </c>
      <c r="D294" s="116">
        <v>82.95</v>
      </c>
      <c r="E294" s="117">
        <v>45321</v>
      </c>
      <c r="F294" s="116">
        <f>COUNTIFS($A$3:A8545,A294,$B$3:B8545,B294)</f>
        <v>1</v>
      </c>
      <c r="G294" s="116"/>
    </row>
    <row r="295" spans="1:7" x14ac:dyDescent="0.2">
      <c r="A295" s="116">
        <f>IF(ISNUMBER(Tabela2[[#This Row],[CT-e/NFS]])=TRUE,(IF(B295&gt;30000,4,IF(B295&lt;1000,"ND",0))),"-")</f>
        <v>0</v>
      </c>
      <c r="B295" s="116">
        <v>21009</v>
      </c>
      <c r="C295" s="117">
        <v>45307</v>
      </c>
      <c r="D295" s="116">
        <v>217.07</v>
      </c>
      <c r="E295" s="117">
        <v>45321</v>
      </c>
      <c r="F295" s="116">
        <f>COUNTIFS($A$3:A8546,A295,$B$3:B8546,B295)</f>
        <v>1</v>
      </c>
      <c r="G295" s="116"/>
    </row>
    <row r="296" spans="1:7" x14ac:dyDescent="0.2">
      <c r="A296" s="116">
        <f>IF(ISNUMBER(Tabela2[[#This Row],[CT-e/NFS]])=TRUE,(IF(B296&gt;30000,4,IF(B296&lt;1000,"ND",0))),"-")</f>
        <v>0</v>
      </c>
      <c r="B296" s="116">
        <v>21010</v>
      </c>
      <c r="C296" s="117">
        <v>45307</v>
      </c>
      <c r="D296" s="116">
        <v>80.099999999999994</v>
      </c>
      <c r="E296" s="117">
        <v>45321</v>
      </c>
      <c r="F296" s="116">
        <f>COUNTIFS($A$3:A8547,A296,$B$3:B8547,B296)</f>
        <v>1</v>
      </c>
      <c r="G296" s="116"/>
    </row>
    <row r="297" spans="1:7" x14ac:dyDescent="0.2">
      <c r="A297" s="116">
        <f>IF(ISNUMBER(Tabela2[[#This Row],[CT-e/NFS]])=TRUE,(IF(B297&gt;30000,4,IF(B297&lt;1000,"ND",0))),"-")</f>
        <v>0</v>
      </c>
      <c r="B297" s="116">
        <v>21008</v>
      </c>
      <c r="C297" s="117">
        <v>45307</v>
      </c>
      <c r="D297" s="116">
        <v>143.56</v>
      </c>
      <c r="E297" s="117">
        <v>45321</v>
      </c>
      <c r="F297" s="116">
        <f>COUNTIFS($A$3:A8548,A297,$B$3:B8548,B297)</f>
        <v>1</v>
      </c>
      <c r="G297" s="116"/>
    </row>
    <row r="298" spans="1:7" x14ac:dyDescent="0.2">
      <c r="A298" s="116">
        <f>IF(ISNUMBER(Tabela2[[#This Row],[CT-e/NFS]])=TRUE,(IF(B298&gt;30000,4,IF(B298&lt;1000,"ND",0))),"-")</f>
        <v>0</v>
      </c>
      <c r="B298" s="116">
        <v>21007</v>
      </c>
      <c r="C298" s="117">
        <v>45307</v>
      </c>
      <c r="D298" s="116">
        <v>76.25</v>
      </c>
      <c r="E298" s="117">
        <v>45321</v>
      </c>
      <c r="F298" s="116">
        <f>COUNTIFS($A$3:A8549,A298,$B$3:B8549,B298)</f>
        <v>1</v>
      </c>
      <c r="G298" s="116"/>
    </row>
    <row r="299" spans="1:7" x14ac:dyDescent="0.2">
      <c r="A299" s="116">
        <f>IF(ISNUMBER(Tabela2[[#This Row],[CT-e/NFS]])=TRUE,(IF(B299&gt;30000,4,IF(B299&lt;1000,"ND",0))),"-")</f>
        <v>0</v>
      </c>
      <c r="B299" s="116">
        <v>21006</v>
      </c>
      <c r="C299" s="117">
        <v>45307</v>
      </c>
      <c r="D299" s="116">
        <v>76.44</v>
      </c>
      <c r="E299" s="117">
        <v>45321</v>
      </c>
      <c r="F299" s="116">
        <f>COUNTIFS($A$3:A8550,A299,$B$3:B8550,B299)</f>
        <v>1</v>
      </c>
      <c r="G299" s="116"/>
    </row>
    <row r="300" spans="1:7" x14ac:dyDescent="0.2">
      <c r="A300" s="116">
        <f>IF(ISNUMBER(Tabela2[[#This Row],[CT-e/NFS]])=TRUE,(IF(B300&gt;30000,4,IF(B300&lt;1000,"ND",0))),"-")</f>
        <v>0</v>
      </c>
      <c r="B300" s="116">
        <v>21033</v>
      </c>
      <c r="C300" s="117">
        <v>45307</v>
      </c>
      <c r="D300" s="116">
        <v>126.77</v>
      </c>
      <c r="E300" s="117">
        <v>45321</v>
      </c>
      <c r="F300" s="116">
        <f>COUNTIFS($A$3:A8551,A300,$B$3:B8551,B300)</f>
        <v>1</v>
      </c>
      <c r="G300" s="116"/>
    </row>
    <row r="301" spans="1:7" x14ac:dyDescent="0.2">
      <c r="A301" s="116">
        <f>IF(ISNUMBER(Tabela2[[#This Row],[CT-e/NFS]])=TRUE,(IF(B301&gt;30000,4,IF(B301&lt;1000,"ND",0))),"-")</f>
        <v>0</v>
      </c>
      <c r="B301" s="116">
        <v>21032</v>
      </c>
      <c r="C301" s="117">
        <v>45307</v>
      </c>
      <c r="D301" s="116">
        <v>76.349999999999994</v>
      </c>
      <c r="E301" s="117">
        <v>45321</v>
      </c>
      <c r="F301" s="116">
        <f>COUNTIFS($A$3:A8552,A301,$B$3:B8552,B301)</f>
        <v>1</v>
      </c>
      <c r="G301" s="116"/>
    </row>
    <row r="302" spans="1:7" x14ac:dyDescent="0.2">
      <c r="A302" s="116">
        <f>IF(ISNUMBER(Tabela2[[#This Row],[CT-e/NFS]])=TRUE,(IF(B302&gt;30000,4,IF(B302&lt;1000,"ND",0))),"-")</f>
        <v>0</v>
      </c>
      <c r="B302" s="116">
        <v>21034</v>
      </c>
      <c r="C302" s="117">
        <v>45307</v>
      </c>
      <c r="D302" s="116">
        <v>76.34</v>
      </c>
      <c r="E302" s="117">
        <v>45321</v>
      </c>
      <c r="F302" s="116">
        <f>COUNTIFS($A$3:A8553,A302,$B$3:B8553,B302)</f>
        <v>1</v>
      </c>
      <c r="G302" s="116"/>
    </row>
    <row r="303" spans="1:7" x14ac:dyDescent="0.2">
      <c r="A303" s="116">
        <f>IF(ISNUMBER(Tabela2[[#This Row],[CT-e/NFS]])=TRUE,(IF(B303&gt;30000,4,IF(B303&lt;1000,"ND",0))),"-")</f>
        <v>0</v>
      </c>
      <c r="B303" s="116">
        <v>21035</v>
      </c>
      <c r="C303" s="117">
        <v>45307</v>
      </c>
      <c r="D303" s="116">
        <v>76.52</v>
      </c>
      <c r="E303" s="117">
        <v>45321</v>
      </c>
      <c r="F303" s="116">
        <f>COUNTIFS($A$3:A8554,A303,$B$3:B8554,B303)</f>
        <v>1</v>
      </c>
      <c r="G303" s="116"/>
    </row>
    <row r="304" spans="1:7" x14ac:dyDescent="0.2">
      <c r="A304" s="116">
        <f>IF(ISNUMBER(Tabela2[[#This Row],[CT-e/NFS]])=TRUE,(IF(B304&gt;30000,4,IF(B304&lt;1000,"ND",0))),"-")</f>
        <v>0</v>
      </c>
      <c r="B304" s="116">
        <v>21036</v>
      </c>
      <c r="C304" s="117">
        <v>45307</v>
      </c>
      <c r="D304" s="116">
        <v>77.430000000000007</v>
      </c>
      <c r="E304" s="117">
        <v>45321</v>
      </c>
      <c r="F304" s="116">
        <f>COUNTIFS($A$3:A8555,A304,$B$3:B8555,B304)</f>
        <v>1</v>
      </c>
      <c r="G304" s="116"/>
    </row>
    <row r="305" spans="1:7" x14ac:dyDescent="0.2">
      <c r="A305" s="116">
        <f>IF(ISNUMBER(Tabela2[[#This Row],[CT-e/NFS]])=TRUE,(IF(B305&gt;30000,4,IF(B305&lt;1000,"ND",0))),"-")</f>
        <v>0</v>
      </c>
      <c r="B305" s="116">
        <v>21037</v>
      </c>
      <c r="C305" s="117">
        <v>45307</v>
      </c>
      <c r="D305" s="116">
        <v>76.95</v>
      </c>
      <c r="E305" s="117">
        <v>45321</v>
      </c>
      <c r="F305" s="116">
        <f>COUNTIFS($A$3:A8556,A305,$B$3:B8556,B305)</f>
        <v>1</v>
      </c>
      <c r="G305" s="116"/>
    </row>
    <row r="306" spans="1:7" x14ac:dyDescent="0.2">
      <c r="A306" s="116">
        <f>IF(ISNUMBER(Tabela2[[#This Row],[CT-e/NFS]])=TRUE,(IF(B306&gt;30000,4,IF(B306&lt;1000,"ND",0))),"-")</f>
        <v>0</v>
      </c>
      <c r="B306" s="116">
        <v>21038</v>
      </c>
      <c r="C306" s="117">
        <v>45307</v>
      </c>
      <c r="D306" s="116">
        <v>76.42</v>
      </c>
      <c r="E306" s="117">
        <v>45321</v>
      </c>
      <c r="F306" s="116">
        <f>COUNTIFS($A$3:A8557,A306,$B$3:B8557,B306)</f>
        <v>1</v>
      </c>
      <c r="G306" s="116"/>
    </row>
    <row r="307" spans="1:7" x14ac:dyDescent="0.2">
      <c r="A307" s="116">
        <f>IF(ISNUMBER(Tabela2[[#This Row],[CT-e/NFS]])=TRUE,(IF(B307&gt;30000,4,IF(B307&lt;1000,"ND",0))),"-")</f>
        <v>0</v>
      </c>
      <c r="B307" s="116">
        <v>21039</v>
      </c>
      <c r="C307" s="117">
        <v>45307</v>
      </c>
      <c r="D307" s="116">
        <v>450.43</v>
      </c>
      <c r="E307" s="117">
        <v>45321</v>
      </c>
      <c r="F307" s="116">
        <f>COUNTIFS($A$3:A8558,A307,$B$3:B8558,B307)</f>
        <v>1</v>
      </c>
      <c r="G307" s="116"/>
    </row>
    <row r="308" spans="1:7" x14ac:dyDescent="0.2">
      <c r="A308" s="116">
        <f>IF(ISNUMBER(Tabela2[[#This Row],[CT-e/NFS]])=TRUE,(IF(B308&gt;30000,4,IF(B308&lt;1000,"ND",0))),"-")</f>
        <v>4</v>
      </c>
      <c r="B308" s="116">
        <v>45614</v>
      </c>
      <c r="C308" s="117">
        <v>45307</v>
      </c>
      <c r="D308" s="116">
        <v>122.93</v>
      </c>
      <c r="E308" s="117">
        <v>45321</v>
      </c>
      <c r="F308" s="116">
        <f>COUNTIFS($A$3:A8559,A308,$B$3:B8559,B308)</f>
        <v>1</v>
      </c>
      <c r="G308" s="116"/>
    </row>
    <row r="309" spans="1:7" x14ac:dyDescent="0.2">
      <c r="A309" s="116">
        <f>IF(ISNUMBER(Tabela2[[#This Row],[CT-e/NFS]])=TRUE,(IF(B309&gt;30000,4,IF(B309&lt;1000,"ND",0))),"-")</f>
        <v>4</v>
      </c>
      <c r="B309" s="116">
        <v>45613</v>
      </c>
      <c r="C309" s="117">
        <v>45307</v>
      </c>
      <c r="D309" s="116">
        <v>125.48</v>
      </c>
      <c r="E309" s="117">
        <v>45321</v>
      </c>
      <c r="F309" s="116">
        <f>COUNTIFS($A$3:A8560,A309,$B$3:B8560,B309)</f>
        <v>1</v>
      </c>
      <c r="G309" s="116"/>
    </row>
    <row r="310" spans="1:7" x14ac:dyDescent="0.2">
      <c r="A310" s="116">
        <f>IF(ISNUMBER(Tabela2[[#This Row],[CT-e/NFS]])=TRUE,(IF(B310&gt;30000,4,IF(B310&lt;1000,"ND",0))),"-")</f>
        <v>4</v>
      </c>
      <c r="B310" s="116">
        <v>45611</v>
      </c>
      <c r="C310" s="117">
        <v>45307</v>
      </c>
      <c r="D310" s="116">
        <v>125.16</v>
      </c>
      <c r="E310" s="117">
        <v>45321</v>
      </c>
      <c r="F310" s="116">
        <f>COUNTIFS($A$3:A8561,A310,$B$3:B8561,B310)</f>
        <v>1</v>
      </c>
      <c r="G310" s="116"/>
    </row>
    <row r="311" spans="1:7" x14ac:dyDescent="0.2">
      <c r="A311" s="116">
        <f>IF(ISNUMBER(Tabela2[[#This Row],[CT-e/NFS]])=TRUE,(IF(B311&gt;30000,4,IF(B311&lt;1000,"ND",0))),"-")</f>
        <v>4</v>
      </c>
      <c r="B311" s="116">
        <v>45615</v>
      </c>
      <c r="C311" s="117">
        <v>45307</v>
      </c>
      <c r="D311" s="116">
        <v>367.6</v>
      </c>
      <c r="E311" s="117">
        <v>45321</v>
      </c>
      <c r="F311" s="116">
        <f>COUNTIFS($A$3:A8562,A311,$B$3:B8562,B311)</f>
        <v>1</v>
      </c>
      <c r="G311" s="116"/>
    </row>
    <row r="312" spans="1:7" x14ac:dyDescent="0.2">
      <c r="A312" s="116">
        <f>IF(ISNUMBER(Tabela2[[#This Row],[CT-e/NFS]])=TRUE,(IF(B312&gt;30000,4,IF(B312&lt;1000,"ND",0))),"-")</f>
        <v>4</v>
      </c>
      <c r="B312" s="116">
        <v>45610</v>
      </c>
      <c r="C312" s="117">
        <v>45307</v>
      </c>
      <c r="D312" s="116">
        <v>124.1</v>
      </c>
      <c r="E312" s="117">
        <v>45321</v>
      </c>
      <c r="F312" s="116">
        <f>COUNTIFS($A$3:A8563,A312,$B$3:B8563,B312)</f>
        <v>1</v>
      </c>
      <c r="G312" s="116"/>
    </row>
    <row r="313" spans="1:7" x14ac:dyDescent="0.2">
      <c r="A313" s="116">
        <f>IF(ISNUMBER(Tabela2[[#This Row],[CT-e/NFS]])=TRUE,(IF(B313&gt;30000,4,IF(B313&lt;1000,"ND",0))),"-")</f>
        <v>4</v>
      </c>
      <c r="B313" s="116">
        <v>45619</v>
      </c>
      <c r="C313" s="117">
        <v>45307</v>
      </c>
      <c r="D313" s="116">
        <v>124.63</v>
      </c>
      <c r="E313" s="117">
        <v>45321</v>
      </c>
      <c r="F313" s="116">
        <f>COUNTIFS($A$3:A8564,A313,$B$3:B8564,B313)</f>
        <v>1</v>
      </c>
      <c r="G313" s="116"/>
    </row>
    <row r="314" spans="1:7" x14ac:dyDescent="0.2">
      <c r="A314" s="116">
        <f>IF(ISNUMBER(Tabela2[[#This Row],[CT-e/NFS]])=TRUE,(IF(B314&gt;30000,4,IF(B314&lt;1000,"ND",0))),"-")</f>
        <v>4</v>
      </c>
      <c r="B314" s="116">
        <v>45616</v>
      </c>
      <c r="C314" s="117">
        <v>45307</v>
      </c>
      <c r="D314" s="116">
        <v>123.89</v>
      </c>
      <c r="E314" s="117">
        <v>45321</v>
      </c>
      <c r="F314" s="116">
        <f>COUNTIFS($A$3:A8565,A314,$B$3:B8565,B314)</f>
        <v>1</v>
      </c>
      <c r="G314" s="116"/>
    </row>
    <row r="315" spans="1:7" x14ac:dyDescent="0.2">
      <c r="A315" s="116">
        <f>IF(ISNUMBER(Tabela2[[#This Row],[CT-e/NFS]])=TRUE,(IF(B315&gt;30000,4,IF(B315&lt;1000,"ND",0))),"-")</f>
        <v>4</v>
      </c>
      <c r="B315" s="116">
        <v>45618</v>
      </c>
      <c r="C315" s="117">
        <v>45307</v>
      </c>
      <c r="D315" s="116">
        <v>124.03</v>
      </c>
      <c r="E315" s="117">
        <v>45321</v>
      </c>
      <c r="F315" s="116">
        <f>COUNTIFS($A$3:A8566,A315,$B$3:B8566,B315)</f>
        <v>1</v>
      </c>
      <c r="G315" s="116"/>
    </row>
    <row r="316" spans="1:7" x14ac:dyDescent="0.2">
      <c r="A316" s="116">
        <f>IF(ISNUMBER(Tabela2[[#This Row],[CT-e/NFS]])=TRUE,(IF(B316&gt;30000,4,IF(B316&lt;1000,"ND",0))),"-")</f>
        <v>4</v>
      </c>
      <c r="B316" s="116">
        <v>45617</v>
      </c>
      <c r="C316" s="117">
        <v>45307</v>
      </c>
      <c r="D316" s="116">
        <v>124.38</v>
      </c>
      <c r="E316" s="117">
        <v>45321</v>
      </c>
      <c r="F316" s="116">
        <f>COUNTIFS($A$3:A8567,A316,$B$3:B8567,B316)</f>
        <v>1</v>
      </c>
      <c r="G316" s="116"/>
    </row>
    <row r="317" spans="1:7" x14ac:dyDescent="0.2">
      <c r="A317" s="116">
        <f>IF(ISNUMBER(Tabela2[[#This Row],[CT-e/NFS]])=TRUE,(IF(B317&gt;30000,4,IF(B317&lt;1000,"ND",0))),"-")</f>
        <v>4</v>
      </c>
      <c r="B317" s="116">
        <v>45623</v>
      </c>
      <c r="C317" s="117">
        <v>45307</v>
      </c>
      <c r="D317" s="116">
        <v>295.14999999999998</v>
      </c>
      <c r="E317" s="117">
        <v>45321</v>
      </c>
      <c r="F317" s="116">
        <f>COUNTIFS($A$3:A8568,A317,$B$3:B8568,B317)</f>
        <v>1</v>
      </c>
      <c r="G317" s="116"/>
    </row>
    <row r="318" spans="1:7" x14ac:dyDescent="0.2">
      <c r="A318" s="116">
        <f>IF(ISNUMBER(Tabela2[[#This Row],[CT-e/NFS]])=TRUE,(IF(B318&gt;30000,4,IF(B318&lt;1000,"ND",0))),"-")</f>
        <v>4</v>
      </c>
      <c r="B318" s="116">
        <v>45624</v>
      </c>
      <c r="C318" s="117">
        <v>45307</v>
      </c>
      <c r="D318" s="116">
        <v>239.58</v>
      </c>
      <c r="E318" s="117">
        <v>45321</v>
      </c>
      <c r="F318" s="116">
        <f>COUNTIFS($A$3:A8569,A318,$B$3:B8569,B318)</f>
        <v>1</v>
      </c>
      <c r="G318" s="116"/>
    </row>
    <row r="319" spans="1:7" x14ac:dyDescent="0.2">
      <c r="A319" s="116">
        <f>IF(ISNUMBER(Tabela2[[#This Row],[CT-e/NFS]])=TRUE,(IF(B319&gt;30000,4,IF(B319&lt;1000,"ND",0))),"-")</f>
        <v>4</v>
      </c>
      <c r="B319" s="116">
        <v>45627</v>
      </c>
      <c r="C319" s="117">
        <v>45307</v>
      </c>
      <c r="D319" s="116">
        <v>124.49</v>
      </c>
      <c r="E319" s="117">
        <v>45321</v>
      </c>
      <c r="F319" s="116">
        <f>COUNTIFS($A$3:A8570,A319,$B$3:B8570,B319)</f>
        <v>1</v>
      </c>
      <c r="G319" s="116"/>
    </row>
    <row r="320" spans="1:7" x14ac:dyDescent="0.2">
      <c r="A320" s="116">
        <f>IF(ISNUMBER(Tabela2[[#This Row],[CT-e/NFS]])=TRUE,(IF(B320&gt;30000,4,IF(B320&lt;1000,"ND",0))),"-")</f>
        <v>4</v>
      </c>
      <c r="B320" s="116">
        <v>45626</v>
      </c>
      <c r="C320" s="117">
        <v>45307</v>
      </c>
      <c r="D320" s="116">
        <v>124.47</v>
      </c>
      <c r="E320" s="117">
        <v>45321</v>
      </c>
      <c r="F320" s="116">
        <f>COUNTIFS($A$3:A8571,A320,$B$3:B8571,B320)</f>
        <v>1</v>
      </c>
      <c r="G320" s="116"/>
    </row>
    <row r="321" spans="1:7" x14ac:dyDescent="0.2">
      <c r="A321" s="116">
        <f>IF(ISNUMBER(Tabela2[[#This Row],[CT-e/NFS]])=TRUE,(IF(B321&gt;30000,4,IF(B321&lt;1000,"ND",0))),"-")</f>
        <v>4</v>
      </c>
      <c r="B321" s="116">
        <v>45622</v>
      </c>
      <c r="C321" s="117">
        <v>45307</v>
      </c>
      <c r="D321" s="116">
        <v>122.82</v>
      </c>
      <c r="E321" s="117">
        <v>45321</v>
      </c>
      <c r="F321" s="116">
        <f>COUNTIFS($A$3:A8572,A321,$B$3:B8572,B321)</f>
        <v>1</v>
      </c>
      <c r="G321" s="116"/>
    </row>
    <row r="322" spans="1:7" x14ac:dyDescent="0.2">
      <c r="A322" s="116">
        <f>IF(ISNUMBER(Tabela2[[#This Row],[CT-e/NFS]])=TRUE,(IF(B322&gt;30000,4,IF(B322&lt;1000,"ND",0))),"-")</f>
        <v>4</v>
      </c>
      <c r="B322" s="116">
        <v>45612</v>
      </c>
      <c r="C322" s="117">
        <v>45307</v>
      </c>
      <c r="D322" s="116">
        <v>125.94</v>
      </c>
      <c r="E322" s="117">
        <v>45321</v>
      </c>
      <c r="F322" s="116">
        <f>COUNTIFS($A$3:A8573,A322,$B$3:B8573,B322)</f>
        <v>1</v>
      </c>
      <c r="G322" s="116"/>
    </row>
    <row r="323" spans="1:7" x14ac:dyDescent="0.2">
      <c r="A323" s="116">
        <f>IF(ISNUMBER(Tabela2[[#This Row],[CT-e/NFS]])=TRUE,(IF(B323&gt;30000,4,IF(B323&lt;1000,"ND",0))),"-")</f>
        <v>4</v>
      </c>
      <c r="B323" s="116">
        <v>45620</v>
      </c>
      <c r="C323" s="117">
        <v>45307</v>
      </c>
      <c r="D323" s="116">
        <v>433.69</v>
      </c>
      <c r="E323" s="117">
        <v>45321</v>
      </c>
      <c r="F323" s="116">
        <f>COUNTIFS($A$3:A8574,A323,$B$3:B8574,B323)</f>
        <v>1</v>
      </c>
      <c r="G323" s="116"/>
    </row>
    <row r="324" spans="1:7" x14ac:dyDescent="0.2">
      <c r="A324" s="116">
        <f>IF(ISNUMBER(Tabela2[[#This Row],[CT-e/NFS]])=TRUE,(IF(B324&gt;30000,4,IF(B324&lt;1000,"ND",0))),"-")</f>
        <v>4</v>
      </c>
      <c r="B324" s="116">
        <v>45621</v>
      </c>
      <c r="C324" s="117">
        <v>45307</v>
      </c>
      <c r="D324" s="116">
        <v>362.1</v>
      </c>
      <c r="E324" s="117">
        <v>45321</v>
      </c>
      <c r="F324" s="116">
        <f>COUNTIFS($A$3:A8575,A324,$B$3:B8575,B324)</f>
        <v>1</v>
      </c>
      <c r="G324" s="116"/>
    </row>
    <row r="325" spans="1:7" x14ac:dyDescent="0.2">
      <c r="A325" s="116">
        <f>IF(ISNUMBER(Tabela2[[#This Row],[CT-e/NFS]])=TRUE,(IF(B325&gt;30000,4,IF(B325&lt;1000,"ND",0))),"-")</f>
        <v>4</v>
      </c>
      <c r="B325" s="116">
        <v>45602</v>
      </c>
      <c r="C325" s="117">
        <v>45307</v>
      </c>
      <c r="D325" s="116">
        <v>125.3</v>
      </c>
      <c r="E325" s="117">
        <v>45321</v>
      </c>
      <c r="F325" s="116">
        <f>COUNTIFS($A$3:A8576,A325,$B$3:B8576,B325)</f>
        <v>1</v>
      </c>
      <c r="G325" s="116"/>
    </row>
    <row r="326" spans="1:7" x14ac:dyDescent="0.2">
      <c r="A326" s="116">
        <f>IF(ISNUMBER(Tabela2[[#This Row],[CT-e/NFS]])=TRUE,(IF(B326&gt;30000,4,IF(B326&lt;1000,"ND",0))),"-")</f>
        <v>4</v>
      </c>
      <c r="B326" s="116">
        <v>45578</v>
      </c>
      <c r="C326" s="117">
        <v>45307</v>
      </c>
      <c r="D326" s="116">
        <v>146.57</v>
      </c>
      <c r="E326" s="117">
        <v>45321</v>
      </c>
      <c r="F326" s="116">
        <f>COUNTIFS($A$3:A8577,A326,$B$3:B8577,B326)</f>
        <v>1</v>
      </c>
      <c r="G326" s="116"/>
    </row>
    <row r="327" spans="1:7" x14ac:dyDescent="0.2">
      <c r="A327" s="116">
        <f>IF(ISNUMBER(Tabela2[[#This Row],[CT-e/NFS]])=TRUE,(IF(B327&gt;30000,4,IF(B327&lt;1000,"ND",0))),"-")</f>
        <v>4</v>
      </c>
      <c r="B327" s="116">
        <v>45644</v>
      </c>
      <c r="C327" s="117">
        <v>45307</v>
      </c>
      <c r="D327" s="116">
        <v>125.25</v>
      </c>
      <c r="E327" s="117">
        <v>45321</v>
      </c>
      <c r="F327" s="116">
        <f>COUNTIFS($A$3:A8578,A327,$B$3:B8578,B327)</f>
        <v>1</v>
      </c>
      <c r="G327" s="116"/>
    </row>
    <row r="328" spans="1:7" x14ac:dyDescent="0.2">
      <c r="A328" s="116">
        <f>IF(ISNUMBER(Tabela2[[#This Row],[CT-e/NFS]])=TRUE,(IF(B328&gt;30000,4,IF(B328&lt;1000,"ND",0))),"-")</f>
        <v>4</v>
      </c>
      <c r="B328" s="116">
        <v>45645</v>
      </c>
      <c r="C328" s="117">
        <v>45307</v>
      </c>
      <c r="D328" s="116">
        <v>124.16</v>
      </c>
      <c r="E328" s="117">
        <v>45321</v>
      </c>
      <c r="F328" s="116">
        <f>COUNTIFS($A$3:A8579,A328,$B$3:B8579,B328)</f>
        <v>1</v>
      </c>
      <c r="G328" s="116"/>
    </row>
    <row r="329" spans="1:7" x14ac:dyDescent="0.2">
      <c r="A329" s="116">
        <f>IF(ISNUMBER(Tabela2[[#This Row],[CT-e/NFS]])=TRUE,(IF(B329&gt;30000,4,IF(B329&lt;1000,"ND",0))),"-")</f>
        <v>4</v>
      </c>
      <c r="B329" s="116">
        <v>45642</v>
      </c>
      <c r="C329" s="117">
        <v>45307</v>
      </c>
      <c r="D329" s="116">
        <v>168.92</v>
      </c>
      <c r="E329" s="117">
        <v>45321</v>
      </c>
      <c r="F329" s="116">
        <f>COUNTIFS($A$3:A8580,A329,$B$3:B8580,B329)</f>
        <v>1</v>
      </c>
      <c r="G329" s="116"/>
    </row>
    <row r="330" spans="1:7" x14ac:dyDescent="0.2">
      <c r="A330" s="116">
        <f>IF(ISNUMBER(Tabela2[[#This Row],[CT-e/NFS]])=TRUE,(IF(B330&gt;30000,4,IF(B330&lt;1000,"ND",0))),"-")</f>
        <v>4</v>
      </c>
      <c r="B330" s="116">
        <v>45639</v>
      </c>
      <c r="C330" s="117">
        <v>45307</v>
      </c>
      <c r="D330" s="116">
        <v>369.5</v>
      </c>
      <c r="E330" s="117">
        <v>45321</v>
      </c>
      <c r="F330" s="116">
        <f>COUNTIFS($A$3:A8581,A330,$B$3:B8581,B330)</f>
        <v>1</v>
      </c>
      <c r="G330" s="116"/>
    </row>
    <row r="331" spans="1:7" x14ac:dyDescent="0.2">
      <c r="A331" s="116">
        <f>IF(ISNUMBER(Tabela2[[#This Row],[CT-e/NFS]])=TRUE,(IF(B331&gt;30000,4,IF(B331&lt;1000,"ND",0))),"-")</f>
        <v>4</v>
      </c>
      <c r="B331" s="116">
        <v>45641</v>
      </c>
      <c r="C331" s="117">
        <v>45307</v>
      </c>
      <c r="D331" s="116">
        <v>209.28</v>
      </c>
      <c r="E331" s="117">
        <v>45321</v>
      </c>
      <c r="F331" s="116">
        <f>COUNTIFS($A$3:A8582,A331,$B$3:B8582,B331)</f>
        <v>1</v>
      </c>
      <c r="G331" s="116"/>
    </row>
    <row r="332" spans="1:7" x14ac:dyDescent="0.2">
      <c r="A332" s="116">
        <f>IF(ISNUMBER(Tabela2[[#This Row],[CT-e/NFS]])=TRUE,(IF(B332&gt;30000,4,IF(B332&lt;1000,"ND",0))),"-")</f>
        <v>4</v>
      </c>
      <c r="B332" s="116">
        <v>45633</v>
      </c>
      <c r="C332" s="117">
        <v>45307</v>
      </c>
      <c r="D332" s="116">
        <v>273.08</v>
      </c>
      <c r="E332" s="117">
        <v>45321</v>
      </c>
      <c r="F332" s="116">
        <f>COUNTIFS($A$3:A8583,A332,$B$3:B8583,B332)</f>
        <v>1</v>
      </c>
      <c r="G332" s="116"/>
    </row>
    <row r="333" spans="1:7" x14ac:dyDescent="0.2">
      <c r="A333" s="116">
        <f>IF(ISNUMBER(Tabela2[[#This Row],[CT-e/NFS]])=TRUE,(IF(B333&gt;30000,4,IF(B333&lt;1000,"ND",0))),"-")</f>
        <v>4</v>
      </c>
      <c r="B333" s="116">
        <v>45635</v>
      </c>
      <c r="C333" s="117">
        <v>45307</v>
      </c>
      <c r="D333" s="116">
        <v>240.16</v>
      </c>
      <c r="E333" s="117">
        <v>45321</v>
      </c>
      <c r="F333" s="116">
        <f>COUNTIFS($A$3:A8584,A333,$B$3:B8584,B333)</f>
        <v>1</v>
      </c>
      <c r="G333" s="116"/>
    </row>
    <row r="334" spans="1:7" x14ac:dyDescent="0.2">
      <c r="A334" s="116">
        <f>IF(ISNUMBER(Tabela2[[#This Row],[CT-e/NFS]])=TRUE,(IF(B334&gt;30000,4,IF(B334&lt;1000,"ND",0))),"-")</f>
        <v>4</v>
      </c>
      <c r="B334" s="116">
        <v>45640</v>
      </c>
      <c r="C334" s="117">
        <v>45307</v>
      </c>
      <c r="D334" s="116">
        <v>374.42</v>
      </c>
      <c r="E334" s="117">
        <v>45321</v>
      </c>
      <c r="F334" s="116">
        <f>COUNTIFS($A$3:A8585,A334,$B$3:B8585,B334)</f>
        <v>1</v>
      </c>
      <c r="G334" s="116"/>
    </row>
    <row r="335" spans="1:7" x14ac:dyDescent="0.2">
      <c r="A335" s="116">
        <f>IF(ISNUMBER(Tabela2[[#This Row],[CT-e/NFS]])=TRUE,(IF(B335&gt;30000,4,IF(B335&lt;1000,"ND",0))),"-")</f>
        <v>4</v>
      </c>
      <c r="B335" s="116">
        <v>45637</v>
      </c>
      <c r="C335" s="117">
        <v>45307</v>
      </c>
      <c r="D335" s="116">
        <v>124.03</v>
      </c>
      <c r="E335" s="117">
        <v>45321</v>
      </c>
      <c r="F335" s="116">
        <f>COUNTIFS($A$3:A8586,A335,$B$3:B8586,B335)</f>
        <v>1</v>
      </c>
      <c r="G335" s="116"/>
    </row>
    <row r="336" spans="1:7" x14ac:dyDescent="0.2">
      <c r="A336" s="116">
        <f>IF(ISNUMBER(Tabela2[[#This Row],[CT-e/NFS]])=TRUE,(IF(B336&gt;30000,4,IF(B336&lt;1000,"ND",0))),"-")</f>
        <v>4</v>
      </c>
      <c r="B336" s="116">
        <v>45636</v>
      </c>
      <c r="C336" s="117">
        <v>45307</v>
      </c>
      <c r="D336" s="116">
        <v>124.51</v>
      </c>
      <c r="E336" s="117">
        <v>45321</v>
      </c>
      <c r="F336" s="116">
        <f>COUNTIFS($A$3:A8587,A336,$B$3:B8587,B336)</f>
        <v>1</v>
      </c>
      <c r="G336" s="116"/>
    </row>
    <row r="337" spans="1:7" x14ac:dyDescent="0.2">
      <c r="A337" s="116">
        <f>IF(ISNUMBER(Tabela2[[#This Row],[CT-e/NFS]])=TRUE,(IF(B337&gt;30000,4,IF(B337&lt;1000,"ND",0))),"-")</f>
        <v>4</v>
      </c>
      <c r="B337" s="116">
        <v>45638</v>
      </c>
      <c r="C337" s="117">
        <v>45307</v>
      </c>
      <c r="D337" s="116">
        <v>124.51</v>
      </c>
      <c r="E337" s="117">
        <v>45321</v>
      </c>
      <c r="F337" s="116">
        <f>COUNTIFS($A$3:A8588,A337,$B$3:B8588,B337)</f>
        <v>1</v>
      </c>
      <c r="G337" s="116"/>
    </row>
    <row r="338" spans="1:7" x14ac:dyDescent="0.2">
      <c r="A338" s="116">
        <f>IF(ISNUMBER(Tabela2[[#This Row],[CT-e/NFS]])=TRUE,(IF(B338&gt;30000,4,IF(B338&lt;1000,"ND",0))),"-")</f>
        <v>4</v>
      </c>
      <c r="B338" s="116">
        <v>45634</v>
      </c>
      <c r="C338" s="117">
        <v>45307</v>
      </c>
      <c r="D338" s="116">
        <v>125.66</v>
      </c>
      <c r="E338" s="117">
        <v>45321</v>
      </c>
      <c r="F338" s="116">
        <f>COUNTIFS($A$3:A8589,A338,$B$3:B8589,B338)</f>
        <v>1</v>
      </c>
      <c r="G338" s="116"/>
    </row>
    <row r="339" spans="1:7" x14ac:dyDescent="0.2">
      <c r="A339" s="116">
        <f>IF(ISNUMBER(Tabela2[[#This Row],[CT-e/NFS]])=TRUE,(IF(B339&gt;30000,4,IF(B339&lt;1000,"ND",0))),"-")</f>
        <v>4</v>
      </c>
      <c r="B339" s="116">
        <v>45632</v>
      </c>
      <c r="C339" s="117">
        <v>45307</v>
      </c>
      <c r="D339" s="116">
        <v>241.6</v>
      </c>
      <c r="E339" s="117">
        <v>45321</v>
      </c>
      <c r="F339" s="116">
        <f>COUNTIFS($A$3:A8590,A339,$B$3:B8590,B339)</f>
        <v>1</v>
      </c>
      <c r="G339" s="116"/>
    </row>
    <row r="340" spans="1:7" x14ac:dyDescent="0.2">
      <c r="A340" s="116">
        <f>IF(ISNUMBER(Tabela2[[#This Row],[CT-e/NFS]])=TRUE,(IF(B340&gt;30000,4,IF(B340&lt;1000,"ND",0))),"-")</f>
        <v>4</v>
      </c>
      <c r="B340" s="116">
        <v>45628</v>
      </c>
      <c r="C340" s="117">
        <v>45307</v>
      </c>
      <c r="D340" s="116">
        <v>126.03</v>
      </c>
      <c r="E340" s="117">
        <v>45321</v>
      </c>
      <c r="F340" s="116">
        <f>COUNTIFS($A$3:A8591,A340,$B$3:B8591,B340)</f>
        <v>1</v>
      </c>
      <c r="G340" s="116"/>
    </row>
    <row r="341" spans="1:7" x14ac:dyDescent="0.2">
      <c r="A341" s="116">
        <f>IF(ISNUMBER(Tabela2[[#This Row],[CT-e/NFS]])=TRUE,(IF(B341&gt;30000,4,IF(B341&lt;1000,"ND",0))),"-")</f>
        <v>4</v>
      </c>
      <c r="B341" s="116">
        <v>45630</v>
      </c>
      <c r="C341" s="117">
        <v>45307</v>
      </c>
      <c r="D341" s="116">
        <v>532.16999999999996</v>
      </c>
      <c r="E341" s="117">
        <v>45321</v>
      </c>
      <c r="F341" s="116">
        <f>COUNTIFS($A$3:A8592,A341,$B$3:B8592,B341)</f>
        <v>1</v>
      </c>
      <c r="G341" s="116"/>
    </row>
    <row r="342" spans="1:7" x14ac:dyDescent="0.2">
      <c r="A342" s="116">
        <f>IF(ISNUMBER(Tabela2[[#This Row],[CT-e/NFS]])=TRUE,(IF(B342&gt;30000,4,IF(B342&lt;1000,"ND",0))),"-")</f>
        <v>4</v>
      </c>
      <c r="B342" s="116">
        <v>45631</v>
      </c>
      <c r="C342" s="117">
        <v>45307</v>
      </c>
      <c r="D342" s="116">
        <v>122.76</v>
      </c>
      <c r="E342" s="117">
        <v>45321</v>
      </c>
      <c r="F342" s="116">
        <f>COUNTIFS($A$3:A8593,A342,$B$3:B8593,B342)</f>
        <v>1</v>
      </c>
      <c r="G342" s="116"/>
    </row>
    <row r="343" spans="1:7" x14ac:dyDescent="0.2">
      <c r="A343" s="116">
        <f>IF(ISNUMBER(Tabela2[[#This Row],[CT-e/NFS]])=TRUE,(IF(B343&gt;30000,4,IF(B343&lt;1000,"ND",0))),"-")</f>
        <v>4</v>
      </c>
      <c r="B343" s="116">
        <v>45646</v>
      </c>
      <c r="C343" s="117">
        <v>45307</v>
      </c>
      <c r="D343" s="116">
        <v>125.81</v>
      </c>
      <c r="E343" s="117">
        <v>45321</v>
      </c>
      <c r="F343" s="116">
        <f>COUNTIFS($A$3:A8594,A343,$B$3:B8594,B343)</f>
        <v>1</v>
      </c>
      <c r="G343" s="116"/>
    </row>
    <row r="344" spans="1:7" x14ac:dyDescent="0.2">
      <c r="A344" s="116">
        <f>IF(ISNUMBER(Tabela2[[#This Row],[CT-e/NFS]])=TRUE,(IF(B344&gt;30000,4,IF(B344&lt;1000,"ND",0))),"-")</f>
        <v>0</v>
      </c>
      <c r="B344" s="116">
        <v>21044</v>
      </c>
      <c r="C344" s="117">
        <v>45307</v>
      </c>
      <c r="D344" s="116">
        <v>416.35</v>
      </c>
      <c r="E344" s="117">
        <v>45321</v>
      </c>
      <c r="F344" s="116">
        <f>COUNTIFS($A$3:A8595,A344,$B$3:B8595,B344)</f>
        <v>1</v>
      </c>
      <c r="G344" s="116"/>
    </row>
    <row r="345" spans="1:7" x14ac:dyDescent="0.2">
      <c r="A345" s="116">
        <f>IF(ISNUMBER(Tabela2[[#This Row],[CT-e/NFS]])=TRUE,(IF(B345&gt;30000,4,IF(B345&lt;1000,"ND",0))),"-")</f>
        <v>0</v>
      </c>
      <c r="B345" s="116">
        <v>21045</v>
      </c>
      <c r="C345" s="117">
        <v>45307</v>
      </c>
      <c r="D345" s="116">
        <v>195.93</v>
      </c>
      <c r="E345" s="117">
        <v>45321</v>
      </c>
      <c r="F345" s="116">
        <f>COUNTIFS($A$3:A8596,A345,$B$3:B8596,B345)</f>
        <v>1</v>
      </c>
      <c r="G345" s="116"/>
    </row>
    <row r="346" spans="1:7" x14ac:dyDescent="0.2">
      <c r="A346" s="116">
        <f>IF(ISNUMBER(Tabela2[[#This Row],[CT-e/NFS]])=TRUE,(IF(B346&gt;30000,4,IF(B346&lt;1000,"ND",0))),"-")</f>
        <v>0</v>
      </c>
      <c r="B346" s="116">
        <v>21046</v>
      </c>
      <c r="C346" s="117">
        <v>45307</v>
      </c>
      <c r="D346" s="116">
        <v>75.680000000000007</v>
      </c>
      <c r="E346" s="117">
        <v>45321</v>
      </c>
      <c r="F346" s="116">
        <f>COUNTIFS($A$3:A8597,A346,$B$3:B8597,B346)</f>
        <v>1</v>
      </c>
      <c r="G346" s="116"/>
    </row>
    <row r="347" spans="1:7" x14ac:dyDescent="0.2">
      <c r="A347" s="116">
        <f>IF(ISNUMBER(Tabela2[[#This Row],[CT-e/NFS]])=TRUE,(IF(B347&gt;30000,4,IF(B347&lt;1000,"ND",0))),"-")</f>
        <v>0</v>
      </c>
      <c r="B347" s="116">
        <v>21047</v>
      </c>
      <c r="C347" s="117">
        <v>45307</v>
      </c>
      <c r="D347" s="116">
        <v>129.87</v>
      </c>
      <c r="E347" s="117">
        <v>45321</v>
      </c>
      <c r="F347" s="116">
        <f>COUNTIFS($A$3:A8598,A347,$B$3:B8598,B347)</f>
        <v>1</v>
      </c>
      <c r="G347" s="116"/>
    </row>
    <row r="348" spans="1:7" x14ac:dyDescent="0.2">
      <c r="A348" s="116">
        <f>IF(ISNUMBER(Tabela2[[#This Row],[CT-e/NFS]])=TRUE,(IF(B348&gt;30000,4,IF(B348&lt;1000,"ND",0))),"-")</f>
        <v>0</v>
      </c>
      <c r="B348" s="116">
        <v>21051</v>
      </c>
      <c r="C348" s="117">
        <v>45307</v>
      </c>
      <c r="D348" s="116">
        <v>76.87</v>
      </c>
      <c r="E348" s="117">
        <v>45321</v>
      </c>
      <c r="F348" s="116">
        <f>COUNTIFS($A$3:A8599,A348,$B$3:B8599,B348)</f>
        <v>1</v>
      </c>
      <c r="G348" s="116"/>
    </row>
    <row r="349" spans="1:7" x14ac:dyDescent="0.2">
      <c r="A349" s="116">
        <f>IF(ISNUMBER(Tabela2[[#This Row],[CT-e/NFS]])=TRUE,(IF(B349&gt;30000,4,IF(B349&lt;1000,"ND",0))),"-")</f>
        <v>0</v>
      </c>
      <c r="B349" s="116">
        <v>21048</v>
      </c>
      <c r="C349" s="117">
        <v>45307</v>
      </c>
      <c r="D349" s="116">
        <v>75.62</v>
      </c>
      <c r="E349" s="117">
        <v>45321</v>
      </c>
      <c r="F349" s="116">
        <f>COUNTIFS($A$3:A8600,A349,$B$3:B8600,B349)</f>
        <v>1</v>
      </c>
      <c r="G349" s="116"/>
    </row>
    <row r="350" spans="1:7" x14ac:dyDescent="0.2">
      <c r="A350" s="116">
        <f>IF(ISNUMBER(Tabela2[[#This Row],[CT-e/NFS]])=TRUE,(IF(B350&gt;30000,4,IF(B350&lt;1000,"ND",0))),"-")</f>
        <v>0</v>
      </c>
      <c r="B350" s="116">
        <v>21049</v>
      </c>
      <c r="C350" s="117">
        <v>45307</v>
      </c>
      <c r="D350" s="116">
        <v>75.62</v>
      </c>
      <c r="E350" s="117">
        <v>45321</v>
      </c>
      <c r="F350" s="116">
        <f>COUNTIFS($A$3:A8601,A350,$B$3:B8601,B350)</f>
        <v>1</v>
      </c>
      <c r="G350" s="116"/>
    </row>
    <row r="351" spans="1:7" x14ac:dyDescent="0.2">
      <c r="A351" s="116">
        <f>IF(ISNUMBER(Tabela2[[#This Row],[CT-e/NFS]])=TRUE,(IF(B351&gt;30000,4,IF(B351&lt;1000,"ND",0))),"-")</f>
        <v>0</v>
      </c>
      <c r="B351" s="116">
        <v>21050</v>
      </c>
      <c r="C351" s="117">
        <v>45307</v>
      </c>
      <c r="D351" s="116">
        <v>76.41</v>
      </c>
      <c r="E351" s="117">
        <v>45321</v>
      </c>
      <c r="F351" s="116">
        <f>COUNTIFS($A$3:A8602,A351,$B$3:B8602,B351)</f>
        <v>1</v>
      </c>
      <c r="G351" s="116"/>
    </row>
    <row r="352" spans="1:7" x14ac:dyDescent="0.2">
      <c r="A352" s="116">
        <f>IF(ISNUMBER(Tabela2[[#This Row],[CT-e/NFS]])=TRUE,(IF(B352&gt;30000,4,IF(B352&lt;1000,"ND",0))),"-")</f>
        <v>0</v>
      </c>
      <c r="B352" s="116">
        <v>21052</v>
      </c>
      <c r="C352" s="117">
        <v>45307</v>
      </c>
      <c r="D352" s="116">
        <v>146.43</v>
      </c>
      <c r="E352" s="117">
        <v>45321</v>
      </c>
      <c r="F352" s="116">
        <f>COUNTIFS($A$3:A8603,A352,$B$3:B8603,B352)</f>
        <v>1</v>
      </c>
      <c r="G352" s="116"/>
    </row>
    <row r="353" spans="1:7" x14ac:dyDescent="0.2">
      <c r="A353" s="116">
        <f>IF(ISNUMBER(Tabela2[[#This Row],[CT-e/NFS]])=TRUE,(IF(B353&gt;30000,4,IF(B353&lt;1000,"ND",0))),"-")</f>
        <v>0</v>
      </c>
      <c r="B353" s="116">
        <v>21053</v>
      </c>
      <c r="C353" s="117">
        <v>45307</v>
      </c>
      <c r="D353" s="116">
        <v>77.09</v>
      </c>
      <c r="E353" s="117">
        <v>45321</v>
      </c>
      <c r="F353" s="116">
        <f>COUNTIFS($A$3:A8604,A353,$B$3:B8604,B353)</f>
        <v>1</v>
      </c>
      <c r="G353" s="116"/>
    </row>
    <row r="354" spans="1:7" x14ac:dyDescent="0.2">
      <c r="A354" s="116">
        <f>IF(ISNUMBER(Tabela2[[#This Row],[CT-e/NFS]])=TRUE,(IF(B354&gt;30000,4,IF(B354&lt;1000,"ND",0))),"-")</f>
        <v>0</v>
      </c>
      <c r="B354" s="116">
        <v>21054</v>
      </c>
      <c r="C354" s="117">
        <v>45307</v>
      </c>
      <c r="D354" s="116">
        <v>75.81</v>
      </c>
      <c r="E354" s="117">
        <v>45321</v>
      </c>
      <c r="F354" s="116">
        <f>COUNTIFS($A$3:A8605,A354,$B$3:B8605,B354)</f>
        <v>1</v>
      </c>
      <c r="G354" s="116"/>
    </row>
    <row r="355" spans="1:7" x14ac:dyDescent="0.2">
      <c r="A355" s="116">
        <f>IF(ISNUMBER(Tabela2[[#This Row],[CT-e/NFS]])=TRUE,(IF(B355&gt;30000,4,IF(B355&lt;1000,"ND",0))),"-")</f>
        <v>4</v>
      </c>
      <c r="B355" s="116">
        <v>45652</v>
      </c>
      <c r="C355" s="117">
        <v>45307</v>
      </c>
      <c r="D355" s="116">
        <v>719.55</v>
      </c>
      <c r="E355" s="117">
        <v>45321</v>
      </c>
      <c r="F355" s="116">
        <f>COUNTIFS($A$3:A8606,A355,$B$3:B8606,B355)</f>
        <v>1</v>
      </c>
      <c r="G355" s="116"/>
    </row>
    <row r="356" spans="1:7" x14ac:dyDescent="0.2">
      <c r="A356" s="116">
        <f>IF(ISNUMBER(Tabela2[[#This Row],[CT-e/NFS]])=TRUE,(IF(B356&gt;30000,4,IF(B356&lt;1000,"ND",0))),"-")</f>
        <v>4</v>
      </c>
      <c r="B356" s="116">
        <v>45651</v>
      </c>
      <c r="C356" s="117">
        <v>45307</v>
      </c>
      <c r="D356" s="116">
        <v>959.44</v>
      </c>
      <c r="E356" s="117">
        <v>45321</v>
      </c>
      <c r="F356" s="116">
        <f>COUNTIFS($A$3:A8607,A356,$B$3:B8607,B356)</f>
        <v>1</v>
      </c>
      <c r="G356" s="116"/>
    </row>
    <row r="357" spans="1:7" x14ac:dyDescent="0.2">
      <c r="A357" s="116">
        <f>IF(ISNUMBER(Tabela2[[#This Row],[CT-e/NFS]])=TRUE,(IF(B357&gt;30000,4,IF(B357&lt;1000,"ND",0))),"-")</f>
        <v>0</v>
      </c>
      <c r="B357" s="116">
        <v>21023</v>
      </c>
      <c r="C357" s="117">
        <v>45307</v>
      </c>
      <c r="D357" s="116">
        <v>515.41</v>
      </c>
      <c r="E357" s="117">
        <v>45321</v>
      </c>
      <c r="F357" s="116">
        <f>COUNTIFS($A$3:A8608,A357,$B$3:B8608,B357)</f>
        <v>1</v>
      </c>
      <c r="G357" s="116"/>
    </row>
    <row r="358" spans="1:7" x14ac:dyDescent="0.2">
      <c r="A358" s="116">
        <f>IF(ISNUMBER(Tabela2[[#This Row],[CT-e/NFS]])=TRUE,(IF(B358&gt;30000,4,IF(B358&lt;1000,"ND",0))),"-")</f>
        <v>4</v>
      </c>
      <c r="B358" s="116">
        <v>45606</v>
      </c>
      <c r="C358" s="117">
        <v>45307</v>
      </c>
      <c r="D358" s="116">
        <v>467.33</v>
      </c>
      <c r="E358" s="117">
        <v>45321</v>
      </c>
      <c r="F358" s="116">
        <f>COUNTIFS($A$3:A8609,A358,$B$3:B8609,B358)</f>
        <v>1</v>
      </c>
      <c r="G358" s="116"/>
    </row>
    <row r="359" spans="1:7" x14ac:dyDescent="0.2">
      <c r="A359" s="116">
        <f>IF(ISNUMBER(Tabela2[[#This Row],[CT-e/NFS]])=TRUE,(IF(B359&gt;30000,4,IF(B359&lt;1000,"ND",0))),"-")</f>
        <v>4</v>
      </c>
      <c r="B359" s="116">
        <v>45599</v>
      </c>
      <c r="C359" s="117">
        <v>45307</v>
      </c>
      <c r="D359" s="116">
        <v>152.35</v>
      </c>
      <c r="E359" s="117">
        <v>45321</v>
      </c>
      <c r="F359" s="116">
        <f>COUNTIFS($A$3:A8610,A359,$B$3:B8610,B359)</f>
        <v>1</v>
      </c>
      <c r="G359" s="116"/>
    </row>
    <row r="360" spans="1:7" x14ac:dyDescent="0.2">
      <c r="A360" s="116">
        <f>IF(ISNUMBER(Tabela2[[#This Row],[CT-e/NFS]])=TRUE,(IF(B360&gt;30000,4,IF(B360&lt;1000,"ND",0))),"-")</f>
        <v>4</v>
      </c>
      <c r="B360" s="116">
        <v>45595</v>
      </c>
      <c r="C360" s="117">
        <v>45307</v>
      </c>
      <c r="D360" s="116">
        <v>153.24</v>
      </c>
      <c r="E360" s="117">
        <v>45321</v>
      </c>
      <c r="F360" s="116">
        <f>COUNTIFS($A$3:A8611,A360,$B$3:B8611,B360)</f>
        <v>1</v>
      </c>
      <c r="G360" s="116"/>
    </row>
    <row r="361" spans="1:7" x14ac:dyDescent="0.2">
      <c r="A361" s="116">
        <f>IF(ISNUMBER(Tabela2[[#This Row],[CT-e/NFS]])=TRUE,(IF(B361&gt;30000,4,IF(B361&lt;1000,"ND",0))),"-")</f>
        <v>4</v>
      </c>
      <c r="B361" s="116">
        <v>45598</v>
      </c>
      <c r="C361" s="117">
        <v>45307</v>
      </c>
      <c r="D361" s="116">
        <v>152.35</v>
      </c>
      <c r="E361" s="117">
        <v>45321</v>
      </c>
      <c r="F361" s="116">
        <f>COUNTIFS($A$3:A8612,A361,$B$3:B8612,B361)</f>
        <v>1</v>
      </c>
      <c r="G361" s="116"/>
    </row>
    <row r="362" spans="1:7" x14ac:dyDescent="0.2">
      <c r="A362" s="116">
        <f>IF(ISNUMBER(Tabela2[[#This Row],[CT-e/NFS]])=TRUE,(IF(B362&gt;30000,4,IF(B362&lt;1000,"ND",0))),"-")</f>
        <v>4</v>
      </c>
      <c r="B362" s="116">
        <v>45597</v>
      </c>
      <c r="C362" s="117">
        <v>45307</v>
      </c>
      <c r="D362" s="116">
        <v>170.42</v>
      </c>
      <c r="E362" s="117">
        <v>45321</v>
      </c>
      <c r="F362" s="116">
        <f>COUNTIFS($A$3:A8613,A362,$B$3:B8613,B362)</f>
        <v>1</v>
      </c>
      <c r="G362" s="116"/>
    </row>
    <row r="363" spans="1:7" x14ac:dyDescent="0.2">
      <c r="A363" s="116">
        <f>IF(ISNUMBER(Tabela2[[#This Row],[CT-e/NFS]])=TRUE,(IF(B363&gt;30000,4,IF(B363&lt;1000,"ND",0))),"-")</f>
        <v>4</v>
      </c>
      <c r="B363" s="116">
        <v>45656</v>
      </c>
      <c r="C363" s="117">
        <v>45307</v>
      </c>
      <c r="D363" s="116">
        <v>161.4</v>
      </c>
      <c r="E363" s="117">
        <v>45321</v>
      </c>
      <c r="F363" s="116">
        <f>COUNTIFS($A$3:A8614,A363,$B$3:B8614,B363)</f>
        <v>1</v>
      </c>
      <c r="G363" s="116"/>
    </row>
    <row r="364" spans="1:7" x14ac:dyDescent="0.2">
      <c r="A364" s="116">
        <f>IF(ISNUMBER(Tabela2[[#This Row],[CT-e/NFS]])=TRUE,(IF(B364&gt;30000,4,IF(B364&lt;1000,"ND",0))),"-")</f>
        <v>4</v>
      </c>
      <c r="B364" s="116">
        <v>45655</v>
      </c>
      <c r="C364" s="117">
        <v>45307</v>
      </c>
      <c r="D364" s="116">
        <v>805.67</v>
      </c>
      <c r="E364" s="117">
        <v>45321</v>
      </c>
      <c r="F364" s="116">
        <f>COUNTIFS($A$3:A8615,A364,$B$3:B8615,B364)</f>
        <v>1</v>
      </c>
      <c r="G364" s="116"/>
    </row>
    <row r="365" spans="1:7" x14ac:dyDescent="0.2">
      <c r="A365" s="116">
        <f>IF(ISNUMBER(Tabela2[[#This Row],[CT-e/NFS]])=TRUE,(IF(B365&gt;30000,4,IF(B365&lt;1000,"ND",0))),"-")</f>
        <v>4</v>
      </c>
      <c r="B365" s="116">
        <v>45569</v>
      </c>
      <c r="C365" s="117">
        <v>45307</v>
      </c>
      <c r="D365" s="116">
        <v>157.25</v>
      </c>
      <c r="E365" s="117">
        <v>45321</v>
      </c>
      <c r="F365" s="116">
        <f>COUNTIFS($A$3:A8616,A365,$B$3:B8616,B365)</f>
        <v>1</v>
      </c>
      <c r="G365" s="116"/>
    </row>
    <row r="366" spans="1:7" x14ac:dyDescent="0.2">
      <c r="A366" s="116">
        <f>IF(ISNUMBER(Tabela2[[#This Row],[CT-e/NFS]])=TRUE,(IF(B366&gt;30000,4,IF(B366&lt;1000,"ND",0))),"-")</f>
        <v>4</v>
      </c>
      <c r="B366" s="116">
        <v>45604</v>
      </c>
      <c r="C366" s="117">
        <v>45307</v>
      </c>
      <c r="D366" s="116">
        <v>1330.73</v>
      </c>
      <c r="E366" s="117">
        <v>45321</v>
      </c>
      <c r="F366" s="116">
        <f>COUNTIFS($A$3:A8617,A366,$B$3:B8617,B366)</f>
        <v>1</v>
      </c>
      <c r="G366" s="116"/>
    </row>
    <row r="367" spans="1:7" x14ac:dyDescent="0.2">
      <c r="A367" s="116">
        <f>IF(ISNUMBER(Tabela2[[#This Row],[CT-e/NFS]])=TRUE,(IF(B367&gt;30000,4,IF(B367&lt;1000,"ND",0))),"-")</f>
        <v>4</v>
      </c>
      <c r="B367" s="116">
        <v>45605</v>
      </c>
      <c r="C367" s="117">
        <v>45307</v>
      </c>
      <c r="D367" s="116">
        <v>702.74</v>
      </c>
      <c r="E367" s="117">
        <v>45321</v>
      </c>
      <c r="F367" s="116">
        <f>COUNTIFS($A$3:A8618,A367,$B$3:B8618,B367)</f>
        <v>1</v>
      </c>
      <c r="G367" s="116"/>
    </row>
    <row r="368" spans="1:7" x14ac:dyDescent="0.2">
      <c r="A368" s="116">
        <f>IF(ISNUMBER(Tabela2[[#This Row],[CT-e/NFS]])=TRUE,(IF(B368&gt;30000,4,IF(B368&lt;1000,"ND",0))),"-")</f>
        <v>4</v>
      </c>
      <c r="B368" s="116">
        <v>45609</v>
      </c>
      <c r="C368" s="117">
        <v>45307</v>
      </c>
      <c r="D368" s="116">
        <v>176.14</v>
      </c>
      <c r="E368" s="117">
        <v>45321</v>
      </c>
      <c r="F368" s="116">
        <f>COUNTIFS($A$3:A8619,A368,$B$3:B8619,B368)</f>
        <v>1</v>
      </c>
      <c r="G368" s="116"/>
    </row>
    <row r="369" spans="1:7" x14ac:dyDescent="0.2">
      <c r="A369" s="116">
        <f>IF(ISNUMBER(Tabela2[[#This Row],[CT-e/NFS]])=TRUE,(IF(B369&gt;30000,4,IF(B369&lt;1000,"ND",0))),"-")</f>
        <v>4</v>
      </c>
      <c r="B369" s="116">
        <v>45647</v>
      </c>
      <c r="C369" s="117">
        <v>45307</v>
      </c>
      <c r="D369" s="116">
        <v>609.98</v>
      </c>
      <c r="E369" s="117">
        <v>45321</v>
      </c>
      <c r="F369" s="116">
        <f>COUNTIFS($A$3:A8620,A369,$B$3:B8620,B369)</f>
        <v>1</v>
      </c>
      <c r="G369" s="116"/>
    </row>
    <row r="370" spans="1:7" x14ac:dyDescent="0.2">
      <c r="A370" s="116">
        <f>IF(ISNUMBER(Tabela2[[#This Row],[CT-e/NFS]])=TRUE,(IF(B370&gt;30000,4,IF(B370&lt;1000,"ND",0))),"-")</f>
        <v>4</v>
      </c>
      <c r="B370" s="116">
        <v>45677</v>
      </c>
      <c r="C370" s="117">
        <v>45307</v>
      </c>
      <c r="D370" s="116">
        <v>125.03</v>
      </c>
      <c r="E370" s="117">
        <v>45321</v>
      </c>
      <c r="F370" s="116">
        <f>COUNTIFS($A$3:A8621,A370,$B$3:B8621,B370)</f>
        <v>1</v>
      </c>
      <c r="G370" s="116"/>
    </row>
    <row r="371" spans="1:7" x14ac:dyDescent="0.2">
      <c r="A371" s="116">
        <f>IF(ISNUMBER(Tabela2[[#This Row],[CT-e/NFS]])=TRUE,(IF(B371&gt;30000,4,IF(B371&lt;1000,"ND",0))),"-")</f>
        <v>4</v>
      </c>
      <c r="B371" s="116">
        <v>45676</v>
      </c>
      <c r="C371" s="117">
        <v>45307</v>
      </c>
      <c r="D371" s="116">
        <v>138.19</v>
      </c>
      <c r="E371" s="117">
        <v>45321</v>
      </c>
      <c r="F371" s="116">
        <f>COUNTIFS($A$3:A8622,A371,$B$3:B8622,B371)</f>
        <v>1</v>
      </c>
      <c r="G371" s="116"/>
    </row>
    <row r="372" spans="1:7" x14ac:dyDescent="0.2">
      <c r="A372" s="116">
        <f>IF(ISNUMBER(Tabela2[[#This Row],[CT-e/NFS]])=TRUE,(IF(B372&gt;30000,4,IF(B372&lt;1000,"ND",0))),"-")</f>
        <v>4</v>
      </c>
      <c r="B372" s="116">
        <v>45672</v>
      </c>
      <c r="C372" s="117">
        <v>45307</v>
      </c>
      <c r="D372" s="116">
        <v>244.13</v>
      </c>
      <c r="E372" s="117">
        <v>45321</v>
      </c>
      <c r="F372" s="116">
        <f>COUNTIFS($A$3:A8623,A372,$B$3:B8623,B372)</f>
        <v>1</v>
      </c>
      <c r="G372" s="116"/>
    </row>
    <row r="373" spans="1:7" x14ac:dyDescent="0.2">
      <c r="A373" s="116">
        <f>IF(ISNUMBER(Tabela2[[#This Row],[CT-e/NFS]])=TRUE,(IF(B373&gt;30000,4,IF(B373&lt;1000,"ND",0))),"-")</f>
        <v>4</v>
      </c>
      <c r="B373" s="116">
        <v>45664</v>
      </c>
      <c r="C373" s="117">
        <v>45307</v>
      </c>
      <c r="D373" s="116">
        <v>217.69</v>
      </c>
      <c r="E373" s="117">
        <v>45321</v>
      </c>
      <c r="F373" s="116">
        <f>COUNTIFS($A$3:A8624,A373,$B$3:B8624,B373)</f>
        <v>1</v>
      </c>
      <c r="G373" s="116"/>
    </row>
    <row r="374" spans="1:7" x14ac:dyDescent="0.2">
      <c r="A374" s="116">
        <f>IF(ISNUMBER(Tabela2[[#This Row],[CT-e/NFS]])=TRUE,(IF(B374&gt;30000,4,IF(B374&lt;1000,"ND",0))),"-")</f>
        <v>4</v>
      </c>
      <c r="B374" s="116">
        <v>45670</v>
      </c>
      <c r="C374" s="117">
        <v>45307</v>
      </c>
      <c r="D374" s="116">
        <v>310.85000000000002</v>
      </c>
      <c r="E374" s="117">
        <v>45321</v>
      </c>
      <c r="F374" s="116">
        <f>COUNTIFS($A$3:A8625,A374,$B$3:B8625,B374)</f>
        <v>1</v>
      </c>
      <c r="G374" s="116"/>
    </row>
    <row r="375" spans="1:7" x14ac:dyDescent="0.2">
      <c r="A375" s="116">
        <f>IF(ISNUMBER(Tabela2[[#This Row],[CT-e/NFS]])=TRUE,(IF(B375&gt;30000,4,IF(B375&lt;1000,"ND",0))),"-")</f>
        <v>4</v>
      </c>
      <c r="B375" s="116">
        <v>45679</v>
      </c>
      <c r="C375" s="117">
        <v>45307</v>
      </c>
      <c r="D375" s="116">
        <v>408.02</v>
      </c>
      <c r="E375" s="117">
        <v>45321</v>
      </c>
      <c r="F375" s="116">
        <f>COUNTIFS($A$3:A8626,A375,$B$3:B8626,B375)</f>
        <v>1</v>
      </c>
      <c r="G375" s="116"/>
    </row>
    <row r="376" spans="1:7" x14ac:dyDescent="0.2">
      <c r="A376" s="116">
        <f>IF(ISNUMBER(Tabela2[[#This Row],[CT-e/NFS]])=TRUE,(IF(B376&gt;30000,4,IF(B376&lt;1000,"ND",0))),"-")</f>
        <v>4</v>
      </c>
      <c r="B376" s="116">
        <v>45660</v>
      </c>
      <c r="C376" s="117">
        <v>45307</v>
      </c>
      <c r="D376" s="116">
        <v>123.13</v>
      </c>
      <c r="E376" s="117">
        <v>45321</v>
      </c>
      <c r="F376" s="116">
        <f>COUNTIFS($A$3:A8627,A376,$B$3:B8627,B376)</f>
        <v>1</v>
      </c>
      <c r="G376" s="116"/>
    </row>
    <row r="377" spans="1:7" x14ac:dyDescent="0.2">
      <c r="A377" s="116">
        <f>IF(ISNUMBER(Tabela2[[#This Row],[CT-e/NFS]])=TRUE,(IF(B377&gt;30000,4,IF(B377&lt;1000,"ND",0))),"-")</f>
        <v>4</v>
      </c>
      <c r="B377" s="116">
        <v>45658</v>
      </c>
      <c r="C377" s="117">
        <v>45307</v>
      </c>
      <c r="D377" s="116">
        <v>123.11</v>
      </c>
      <c r="E377" s="117">
        <v>45321</v>
      </c>
      <c r="F377" s="116">
        <f>COUNTIFS($A$3:A8628,A377,$B$3:B8628,B377)</f>
        <v>1</v>
      </c>
      <c r="G377" s="116"/>
    </row>
    <row r="378" spans="1:7" x14ac:dyDescent="0.2">
      <c r="A378" s="116">
        <f>IF(ISNUMBER(Tabela2[[#This Row],[CT-e/NFS]])=TRUE,(IF(B378&gt;30000,4,IF(B378&lt;1000,"ND",0))),"-")</f>
        <v>4</v>
      </c>
      <c r="B378" s="116">
        <v>45659</v>
      </c>
      <c r="C378" s="117">
        <v>45307</v>
      </c>
      <c r="D378" s="116">
        <v>124.51</v>
      </c>
      <c r="E378" s="117">
        <v>45321</v>
      </c>
      <c r="F378" s="116">
        <f>COUNTIFS($A$3:A8629,A378,$B$3:B8629,B378)</f>
        <v>1</v>
      </c>
      <c r="G378" s="116"/>
    </row>
    <row r="379" spans="1:7" x14ac:dyDescent="0.2">
      <c r="A379" s="116">
        <f>IF(ISNUMBER(Tabela2[[#This Row],[CT-e/NFS]])=TRUE,(IF(B379&gt;30000,4,IF(B379&lt;1000,"ND",0))),"-")</f>
        <v>4</v>
      </c>
      <c r="B379" s="116">
        <v>45681</v>
      </c>
      <c r="C379" s="117">
        <v>45307</v>
      </c>
      <c r="D379" s="116">
        <v>124.03</v>
      </c>
      <c r="E379" s="117">
        <v>45321</v>
      </c>
      <c r="F379" s="116">
        <f>COUNTIFS($A$3:A8630,A379,$B$3:B8630,B379)</f>
        <v>1</v>
      </c>
      <c r="G379" s="116"/>
    </row>
    <row r="380" spans="1:7" x14ac:dyDescent="0.2">
      <c r="A380" s="116">
        <f>IF(ISNUMBER(Tabela2[[#This Row],[CT-e/NFS]])=TRUE,(IF(B380&gt;30000,4,IF(B380&lt;1000,"ND",0))),"-")</f>
        <v>4</v>
      </c>
      <c r="B380" s="116">
        <v>45675</v>
      </c>
      <c r="C380" s="117">
        <v>45307</v>
      </c>
      <c r="D380" s="116">
        <v>122.89</v>
      </c>
      <c r="E380" s="117">
        <v>45321</v>
      </c>
      <c r="F380" s="116">
        <f>COUNTIFS($A$3:A8631,A380,$B$3:B8631,B380)</f>
        <v>1</v>
      </c>
      <c r="G380" s="116"/>
    </row>
    <row r="381" spans="1:7" x14ac:dyDescent="0.2">
      <c r="A381" s="116">
        <f>IF(ISNUMBER(Tabela2[[#This Row],[CT-e/NFS]])=TRUE,(IF(B381&gt;30000,4,IF(B381&lt;1000,"ND",0))),"-")</f>
        <v>4</v>
      </c>
      <c r="B381" s="116">
        <v>45665</v>
      </c>
      <c r="C381" s="117">
        <v>45307</v>
      </c>
      <c r="D381" s="116">
        <v>123.86</v>
      </c>
      <c r="E381" s="117">
        <v>45321</v>
      </c>
      <c r="F381" s="116">
        <f>COUNTIFS($A$3:A8632,A381,$B$3:B8632,B381)</f>
        <v>1</v>
      </c>
      <c r="G381" s="116"/>
    </row>
    <row r="382" spans="1:7" x14ac:dyDescent="0.2">
      <c r="A382" s="116">
        <f>IF(ISNUMBER(Tabela2[[#This Row],[CT-e/NFS]])=TRUE,(IF(B382&gt;30000,4,IF(B382&lt;1000,"ND",0))),"-")</f>
        <v>4</v>
      </c>
      <c r="B382" s="116">
        <v>45666</v>
      </c>
      <c r="C382" s="117">
        <v>45307</v>
      </c>
      <c r="D382" s="116">
        <v>125.34</v>
      </c>
      <c r="E382" s="117">
        <v>45321</v>
      </c>
      <c r="F382" s="116">
        <f>COUNTIFS($A$3:A8633,A382,$B$3:B8633,B382)</f>
        <v>1</v>
      </c>
      <c r="G382" s="116"/>
    </row>
    <row r="383" spans="1:7" x14ac:dyDescent="0.2">
      <c r="A383" s="116">
        <f>IF(ISNUMBER(Tabela2[[#This Row],[CT-e/NFS]])=TRUE,(IF(B383&gt;30000,4,IF(B383&lt;1000,"ND",0))),"-")</f>
        <v>4</v>
      </c>
      <c r="B383" s="116">
        <v>45668</v>
      </c>
      <c r="C383" s="117">
        <v>45307</v>
      </c>
      <c r="D383" s="116">
        <v>155.5</v>
      </c>
      <c r="E383" s="117">
        <v>45321</v>
      </c>
      <c r="F383" s="116">
        <f>COUNTIFS($A$3:A8634,A383,$B$3:B8634,B383)</f>
        <v>1</v>
      </c>
      <c r="G383" s="116"/>
    </row>
    <row r="384" spans="1:7" x14ac:dyDescent="0.2">
      <c r="A384" s="116">
        <f>IF(ISNUMBER(Tabela2[[#This Row],[CT-e/NFS]])=TRUE,(IF(B384&gt;30000,4,IF(B384&lt;1000,"ND",0))),"-")</f>
        <v>4</v>
      </c>
      <c r="B384" s="116">
        <v>45689</v>
      </c>
      <c r="C384" s="117">
        <v>45307</v>
      </c>
      <c r="D384" s="116">
        <v>408.02</v>
      </c>
      <c r="E384" s="117">
        <v>45321</v>
      </c>
      <c r="F384" s="116">
        <f>COUNTIFS($A$3:A8635,A384,$B$3:B8635,B384)</f>
        <v>1</v>
      </c>
      <c r="G384" s="116"/>
    </row>
    <row r="385" spans="1:7" x14ac:dyDescent="0.2">
      <c r="A385" s="116">
        <f>IF(ISNUMBER(Tabela2[[#This Row],[CT-e/NFS]])=TRUE,(IF(B385&gt;30000,4,IF(B385&lt;1000,"ND",0))),"-")</f>
        <v>4</v>
      </c>
      <c r="B385" s="116">
        <v>45667</v>
      </c>
      <c r="C385" s="117">
        <v>45307</v>
      </c>
      <c r="D385" s="116">
        <v>126.26</v>
      </c>
      <c r="E385" s="117">
        <v>45321</v>
      </c>
      <c r="F385" s="116">
        <f>COUNTIFS($A$3:A8636,A385,$B$3:B8636,B385)</f>
        <v>1</v>
      </c>
      <c r="G385" s="116"/>
    </row>
    <row r="386" spans="1:7" x14ac:dyDescent="0.2">
      <c r="A386" s="116">
        <f>IF(ISNUMBER(Tabela2[[#This Row],[CT-e/NFS]])=TRUE,(IF(B386&gt;30000,4,IF(B386&lt;1000,"ND",0))),"-")</f>
        <v>4</v>
      </c>
      <c r="B386" s="116">
        <v>45674</v>
      </c>
      <c r="C386" s="117">
        <v>45307</v>
      </c>
      <c r="D386" s="116">
        <v>123.19</v>
      </c>
      <c r="E386" s="117">
        <v>45321</v>
      </c>
      <c r="F386" s="116">
        <f>COUNTIFS($A$3:A8637,A386,$B$3:B8637,B386)</f>
        <v>1</v>
      </c>
      <c r="G386" s="116"/>
    </row>
    <row r="387" spans="1:7" x14ac:dyDescent="0.2">
      <c r="A387" s="116">
        <f>IF(ISNUMBER(Tabela2[[#This Row],[CT-e/NFS]])=TRUE,(IF(B387&gt;30000,4,IF(B387&lt;1000,"ND",0))),"-")</f>
        <v>4</v>
      </c>
      <c r="B387" s="116">
        <v>45669</v>
      </c>
      <c r="C387" s="117">
        <v>45307</v>
      </c>
      <c r="D387" s="116">
        <v>123.32</v>
      </c>
      <c r="E387" s="117">
        <v>45321</v>
      </c>
      <c r="F387" s="116">
        <f>COUNTIFS($A$3:A8638,A387,$B$3:B8638,B387)</f>
        <v>1</v>
      </c>
      <c r="G387" s="116"/>
    </row>
    <row r="388" spans="1:7" x14ac:dyDescent="0.2">
      <c r="A388" s="116">
        <f>IF(ISNUMBER(Tabela2[[#This Row],[CT-e/NFS]])=TRUE,(IF(B388&gt;30000,4,IF(B388&lt;1000,"ND",0))),"-")</f>
        <v>4</v>
      </c>
      <c r="B388" s="116">
        <v>45657</v>
      </c>
      <c r="C388" s="117">
        <v>45307</v>
      </c>
      <c r="D388" s="116">
        <v>196.77</v>
      </c>
      <c r="E388" s="117">
        <v>45321</v>
      </c>
      <c r="F388" s="116">
        <f>COUNTIFS($A$3:A8639,A388,$B$3:B8639,B388)</f>
        <v>1</v>
      </c>
      <c r="G388" s="116"/>
    </row>
    <row r="389" spans="1:7" x14ac:dyDescent="0.2">
      <c r="A389" s="116">
        <f>IF(ISNUMBER(Tabela2[[#This Row],[CT-e/NFS]])=TRUE,(IF(B389&gt;30000,4,IF(B389&lt;1000,"ND",0))),"-")</f>
        <v>4</v>
      </c>
      <c r="B389" s="116">
        <v>45661</v>
      </c>
      <c r="C389" s="117">
        <v>45307</v>
      </c>
      <c r="D389" s="116">
        <v>124.03</v>
      </c>
      <c r="E389" s="117">
        <v>45321</v>
      </c>
      <c r="F389" s="116">
        <f>COUNTIFS($A$3:A8640,A389,$B$3:B8640,B389)</f>
        <v>1</v>
      </c>
      <c r="G389" s="116"/>
    </row>
    <row r="390" spans="1:7" x14ac:dyDescent="0.2">
      <c r="A390" s="116">
        <f>IF(ISNUMBER(Tabela2[[#This Row],[CT-e/NFS]])=TRUE,(IF(B390&gt;30000,4,IF(B390&lt;1000,"ND",0))),"-")</f>
        <v>4</v>
      </c>
      <c r="B390" s="116">
        <v>45673</v>
      </c>
      <c r="C390" s="117">
        <v>45307</v>
      </c>
      <c r="D390" s="116">
        <v>544.01</v>
      </c>
      <c r="E390" s="117">
        <v>45321</v>
      </c>
      <c r="F390" s="116">
        <f>COUNTIFS($A$3:A8641,A390,$B$3:B8641,B390)</f>
        <v>1</v>
      </c>
      <c r="G390" s="116"/>
    </row>
    <row r="391" spans="1:7" x14ac:dyDescent="0.2">
      <c r="A391" s="116">
        <f>IF(ISNUMBER(Tabela2[[#This Row],[CT-e/NFS]])=TRUE,(IF(B391&gt;30000,4,IF(B391&lt;1000,"ND",0))),"-")</f>
        <v>4</v>
      </c>
      <c r="B391" s="116">
        <v>45690</v>
      </c>
      <c r="C391" s="117">
        <v>45307</v>
      </c>
      <c r="D391" s="116">
        <v>784.93</v>
      </c>
      <c r="E391" s="117">
        <v>45321</v>
      </c>
      <c r="F391" s="116">
        <f>COUNTIFS($A$3:A8642,A391,$B$3:B8642,B391)</f>
        <v>1</v>
      </c>
      <c r="G391" s="116"/>
    </row>
    <row r="392" spans="1:7" x14ac:dyDescent="0.2">
      <c r="A392" s="116">
        <f>IF(ISNUMBER(Tabela2[[#This Row],[CT-e/NFS]])=TRUE,(IF(B392&gt;30000,4,IF(B392&lt;1000,"ND",0))),"-")</f>
        <v>4</v>
      </c>
      <c r="B392" s="116">
        <v>45662</v>
      </c>
      <c r="C392" s="117">
        <v>45307</v>
      </c>
      <c r="D392" s="116">
        <v>126.65</v>
      </c>
      <c r="E392" s="117">
        <v>45321</v>
      </c>
      <c r="F392" s="116">
        <f>COUNTIFS($A$3:A8643,A392,$B$3:B8643,B392)</f>
        <v>1</v>
      </c>
      <c r="G392" s="116"/>
    </row>
    <row r="393" spans="1:7" x14ac:dyDescent="0.2">
      <c r="A393" s="116">
        <f>IF(ISNUMBER(Tabela2[[#This Row],[CT-e/NFS]])=TRUE,(IF(B393&gt;30000,4,IF(B393&lt;1000,"ND",0))),"-")</f>
        <v>4</v>
      </c>
      <c r="B393" s="116">
        <v>45563</v>
      </c>
      <c r="C393" s="117">
        <v>45307</v>
      </c>
      <c r="D393" s="116">
        <v>3191.16</v>
      </c>
      <c r="E393" s="117">
        <v>45321</v>
      </c>
      <c r="F393" s="116">
        <f>COUNTIFS($A$3:A8644,A393,$B$3:B8644,B393)</f>
        <v>1</v>
      </c>
      <c r="G393" s="116"/>
    </row>
    <row r="394" spans="1:7" x14ac:dyDescent="0.2">
      <c r="A394" s="116">
        <f>IF(ISNUMBER(Tabela2[[#This Row],[CT-e/NFS]])=TRUE,(IF(B394&gt;30000,4,IF(B394&lt;1000,"ND",0))),"-")</f>
        <v>4</v>
      </c>
      <c r="B394" s="116">
        <v>45691</v>
      </c>
      <c r="C394" s="117">
        <v>45307</v>
      </c>
      <c r="D394" s="116">
        <v>408.02</v>
      </c>
      <c r="E394" s="117">
        <v>45321</v>
      </c>
      <c r="F394" s="116">
        <f>COUNTIFS($A$3:A8645,A394,$B$3:B8645,B394)</f>
        <v>1</v>
      </c>
      <c r="G394" s="116"/>
    </row>
    <row r="395" spans="1:7" x14ac:dyDescent="0.2">
      <c r="A395" s="116">
        <f>IF(ISNUMBER(Tabela2[[#This Row],[CT-e/NFS]])=TRUE,(IF(B395&gt;30000,4,IF(B395&lt;1000,"ND",0))),"-")</f>
        <v>4</v>
      </c>
      <c r="B395" s="116">
        <v>45629</v>
      </c>
      <c r="C395" s="117">
        <v>45307</v>
      </c>
      <c r="D395" s="116">
        <v>416.14</v>
      </c>
      <c r="E395" s="117">
        <v>45321</v>
      </c>
      <c r="F395" s="116">
        <f>COUNTIFS($A$3:A8646,A395,$B$3:B8646,B395)</f>
        <v>1</v>
      </c>
      <c r="G395" s="116"/>
    </row>
    <row r="396" spans="1:7" x14ac:dyDescent="0.2">
      <c r="A396" s="116">
        <f>IF(ISNUMBER(Tabela2[[#This Row],[CT-e/NFS]])=TRUE,(IF(B396&gt;30000,4,IF(B396&lt;1000,"ND",0))),"-")</f>
        <v>4</v>
      </c>
      <c r="B396" s="116">
        <v>45650</v>
      </c>
      <c r="C396" s="117">
        <v>45307</v>
      </c>
      <c r="D396" s="116">
        <v>2393.64</v>
      </c>
      <c r="E396" s="117">
        <v>45321</v>
      </c>
      <c r="F396" s="116">
        <f>COUNTIFS($A$3:A8647,A396,$B$3:B8647,B396)</f>
        <v>1</v>
      </c>
      <c r="G396" s="116"/>
    </row>
    <row r="397" spans="1:7" x14ac:dyDescent="0.2">
      <c r="A397" s="116">
        <f>IF(ISNUMBER(Tabela2[[#This Row],[CT-e/NFS]])=TRUE,(IF(B397&gt;30000,4,IF(B397&lt;1000,"ND",0))),"-")</f>
        <v>4</v>
      </c>
      <c r="B397" s="116">
        <v>45692</v>
      </c>
      <c r="C397" s="117">
        <v>45307</v>
      </c>
      <c r="D397" s="116">
        <v>466.15</v>
      </c>
      <c r="E397" s="117">
        <v>45321</v>
      </c>
      <c r="F397" s="116">
        <f>COUNTIFS($A$3:A8648,A397,$B$3:B8648,B397)</f>
        <v>1</v>
      </c>
      <c r="G397" s="116"/>
    </row>
    <row r="398" spans="1:7" x14ac:dyDescent="0.2">
      <c r="A398" s="116">
        <f>IF(ISNUMBER(Tabela2[[#This Row],[CT-e/NFS]])=TRUE,(IF(B398&gt;30000,4,IF(B398&lt;1000,"ND",0))),"-")</f>
        <v>4</v>
      </c>
      <c r="B398" s="116">
        <v>45693</v>
      </c>
      <c r="C398" s="117">
        <v>45307</v>
      </c>
      <c r="D398" s="116">
        <v>500.92</v>
      </c>
      <c r="E398" s="117">
        <v>45321</v>
      </c>
      <c r="F398" s="116">
        <f>COUNTIFS($A$3:A8649,A398,$B$3:B8649,B398)</f>
        <v>1</v>
      </c>
      <c r="G398" s="116"/>
    </row>
    <row r="399" spans="1:7" x14ac:dyDescent="0.2">
      <c r="A399" s="116">
        <f>IF(ISNUMBER(Tabela2[[#This Row],[CT-e/NFS]])=TRUE,(IF(B399&gt;30000,4,IF(B399&lt;1000,"ND",0))),"-")</f>
        <v>4</v>
      </c>
      <c r="B399" s="116">
        <v>45706</v>
      </c>
      <c r="C399" s="117">
        <v>45307</v>
      </c>
      <c r="D399" s="116">
        <v>967.07</v>
      </c>
      <c r="E399" s="117">
        <v>45321</v>
      </c>
      <c r="F399" s="116">
        <f>COUNTIFS($A$3:A8650,A399,$B$3:B8650,B399)</f>
        <v>1</v>
      </c>
      <c r="G399" s="116"/>
    </row>
    <row r="400" spans="1:7" x14ac:dyDescent="0.2">
      <c r="A400" s="116">
        <f>IF(ISNUMBER(Tabela2[[#This Row],[CT-e/NFS]])=TRUE,(IF(B400&gt;30000,4,IF(B400&lt;1000,"ND",0))),"-")</f>
        <v>4</v>
      </c>
      <c r="B400" s="116">
        <v>45710</v>
      </c>
      <c r="C400" s="117">
        <v>45307</v>
      </c>
      <c r="D400" s="116">
        <v>314.99</v>
      </c>
      <c r="E400" s="117">
        <v>45321</v>
      </c>
      <c r="F400" s="116">
        <f>COUNTIFS($A$3:A8651,A400,$B$3:B8651,B400)</f>
        <v>1</v>
      </c>
      <c r="G400" s="116"/>
    </row>
    <row r="401" spans="1:7" x14ac:dyDescent="0.2">
      <c r="A401" s="116">
        <f>IF(ISNUMBER(Tabela2[[#This Row],[CT-e/NFS]])=TRUE,(IF(B401&gt;30000,4,IF(B401&lt;1000,"ND",0))),"-")</f>
        <v>4</v>
      </c>
      <c r="B401" s="116">
        <v>45709</v>
      </c>
      <c r="C401" s="117">
        <v>45307</v>
      </c>
      <c r="D401" s="116">
        <v>344.32</v>
      </c>
      <c r="E401" s="117">
        <v>45321</v>
      </c>
      <c r="F401" s="116">
        <f>COUNTIFS($A$3:A8652,A401,$B$3:B8652,B401)</f>
        <v>1</v>
      </c>
      <c r="G401" s="116"/>
    </row>
    <row r="402" spans="1:7" x14ac:dyDescent="0.2">
      <c r="A402" s="116">
        <f>IF(ISNUMBER(Tabela2[[#This Row],[CT-e/NFS]])=TRUE,(IF(B402&gt;30000,4,IF(B402&lt;1000,"ND",0))),"-")</f>
        <v>4</v>
      </c>
      <c r="B402" s="116">
        <v>45685</v>
      </c>
      <c r="C402" s="117">
        <v>45307</v>
      </c>
      <c r="D402" s="116">
        <v>609.22</v>
      </c>
      <c r="E402" s="117">
        <v>45321</v>
      </c>
      <c r="F402" s="116">
        <f>COUNTIFS($A$3:A8653,A402,$B$3:B8653,B402)</f>
        <v>1</v>
      </c>
      <c r="G402" s="116"/>
    </row>
    <row r="403" spans="1:7" x14ac:dyDescent="0.2">
      <c r="A403" s="116">
        <f>IF(ISNUMBER(Tabela2[[#This Row],[CT-e/NFS]])=TRUE,(IF(B403&gt;30000,4,IF(B403&lt;1000,"ND",0))),"-")</f>
        <v>4</v>
      </c>
      <c r="B403" s="116">
        <v>45596</v>
      </c>
      <c r="C403" s="117">
        <v>45307</v>
      </c>
      <c r="D403" s="116">
        <v>338.72</v>
      </c>
      <c r="E403" s="117">
        <v>45321</v>
      </c>
      <c r="F403" s="116">
        <f>COUNTIFS($A$3:A8654,A403,$B$3:B8654,B403)</f>
        <v>1</v>
      </c>
      <c r="G403" s="116"/>
    </row>
    <row r="404" spans="1:7" x14ac:dyDescent="0.2">
      <c r="A404" s="116">
        <f>IF(ISNUMBER(Tabela2[[#This Row],[CT-e/NFS]])=TRUE,(IF(B404&gt;30000,4,IF(B404&lt;1000,"ND",0))),"-")</f>
        <v>0</v>
      </c>
      <c r="B404" s="116">
        <v>21004</v>
      </c>
      <c r="C404" s="117">
        <v>45307</v>
      </c>
      <c r="D404" s="116">
        <v>143.56</v>
      </c>
      <c r="E404" s="117">
        <v>45321</v>
      </c>
      <c r="F404" s="116">
        <f>COUNTIFS($A$3:A8655,A404,$B$3:B8655,B404)</f>
        <v>1</v>
      </c>
      <c r="G404" s="116"/>
    </row>
    <row r="405" spans="1:7" x14ac:dyDescent="0.2">
      <c r="A405" s="116">
        <f>IF(ISNUMBER(Tabela2[[#This Row],[CT-e/NFS]])=TRUE,(IF(B405&gt;30000,4,IF(B405&lt;1000,"ND",0))),"-")</f>
        <v>0</v>
      </c>
      <c r="B405" s="116">
        <v>21003</v>
      </c>
      <c r="C405" s="117">
        <v>45307</v>
      </c>
      <c r="D405" s="116">
        <v>76.2</v>
      </c>
      <c r="E405" s="117">
        <v>45321</v>
      </c>
      <c r="F405" s="116">
        <f>COUNTIFS($A$3:A8656,A405,$B$3:B8656,B405)</f>
        <v>1</v>
      </c>
      <c r="G405" s="116"/>
    </row>
    <row r="406" spans="1:7" x14ac:dyDescent="0.2">
      <c r="A406" s="116">
        <f>IF(ISNUMBER(Tabela2[[#This Row],[CT-e/NFS]])=TRUE,(IF(B406&gt;30000,4,IF(B406&lt;1000,"ND",0))),"-")</f>
        <v>4</v>
      </c>
      <c r="B406" s="116">
        <v>45696</v>
      </c>
      <c r="C406" s="117">
        <v>45307</v>
      </c>
      <c r="D406" s="116">
        <v>768.55</v>
      </c>
      <c r="E406" s="117">
        <v>45321</v>
      </c>
      <c r="F406" s="116">
        <f>COUNTIFS($A$3:A8657,A406,$B$3:B8657,B406)</f>
        <v>1</v>
      </c>
      <c r="G406" s="116"/>
    </row>
    <row r="407" spans="1:7" x14ac:dyDescent="0.2">
      <c r="A407" s="116">
        <f>IF(ISNUMBER(Tabela2[[#This Row],[CT-e/NFS]])=TRUE,(IF(B407&gt;30000,4,IF(B407&lt;1000,"ND",0))),"-")</f>
        <v>4</v>
      </c>
      <c r="B407" s="116">
        <v>45680</v>
      </c>
      <c r="C407" s="117">
        <v>45307</v>
      </c>
      <c r="D407" s="116">
        <v>702.74</v>
      </c>
      <c r="E407" s="117">
        <v>45321</v>
      </c>
      <c r="F407" s="116">
        <f>COUNTIFS($A$3:A8658,A407,$B$3:B8658,B407)</f>
        <v>1</v>
      </c>
      <c r="G407" s="116"/>
    </row>
    <row r="408" spans="1:7" x14ac:dyDescent="0.2">
      <c r="A408" s="116">
        <f>IF(ISNUMBER(Tabela2[[#This Row],[CT-e/NFS]])=TRUE,(IF(B408&gt;30000,4,IF(B408&lt;1000,"ND",0))),"-")</f>
        <v>4</v>
      </c>
      <c r="B408" s="116">
        <v>45608</v>
      </c>
      <c r="C408" s="117">
        <v>45307</v>
      </c>
      <c r="D408" s="116">
        <v>1003.68</v>
      </c>
      <c r="E408" s="117">
        <v>45321</v>
      </c>
      <c r="F408" s="116">
        <f>COUNTIFS($A$3:A8659,A408,$B$3:B8659,B408)</f>
        <v>1</v>
      </c>
      <c r="G408" s="116"/>
    </row>
    <row r="409" spans="1:7" x14ac:dyDescent="0.2">
      <c r="A409" s="116">
        <f>IF(ISNUMBER(Tabela2[[#This Row],[CT-e/NFS]])=TRUE,(IF(B409&gt;30000,4,IF(B409&lt;1000,"ND",0))),"-")</f>
        <v>4</v>
      </c>
      <c r="B409" s="116">
        <v>45688</v>
      </c>
      <c r="C409" s="117">
        <v>45307</v>
      </c>
      <c r="D409" s="116">
        <v>217.74</v>
      </c>
      <c r="E409" s="117">
        <v>45321</v>
      </c>
      <c r="F409" s="116">
        <f>COUNTIFS($A$3:A8660,A409,$B$3:B8660,B409)</f>
        <v>1</v>
      </c>
      <c r="G409" s="116"/>
    </row>
    <row r="410" spans="1:7" x14ac:dyDescent="0.2">
      <c r="A410" s="116">
        <f>IF(ISNUMBER(Tabela2[[#This Row],[CT-e/NFS]])=TRUE,(IF(B410&gt;30000,4,IF(B410&lt;1000,"ND",0))),"-")</f>
        <v>4</v>
      </c>
      <c r="B410" s="116">
        <v>45694</v>
      </c>
      <c r="C410" s="117">
        <v>45307</v>
      </c>
      <c r="D410" s="116">
        <v>124.45</v>
      </c>
      <c r="E410" s="117">
        <v>45321</v>
      </c>
      <c r="F410" s="116">
        <f>COUNTIFS($A$3:A8661,A410,$B$3:B8661,B410)</f>
        <v>1</v>
      </c>
      <c r="G410" s="116"/>
    </row>
    <row r="411" spans="1:7" x14ac:dyDescent="0.2">
      <c r="A411" s="116">
        <f>IF(ISNUMBER(Tabela2[[#This Row],[CT-e/NFS]])=TRUE,(IF(B411&gt;30000,4,IF(B411&lt;1000,"ND",0))),"-")</f>
        <v>4</v>
      </c>
      <c r="B411" s="116">
        <v>45697</v>
      </c>
      <c r="C411" s="117">
        <v>45307</v>
      </c>
      <c r="D411" s="116">
        <v>367.6</v>
      </c>
      <c r="E411" s="117">
        <v>45321</v>
      </c>
      <c r="F411" s="116">
        <f>COUNTIFS($A$3:A8662,A411,$B$3:B8662,B411)</f>
        <v>1</v>
      </c>
      <c r="G411" s="116"/>
    </row>
    <row r="412" spans="1:7" x14ac:dyDescent="0.2">
      <c r="A412" s="116">
        <f>IF(ISNUMBER(Tabela2[[#This Row],[CT-e/NFS]])=TRUE,(IF(B412&gt;30000,4,IF(B412&lt;1000,"ND",0))),"-")</f>
        <v>4</v>
      </c>
      <c r="B412" s="116">
        <v>45699</v>
      </c>
      <c r="C412" s="117">
        <v>45307</v>
      </c>
      <c r="D412" s="116">
        <v>124.3</v>
      </c>
      <c r="E412" s="117">
        <v>45321</v>
      </c>
      <c r="F412" s="116">
        <f>COUNTIFS($A$3:A8663,A412,$B$3:B8663,B412)</f>
        <v>1</v>
      </c>
      <c r="G412" s="116"/>
    </row>
    <row r="413" spans="1:7" x14ac:dyDescent="0.2">
      <c r="A413" s="116">
        <f>IF(ISNUMBER(Tabela2[[#This Row],[CT-e/NFS]])=TRUE,(IF(B413&gt;30000,4,IF(B413&lt;1000,"ND",0))),"-")</f>
        <v>4</v>
      </c>
      <c r="B413" s="116">
        <v>45702</v>
      </c>
      <c r="C413" s="117">
        <v>45307</v>
      </c>
      <c r="D413" s="116">
        <v>123.89</v>
      </c>
      <c r="E413" s="117">
        <v>45321</v>
      </c>
      <c r="F413" s="116">
        <f>COUNTIFS($A$3:A8664,A413,$B$3:B8664,B413)</f>
        <v>1</v>
      </c>
      <c r="G413" s="116"/>
    </row>
    <row r="414" spans="1:7" x14ac:dyDescent="0.2">
      <c r="A414" s="116">
        <f>IF(ISNUMBER(Tabela2[[#This Row],[CT-e/NFS]])=TRUE,(IF(B414&gt;30000,4,IF(B414&lt;1000,"ND",0))),"-")</f>
        <v>4</v>
      </c>
      <c r="B414" s="116">
        <v>45700</v>
      </c>
      <c r="C414" s="117">
        <v>45307</v>
      </c>
      <c r="D414" s="116">
        <v>123.94</v>
      </c>
      <c r="E414" s="117">
        <v>45321</v>
      </c>
      <c r="F414" s="116">
        <f>COUNTIFS($A$3:A8665,A414,$B$3:B8665,B414)</f>
        <v>1</v>
      </c>
      <c r="G414" s="116"/>
    </row>
    <row r="415" spans="1:7" x14ac:dyDescent="0.2">
      <c r="A415" s="116">
        <f>IF(ISNUMBER(Tabela2[[#This Row],[CT-e/NFS]])=TRUE,(IF(B415&gt;30000,4,IF(B415&lt;1000,"ND",0))),"-")</f>
        <v>4</v>
      </c>
      <c r="B415" s="116">
        <v>45727</v>
      </c>
      <c r="C415" s="117">
        <v>45307</v>
      </c>
      <c r="D415" s="116">
        <v>123.89</v>
      </c>
      <c r="E415" s="117">
        <v>45321</v>
      </c>
      <c r="F415" s="116">
        <f>COUNTIFS($A$3:A8666,A415,$B$3:B8666,B415)</f>
        <v>1</v>
      </c>
      <c r="G415" s="116"/>
    </row>
    <row r="416" spans="1:7" x14ac:dyDescent="0.2">
      <c r="A416" s="116">
        <f>IF(ISNUMBER(Tabela2[[#This Row],[CT-e/NFS]])=TRUE,(IF(B416&gt;30000,4,IF(B416&lt;1000,"ND",0))),"-")</f>
        <v>4</v>
      </c>
      <c r="B416" s="116">
        <v>45721</v>
      </c>
      <c r="C416" s="117">
        <v>45307</v>
      </c>
      <c r="D416" s="116">
        <v>124.25</v>
      </c>
      <c r="E416" s="117">
        <v>45321</v>
      </c>
      <c r="F416" s="116">
        <f>COUNTIFS($A$3:A8667,A416,$B$3:B8667,B416)</f>
        <v>1</v>
      </c>
      <c r="G416" s="116"/>
    </row>
    <row r="417" spans="1:7" x14ac:dyDescent="0.2">
      <c r="A417" s="116">
        <f>IF(ISNUMBER(Tabela2[[#This Row],[CT-e/NFS]])=TRUE,(IF(B417&gt;30000,4,IF(B417&lt;1000,"ND",0))),"-")</f>
        <v>4</v>
      </c>
      <c r="B417" s="116">
        <v>45718</v>
      </c>
      <c r="C417" s="117">
        <v>45307</v>
      </c>
      <c r="D417" s="116">
        <v>124.32</v>
      </c>
      <c r="E417" s="117">
        <v>45321</v>
      </c>
      <c r="F417" s="116">
        <f>COUNTIFS($A$3:A8668,A417,$B$3:B8668,B417)</f>
        <v>1</v>
      </c>
      <c r="G417" s="116"/>
    </row>
    <row r="418" spans="1:7" x14ac:dyDescent="0.2">
      <c r="A418" s="116">
        <f>IF(ISNUMBER(Tabela2[[#This Row],[CT-e/NFS]])=TRUE,(IF(B418&gt;30000,4,IF(B418&lt;1000,"ND",0))),"-")</f>
        <v>4</v>
      </c>
      <c r="B418" s="116">
        <v>45713</v>
      </c>
      <c r="C418" s="117">
        <v>45307</v>
      </c>
      <c r="D418" s="116">
        <v>2107.5</v>
      </c>
      <c r="E418" s="117">
        <v>45321</v>
      </c>
      <c r="F418" s="116">
        <f>COUNTIFS($A$3:A8669,A418,$B$3:B8669,B418)</f>
        <v>1</v>
      </c>
      <c r="G418" s="116"/>
    </row>
    <row r="419" spans="1:7" x14ac:dyDescent="0.2">
      <c r="A419" s="116">
        <f>IF(ISNUMBER(Tabela2[[#This Row],[CT-e/NFS]])=TRUE,(IF(B419&gt;30000,4,IF(B419&lt;1000,"ND",0))),"-")</f>
        <v>4</v>
      </c>
      <c r="B419" s="116">
        <v>45724</v>
      </c>
      <c r="C419" s="117">
        <v>45307</v>
      </c>
      <c r="D419" s="116">
        <v>123.53</v>
      </c>
      <c r="E419" s="117">
        <v>45321</v>
      </c>
      <c r="F419" s="116">
        <f>COUNTIFS($A$3:A8670,A419,$B$3:B8670,B419)</f>
        <v>1</v>
      </c>
      <c r="G419" s="116"/>
    </row>
    <row r="420" spans="1:7" x14ac:dyDescent="0.2">
      <c r="A420" s="116">
        <f>IF(ISNUMBER(Tabela2[[#This Row],[CT-e/NFS]])=TRUE,(IF(B420&gt;30000,4,IF(B420&lt;1000,"ND",0))),"-")</f>
        <v>4</v>
      </c>
      <c r="B420" s="116">
        <v>45717</v>
      </c>
      <c r="C420" s="117">
        <v>45307</v>
      </c>
      <c r="D420" s="116">
        <v>420.24</v>
      </c>
      <c r="E420" s="117">
        <v>45321</v>
      </c>
      <c r="F420" s="116">
        <f>COUNTIFS($A$3:A8671,A420,$B$3:B8671,B420)</f>
        <v>1</v>
      </c>
      <c r="G420" s="116"/>
    </row>
    <row r="421" spans="1:7" x14ac:dyDescent="0.2">
      <c r="A421" s="116">
        <f>IF(ISNUMBER(Tabela2[[#This Row],[CT-e/NFS]])=TRUE,(IF(B421&gt;30000,4,IF(B421&lt;1000,"ND",0))),"-")</f>
        <v>4</v>
      </c>
      <c r="B421" s="116">
        <v>45728</v>
      </c>
      <c r="C421" s="117">
        <v>45307</v>
      </c>
      <c r="D421" s="116">
        <v>122.91</v>
      </c>
      <c r="E421" s="117">
        <v>45321</v>
      </c>
      <c r="F421" s="116">
        <f>COUNTIFS($A$3:A8672,A421,$B$3:B8672,B421)</f>
        <v>1</v>
      </c>
      <c r="G421" s="116"/>
    </row>
    <row r="422" spans="1:7" x14ac:dyDescent="0.2">
      <c r="A422" s="116">
        <f>IF(ISNUMBER(Tabela2[[#This Row],[CT-e/NFS]])=TRUE,(IF(B422&gt;30000,4,IF(B422&lt;1000,"ND",0))),"-")</f>
        <v>4</v>
      </c>
      <c r="B422" s="116">
        <v>45725</v>
      </c>
      <c r="C422" s="117">
        <v>45307</v>
      </c>
      <c r="D422" s="116">
        <v>532.16999999999996</v>
      </c>
      <c r="E422" s="117">
        <v>45321</v>
      </c>
      <c r="F422" s="116">
        <f>COUNTIFS($A$3:A8673,A422,$B$3:B8673,B422)</f>
        <v>1</v>
      </c>
      <c r="G422" s="116"/>
    </row>
    <row r="423" spans="1:7" x14ac:dyDescent="0.2">
      <c r="A423" s="116">
        <f>IF(ISNUMBER(Tabela2[[#This Row],[CT-e/NFS]])=TRUE,(IF(B423&gt;30000,4,IF(B423&lt;1000,"ND",0))),"-")</f>
        <v>4</v>
      </c>
      <c r="B423" s="116">
        <v>45719</v>
      </c>
      <c r="C423" s="117">
        <v>45307</v>
      </c>
      <c r="D423" s="116">
        <v>124.42</v>
      </c>
      <c r="E423" s="117">
        <v>45321</v>
      </c>
      <c r="F423" s="116">
        <f>COUNTIFS($A$3:A8674,A423,$B$3:B8674,B423)</f>
        <v>1</v>
      </c>
      <c r="G423" s="116"/>
    </row>
    <row r="424" spans="1:7" x14ac:dyDescent="0.2">
      <c r="A424" s="116">
        <f>IF(ISNUMBER(Tabela2[[#This Row],[CT-e/NFS]])=TRUE,(IF(B424&gt;30000,4,IF(B424&lt;1000,"ND",0))),"-")</f>
        <v>4</v>
      </c>
      <c r="B424" s="116">
        <v>45714</v>
      </c>
      <c r="C424" s="117">
        <v>45307</v>
      </c>
      <c r="D424" s="116">
        <v>125.36</v>
      </c>
      <c r="E424" s="117">
        <v>45321</v>
      </c>
      <c r="F424" s="116">
        <f>COUNTIFS($A$3:A8675,A424,$B$3:B8675,B424)</f>
        <v>1</v>
      </c>
      <c r="G424" s="116"/>
    </row>
    <row r="425" spans="1:7" x14ac:dyDescent="0.2">
      <c r="A425" s="116">
        <f>IF(ISNUMBER(Tabela2[[#This Row],[CT-e/NFS]])=TRUE,(IF(B425&gt;30000,4,IF(B425&lt;1000,"ND",0))),"-")</f>
        <v>4</v>
      </c>
      <c r="B425" s="116">
        <v>45715</v>
      </c>
      <c r="C425" s="117">
        <v>45307</v>
      </c>
      <c r="D425" s="116">
        <v>125.88</v>
      </c>
      <c r="E425" s="117">
        <v>45321</v>
      </c>
      <c r="F425" s="116">
        <f>COUNTIFS($A$3:A8676,A425,$B$3:B8676,B425)</f>
        <v>1</v>
      </c>
      <c r="G425" s="116"/>
    </row>
    <row r="426" spans="1:7" x14ac:dyDescent="0.2">
      <c r="A426" s="116">
        <f>IF(ISNUMBER(Tabela2[[#This Row],[CT-e/NFS]])=TRUE,(IF(B426&gt;30000,4,IF(B426&lt;1000,"ND",0))),"-")</f>
        <v>4</v>
      </c>
      <c r="B426" s="116">
        <v>45720</v>
      </c>
      <c r="C426" s="117">
        <v>45307</v>
      </c>
      <c r="D426" s="116">
        <v>124.05</v>
      </c>
      <c r="E426" s="117">
        <v>45321</v>
      </c>
      <c r="F426" s="116">
        <f>COUNTIFS($A$3:A8677,A426,$B$3:B8677,B426)</f>
        <v>1</v>
      </c>
      <c r="G426" s="116"/>
    </row>
    <row r="427" spans="1:7" x14ac:dyDescent="0.2">
      <c r="A427" s="116">
        <f>IF(ISNUMBER(Tabela2[[#This Row],[CT-e/NFS]])=TRUE,(IF(B427&gt;30000,4,IF(B427&lt;1000,"ND",0))),"-")</f>
        <v>4</v>
      </c>
      <c r="B427" s="116">
        <v>45716</v>
      </c>
      <c r="C427" s="117">
        <v>45307</v>
      </c>
      <c r="D427" s="116">
        <v>680.02</v>
      </c>
      <c r="E427" s="117">
        <v>45321</v>
      </c>
      <c r="F427" s="116">
        <f>COUNTIFS($A$3:A8678,A427,$B$3:B8678,B427)</f>
        <v>1</v>
      </c>
      <c r="G427" s="116"/>
    </row>
    <row r="428" spans="1:7" x14ac:dyDescent="0.2">
      <c r="A428" s="116">
        <f>IF(ISNUMBER(Tabela2[[#This Row],[CT-e/NFS]])=TRUE,(IF(B428&gt;30000,4,IF(B428&lt;1000,"ND",0))),"-")</f>
        <v>4</v>
      </c>
      <c r="B428" s="116">
        <v>45687</v>
      </c>
      <c r="C428" s="117">
        <v>45307</v>
      </c>
      <c r="D428" s="116">
        <v>120.8</v>
      </c>
      <c r="E428" s="117">
        <v>45321</v>
      </c>
      <c r="F428" s="116">
        <f>COUNTIFS($A$3:A8679,A428,$B$3:B8679,B428)</f>
        <v>1</v>
      </c>
      <c r="G428" s="116"/>
    </row>
    <row r="429" spans="1:7" x14ac:dyDescent="0.2">
      <c r="A429" s="116">
        <f>IF(ISNUMBER(Tabela2[[#This Row],[CT-e/NFS]])=TRUE,(IF(B429&gt;30000,4,IF(B429&lt;1000,"ND",0))),"-")</f>
        <v>4</v>
      </c>
      <c r="B429" s="116">
        <v>45686</v>
      </c>
      <c r="C429" s="117">
        <v>45307</v>
      </c>
      <c r="D429" s="116">
        <v>238.86</v>
      </c>
      <c r="E429" s="117">
        <v>45321</v>
      </c>
      <c r="F429" s="116">
        <f>COUNTIFS($A$3:A8680,A429,$B$3:B8680,B429)</f>
        <v>1</v>
      </c>
      <c r="G429" s="116"/>
    </row>
    <row r="430" spans="1:7" x14ac:dyDescent="0.2">
      <c r="A430" s="116">
        <f>IF(ISNUMBER(Tabela2[[#This Row],[CT-e/NFS]])=TRUE,(IF(B430&gt;30000,4,IF(B430&lt;1000,"ND",0))),"-")</f>
        <v>4</v>
      </c>
      <c r="B430" s="116">
        <v>45663</v>
      </c>
      <c r="C430" s="117">
        <v>45307</v>
      </c>
      <c r="D430" s="116">
        <v>713.13</v>
      </c>
      <c r="E430" s="117">
        <v>45321</v>
      </c>
      <c r="F430" s="116">
        <f>COUNTIFS($A$3:A8681,A430,$B$3:B8681,B430)</f>
        <v>1</v>
      </c>
      <c r="G430" s="116"/>
    </row>
    <row r="431" spans="1:7" x14ac:dyDescent="0.2">
      <c r="A431" s="116">
        <f>IF(ISNUMBER(Tabela2[[#This Row],[CT-e/NFS]])=TRUE,(IF(B431&gt;30000,4,IF(B431&lt;1000,"ND",0))),"-")</f>
        <v>4</v>
      </c>
      <c r="B431" s="116">
        <v>45695</v>
      </c>
      <c r="C431" s="117">
        <v>45307</v>
      </c>
      <c r="D431" s="116">
        <v>123.51</v>
      </c>
      <c r="E431" s="117">
        <v>45321</v>
      </c>
      <c r="F431" s="116">
        <f>COUNTIFS($A$3:A8682,A431,$B$3:B8682,B431)</f>
        <v>1</v>
      </c>
      <c r="G431" s="116"/>
    </row>
    <row r="432" spans="1:7" x14ac:dyDescent="0.2">
      <c r="A432" s="116">
        <f>IF(ISNUMBER(Tabela2[[#This Row],[CT-e/NFS]])=TRUE,(IF(B432&gt;30000,4,IF(B432&lt;1000,"ND",0))),"-")</f>
        <v>4</v>
      </c>
      <c r="B432" s="116">
        <v>45701</v>
      </c>
      <c r="C432" s="117">
        <v>45307</v>
      </c>
      <c r="D432" s="116">
        <v>124.22</v>
      </c>
      <c r="E432" s="117">
        <v>45321</v>
      </c>
      <c r="F432" s="116">
        <f>COUNTIFS($A$3:A8683,A432,$B$3:B8683,B432)</f>
        <v>1</v>
      </c>
      <c r="G432" s="116"/>
    </row>
    <row r="433" spans="1:7" x14ac:dyDescent="0.2">
      <c r="A433" s="116">
        <f>IF(ISNUMBER(Tabela2[[#This Row],[CT-e/NFS]])=TRUE,(IF(B433&gt;30000,4,IF(B433&lt;1000,"ND",0))),"-")</f>
        <v>4</v>
      </c>
      <c r="B433" s="116">
        <v>45707</v>
      </c>
      <c r="C433" s="117">
        <v>45307</v>
      </c>
      <c r="D433" s="116">
        <v>231.83</v>
      </c>
      <c r="E433" s="117">
        <v>45321</v>
      </c>
      <c r="F433" s="116">
        <f>COUNTIFS($A$3:A8684,A433,$B$3:B8684,B433)</f>
        <v>1</v>
      </c>
      <c r="G433" s="116"/>
    </row>
    <row r="434" spans="1:7" x14ac:dyDescent="0.2">
      <c r="A434" s="116">
        <f>IF(ISNUMBER(Tabela2[[#This Row],[CT-e/NFS]])=TRUE,(IF(B434&gt;30000,4,IF(B434&lt;1000,"ND",0))),"-")</f>
        <v>4</v>
      </c>
      <c r="B434" s="116">
        <v>45726</v>
      </c>
      <c r="C434" s="117">
        <v>45307</v>
      </c>
      <c r="D434" s="116">
        <v>681.9</v>
      </c>
      <c r="E434" s="117">
        <v>45321</v>
      </c>
      <c r="F434" s="116">
        <f>COUNTIFS($A$3:A8685,A434,$B$3:B8685,B434)</f>
        <v>1</v>
      </c>
      <c r="G434" s="116"/>
    </row>
    <row r="435" spans="1:7" x14ac:dyDescent="0.2">
      <c r="A435" s="116">
        <f>IF(ISNUMBER(Tabela2[[#This Row],[CT-e/NFS]])=TRUE,(IF(B435&gt;30000,4,IF(B435&lt;1000,"ND",0))),"-")</f>
        <v>4</v>
      </c>
      <c r="B435" s="116">
        <v>45723</v>
      </c>
      <c r="C435" s="117">
        <v>45307</v>
      </c>
      <c r="D435" s="116">
        <v>229.09</v>
      </c>
      <c r="E435" s="117">
        <v>45321</v>
      </c>
      <c r="F435" s="116">
        <f>COUNTIFS($A$3:A8686,A435,$B$3:B8686,B435)</f>
        <v>1</v>
      </c>
      <c r="G435" s="116"/>
    </row>
    <row r="436" spans="1:7" x14ac:dyDescent="0.2">
      <c r="A436" s="116">
        <f>IF(ISNUMBER(Tabela2[[#This Row],[CT-e/NFS]])=TRUE,(IF(B436&gt;30000,4,IF(B436&lt;1000,"ND",0))),"-")</f>
        <v>4</v>
      </c>
      <c r="B436" s="116">
        <v>45722</v>
      </c>
      <c r="C436" s="117">
        <v>45307</v>
      </c>
      <c r="D436" s="116">
        <v>426.24</v>
      </c>
      <c r="E436" s="117">
        <v>45321</v>
      </c>
      <c r="F436" s="116">
        <f>COUNTIFS($A$3:A8687,A436,$B$3:B8687,B436)</f>
        <v>1</v>
      </c>
      <c r="G436" s="116"/>
    </row>
    <row r="437" spans="1:7" x14ac:dyDescent="0.2">
      <c r="A437" s="116">
        <f>IF(ISNUMBER(Tabela2[[#This Row],[CT-e/NFS]])=TRUE,(IF(B437&gt;30000,4,IF(B437&lt;1000,"ND",0))),"-")</f>
        <v>4</v>
      </c>
      <c r="B437" s="116">
        <v>45708</v>
      </c>
      <c r="C437" s="117">
        <v>45307</v>
      </c>
      <c r="D437" s="116">
        <v>242.93</v>
      </c>
      <c r="E437" s="117">
        <v>45321</v>
      </c>
      <c r="F437" s="116">
        <f>COUNTIFS($A$3:A8688,A437,$B$3:B8688,B437)</f>
        <v>1</v>
      </c>
      <c r="G437" s="116"/>
    </row>
    <row r="438" spans="1:7" x14ac:dyDescent="0.2">
      <c r="A438" s="116">
        <f>IF(ISNUMBER(Tabela2[[#This Row],[CT-e/NFS]])=TRUE,(IF(B438&gt;30000,4,IF(B438&lt;1000,"ND",0))),"-")</f>
        <v>4</v>
      </c>
      <c r="B438" s="116">
        <v>45729</v>
      </c>
      <c r="C438" s="117">
        <v>45307</v>
      </c>
      <c r="D438" s="116">
        <v>123.5</v>
      </c>
      <c r="E438" s="117">
        <v>45321</v>
      </c>
      <c r="F438" s="116">
        <f>COUNTIFS($A$3:A8689,A438,$B$3:B8689,B438)</f>
        <v>1</v>
      </c>
      <c r="G438" s="116"/>
    </row>
    <row r="439" spans="1:7" x14ac:dyDescent="0.2">
      <c r="A439" s="116">
        <f>IF(ISNUMBER(Tabela2[[#This Row],[CT-e/NFS]])=TRUE,(IF(B439&gt;30000,4,IF(B439&lt;1000,"ND",0))),"-")</f>
        <v>4</v>
      </c>
      <c r="B439" s="116">
        <v>45730</v>
      </c>
      <c r="C439" s="117">
        <v>45307</v>
      </c>
      <c r="D439" s="116">
        <v>124.3</v>
      </c>
      <c r="E439" s="117">
        <v>45321</v>
      </c>
      <c r="F439" s="116">
        <f>COUNTIFS($A$3:A8690,A439,$B$3:B8690,B439)</f>
        <v>1</v>
      </c>
      <c r="G439" s="116"/>
    </row>
    <row r="440" spans="1:7" x14ac:dyDescent="0.2">
      <c r="A440" s="116">
        <f>IF(ISNUMBER(Tabela2[[#This Row],[CT-e/NFS]])=TRUE,(IF(B440&gt;30000,4,IF(B440&lt;1000,"ND",0))),"-")</f>
        <v>0</v>
      </c>
      <c r="B440" s="116">
        <v>20994</v>
      </c>
      <c r="C440" s="117">
        <v>45307</v>
      </c>
      <c r="D440" s="116">
        <v>388.8</v>
      </c>
      <c r="E440" s="117">
        <v>45321</v>
      </c>
      <c r="F440" s="116">
        <f>COUNTIFS($A$3:A8691,A440,$B$3:B8691,B440)</f>
        <v>1</v>
      </c>
      <c r="G440" s="116"/>
    </row>
    <row r="441" spans="1:7" x14ac:dyDescent="0.2">
      <c r="A441" s="116">
        <f>IF(ISNUMBER(Tabela2[[#This Row],[CT-e/NFS]])=TRUE,(IF(B441&gt;30000,4,IF(B441&lt;1000,"ND",0))),"-")</f>
        <v>0</v>
      </c>
      <c r="B441" s="116">
        <v>20995</v>
      </c>
      <c r="C441" s="117">
        <v>45307</v>
      </c>
      <c r="D441" s="116">
        <v>215.34</v>
      </c>
      <c r="E441" s="117">
        <v>45321</v>
      </c>
      <c r="F441" s="116">
        <f>COUNTIFS($A$3:A8692,A441,$B$3:B8692,B441)</f>
        <v>1</v>
      </c>
      <c r="G441" s="116"/>
    </row>
    <row r="442" spans="1:7" x14ac:dyDescent="0.2">
      <c r="A442" s="116">
        <f>IF(ISNUMBER(Tabela2[[#This Row],[CT-e/NFS]])=TRUE,(IF(B442&gt;30000,4,IF(B442&lt;1000,"ND",0))),"-")</f>
        <v>0</v>
      </c>
      <c r="B442" s="116">
        <v>20998</v>
      </c>
      <c r="C442" s="117">
        <v>45307</v>
      </c>
      <c r="D442" s="116">
        <v>37.799999999999997</v>
      </c>
      <c r="E442" s="117">
        <v>45321</v>
      </c>
      <c r="F442" s="116">
        <f>COUNTIFS($A$3:A8693,A442,$B$3:B8693,B442)</f>
        <v>1</v>
      </c>
      <c r="G442" s="116"/>
    </row>
    <row r="443" spans="1:7" x14ac:dyDescent="0.2">
      <c r="A443" s="116">
        <f>IF(ISNUMBER(Tabela2[[#This Row],[CT-e/NFS]])=TRUE,(IF(B443&gt;30000,4,IF(B443&lt;1000,"ND",0))),"-")</f>
        <v>0</v>
      </c>
      <c r="B443" s="116">
        <v>21014</v>
      </c>
      <c r="C443" s="117">
        <v>45307</v>
      </c>
      <c r="D443" s="116">
        <v>314.43</v>
      </c>
      <c r="E443" s="117">
        <v>45321</v>
      </c>
      <c r="F443" s="116">
        <f>COUNTIFS($A$3:A8694,A443,$B$3:B8694,B443)</f>
        <v>1</v>
      </c>
      <c r="G443" s="116"/>
    </row>
    <row r="444" spans="1:7" x14ac:dyDescent="0.2">
      <c r="A444" s="116">
        <f>IF(ISNUMBER(Tabela2[[#This Row],[CT-e/NFS]])=TRUE,(IF(B444&gt;30000,4,IF(B444&lt;1000,"ND",0))),"-")</f>
        <v>0</v>
      </c>
      <c r="B444" s="116">
        <v>21012</v>
      </c>
      <c r="C444" s="117">
        <v>45307</v>
      </c>
      <c r="D444" s="116">
        <v>174.19</v>
      </c>
      <c r="E444" s="117">
        <v>45321</v>
      </c>
      <c r="F444" s="116">
        <f>COUNTIFS($A$3:A8695,A444,$B$3:B8695,B444)</f>
        <v>1</v>
      </c>
      <c r="G444" s="116"/>
    </row>
    <row r="445" spans="1:7" x14ac:dyDescent="0.2">
      <c r="A445" s="116">
        <f>IF(ISNUMBER(Tabela2[[#This Row],[CT-e/NFS]])=TRUE,(IF(B445&gt;30000,4,IF(B445&lt;1000,"ND",0))),"-")</f>
        <v>0</v>
      </c>
      <c r="B445" s="116">
        <v>21015</v>
      </c>
      <c r="C445" s="117">
        <v>45307</v>
      </c>
      <c r="D445" s="116">
        <v>314.43</v>
      </c>
      <c r="E445" s="117">
        <v>45321</v>
      </c>
      <c r="F445" s="116">
        <f>COUNTIFS($A$3:A8696,A445,$B$3:B8696,B445)</f>
        <v>1</v>
      </c>
      <c r="G445" s="116"/>
    </row>
    <row r="446" spans="1:7" x14ac:dyDescent="0.2">
      <c r="A446" s="116">
        <f>IF(ISNUMBER(Tabela2[[#This Row],[CT-e/NFS]])=TRUE,(IF(B446&gt;30000,4,IF(B446&lt;1000,"ND",0))),"-")</f>
        <v>0</v>
      </c>
      <c r="B446" s="116">
        <v>21016</v>
      </c>
      <c r="C446" s="117">
        <v>45307</v>
      </c>
      <c r="D446" s="116">
        <v>174.19</v>
      </c>
      <c r="E446" s="117">
        <v>45321</v>
      </c>
      <c r="F446" s="116">
        <f>COUNTIFS($A$3:A8697,A446,$B$3:B8697,B446)</f>
        <v>1</v>
      </c>
      <c r="G446" s="116"/>
    </row>
    <row r="447" spans="1:7" x14ac:dyDescent="0.2">
      <c r="A447" s="116">
        <f>IF(ISNUMBER(Tabela2[[#This Row],[CT-e/NFS]])=TRUE,(IF(B447&gt;30000,4,IF(B447&lt;1000,"ND",0))),"-")</f>
        <v>4</v>
      </c>
      <c r="B447" s="116">
        <v>45577</v>
      </c>
      <c r="C447" s="117">
        <v>45307</v>
      </c>
      <c r="D447" s="116">
        <v>284.02</v>
      </c>
      <c r="E447" s="117">
        <v>45321</v>
      </c>
      <c r="F447" s="116">
        <f>COUNTIFS($A$3:A8698,A447,$B$3:B8698,B447)</f>
        <v>1</v>
      </c>
      <c r="G447" s="116"/>
    </row>
    <row r="448" spans="1:7" x14ac:dyDescent="0.2">
      <c r="A448" s="116">
        <f>IF(ISNUMBER(Tabela2[[#This Row],[CT-e/NFS]])=TRUE,(IF(B448&gt;30000,4,IF(B448&lt;1000,"ND",0))),"-")</f>
        <v>0</v>
      </c>
      <c r="B448" s="116">
        <v>20997</v>
      </c>
      <c r="C448" s="117">
        <v>45307</v>
      </c>
      <c r="D448" s="116">
        <v>413.45</v>
      </c>
      <c r="E448" s="117">
        <v>45321</v>
      </c>
      <c r="F448" s="116">
        <f>COUNTIFS($A$3:A8699,A448,$B$3:B8699,B448)</f>
        <v>1</v>
      </c>
      <c r="G448" s="116"/>
    </row>
    <row r="449" spans="1:7" x14ac:dyDescent="0.2">
      <c r="A449" s="116">
        <f>IF(ISNUMBER(Tabela2[[#This Row],[CT-e/NFS]])=TRUE,(IF(B449&gt;30000,4,IF(B449&lt;1000,"ND",0))),"-")</f>
        <v>4</v>
      </c>
      <c r="B449" s="116">
        <v>45704</v>
      </c>
      <c r="C449" s="117">
        <v>45307</v>
      </c>
      <c r="D449" s="116">
        <v>124.25</v>
      </c>
      <c r="E449" s="117">
        <v>45321</v>
      </c>
      <c r="F449" s="116">
        <f>COUNTIFS($A$3:A8700,A449,$B$3:B8700,B449)</f>
        <v>1</v>
      </c>
      <c r="G449" s="116"/>
    </row>
    <row r="450" spans="1:7" x14ac:dyDescent="0.2">
      <c r="A450" s="116">
        <f>IF(ISNUMBER(Tabela2[[#This Row],[CT-e/NFS]])=TRUE,(IF(B450&gt;30000,4,IF(B450&lt;1000,"ND",0))),"-")</f>
        <v>4</v>
      </c>
      <c r="B450" s="116">
        <v>45648</v>
      </c>
      <c r="C450" s="117">
        <v>45307</v>
      </c>
      <c r="D450" s="116">
        <v>5113.6400000000003</v>
      </c>
      <c r="E450" s="117">
        <v>45321</v>
      </c>
      <c r="F450" s="116">
        <f>COUNTIFS($A$3:A8701,A450,$B$3:B8701,B450)</f>
        <v>1</v>
      </c>
      <c r="G450" s="116"/>
    </row>
    <row r="451" spans="1:7" x14ac:dyDescent="0.2">
      <c r="A451" s="116">
        <f>IF(ISNUMBER(Tabela2[[#This Row],[CT-e/NFS]])=TRUE,(IF(B451&gt;30000,4,IF(B451&lt;1000,"ND",0))),"-")</f>
        <v>4</v>
      </c>
      <c r="B451" s="116">
        <v>45734</v>
      </c>
      <c r="C451" s="117">
        <v>45317</v>
      </c>
      <c r="D451" s="116">
        <v>798.27</v>
      </c>
      <c r="E451" s="117">
        <v>45321</v>
      </c>
      <c r="F451" s="116">
        <f>COUNTIFS($A$3:A8702,A451,$B$3:B8702,B451)</f>
        <v>1</v>
      </c>
      <c r="G451" s="116"/>
    </row>
    <row r="452" spans="1:7" x14ac:dyDescent="0.2">
      <c r="A452" s="116">
        <f>IF(ISNUMBER(Tabela2[[#This Row],[CT-e/NFS]])=TRUE,(IF(B452&gt;30000,4,IF(B452&lt;1000,"ND",0))),"-")</f>
        <v>4</v>
      </c>
      <c r="B452" s="116">
        <v>45739</v>
      </c>
      <c r="C452" s="117">
        <v>45317</v>
      </c>
      <c r="D452" s="116">
        <v>176.14</v>
      </c>
      <c r="E452" s="117">
        <v>45321</v>
      </c>
      <c r="F452" s="116">
        <f>COUNTIFS($A$3:A8703,A452,$B$3:B8703,B452)</f>
        <v>1</v>
      </c>
      <c r="G452" s="116"/>
    </row>
    <row r="453" spans="1:7" x14ac:dyDescent="0.2">
      <c r="A453" s="116">
        <f>IF(ISNUMBER(Tabela2[[#This Row],[CT-e/NFS]])=TRUE,(IF(B453&gt;30000,4,IF(B453&lt;1000,"ND",0))),"-")</f>
        <v>4</v>
      </c>
      <c r="B453" s="116">
        <v>45745</v>
      </c>
      <c r="C453" s="117">
        <v>45317</v>
      </c>
      <c r="D453" s="116">
        <v>335.86</v>
      </c>
      <c r="E453" s="117">
        <v>45321</v>
      </c>
      <c r="F453" s="116">
        <f>COUNTIFS($A$3:A8704,A453,$B$3:B8704,B453)</f>
        <v>1</v>
      </c>
      <c r="G453" s="116"/>
    </row>
    <row r="454" spans="1:7" x14ac:dyDescent="0.2">
      <c r="A454" s="116">
        <f>IF(ISNUMBER(Tabela2[[#This Row],[CT-e/NFS]])=TRUE,(IF(B454&gt;30000,4,IF(B454&lt;1000,"ND",0))),"-")</f>
        <v>4</v>
      </c>
      <c r="B454" s="116">
        <v>45746</v>
      </c>
      <c r="C454" s="117">
        <v>45317</v>
      </c>
      <c r="D454" s="116">
        <v>336.9</v>
      </c>
      <c r="E454" s="117">
        <v>45321</v>
      </c>
      <c r="F454" s="116">
        <f>COUNTIFS($A$3:A8705,A454,$B$3:B8705,B454)</f>
        <v>1</v>
      </c>
      <c r="G454" s="116"/>
    </row>
    <row r="455" spans="1:7" x14ac:dyDescent="0.2">
      <c r="A455" s="116">
        <f>IF(ISNUMBER(Tabela2[[#This Row],[CT-e/NFS]])=TRUE,(IF(B455&gt;30000,4,IF(B455&lt;1000,"ND",0))),"-")</f>
        <v>4</v>
      </c>
      <c r="B455" s="116">
        <v>45747</v>
      </c>
      <c r="C455" s="117">
        <v>45317</v>
      </c>
      <c r="D455" s="116">
        <v>294.31</v>
      </c>
      <c r="E455" s="117">
        <v>45321</v>
      </c>
      <c r="F455" s="116">
        <f>COUNTIFS($A$3:A8706,A455,$B$3:B8706,B455)</f>
        <v>1</v>
      </c>
      <c r="G455" s="116"/>
    </row>
    <row r="456" spans="1:7" x14ac:dyDescent="0.2">
      <c r="A456" s="116">
        <f>IF(ISNUMBER(Tabela2[[#This Row],[CT-e/NFS]])=TRUE,(IF(B456&gt;30000,4,IF(B456&lt;1000,"ND",0))),"-")</f>
        <v>4</v>
      </c>
      <c r="B456" s="116">
        <v>45748</v>
      </c>
      <c r="C456" s="117">
        <v>45317</v>
      </c>
      <c r="D456" s="116">
        <v>510.65</v>
      </c>
      <c r="E456" s="117">
        <v>45321</v>
      </c>
      <c r="F456" s="116">
        <f>COUNTIFS($A$3:A8707,A456,$B$3:B8707,B456)</f>
        <v>1</v>
      </c>
      <c r="G456" s="116"/>
    </row>
    <row r="457" spans="1:7" x14ac:dyDescent="0.2">
      <c r="A457" s="116">
        <f>IF(ISNUMBER(Tabela2[[#This Row],[CT-e/NFS]])=TRUE,(IF(B457&gt;30000,4,IF(B457&lt;1000,"ND",0))),"-")</f>
        <v>4</v>
      </c>
      <c r="B457" s="116">
        <v>45749</v>
      </c>
      <c r="C457" s="117">
        <v>45317</v>
      </c>
      <c r="D457" s="116">
        <v>456.42</v>
      </c>
      <c r="E457" s="117">
        <v>45321</v>
      </c>
      <c r="F457" s="116">
        <f>COUNTIFS($A$3:A8708,A457,$B$3:B8708,B457)</f>
        <v>1</v>
      </c>
      <c r="G457" s="116"/>
    </row>
    <row r="458" spans="1:7" x14ac:dyDescent="0.2">
      <c r="A458" s="116">
        <f>IF(ISNUMBER(Tabela2[[#This Row],[CT-e/NFS]])=TRUE,(IF(B458&gt;30000,4,IF(B458&lt;1000,"ND",0))),"-")</f>
        <v>0</v>
      </c>
      <c r="B458" s="116">
        <v>21072</v>
      </c>
      <c r="C458" s="117">
        <v>45317</v>
      </c>
      <c r="D458" s="116">
        <v>348.37</v>
      </c>
      <c r="E458" s="117">
        <v>45321</v>
      </c>
      <c r="F458" s="116">
        <f>COUNTIFS($A$3:A8709,A458,$B$3:B8709,B458)</f>
        <v>1</v>
      </c>
      <c r="G458" s="116"/>
    </row>
    <row r="459" spans="1:7" x14ac:dyDescent="0.2">
      <c r="A459" s="116">
        <f>IF(ISNUMBER(Tabela2[[#This Row],[CT-e/NFS]])=TRUE,(IF(B459&gt;30000,4,IF(B459&lt;1000,"ND",0))),"-")</f>
        <v>4</v>
      </c>
      <c r="B459" s="116">
        <v>45731</v>
      </c>
      <c r="C459" s="117">
        <v>45317</v>
      </c>
      <c r="D459" s="116">
        <v>2107.5</v>
      </c>
      <c r="E459" s="117">
        <v>45321</v>
      </c>
      <c r="F459" s="116">
        <f>COUNTIFS($A$3:A8710,A459,$B$3:B8710,B459)</f>
        <v>1</v>
      </c>
      <c r="G459" s="116"/>
    </row>
    <row r="460" spans="1:7" x14ac:dyDescent="0.2">
      <c r="A460" s="116">
        <f>IF(ISNUMBER(Tabela2[[#This Row],[CT-e/NFS]])=TRUE,(IF(B460&gt;30000,4,IF(B460&lt;1000,"ND",0))),"-")</f>
        <v>4</v>
      </c>
      <c r="B460" s="116">
        <v>45733</v>
      </c>
      <c r="C460" s="117">
        <v>45317</v>
      </c>
      <c r="D460" s="116">
        <v>111.94</v>
      </c>
      <c r="E460" s="117">
        <v>45321</v>
      </c>
      <c r="F460" s="116">
        <f>COUNTIFS($A$3:A8711,A460,$B$3:B8711,B460)</f>
        <v>1</v>
      </c>
      <c r="G460" s="116"/>
    </row>
    <row r="461" spans="1:7" x14ac:dyDescent="0.2">
      <c r="A461" s="116">
        <f>IF(ISNUMBER(Tabela2[[#This Row],[CT-e/NFS]])=TRUE,(IF(B461&gt;30000,4,IF(B461&lt;1000,"ND",0))),"-")</f>
        <v>4</v>
      </c>
      <c r="B461" s="116">
        <v>45736</v>
      </c>
      <c r="C461" s="117">
        <v>45317</v>
      </c>
      <c r="D461" s="116">
        <v>179.44</v>
      </c>
      <c r="E461" s="117">
        <v>45321</v>
      </c>
      <c r="F461" s="116">
        <f>COUNTIFS($A$3:A8712,A461,$B$3:B8712,B461)</f>
        <v>1</v>
      </c>
      <c r="G461" s="116"/>
    </row>
    <row r="462" spans="1:7" x14ac:dyDescent="0.2">
      <c r="A462" s="116">
        <f>IF(ISNUMBER(Tabela2[[#This Row],[CT-e/NFS]])=TRUE,(IF(B462&gt;30000,4,IF(B462&lt;1000,"ND",0))),"-")</f>
        <v>4</v>
      </c>
      <c r="B462" s="116">
        <v>45738</v>
      </c>
      <c r="C462" s="117">
        <v>45317</v>
      </c>
      <c r="D462" s="116">
        <v>62.1</v>
      </c>
      <c r="E462" s="117">
        <v>45321</v>
      </c>
      <c r="F462" s="116">
        <f>COUNTIFS($A$3:A8713,A462,$B$3:B8713,B462)</f>
        <v>1</v>
      </c>
      <c r="G462" s="116"/>
    </row>
    <row r="463" spans="1:7" x14ac:dyDescent="0.2">
      <c r="A463" s="116">
        <f>IF(ISNUMBER(Tabela2[[#This Row],[CT-e/NFS]])=TRUE,(IF(B463&gt;30000,4,IF(B463&lt;1000,"ND",0))),"-")</f>
        <v>4</v>
      </c>
      <c r="B463" s="116">
        <v>45756</v>
      </c>
      <c r="C463" s="117">
        <v>45317</v>
      </c>
      <c r="D463" s="116">
        <v>124.35</v>
      </c>
      <c r="E463" s="117">
        <v>45321</v>
      </c>
      <c r="F463" s="116">
        <f>COUNTIFS($A$3:A8714,A463,$B$3:B8714,B463)</f>
        <v>1</v>
      </c>
      <c r="G463" s="116"/>
    </row>
    <row r="464" spans="1:7" x14ac:dyDescent="0.2">
      <c r="A464" s="116">
        <f>IF(ISNUMBER(Tabela2[[#This Row],[CT-e/NFS]])=TRUE,(IF(B464&gt;30000,4,IF(B464&lt;1000,"ND",0))),"-")</f>
        <v>4</v>
      </c>
      <c r="B464" s="116">
        <v>45757</v>
      </c>
      <c r="C464" s="117">
        <v>45317</v>
      </c>
      <c r="D464" s="116">
        <v>238.98</v>
      </c>
      <c r="E464" s="117">
        <v>45321</v>
      </c>
      <c r="F464" s="116">
        <f>COUNTIFS($A$3:A8715,A464,$B$3:B8715,B464)</f>
        <v>1</v>
      </c>
      <c r="G464" s="116"/>
    </row>
    <row r="465" spans="1:7" x14ac:dyDescent="0.2">
      <c r="A465" s="116">
        <f>IF(ISNUMBER(Tabela2[[#This Row],[CT-e/NFS]])=TRUE,(IF(B465&gt;30000,4,IF(B465&lt;1000,"ND",0))),"-")</f>
        <v>4</v>
      </c>
      <c r="B465" s="116">
        <v>45753</v>
      </c>
      <c r="C465" s="117">
        <v>45317</v>
      </c>
      <c r="D465" s="116">
        <v>122.89</v>
      </c>
      <c r="E465" s="117">
        <v>45321</v>
      </c>
      <c r="F465" s="116">
        <f>COUNTIFS($A$3:A8716,A465,$B$3:B8716,B465)</f>
        <v>1</v>
      </c>
      <c r="G465" s="116"/>
    </row>
    <row r="466" spans="1:7" x14ac:dyDescent="0.2">
      <c r="A466" s="116">
        <f>IF(ISNUMBER(Tabela2[[#This Row],[CT-e/NFS]])=TRUE,(IF(B466&gt;30000,4,IF(B466&lt;1000,"ND",0))),"-")</f>
        <v>4</v>
      </c>
      <c r="B466" s="116">
        <v>45751</v>
      </c>
      <c r="C466" s="117">
        <v>45317</v>
      </c>
      <c r="D466" s="116">
        <v>123.13</v>
      </c>
      <c r="E466" s="117">
        <v>45321</v>
      </c>
      <c r="F466" s="116">
        <f>COUNTIFS($A$3:A8717,A466,$B$3:B8717,B466)</f>
        <v>1</v>
      </c>
      <c r="G466" s="116"/>
    </row>
    <row r="467" spans="1:7" x14ac:dyDescent="0.2">
      <c r="A467" s="116">
        <f>IF(ISNUMBER(Tabela2[[#This Row],[CT-e/NFS]])=TRUE,(IF(B467&gt;30000,4,IF(B467&lt;1000,"ND",0))),"-")</f>
        <v>4</v>
      </c>
      <c r="B467" s="116">
        <v>45750</v>
      </c>
      <c r="C467" s="117">
        <v>45317</v>
      </c>
      <c r="D467" s="116">
        <v>122.92</v>
      </c>
      <c r="E467" s="117">
        <v>45321</v>
      </c>
      <c r="F467" s="116">
        <f>COUNTIFS($A$3:A8718,A467,$B$3:B8718,B467)</f>
        <v>1</v>
      </c>
      <c r="G467" s="116"/>
    </row>
    <row r="468" spans="1:7" x14ac:dyDescent="0.2">
      <c r="A468" s="116">
        <f>IF(ISNUMBER(Tabela2[[#This Row],[CT-e/NFS]])=TRUE,(IF(B468&gt;30000,4,IF(B468&lt;1000,"ND",0))),"-")</f>
        <v>4</v>
      </c>
      <c r="B468" s="116">
        <v>45752</v>
      </c>
      <c r="C468" s="117">
        <v>45317</v>
      </c>
      <c r="D468" s="116">
        <v>124.34</v>
      </c>
      <c r="E468" s="117">
        <v>45321</v>
      </c>
      <c r="F468" s="116">
        <f>COUNTIFS($A$3:A8719,A468,$B$3:B8719,B468)</f>
        <v>1</v>
      </c>
      <c r="G468" s="116"/>
    </row>
    <row r="469" spans="1:7" x14ac:dyDescent="0.2">
      <c r="A469" s="116">
        <f>IF(ISNUMBER(Tabela2[[#This Row],[CT-e/NFS]])=TRUE,(IF(B469&gt;30000,4,IF(B469&lt;1000,"ND",0))),"-")</f>
        <v>4</v>
      </c>
      <c r="B469" s="116">
        <v>45763</v>
      </c>
      <c r="C469" s="117">
        <v>45317</v>
      </c>
      <c r="D469" s="116">
        <v>125.64</v>
      </c>
      <c r="E469" s="117">
        <v>45321</v>
      </c>
      <c r="F469" s="116">
        <f>COUNTIFS($A$3:A8720,A469,$B$3:B8720,B469)</f>
        <v>1</v>
      </c>
      <c r="G469" s="116"/>
    </row>
    <row r="470" spans="1:7" x14ac:dyDescent="0.2">
      <c r="A470" s="116">
        <f>IF(ISNUMBER(Tabela2[[#This Row],[CT-e/NFS]])=TRUE,(IF(B470&gt;30000,4,IF(B470&lt;1000,"ND",0))),"-")</f>
        <v>4</v>
      </c>
      <c r="B470" s="116">
        <v>45762</v>
      </c>
      <c r="C470" s="117">
        <v>45317</v>
      </c>
      <c r="D470" s="116">
        <v>125.03</v>
      </c>
      <c r="E470" s="117">
        <v>45321</v>
      </c>
      <c r="F470" s="116">
        <f>COUNTIFS($A$3:A8721,A470,$B$3:B8721,B470)</f>
        <v>1</v>
      </c>
      <c r="G470" s="116"/>
    </row>
    <row r="471" spans="1:7" x14ac:dyDescent="0.2">
      <c r="A471" s="116">
        <f>IF(ISNUMBER(Tabela2[[#This Row],[CT-e/NFS]])=TRUE,(IF(B471&gt;30000,4,IF(B471&lt;1000,"ND",0))),"-")</f>
        <v>4</v>
      </c>
      <c r="B471" s="116">
        <v>45764</v>
      </c>
      <c r="C471" s="117">
        <v>45317</v>
      </c>
      <c r="D471" s="116">
        <v>408.98</v>
      </c>
      <c r="E471" s="117">
        <v>45321</v>
      </c>
      <c r="F471" s="116">
        <f>COUNTIFS($A$3:A8722,A471,$B$3:B8722,B471)</f>
        <v>1</v>
      </c>
      <c r="G471" s="116"/>
    </row>
    <row r="472" spans="1:7" x14ac:dyDescent="0.2">
      <c r="A472" s="116">
        <f>IF(ISNUMBER(Tabela2[[#This Row],[CT-e/NFS]])=TRUE,(IF(B472&gt;30000,4,IF(B472&lt;1000,"ND",0))),"-")</f>
        <v>4</v>
      </c>
      <c r="B472" s="116">
        <v>45771</v>
      </c>
      <c r="C472" s="117">
        <v>45317</v>
      </c>
      <c r="D472" s="116">
        <v>61.75</v>
      </c>
      <c r="E472" s="117">
        <v>45321</v>
      </c>
      <c r="F472" s="116">
        <f>COUNTIFS($A$3:A8723,A472,$B$3:B8723,B472)</f>
        <v>1</v>
      </c>
      <c r="G472" s="116"/>
    </row>
    <row r="473" spans="1:7" x14ac:dyDescent="0.2">
      <c r="A473" s="116">
        <f>IF(ISNUMBER(Tabela2[[#This Row],[CT-e/NFS]])=TRUE,(IF(B473&gt;30000,4,IF(B473&lt;1000,"ND",0))),"-")</f>
        <v>4</v>
      </c>
      <c r="B473" s="116">
        <v>45773</v>
      </c>
      <c r="C473" s="117">
        <v>45317</v>
      </c>
      <c r="D473" s="116">
        <v>122.73</v>
      </c>
      <c r="E473" s="117">
        <v>45321</v>
      </c>
      <c r="F473" s="116">
        <f>COUNTIFS($A$3:A8724,A473,$B$3:B8724,B473)</f>
        <v>1</v>
      </c>
      <c r="G473" s="116"/>
    </row>
    <row r="474" spans="1:7" x14ac:dyDescent="0.2">
      <c r="A474" s="116">
        <f>IF(ISNUMBER(Tabela2[[#This Row],[CT-e/NFS]])=TRUE,(IF(B474&gt;30000,4,IF(B474&lt;1000,"ND",0))),"-")</f>
        <v>4</v>
      </c>
      <c r="B474" s="116">
        <v>45772</v>
      </c>
      <c r="C474" s="117">
        <v>45317</v>
      </c>
      <c r="D474" s="116">
        <v>111.23</v>
      </c>
      <c r="E474" s="117">
        <v>45321</v>
      </c>
      <c r="F474" s="116">
        <f>COUNTIFS($A$3:A8725,A474,$B$3:B8725,B474)</f>
        <v>1</v>
      </c>
      <c r="G474" s="116"/>
    </row>
    <row r="475" spans="1:7" x14ac:dyDescent="0.2">
      <c r="A475" s="116">
        <f>IF(ISNUMBER(Tabela2[[#This Row],[CT-e/NFS]])=TRUE,(IF(B475&gt;30000,4,IF(B475&lt;1000,"ND",0))),"-")</f>
        <v>4</v>
      </c>
      <c r="B475" s="116">
        <v>45779</v>
      </c>
      <c r="C475" s="117">
        <v>45317</v>
      </c>
      <c r="D475" s="116">
        <v>124.39</v>
      </c>
      <c r="E475" s="117">
        <v>45321</v>
      </c>
      <c r="F475" s="116">
        <f>COUNTIFS($A$3:A8726,A475,$B$3:B8726,B475)</f>
        <v>1</v>
      </c>
      <c r="G475" s="116"/>
    </row>
    <row r="476" spans="1:7" x14ac:dyDescent="0.2">
      <c r="A476" s="116">
        <f>IF(ISNUMBER(Tabela2[[#This Row],[CT-e/NFS]])=TRUE,(IF(B476&gt;30000,4,IF(B476&lt;1000,"ND",0))),"-")</f>
        <v>4</v>
      </c>
      <c r="B476" s="116">
        <v>45774</v>
      </c>
      <c r="C476" s="117">
        <v>45317</v>
      </c>
      <c r="D476" s="116">
        <v>759.09</v>
      </c>
      <c r="E476" s="117">
        <v>45321</v>
      </c>
      <c r="F476" s="116">
        <f>COUNTIFS($A$3:A8727,A476,$B$3:B8727,B476)</f>
        <v>1</v>
      </c>
      <c r="G476" s="116"/>
    </row>
    <row r="477" spans="1:7" x14ac:dyDescent="0.2">
      <c r="A477" s="116">
        <f>IF(ISNUMBER(Tabela2[[#This Row],[CT-e/NFS]])=TRUE,(IF(B477&gt;30000,4,IF(B477&lt;1000,"ND",0))),"-")</f>
        <v>4</v>
      </c>
      <c r="B477" s="116">
        <v>45780</v>
      </c>
      <c r="C477" s="117">
        <v>45317</v>
      </c>
      <c r="D477" s="116">
        <v>124.26</v>
      </c>
      <c r="E477" s="117">
        <v>45321</v>
      </c>
      <c r="F477" s="116">
        <f>COUNTIFS($A$3:A8728,A477,$B$3:B8728,B477)</f>
        <v>1</v>
      </c>
      <c r="G477" s="116"/>
    </row>
    <row r="478" spans="1:7" x14ac:dyDescent="0.2">
      <c r="A478" s="116">
        <f>IF(ISNUMBER(Tabela2[[#This Row],[CT-e/NFS]])=TRUE,(IF(B478&gt;30000,4,IF(B478&lt;1000,"ND",0))),"-")</f>
        <v>4</v>
      </c>
      <c r="B478" s="116">
        <v>45784</v>
      </c>
      <c r="C478" s="117">
        <v>45317</v>
      </c>
      <c r="D478" s="116">
        <v>124.42</v>
      </c>
      <c r="E478" s="117">
        <v>45321</v>
      </c>
      <c r="F478" s="116">
        <f>COUNTIFS($A$3:A8729,A478,$B$3:B8729,B478)</f>
        <v>1</v>
      </c>
      <c r="G478" s="116"/>
    </row>
    <row r="479" spans="1:7" x14ac:dyDescent="0.2">
      <c r="A479" s="116">
        <f>IF(ISNUMBER(Tabela2[[#This Row],[CT-e/NFS]])=TRUE,(IF(B479&gt;30000,4,IF(B479&lt;1000,"ND",0))),"-")</f>
        <v>4</v>
      </c>
      <c r="B479" s="116">
        <v>45775</v>
      </c>
      <c r="C479" s="117">
        <v>45317</v>
      </c>
      <c r="D479" s="116">
        <v>168.92</v>
      </c>
      <c r="E479" s="117">
        <v>45321</v>
      </c>
      <c r="F479" s="116">
        <f>COUNTIFS($A$3:A8730,A479,$B$3:B8730,B479)</f>
        <v>1</v>
      </c>
      <c r="G479" s="116"/>
    </row>
    <row r="480" spans="1:7" x14ac:dyDescent="0.2">
      <c r="A480" s="116">
        <f>IF(ISNUMBER(Tabela2[[#This Row],[CT-e/NFS]])=TRUE,(IF(B480&gt;30000,4,IF(B480&lt;1000,"ND",0))),"-")</f>
        <v>4</v>
      </c>
      <c r="B480" s="116">
        <v>45783</v>
      </c>
      <c r="C480" s="117">
        <v>45317</v>
      </c>
      <c r="D480" s="116">
        <v>124.52</v>
      </c>
      <c r="E480" s="117">
        <v>45321</v>
      </c>
      <c r="F480" s="116">
        <f>COUNTIFS($A$3:A8731,A480,$B$3:B8731,B480)</f>
        <v>1</v>
      </c>
      <c r="G480" s="116"/>
    </row>
    <row r="481" spans="1:7" x14ac:dyDescent="0.2">
      <c r="A481" s="116">
        <f>IF(ISNUMBER(Tabela2[[#This Row],[CT-e/NFS]])=TRUE,(IF(B481&gt;30000,4,IF(B481&lt;1000,"ND",0))),"-")</f>
        <v>4</v>
      </c>
      <c r="B481" s="116">
        <v>45777</v>
      </c>
      <c r="C481" s="117">
        <v>45317</v>
      </c>
      <c r="D481" s="116">
        <v>125.85</v>
      </c>
      <c r="E481" s="117">
        <v>45321</v>
      </c>
      <c r="F481" s="116">
        <f>COUNTIFS($A$3:A8732,A481,$B$3:B8732,B481)</f>
        <v>1</v>
      </c>
      <c r="G481" s="116"/>
    </row>
    <row r="482" spans="1:7" x14ac:dyDescent="0.2">
      <c r="A482" s="116">
        <f>IF(ISNUMBER(Tabela2[[#This Row],[CT-e/NFS]])=TRUE,(IF(B482&gt;30000,4,IF(B482&lt;1000,"ND",0))),"-")</f>
        <v>4</v>
      </c>
      <c r="B482" s="116">
        <v>45776</v>
      </c>
      <c r="C482" s="117">
        <v>45317</v>
      </c>
      <c r="D482" s="116">
        <v>123.31</v>
      </c>
      <c r="E482" s="117">
        <v>45321</v>
      </c>
      <c r="F482" s="116">
        <f>COUNTIFS($A$3:A8733,A482,$B$3:B8733,B482)</f>
        <v>1</v>
      </c>
      <c r="G482" s="116"/>
    </row>
    <row r="483" spans="1:7" x14ac:dyDescent="0.2">
      <c r="A483" s="116">
        <f>IF(ISNUMBER(Tabela2[[#This Row],[CT-e/NFS]])=TRUE,(IF(B483&gt;30000,4,IF(B483&lt;1000,"ND",0))),"-")</f>
        <v>4</v>
      </c>
      <c r="B483" s="116">
        <v>45785</v>
      </c>
      <c r="C483" s="117">
        <v>45317</v>
      </c>
      <c r="D483" s="116">
        <v>123.52</v>
      </c>
      <c r="E483" s="117">
        <v>45321</v>
      </c>
      <c r="F483" s="116">
        <f>COUNTIFS($A$3:A8734,A483,$B$3:B8734,B483)</f>
        <v>1</v>
      </c>
      <c r="G483" s="116"/>
    </row>
    <row r="484" spans="1:7" x14ac:dyDescent="0.2">
      <c r="A484" s="116">
        <f>IF(ISNUMBER(Tabela2[[#This Row],[CT-e/NFS]])=TRUE,(IF(B484&gt;30000,4,IF(B484&lt;1000,"ND",0))),"-")</f>
        <v>4</v>
      </c>
      <c r="B484" s="116">
        <v>45790</v>
      </c>
      <c r="C484" s="117">
        <v>45317</v>
      </c>
      <c r="D484" s="116">
        <v>904.52</v>
      </c>
      <c r="E484" s="117">
        <v>45321</v>
      </c>
      <c r="F484" s="116">
        <f>COUNTIFS($A$3:A8735,A484,$B$3:B8735,B484)</f>
        <v>1</v>
      </c>
      <c r="G484" s="116"/>
    </row>
    <row r="485" spans="1:7" x14ac:dyDescent="0.2">
      <c r="A485" s="116">
        <f>IF(ISNUMBER(Tabela2[[#This Row],[CT-e/NFS]])=TRUE,(IF(B485&gt;30000,4,IF(B485&lt;1000,"ND",0))),"-")</f>
        <v>4</v>
      </c>
      <c r="B485" s="116">
        <v>45792</v>
      </c>
      <c r="C485" s="117">
        <v>45317</v>
      </c>
      <c r="D485" s="116">
        <v>369.5</v>
      </c>
      <c r="E485" s="117">
        <v>45321</v>
      </c>
      <c r="F485" s="116">
        <f>COUNTIFS($A$3:A8736,A485,$B$3:B8736,B485)</f>
        <v>1</v>
      </c>
      <c r="G485" s="116"/>
    </row>
    <row r="486" spans="1:7" x14ac:dyDescent="0.2">
      <c r="A486" s="116">
        <f>IF(ISNUMBER(Tabela2[[#This Row],[CT-e/NFS]])=TRUE,(IF(B486&gt;30000,4,IF(B486&lt;1000,"ND",0))),"-")</f>
        <v>4</v>
      </c>
      <c r="B486" s="116">
        <v>45791</v>
      </c>
      <c r="C486" s="117">
        <v>45317</v>
      </c>
      <c r="D486" s="116">
        <v>123.13</v>
      </c>
      <c r="E486" s="117">
        <v>45321</v>
      </c>
      <c r="F486" s="116">
        <f>COUNTIFS($A$3:A8737,A486,$B$3:B8737,B486)</f>
        <v>1</v>
      </c>
      <c r="G486" s="116"/>
    </row>
    <row r="487" spans="1:7" x14ac:dyDescent="0.2">
      <c r="A487" s="116">
        <f>IF(ISNUMBER(Tabela2[[#This Row],[CT-e/NFS]])=TRUE,(IF(B487&gt;30000,4,IF(B487&lt;1000,"ND",0))),"-")</f>
        <v>4</v>
      </c>
      <c r="B487" s="116">
        <v>45810</v>
      </c>
      <c r="C487" s="117">
        <v>45317</v>
      </c>
      <c r="D487" s="116">
        <v>111.67</v>
      </c>
      <c r="E487" s="117">
        <v>45321</v>
      </c>
      <c r="F487" s="116">
        <f>COUNTIFS($A$3:A8738,A487,$B$3:B8738,B487)</f>
        <v>1</v>
      </c>
      <c r="G487" s="116"/>
    </row>
    <row r="488" spans="1:7" x14ac:dyDescent="0.2">
      <c r="A488" s="116">
        <f>IF(ISNUMBER(Tabela2[[#This Row],[CT-e/NFS]])=TRUE,(IF(B488&gt;30000,4,IF(B488&lt;1000,"ND",0))),"-")</f>
        <v>4</v>
      </c>
      <c r="B488" s="116">
        <v>45793</v>
      </c>
      <c r="C488" s="117">
        <v>45317</v>
      </c>
      <c r="D488" s="116">
        <v>169.32</v>
      </c>
      <c r="E488" s="117">
        <v>45321</v>
      </c>
      <c r="F488" s="116">
        <f>COUNTIFS($A$3:A8739,A488,$B$3:B8739,B488)</f>
        <v>1</v>
      </c>
      <c r="G488" s="116"/>
    </row>
    <row r="489" spans="1:7" x14ac:dyDescent="0.2">
      <c r="A489" s="116">
        <f>IF(ISNUMBER(Tabela2[[#This Row],[CT-e/NFS]])=TRUE,(IF(B489&gt;30000,4,IF(B489&lt;1000,"ND",0))),"-")</f>
        <v>4</v>
      </c>
      <c r="B489" s="116">
        <v>45794</v>
      </c>
      <c r="C489" s="117">
        <v>45317</v>
      </c>
      <c r="D489" s="116">
        <v>258.8</v>
      </c>
      <c r="E489" s="117">
        <v>45321</v>
      </c>
      <c r="F489" s="116">
        <f>COUNTIFS($A$3:A8740,A489,$B$3:B8740,B489)</f>
        <v>1</v>
      </c>
      <c r="G489" s="116"/>
    </row>
    <row r="490" spans="1:7" x14ac:dyDescent="0.2">
      <c r="A490" s="116">
        <f>IF(ISNUMBER(Tabela2[[#This Row],[CT-e/NFS]])=TRUE,(IF(B490&gt;30000,4,IF(B490&lt;1000,"ND",0))),"-")</f>
        <v>4</v>
      </c>
      <c r="B490" s="116">
        <v>45786</v>
      </c>
      <c r="C490" s="117">
        <v>45317</v>
      </c>
      <c r="D490" s="116">
        <v>125.35</v>
      </c>
      <c r="E490" s="117">
        <v>45321</v>
      </c>
      <c r="F490" s="116">
        <f>COUNTIFS($A$3:A8741,A490,$B$3:B8741,B490)</f>
        <v>1</v>
      </c>
      <c r="G490" s="116"/>
    </row>
    <row r="491" spans="1:7" x14ac:dyDescent="0.2">
      <c r="A491" s="116">
        <f>IF(ISNUMBER(Tabela2[[#This Row],[CT-e/NFS]])=TRUE,(IF(B491&gt;30000,4,IF(B491&lt;1000,"ND",0))),"-")</f>
        <v>0</v>
      </c>
      <c r="B491" s="116">
        <v>21060</v>
      </c>
      <c r="C491" s="117">
        <v>45317</v>
      </c>
      <c r="D491" s="116">
        <v>76.28</v>
      </c>
      <c r="E491" s="117">
        <v>45321</v>
      </c>
      <c r="F491" s="116">
        <f>COUNTIFS($A$3:A8742,A491,$B$3:B8742,B491)</f>
        <v>1</v>
      </c>
      <c r="G491" s="116"/>
    </row>
    <row r="492" spans="1:7" x14ac:dyDescent="0.2">
      <c r="A492" s="116">
        <f>IF(ISNUMBER(Tabela2[[#This Row],[CT-e/NFS]])=TRUE,(IF(B492&gt;30000,4,IF(B492&lt;1000,"ND",0))),"-")</f>
        <v>0</v>
      </c>
      <c r="B492" s="116">
        <v>21063</v>
      </c>
      <c r="C492" s="117">
        <v>45317</v>
      </c>
      <c r="D492" s="116">
        <v>76.44</v>
      </c>
      <c r="E492" s="117">
        <v>45321</v>
      </c>
      <c r="F492" s="116">
        <f>COUNTIFS($A$3:A8743,A492,$B$3:B8743,B492)</f>
        <v>1</v>
      </c>
      <c r="G492" s="116"/>
    </row>
    <row r="493" spans="1:7" x14ac:dyDescent="0.2">
      <c r="A493" s="116">
        <f>IF(ISNUMBER(Tabela2[[#This Row],[CT-e/NFS]])=TRUE,(IF(B493&gt;30000,4,IF(B493&lt;1000,"ND",0))),"-")</f>
        <v>0</v>
      </c>
      <c r="B493" s="116">
        <v>21064</v>
      </c>
      <c r="C493" s="117">
        <v>45317</v>
      </c>
      <c r="D493" s="116">
        <v>75.8</v>
      </c>
      <c r="E493" s="117">
        <v>45321</v>
      </c>
      <c r="F493" s="116">
        <f>COUNTIFS($A$3:A8744,A493,$B$3:B8744,B493)</f>
        <v>1</v>
      </c>
      <c r="G493" s="116"/>
    </row>
    <row r="494" spans="1:7" x14ac:dyDescent="0.2">
      <c r="A494" s="116">
        <f>IF(ISNUMBER(Tabela2[[#This Row],[CT-e/NFS]])=TRUE,(IF(B494&gt;30000,4,IF(B494&lt;1000,"ND",0))),"-")</f>
        <v>0</v>
      </c>
      <c r="B494" s="116">
        <v>21066</v>
      </c>
      <c r="C494" s="117">
        <v>45317</v>
      </c>
      <c r="D494" s="116">
        <v>77.680000000000007</v>
      </c>
      <c r="E494" s="117">
        <v>45321</v>
      </c>
      <c r="F494" s="116">
        <f>COUNTIFS($A$3:A8745,A494,$B$3:B8745,B494)</f>
        <v>1</v>
      </c>
      <c r="G494" s="116"/>
    </row>
    <row r="495" spans="1:7" x14ac:dyDescent="0.2">
      <c r="A495" s="116">
        <f>IF(ISNUMBER(Tabela2[[#This Row],[CT-e/NFS]])=TRUE,(IF(B495&gt;30000,4,IF(B495&lt;1000,"ND",0))),"-")</f>
        <v>0</v>
      </c>
      <c r="B495" s="116">
        <v>21067</v>
      </c>
      <c r="C495" s="117">
        <v>45317</v>
      </c>
      <c r="D495" s="116">
        <v>80.400000000000006</v>
      </c>
      <c r="E495" s="117">
        <v>45321</v>
      </c>
      <c r="F495" s="116">
        <f>COUNTIFS($A$3:A8746,A495,$B$3:B8746,B495)</f>
        <v>1</v>
      </c>
      <c r="G495" s="116"/>
    </row>
    <row r="496" spans="1:7" x14ac:dyDescent="0.2">
      <c r="A496" s="116">
        <f>IF(ISNUMBER(Tabela2[[#This Row],[CT-e/NFS]])=TRUE,(IF(B496&gt;30000,4,IF(B496&lt;1000,"ND",0))),"-")</f>
        <v>0</v>
      </c>
      <c r="B496" s="116">
        <v>21068</v>
      </c>
      <c r="C496" s="117">
        <v>45317</v>
      </c>
      <c r="D496" s="116">
        <v>76</v>
      </c>
      <c r="E496" s="117">
        <v>45321</v>
      </c>
      <c r="F496" s="116">
        <f>COUNTIFS($A$3:A8747,A496,$B$3:B8747,B496)</f>
        <v>1</v>
      </c>
      <c r="G496" s="116"/>
    </row>
    <row r="497" spans="1:7" x14ac:dyDescent="0.2">
      <c r="A497" s="116">
        <f>IF(ISNUMBER(Tabela2[[#This Row],[CT-e/NFS]])=TRUE,(IF(B497&gt;30000,4,IF(B497&lt;1000,"ND",0))),"-")</f>
        <v>0</v>
      </c>
      <c r="B497" s="116">
        <v>21071</v>
      </c>
      <c r="C497" s="117">
        <v>45317</v>
      </c>
      <c r="D497" s="116">
        <v>75.64</v>
      </c>
      <c r="E497" s="117">
        <v>45321</v>
      </c>
      <c r="F497" s="116">
        <f>COUNTIFS($A$3:A8748,A497,$B$3:B8748,B497)</f>
        <v>1</v>
      </c>
      <c r="G497" s="116"/>
    </row>
    <row r="498" spans="1:7" x14ac:dyDescent="0.2">
      <c r="A498" s="116">
        <f>IF(ISNUMBER(Tabela2[[#This Row],[CT-e/NFS]])=TRUE,(IF(B498&gt;30000,4,IF(B498&lt;1000,"ND",0))),"-")</f>
        <v>0</v>
      </c>
      <c r="B498" s="116">
        <v>21073</v>
      </c>
      <c r="C498" s="117">
        <v>45317</v>
      </c>
      <c r="D498" s="116">
        <v>77.09</v>
      </c>
      <c r="E498" s="117">
        <v>45321</v>
      </c>
      <c r="F498" s="116">
        <f>COUNTIFS($A$3:A8749,A498,$B$3:B8749,B498)</f>
        <v>1</v>
      </c>
      <c r="G498" s="116"/>
    </row>
    <row r="499" spans="1:7" x14ac:dyDescent="0.2">
      <c r="A499" s="116">
        <f>IF(ISNUMBER(Tabela2[[#This Row],[CT-e/NFS]])=TRUE,(IF(B499&gt;30000,4,IF(B499&lt;1000,"ND",0))),"-")</f>
        <v>0</v>
      </c>
      <c r="B499" s="116">
        <v>21057</v>
      </c>
      <c r="C499" s="117">
        <v>45317</v>
      </c>
      <c r="D499" s="116">
        <v>76.099999999999994</v>
      </c>
      <c r="E499" s="117">
        <v>45321</v>
      </c>
      <c r="F499" s="116">
        <f>COUNTIFS($A$3:A8750,A499,$B$3:B8750,B499)</f>
        <v>1</v>
      </c>
      <c r="G499" s="116"/>
    </row>
    <row r="500" spans="1:7" x14ac:dyDescent="0.2">
      <c r="A500" s="116">
        <f>IF(ISNUMBER(Tabela2[[#This Row],[CT-e/NFS]])=TRUE,(IF(B500&gt;30000,4,IF(B500&lt;1000,"ND",0))),"-")</f>
        <v>0</v>
      </c>
      <c r="B500" s="116">
        <v>21058</v>
      </c>
      <c r="C500" s="117">
        <v>45317</v>
      </c>
      <c r="D500" s="116">
        <v>89.19</v>
      </c>
      <c r="E500" s="117">
        <v>45321</v>
      </c>
      <c r="F500" s="116">
        <f>COUNTIFS($A$3:A8751,A500,$B$3:B8751,B500)</f>
        <v>1</v>
      </c>
      <c r="G500" s="116"/>
    </row>
    <row r="501" spans="1:7" x14ac:dyDescent="0.2">
      <c r="A501" s="116">
        <f>IF(ISNUMBER(Tabela2[[#This Row],[CT-e/NFS]])=TRUE,(IF(B501&gt;30000,4,IF(B501&lt;1000,"ND",0))),"-")</f>
        <v>4</v>
      </c>
      <c r="B501" s="116">
        <v>45787</v>
      </c>
      <c r="C501" s="117">
        <v>45317</v>
      </c>
      <c r="D501" s="116">
        <v>325.75</v>
      </c>
      <c r="E501" s="117">
        <v>45321</v>
      </c>
      <c r="F501" s="116">
        <f>COUNTIFS($A$3:A8752,A501,$B$3:B8752,B501)</f>
        <v>1</v>
      </c>
      <c r="G501" s="116"/>
    </row>
    <row r="502" spans="1:7" x14ac:dyDescent="0.2">
      <c r="A502" s="116">
        <f>IF(ISNUMBER(Tabela2[[#This Row],[CT-e/NFS]])=TRUE,(IF(B502&gt;30000,4,IF(B502&lt;1000,"ND",0))),"-")</f>
        <v>4</v>
      </c>
      <c r="B502" s="116">
        <v>45789</v>
      </c>
      <c r="C502" s="117">
        <v>45317</v>
      </c>
      <c r="D502" s="116">
        <v>126.32</v>
      </c>
      <c r="E502" s="117">
        <v>45321</v>
      </c>
      <c r="F502" s="116">
        <f>COUNTIFS($A$3:A8753,A502,$B$3:B8753,B502)</f>
        <v>1</v>
      </c>
      <c r="G502" s="116"/>
    </row>
    <row r="503" spans="1:7" x14ac:dyDescent="0.2">
      <c r="A503" s="116">
        <f>IF(ISNUMBER(Tabela2[[#This Row],[CT-e/NFS]])=TRUE,(IF(B503&gt;30000,4,IF(B503&lt;1000,"ND",0))),"-")</f>
        <v>4</v>
      </c>
      <c r="B503" s="116">
        <v>45802</v>
      </c>
      <c r="C503" s="117">
        <v>45317</v>
      </c>
      <c r="D503" s="116">
        <v>62.31</v>
      </c>
      <c r="E503" s="117">
        <v>45321</v>
      </c>
      <c r="F503" s="116">
        <f>COUNTIFS($A$3:A8754,A503,$B$3:B8754,B503)</f>
        <v>1</v>
      </c>
      <c r="G503" s="116"/>
    </row>
    <row r="504" spans="1:7" x14ac:dyDescent="0.2">
      <c r="A504" s="116">
        <f>IF(ISNUMBER(Tabela2[[#This Row],[CT-e/NFS]])=TRUE,(IF(B504&gt;30000,4,IF(B504&lt;1000,"ND",0))),"-")</f>
        <v>4</v>
      </c>
      <c r="B504" s="116">
        <v>45804</v>
      </c>
      <c r="C504" s="117">
        <v>45317</v>
      </c>
      <c r="D504" s="116">
        <v>123.08</v>
      </c>
      <c r="E504" s="117">
        <v>45321</v>
      </c>
      <c r="F504" s="116">
        <f>COUNTIFS($A$3:A8755,A504,$B$3:B8755,B504)</f>
        <v>1</v>
      </c>
      <c r="G504" s="116"/>
    </row>
    <row r="505" spans="1:7" x14ac:dyDescent="0.2">
      <c r="A505" s="116">
        <f>IF(ISNUMBER(Tabela2[[#This Row],[CT-e/NFS]])=TRUE,(IF(B505&gt;30000,4,IF(B505&lt;1000,"ND",0))),"-")</f>
        <v>4</v>
      </c>
      <c r="B505" s="116">
        <v>45806</v>
      </c>
      <c r="C505" s="117">
        <v>45317</v>
      </c>
      <c r="D505" s="116">
        <v>62.32</v>
      </c>
      <c r="E505" s="117">
        <v>45321</v>
      </c>
      <c r="F505" s="116">
        <f>COUNTIFS($A$3:A8756,A505,$B$3:B8756,B505)</f>
        <v>1</v>
      </c>
      <c r="G505" s="116"/>
    </row>
    <row r="506" spans="1:7" x14ac:dyDescent="0.2">
      <c r="A506" s="116">
        <f>IF(ISNUMBER(Tabela2[[#This Row],[CT-e/NFS]])=TRUE,(IF(B506&gt;30000,4,IF(B506&lt;1000,"ND",0))),"-")</f>
        <v>4</v>
      </c>
      <c r="B506" s="116">
        <v>45807</v>
      </c>
      <c r="C506" s="117">
        <v>45317</v>
      </c>
      <c r="D506" s="116">
        <v>62.13</v>
      </c>
      <c r="E506" s="117">
        <v>45321</v>
      </c>
      <c r="F506" s="116">
        <f>COUNTIFS($A$3:A8757,A506,$B$3:B8757,B506)</f>
        <v>1</v>
      </c>
      <c r="G506" s="116"/>
    </row>
    <row r="507" spans="1:7" x14ac:dyDescent="0.2">
      <c r="A507" s="116">
        <f>IF(ISNUMBER(Tabela2[[#This Row],[CT-e/NFS]])=TRUE,(IF(B507&gt;30000,4,IF(B507&lt;1000,"ND",0))),"-")</f>
        <v>4</v>
      </c>
      <c r="B507" s="116">
        <v>45808</v>
      </c>
      <c r="C507" s="117">
        <v>45317</v>
      </c>
      <c r="D507" s="116">
        <v>111.98</v>
      </c>
      <c r="E507" s="117">
        <v>45321</v>
      </c>
      <c r="F507" s="116">
        <f>COUNTIFS($A$3:A8758,A507,$B$3:B8758,B507)</f>
        <v>1</v>
      </c>
      <c r="G507" s="116"/>
    </row>
    <row r="508" spans="1:7" x14ac:dyDescent="0.2">
      <c r="A508" s="116">
        <f>IF(ISNUMBER(Tabela2[[#This Row],[CT-e/NFS]])=TRUE,(IF(B508&gt;30000,4,IF(B508&lt;1000,"ND",0))),"-")</f>
        <v>4</v>
      </c>
      <c r="B508" s="116">
        <v>45809</v>
      </c>
      <c r="C508" s="117">
        <v>45317</v>
      </c>
      <c r="D508" s="116">
        <v>61.97</v>
      </c>
      <c r="E508" s="117">
        <v>45321</v>
      </c>
      <c r="F508" s="116">
        <f>COUNTIFS($A$3:A8759,A508,$B$3:B8759,B508)</f>
        <v>1</v>
      </c>
      <c r="G508" s="116"/>
    </row>
    <row r="509" spans="1:7" x14ac:dyDescent="0.2">
      <c r="A509" s="116">
        <f>IF(ISNUMBER(Tabela2[[#This Row],[CT-e/NFS]])=TRUE,(IF(B509&gt;30000,4,IF(B509&lt;1000,"ND",0))),"-")</f>
        <v>4</v>
      </c>
      <c r="B509" s="116">
        <v>45813</v>
      </c>
      <c r="C509" s="117">
        <v>45317</v>
      </c>
      <c r="D509" s="116">
        <v>358.25</v>
      </c>
      <c r="E509" s="117">
        <v>45321</v>
      </c>
      <c r="F509" s="116">
        <f>COUNTIFS($A$3:A8760,A509,$B$3:B8760,B509)</f>
        <v>1</v>
      </c>
      <c r="G509" s="116"/>
    </row>
    <row r="510" spans="1:7" x14ac:dyDescent="0.2">
      <c r="A510" s="116">
        <f>IF(ISNUMBER(Tabela2[[#This Row],[CT-e/NFS]])=TRUE,(IF(B510&gt;30000,4,IF(B510&lt;1000,"ND",0))),"-")</f>
        <v>4</v>
      </c>
      <c r="B510" s="116">
        <v>45812</v>
      </c>
      <c r="C510" s="117">
        <v>45317</v>
      </c>
      <c r="D510" s="116">
        <v>608.82000000000005</v>
      </c>
      <c r="E510" s="117">
        <v>45321</v>
      </c>
      <c r="F510" s="116">
        <f>COUNTIFS($A$3:A8761,A510,$B$3:B8761,B510)</f>
        <v>1</v>
      </c>
      <c r="G510" s="116"/>
    </row>
    <row r="511" spans="1:7" x14ac:dyDescent="0.2">
      <c r="A511" s="116">
        <f>IF(ISNUMBER(Tabela2[[#This Row],[CT-e/NFS]])=TRUE,(IF(B511&gt;30000,4,IF(B511&lt;1000,"ND",0))),"-")</f>
        <v>4</v>
      </c>
      <c r="B511" s="116">
        <v>45740</v>
      </c>
      <c r="C511" s="117">
        <v>45317</v>
      </c>
      <c r="D511" s="116">
        <v>161.09</v>
      </c>
      <c r="E511" s="117">
        <v>45321</v>
      </c>
      <c r="F511" s="116">
        <f>COUNTIFS($A$3:A8762,A511,$B$3:B8762,B511)</f>
        <v>1</v>
      </c>
      <c r="G511" s="116"/>
    </row>
    <row r="512" spans="1:7" x14ac:dyDescent="0.2">
      <c r="A512" s="116">
        <f>IF(ISNUMBER(Tabela2[[#This Row],[CT-e/NFS]])=TRUE,(IF(B512&gt;30000,4,IF(B512&lt;1000,"ND",0))),"-")</f>
        <v>4</v>
      </c>
      <c r="B512" s="116">
        <v>45741</v>
      </c>
      <c r="C512" s="117">
        <v>45317</v>
      </c>
      <c r="D512" s="116">
        <v>165.56</v>
      </c>
      <c r="E512" s="117">
        <v>45321</v>
      </c>
      <c r="F512" s="116">
        <f>COUNTIFS($A$3:A8763,A512,$B$3:B8763,B512)</f>
        <v>1</v>
      </c>
      <c r="G512" s="116"/>
    </row>
    <row r="513" spans="1:7" x14ac:dyDescent="0.2">
      <c r="A513" s="116">
        <f>IF(ISNUMBER(Tabela2[[#This Row],[CT-e/NFS]])=TRUE,(IF(B513&gt;30000,4,IF(B513&lt;1000,"ND",0))),"-")</f>
        <v>4</v>
      </c>
      <c r="B513" s="116">
        <v>45743</v>
      </c>
      <c r="C513" s="117">
        <v>45317</v>
      </c>
      <c r="D513" s="116">
        <v>165.56</v>
      </c>
      <c r="E513" s="117">
        <v>45321</v>
      </c>
      <c r="F513" s="116">
        <f>COUNTIFS($A$3:A8764,A513,$B$3:B8764,B513)</f>
        <v>1</v>
      </c>
      <c r="G513" s="116"/>
    </row>
    <row r="514" spans="1:7" x14ac:dyDescent="0.2">
      <c r="A514" s="116">
        <f>IF(ISNUMBER(Tabela2[[#This Row],[CT-e/NFS]])=TRUE,(IF(B514&gt;30000,4,IF(B514&lt;1000,"ND",0))),"-")</f>
        <v>4</v>
      </c>
      <c r="B514" s="116">
        <v>45744</v>
      </c>
      <c r="C514" s="117">
        <v>45317</v>
      </c>
      <c r="D514" s="116">
        <v>165.56</v>
      </c>
      <c r="E514" s="117">
        <v>45321</v>
      </c>
      <c r="F514" s="116">
        <f>COUNTIFS($A$3:A8765,A514,$B$3:B8765,B514)</f>
        <v>1</v>
      </c>
      <c r="G514" s="116"/>
    </row>
    <row r="515" spans="1:7" x14ac:dyDescent="0.2">
      <c r="A515" s="116">
        <f>IF(ISNUMBER(Tabela2[[#This Row],[CT-e/NFS]])=TRUE,(IF(B515&gt;30000,4,IF(B515&lt;1000,"ND",0))),"-")</f>
        <v>4</v>
      </c>
      <c r="B515" s="116">
        <v>45768</v>
      </c>
      <c r="C515" s="117">
        <v>45317</v>
      </c>
      <c r="D515" s="116">
        <v>845.8</v>
      </c>
      <c r="E515" s="117">
        <v>45321</v>
      </c>
      <c r="F515" s="116">
        <f>COUNTIFS($A$3:A8766,A515,$B$3:B8766,B515)</f>
        <v>1</v>
      </c>
      <c r="G515" s="116"/>
    </row>
    <row r="516" spans="1:7" x14ac:dyDescent="0.2">
      <c r="A516" s="116">
        <f>IF(ISNUMBER(Tabela2[[#This Row],[CT-e/NFS]])=TRUE,(IF(B516&gt;30000,4,IF(B516&lt;1000,"ND",0))),"-")</f>
        <v>4</v>
      </c>
      <c r="B516" s="116">
        <v>45759</v>
      </c>
      <c r="C516" s="117">
        <v>45317</v>
      </c>
      <c r="D516" s="116">
        <v>238.73</v>
      </c>
      <c r="E516" s="117">
        <v>45321</v>
      </c>
      <c r="F516" s="116">
        <f>COUNTIFS($A$3:A8767,A516,$B$3:B8767,B516)</f>
        <v>1</v>
      </c>
      <c r="G516" s="116"/>
    </row>
    <row r="517" spans="1:7" x14ac:dyDescent="0.2">
      <c r="A517" s="116">
        <f>IF(ISNUMBER(Tabela2[[#This Row],[CT-e/NFS]])=TRUE,(IF(B517&gt;30000,4,IF(B517&lt;1000,"ND",0))),"-")</f>
        <v>4</v>
      </c>
      <c r="B517" s="116">
        <v>45761</v>
      </c>
      <c r="C517" s="117">
        <v>45317</v>
      </c>
      <c r="D517" s="116">
        <v>124.63</v>
      </c>
      <c r="E517" s="117">
        <v>45321</v>
      </c>
      <c r="F517" s="116">
        <f>COUNTIFS($A$3:A8768,A517,$B$3:B8768,B517)</f>
        <v>1</v>
      </c>
      <c r="G517" s="116"/>
    </row>
    <row r="518" spans="1:7" x14ac:dyDescent="0.2">
      <c r="A518" s="116">
        <f>IF(ISNUMBER(Tabela2[[#This Row],[CT-e/NFS]])=TRUE,(IF(B518&gt;30000,4,IF(B518&lt;1000,"ND",0))),"-")</f>
        <v>4</v>
      </c>
      <c r="B518" s="116">
        <v>45755</v>
      </c>
      <c r="C518" s="117">
        <v>45317</v>
      </c>
      <c r="D518" s="116">
        <v>609.22</v>
      </c>
      <c r="E518" s="117">
        <v>45321</v>
      </c>
      <c r="F518" s="116">
        <f>COUNTIFS($A$3:A8769,A518,$B$3:B8769,B518)</f>
        <v>1</v>
      </c>
      <c r="G518" s="116"/>
    </row>
    <row r="519" spans="1:7" x14ac:dyDescent="0.2">
      <c r="A519" s="116">
        <f>IF(ISNUMBER(Tabela2[[#This Row],[CT-e/NFS]])=TRUE,(IF(B519&gt;30000,4,IF(B519&lt;1000,"ND",0))),"-")</f>
        <v>4</v>
      </c>
      <c r="B519" s="116">
        <v>45760</v>
      </c>
      <c r="C519" s="117">
        <v>45317</v>
      </c>
      <c r="D519" s="116">
        <v>126.41</v>
      </c>
      <c r="E519" s="117">
        <v>45321</v>
      </c>
      <c r="F519" s="116">
        <f>COUNTIFS($A$3:A8770,A519,$B$3:B8770,B519)</f>
        <v>1</v>
      </c>
      <c r="G519" s="116"/>
    </row>
    <row r="520" spans="1:7" x14ac:dyDescent="0.2">
      <c r="A520" s="116">
        <f>IF(ISNUMBER(Tabela2[[#This Row],[CT-e/NFS]])=TRUE,(IF(B520&gt;30000,4,IF(B520&lt;1000,"ND",0))),"-")</f>
        <v>4</v>
      </c>
      <c r="B520" s="116">
        <v>45778</v>
      </c>
      <c r="C520" s="117">
        <v>45317</v>
      </c>
      <c r="D520" s="116">
        <v>1086.24</v>
      </c>
      <c r="E520" s="117">
        <v>45321</v>
      </c>
      <c r="F520" s="116">
        <f>COUNTIFS($A$3:A8771,A520,$B$3:B8771,B520)</f>
        <v>1</v>
      </c>
      <c r="G520" s="116"/>
    </row>
    <row r="521" spans="1:7" x14ac:dyDescent="0.2">
      <c r="A521" s="116">
        <f>IF(ISNUMBER(Tabela2[[#This Row],[CT-e/NFS]])=TRUE,(IF(B521&gt;30000,4,IF(B521&lt;1000,"ND",0))),"-")</f>
        <v>4</v>
      </c>
      <c r="B521" s="116">
        <v>45781</v>
      </c>
      <c r="C521" s="117">
        <v>45317</v>
      </c>
      <c r="D521" s="116">
        <v>122.92</v>
      </c>
      <c r="E521" s="117">
        <v>45321</v>
      </c>
      <c r="F521" s="116">
        <f>COUNTIFS($A$3:A8772,A521,$B$3:B8772,B521)</f>
        <v>1</v>
      </c>
      <c r="G521" s="116"/>
    </row>
    <row r="522" spans="1:7" x14ac:dyDescent="0.2">
      <c r="A522" s="116">
        <f>IF(ISNUMBER(Tabela2[[#This Row],[CT-e/NFS]])=TRUE,(IF(B522&gt;30000,4,IF(B522&lt;1000,"ND",0))),"-")</f>
        <v>4</v>
      </c>
      <c r="B522" s="116">
        <v>45782</v>
      </c>
      <c r="C522" s="117">
        <v>45317</v>
      </c>
      <c r="D522" s="116">
        <v>239.93</v>
      </c>
      <c r="E522" s="117">
        <v>45321</v>
      </c>
      <c r="F522" s="116">
        <f>COUNTIFS($A$3:A8773,A522,$B$3:B8773,B522)</f>
        <v>1</v>
      </c>
      <c r="G522" s="116"/>
    </row>
    <row r="523" spans="1:7" x14ac:dyDescent="0.2">
      <c r="A523" s="116">
        <f>IF(ISNUMBER(Tabela2[[#This Row],[CT-e/NFS]])=TRUE,(IF(B523&gt;30000,4,IF(B523&lt;1000,"ND",0))),"-")</f>
        <v>0</v>
      </c>
      <c r="B523" s="116">
        <v>21065</v>
      </c>
      <c r="C523" s="117">
        <v>45317</v>
      </c>
      <c r="D523" s="116">
        <v>122.46</v>
      </c>
      <c r="E523" s="117">
        <v>45321</v>
      </c>
      <c r="F523" s="116">
        <f>COUNTIFS($A$3:A8774,A523,$B$3:B8774,B523)</f>
        <v>1</v>
      </c>
      <c r="G523" s="116"/>
    </row>
    <row r="524" spans="1:7" x14ac:dyDescent="0.2">
      <c r="A524" s="116">
        <f>IF(ISNUMBER(Tabela2[[#This Row],[CT-e/NFS]])=TRUE,(IF(B524&gt;30000,4,IF(B524&lt;1000,"ND",0))),"-")</f>
        <v>0</v>
      </c>
      <c r="B524" s="116">
        <v>21069</v>
      </c>
      <c r="C524" s="117">
        <v>45317</v>
      </c>
      <c r="D524" s="116">
        <v>201.85</v>
      </c>
      <c r="E524" s="117">
        <v>45321</v>
      </c>
      <c r="F524" s="116">
        <f>COUNTIFS($A$3:A8775,A524,$B$3:B8775,B524)</f>
        <v>1</v>
      </c>
      <c r="G524" s="116"/>
    </row>
    <row r="525" spans="1:7" x14ac:dyDescent="0.2">
      <c r="A525" s="116">
        <f>IF(ISNUMBER(Tabela2[[#This Row],[CT-e/NFS]])=TRUE,(IF(B525&gt;30000,4,IF(B525&lt;1000,"ND",0))),"-")</f>
        <v>0</v>
      </c>
      <c r="B525" s="116">
        <v>21070</v>
      </c>
      <c r="C525" s="117">
        <v>45317</v>
      </c>
      <c r="D525" s="116">
        <v>195.93</v>
      </c>
      <c r="E525" s="117">
        <v>45321</v>
      </c>
      <c r="F525" s="116">
        <f>COUNTIFS($A$3:A8776,A525,$B$3:B8776,B525)</f>
        <v>1</v>
      </c>
      <c r="G525" s="116"/>
    </row>
    <row r="526" spans="1:7" x14ac:dyDescent="0.2">
      <c r="A526" s="116">
        <f>IF(ISNUMBER(Tabela2[[#This Row],[CT-e/NFS]])=TRUE,(IF(B526&gt;30000,4,IF(B526&lt;1000,"ND",0))),"-")</f>
        <v>0</v>
      </c>
      <c r="B526" s="116">
        <v>21061</v>
      </c>
      <c r="C526" s="117">
        <v>45317</v>
      </c>
      <c r="D526" s="116">
        <v>122.8</v>
      </c>
      <c r="E526" s="117">
        <v>45321</v>
      </c>
      <c r="F526" s="116">
        <f>COUNTIFS($A$3:A8777,A526,$B$3:B8777,B526)</f>
        <v>1</v>
      </c>
      <c r="G526" s="116"/>
    </row>
    <row r="527" spans="1:7" x14ac:dyDescent="0.2">
      <c r="A527" s="116">
        <f>IF(ISNUMBER(Tabela2[[#This Row],[CT-e/NFS]])=TRUE,(IF(B527&gt;30000,4,IF(B527&lt;1000,"ND",0))),"-")</f>
        <v>0</v>
      </c>
      <c r="B527" s="116">
        <v>21062</v>
      </c>
      <c r="C527" s="117">
        <v>45317</v>
      </c>
      <c r="D527" s="116">
        <v>756.78</v>
      </c>
      <c r="E527" s="117">
        <v>45321</v>
      </c>
      <c r="F527" s="116">
        <f>COUNTIFS($A$3:A8778,A527,$B$3:B8778,B527)</f>
        <v>1</v>
      </c>
      <c r="G527" s="116"/>
    </row>
    <row r="528" spans="1:7" x14ac:dyDescent="0.2">
      <c r="A528" s="116">
        <f>IF(ISNUMBER(Tabela2[[#This Row],[CT-e/NFS]])=TRUE,(IF(B528&gt;30000,4,IF(B528&lt;1000,"ND",0))),"-")</f>
        <v>4</v>
      </c>
      <c r="B528" s="116">
        <v>45788</v>
      </c>
      <c r="C528" s="117">
        <v>45317</v>
      </c>
      <c r="D528" s="116">
        <v>124.68</v>
      </c>
      <c r="E528" s="117">
        <v>45321</v>
      </c>
      <c r="F528" s="116">
        <f>COUNTIFS($A$3:A8779,A528,$B$3:B8779,B528)</f>
        <v>1</v>
      </c>
      <c r="G528" s="116"/>
    </row>
    <row r="529" spans="1:7" x14ac:dyDescent="0.2">
      <c r="A529" s="116">
        <f>IF(ISNUMBER(Tabela2[[#This Row],[CT-e/NFS]])=TRUE,(IF(B529&gt;30000,4,IF(B529&lt;1000,"ND",0))),"-")</f>
        <v>4</v>
      </c>
      <c r="B529" s="116">
        <v>45811</v>
      </c>
      <c r="C529" s="117">
        <v>45317</v>
      </c>
      <c r="D529" s="116">
        <v>942.6</v>
      </c>
      <c r="E529" s="117">
        <v>45321</v>
      </c>
      <c r="F529" s="116">
        <f>COUNTIFS($A$3:A8780,A529,$B$3:B8780,B529)</f>
        <v>1</v>
      </c>
      <c r="G529" s="116"/>
    </row>
    <row r="530" spans="1:7" x14ac:dyDescent="0.2">
      <c r="A530" s="116">
        <f>IF(ISNUMBER(Tabela2[[#This Row],[CT-e/NFS]])=TRUE,(IF(B530&gt;30000,4,IF(B530&lt;1000,"ND",0))),"-")</f>
        <v>4</v>
      </c>
      <c r="B530" s="116">
        <v>45735</v>
      </c>
      <c r="C530" s="117">
        <v>45317</v>
      </c>
      <c r="D530" s="116">
        <v>243.02</v>
      </c>
      <c r="E530" s="117">
        <v>45321</v>
      </c>
      <c r="F530" s="116">
        <f>COUNTIFS($A$3:A8781,A530,$B$3:B8781,B530)</f>
        <v>1</v>
      </c>
      <c r="G530" s="116"/>
    </row>
    <row r="531" spans="1:7" x14ac:dyDescent="0.2">
      <c r="A531" s="116">
        <f>IF(ISNUMBER(Tabela2[[#This Row],[CT-e/NFS]])=TRUE,(IF(B531&gt;30000,4,IF(B531&lt;1000,"ND",0))),"-")</f>
        <v>4</v>
      </c>
      <c r="B531" s="116">
        <v>45819</v>
      </c>
      <c r="C531" s="117">
        <v>45317</v>
      </c>
      <c r="D531" s="116">
        <v>125.42</v>
      </c>
      <c r="E531" s="117">
        <v>45321</v>
      </c>
      <c r="F531" s="116">
        <f>COUNTIFS($A$3:A8782,A531,$B$3:B8782,B531)</f>
        <v>1</v>
      </c>
      <c r="G531" s="116"/>
    </row>
    <row r="532" spans="1:7" x14ac:dyDescent="0.2">
      <c r="A532" s="116">
        <f>IF(ISNUMBER(Tabela2[[#This Row],[CT-e/NFS]])=TRUE,(IF(B532&gt;30000,4,IF(B532&lt;1000,"ND",0))),"-")</f>
        <v>4</v>
      </c>
      <c r="B532" s="116">
        <v>45816</v>
      </c>
      <c r="C532" s="117">
        <v>45317</v>
      </c>
      <c r="D532" s="116">
        <v>1345.16</v>
      </c>
      <c r="E532" s="117">
        <v>45321</v>
      </c>
      <c r="F532" s="116">
        <f>COUNTIFS($A$3:A8783,A532,$B$3:B8783,B532)</f>
        <v>1</v>
      </c>
      <c r="G532" s="116"/>
    </row>
    <row r="533" spans="1:7" x14ac:dyDescent="0.2">
      <c r="A533" s="116">
        <f>IF(ISNUMBER(Tabela2[[#This Row],[CT-e/NFS]])=TRUE,(IF(B533&gt;30000,4,IF(B533&lt;1000,"ND",0))),"-")</f>
        <v>4</v>
      </c>
      <c r="B533" s="116">
        <v>45818</v>
      </c>
      <c r="C533" s="117">
        <v>45317</v>
      </c>
      <c r="D533" s="116">
        <v>125.07</v>
      </c>
      <c r="E533" s="117">
        <v>45321</v>
      </c>
      <c r="F533" s="116">
        <f>COUNTIFS($A$3:A8784,A533,$B$3:B8784,B533)</f>
        <v>1</v>
      </c>
      <c r="G533" s="116"/>
    </row>
    <row r="534" spans="1:7" x14ac:dyDescent="0.2">
      <c r="A534" s="116">
        <f>IF(ISNUMBER(Tabela2[[#This Row],[CT-e/NFS]])=TRUE,(IF(B534&gt;30000,4,IF(B534&lt;1000,"ND",0))),"-")</f>
        <v>4</v>
      </c>
      <c r="B534" s="116">
        <v>45824</v>
      </c>
      <c r="C534" s="117">
        <v>45317</v>
      </c>
      <c r="D534" s="116">
        <v>124.39</v>
      </c>
      <c r="E534" s="117">
        <v>45321</v>
      </c>
      <c r="F534" s="116">
        <f>COUNTIFS($A$3:A8785,A534,$B$3:B8785,B534)</f>
        <v>1</v>
      </c>
      <c r="G534" s="116"/>
    </row>
    <row r="535" spans="1:7" x14ac:dyDescent="0.2">
      <c r="A535" s="116">
        <f>IF(ISNUMBER(Tabela2[[#This Row],[CT-e/NFS]])=TRUE,(IF(B535&gt;30000,4,IF(B535&lt;1000,"ND",0))),"-")</f>
        <v>4</v>
      </c>
      <c r="B535" s="116">
        <v>45823</v>
      </c>
      <c r="C535" s="117">
        <v>45317</v>
      </c>
      <c r="D535" s="116">
        <v>251.26</v>
      </c>
      <c r="E535" s="117">
        <v>45321</v>
      </c>
      <c r="F535" s="116">
        <f>COUNTIFS($A$3:A8786,A535,$B$3:B8786,B535)</f>
        <v>1</v>
      </c>
      <c r="G535" s="116"/>
    </row>
    <row r="536" spans="1:7" x14ac:dyDescent="0.2">
      <c r="A536" s="116">
        <f>IF(ISNUMBER(Tabela2[[#This Row],[CT-e/NFS]])=TRUE,(IF(B536&gt;30000,4,IF(B536&lt;1000,"ND",0))),"-")</f>
        <v>4</v>
      </c>
      <c r="B536" s="116">
        <v>45815</v>
      </c>
      <c r="C536" s="117">
        <v>45317</v>
      </c>
      <c r="D536" s="116">
        <v>301.75</v>
      </c>
      <c r="E536" s="117">
        <v>45321</v>
      </c>
      <c r="F536" s="116">
        <f>COUNTIFS($A$3:A8787,A536,$B$3:B8787,B536)</f>
        <v>1</v>
      </c>
      <c r="G536" s="116"/>
    </row>
    <row r="537" spans="1:7" x14ac:dyDescent="0.2">
      <c r="A537" s="116">
        <f>IF(ISNUMBER(Tabela2[[#This Row],[CT-e/NFS]])=TRUE,(IF(B537&gt;30000,4,IF(B537&lt;1000,"ND",0))),"-")</f>
        <v>4</v>
      </c>
      <c r="B537" s="116">
        <v>45826</v>
      </c>
      <c r="C537" s="117">
        <v>45317</v>
      </c>
      <c r="D537" s="116">
        <v>330.81</v>
      </c>
      <c r="E537" s="117">
        <v>45321</v>
      </c>
      <c r="F537" s="116">
        <f>COUNTIFS($A$3:A8788,A537,$B$3:B8788,B537)</f>
        <v>1</v>
      </c>
      <c r="G537" s="116"/>
    </row>
    <row r="538" spans="1:7" x14ac:dyDescent="0.2">
      <c r="A538" s="116">
        <f>IF(ISNUMBER(Tabela2[[#This Row],[CT-e/NFS]])=TRUE,(IF(B538&gt;30000,4,IF(B538&lt;1000,"ND",0))),"-")</f>
        <v>4</v>
      </c>
      <c r="B538" s="116">
        <v>45820</v>
      </c>
      <c r="C538" s="117">
        <v>45317</v>
      </c>
      <c r="D538" s="116">
        <v>125.42</v>
      </c>
      <c r="E538" s="117">
        <v>45321</v>
      </c>
      <c r="F538" s="116">
        <f>COUNTIFS($A$3:A8789,A538,$B$3:B8789,B538)</f>
        <v>1</v>
      </c>
      <c r="G538" s="116"/>
    </row>
    <row r="539" spans="1:7" x14ac:dyDescent="0.2">
      <c r="A539" s="116">
        <f>IF(ISNUMBER(Tabela2[[#This Row],[CT-e/NFS]])=TRUE,(IF(B539&gt;30000,4,IF(B539&lt;1000,"ND",0))),"-")</f>
        <v>4</v>
      </c>
      <c r="B539" s="116">
        <v>45825</v>
      </c>
      <c r="C539" s="117">
        <v>45317</v>
      </c>
      <c r="D539" s="116">
        <v>124.16</v>
      </c>
      <c r="E539" s="117">
        <v>45321</v>
      </c>
      <c r="F539" s="116">
        <f>COUNTIFS($A$3:A8790,A539,$B$3:B8790,B539)</f>
        <v>1</v>
      </c>
      <c r="G539" s="116"/>
    </row>
    <row r="540" spans="1:7" x14ac:dyDescent="0.2">
      <c r="A540" s="116">
        <f>IF(ISNUMBER(Tabela2[[#This Row],[CT-e/NFS]])=TRUE,(IF(B540&gt;30000,4,IF(B540&lt;1000,"ND",0))),"-")</f>
        <v>4</v>
      </c>
      <c r="B540" s="116">
        <v>45827</v>
      </c>
      <c r="C540" s="117">
        <v>45317</v>
      </c>
      <c r="D540" s="116">
        <v>355.11</v>
      </c>
      <c r="E540" s="117">
        <v>45321</v>
      </c>
      <c r="F540" s="116">
        <f>COUNTIFS($A$3:A8791,A540,$B$3:B8791,B540)</f>
        <v>1</v>
      </c>
      <c r="G540" s="116"/>
    </row>
    <row r="541" spans="1:7" x14ac:dyDescent="0.2">
      <c r="A541" s="116">
        <f>IF(ISNUMBER(Tabela2[[#This Row],[CT-e/NFS]])=TRUE,(IF(B541&gt;30000,4,IF(B541&lt;1000,"ND",0))),"-")</f>
        <v>4</v>
      </c>
      <c r="B541" s="116">
        <v>45828</v>
      </c>
      <c r="C541" s="117">
        <v>45317</v>
      </c>
      <c r="D541" s="116">
        <v>242.34</v>
      </c>
      <c r="E541" s="117">
        <v>45321</v>
      </c>
      <c r="F541" s="116">
        <f>COUNTIFS($A$3:A8792,A541,$B$3:B8792,B541)</f>
        <v>1</v>
      </c>
      <c r="G541" s="116"/>
    </row>
    <row r="542" spans="1:7" x14ac:dyDescent="0.2">
      <c r="A542" s="116">
        <f>IF(ISNUMBER(Tabela2[[#This Row],[CT-e/NFS]])=TRUE,(IF(B542&gt;30000,4,IF(B542&lt;1000,"ND",0))),"-")</f>
        <v>4</v>
      </c>
      <c r="B542" s="116">
        <v>45822</v>
      </c>
      <c r="C542" s="117">
        <v>45317</v>
      </c>
      <c r="D542" s="116">
        <v>124.11</v>
      </c>
      <c r="E542" s="117">
        <v>45321</v>
      </c>
      <c r="F542" s="116">
        <f>COUNTIFS($A$3:A8793,A542,$B$3:B8793,B542)</f>
        <v>1</v>
      </c>
      <c r="G542" s="116"/>
    </row>
    <row r="543" spans="1:7" x14ac:dyDescent="0.2">
      <c r="A543" s="116">
        <f>IF(ISNUMBER(Tabela2[[#This Row],[CT-e/NFS]])=TRUE,(IF(B543&gt;30000,4,IF(B543&lt;1000,"ND",0))),"-")</f>
        <v>4</v>
      </c>
      <c r="B543" s="116">
        <v>45821</v>
      </c>
      <c r="C543" s="117">
        <v>45317</v>
      </c>
      <c r="D543" s="116">
        <v>123.99</v>
      </c>
      <c r="E543" s="117">
        <v>45321</v>
      </c>
      <c r="F543" s="116">
        <f>COUNTIFS($A$3:A8794,A543,$B$3:B8794,B543)</f>
        <v>1</v>
      </c>
      <c r="G543" s="116"/>
    </row>
    <row r="544" spans="1:7" x14ac:dyDescent="0.2">
      <c r="A544" s="116">
        <f>IF(ISNUMBER(Tabela2[[#This Row],[CT-e/NFS]])=TRUE,(IF(B544&gt;30000,4,IF(B544&lt;1000,"ND",0))),"-")</f>
        <v>4</v>
      </c>
      <c r="B544" s="116">
        <v>45817</v>
      </c>
      <c r="C544" s="117">
        <v>45317</v>
      </c>
      <c r="D544" s="116">
        <v>142.33000000000001</v>
      </c>
      <c r="E544" s="117">
        <v>45321</v>
      </c>
      <c r="F544" s="116">
        <f>COUNTIFS($A$3:A8795,A544,$B$3:B8795,B544)</f>
        <v>1</v>
      </c>
      <c r="G544" s="116"/>
    </row>
    <row r="545" spans="1:7" x14ac:dyDescent="0.2">
      <c r="A545" s="116">
        <f>IF(ISNUMBER(Tabela2[[#This Row],[CT-e/NFS]])=TRUE,(IF(B545&gt;30000,4,IF(B545&lt;1000,"ND",0))),"-")</f>
        <v>4</v>
      </c>
      <c r="B545" s="116">
        <v>45835</v>
      </c>
      <c r="C545" s="117">
        <v>45317</v>
      </c>
      <c r="D545" s="116">
        <v>110.81</v>
      </c>
      <c r="E545" s="117">
        <v>45321</v>
      </c>
      <c r="F545" s="116">
        <f>COUNTIFS($A$3:A8796,A545,$B$3:B8796,B545)</f>
        <v>1</v>
      </c>
      <c r="G545" s="116"/>
    </row>
    <row r="546" spans="1:7" x14ac:dyDescent="0.2">
      <c r="A546" s="116">
        <f>IF(ISNUMBER(Tabela2[[#This Row],[CT-e/NFS]])=TRUE,(IF(B546&gt;30000,4,IF(B546&lt;1000,"ND",0))),"-")</f>
        <v>4</v>
      </c>
      <c r="B546" s="116">
        <v>45830</v>
      </c>
      <c r="C546" s="117">
        <v>45317</v>
      </c>
      <c r="D546" s="116">
        <v>122.74</v>
      </c>
      <c r="E546" s="117">
        <v>45321</v>
      </c>
      <c r="F546" s="116">
        <f>COUNTIFS($A$3:A8797,A546,$B$3:B8797,B546)</f>
        <v>1</v>
      </c>
      <c r="G546" s="116"/>
    </row>
    <row r="547" spans="1:7" x14ac:dyDescent="0.2">
      <c r="A547" s="116">
        <f>IF(ISNUMBER(Tabela2[[#This Row],[CT-e/NFS]])=TRUE,(IF(B547&gt;30000,4,IF(B547&lt;1000,"ND",0))),"-")</f>
        <v>4</v>
      </c>
      <c r="B547" s="116">
        <v>45834</v>
      </c>
      <c r="C547" s="117">
        <v>45317</v>
      </c>
      <c r="D547" s="116">
        <v>61.53</v>
      </c>
      <c r="E547" s="117">
        <v>45321</v>
      </c>
      <c r="F547" s="116">
        <f>COUNTIFS($A$3:A8798,A547,$B$3:B8798,B547)</f>
        <v>1</v>
      </c>
      <c r="G547" s="116"/>
    </row>
    <row r="548" spans="1:7" x14ac:dyDescent="0.2">
      <c r="A548" s="116">
        <f>IF(ISNUMBER(Tabela2[[#This Row],[CT-e/NFS]])=TRUE,(IF(B548&gt;30000,4,IF(B548&lt;1000,"ND",0))),"-")</f>
        <v>4</v>
      </c>
      <c r="B548" s="116">
        <v>45814</v>
      </c>
      <c r="C548" s="117">
        <v>45317</v>
      </c>
      <c r="D548" s="116">
        <v>1194.2</v>
      </c>
      <c r="E548" s="117">
        <v>45321</v>
      </c>
      <c r="F548" s="116">
        <f>COUNTIFS($A$3:A8799,A548,$B$3:B8799,B548)</f>
        <v>1</v>
      </c>
      <c r="G548" s="116"/>
    </row>
    <row r="549" spans="1:7" x14ac:dyDescent="0.2">
      <c r="A549" s="116">
        <f>IF(ISNUMBER(Tabela2[[#This Row],[CT-e/NFS]])=TRUE,(IF(B549&gt;30000,4,IF(B549&lt;1000,"ND",0))),"-")</f>
        <v>0</v>
      </c>
      <c r="B549" s="116">
        <v>21075</v>
      </c>
      <c r="C549" s="117">
        <v>45317</v>
      </c>
      <c r="D549" s="116">
        <v>69.31</v>
      </c>
      <c r="E549" s="117">
        <v>45321</v>
      </c>
      <c r="F549" s="116">
        <f>COUNTIFS($A$3:A8800,A549,$B$3:B8800,B549)</f>
        <v>1</v>
      </c>
      <c r="G549" s="116"/>
    </row>
    <row r="550" spans="1:7" x14ac:dyDescent="0.2">
      <c r="A550" s="116">
        <f>IF(ISNUMBER(Tabela2[[#This Row],[CT-e/NFS]])=TRUE,(IF(B550&gt;30000,4,IF(B550&lt;1000,"ND",0))),"-")</f>
        <v>0</v>
      </c>
      <c r="B550" s="116">
        <v>21074</v>
      </c>
      <c r="C550" s="117">
        <v>45317</v>
      </c>
      <c r="D550" s="116">
        <v>38.43</v>
      </c>
      <c r="E550" s="117">
        <v>45321</v>
      </c>
      <c r="F550" s="116">
        <f>COUNTIFS($A$3:A8801,A550,$B$3:B8801,B550)</f>
        <v>1</v>
      </c>
      <c r="G550" s="116"/>
    </row>
    <row r="551" spans="1:7" x14ac:dyDescent="0.2">
      <c r="A551" s="116">
        <f>IF(ISNUMBER(Tabela2[[#This Row],[CT-e/NFS]])=TRUE,(IF(B551&gt;30000,4,IF(B551&lt;1000,"ND",0))),"-")</f>
        <v>4</v>
      </c>
      <c r="B551" s="116">
        <v>45837</v>
      </c>
      <c r="C551" s="117">
        <v>45317</v>
      </c>
      <c r="D551" s="116">
        <v>609.98</v>
      </c>
      <c r="E551" s="117">
        <v>45321</v>
      </c>
      <c r="F551" s="116">
        <f>COUNTIFS($A$3:A8802,A551,$B$3:B8802,B551)</f>
        <v>1</v>
      </c>
      <c r="G551" s="116"/>
    </row>
    <row r="552" spans="1:7" x14ac:dyDescent="0.2">
      <c r="A552" s="116">
        <f>IF(ISNUMBER(Tabela2[[#This Row],[CT-e/NFS]])=TRUE,(IF(B552&gt;30000,4,IF(B552&lt;1000,"ND",0))),"-")</f>
        <v>0</v>
      </c>
      <c r="B552" s="116">
        <v>21081</v>
      </c>
      <c r="C552" s="117">
        <v>45317</v>
      </c>
      <c r="D552" s="116">
        <v>76.44</v>
      </c>
      <c r="E552" s="117">
        <v>45321</v>
      </c>
      <c r="F552" s="116">
        <f>COUNTIFS($A$3:A8803,A552,$B$3:B8803,B552)</f>
        <v>1</v>
      </c>
      <c r="G552" s="116"/>
    </row>
    <row r="553" spans="1:7" x14ac:dyDescent="0.2">
      <c r="A553" s="116">
        <f>IF(ISNUMBER(Tabela2[[#This Row],[CT-e/NFS]])=TRUE,(IF(B553&gt;30000,4,IF(B553&lt;1000,"ND",0))),"-")</f>
        <v>0</v>
      </c>
      <c r="B553" s="116">
        <v>21076</v>
      </c>
      <c r="C553" s="117">
        <v>45317</v>
      </c>
      <c r="D553" s="116">
        <v>77.260000000000005</v>
      </c>
      <c r="E553" s="117">
        <v>45321</v>
      </c>
      <c r="F553" s="116">
        <f>COUNTIFS($A$3:A8804,A553,$B$3:B8804,B553)</f>
        <v>1</v>
      </c>
      <c r="G553" s="116"/>
    </row>
    <row r="554" spans="1:7" x14ac:dyDescent="0.2">
      <c r="A554" s="116">
        <f>IF(ISNUMBER(Tabela2[[#This Row],[CT-e/NFS]])=TRUE,(IF(B554&gt;30000,4,IF(B554&lt;1000,"ND",0))),"-")</f>
        <v>0</v>
      </c>
      <c r="B554" s="116">
        <v>21080</v>
      </c>
      <c r="C554" s="117">
        <v>45317</v>
      </c>
      <c r="D554" s="116">
        <v>75.599999999999994</v>
      </c>
      <c r="E554" s="117">
        <v>45321</v>
      </c>
      <c r="F554" s="116">
        <f>COUNTIFS($A$3:A8805,A554,$B$3:B8805,B554)</f>
        <v>1</v>
      </c>
      <c r="G554" s="116"/>
    </row>
    <row r="555" spans="1:7" x14ac:dyDescent="0.2">
      <c r="A555" s="116">
        <f>IF(ISNUMBER(Tabela2[[#This Row],[CT-e/NFS]])=TRUE,(IF(B555&gt;30000,4,IF(B555&lt;1000,"ND",0))),"-")</f>
        <v>0</v>
      </c>
      <c r="B555" s="116">
        <v>21082</v>
      </c>
      <c r="C555" s="117">
        <v>45317</v>
      </c>
      <c r="D555" s="116">
        <v>75.599999999999994</v>
      </c>
      <c r="E555" s="117">
        <v>45321</v>
      </c>
      <c r="F555" s="116">
        <f>COUNTIFS($A$3:A8806,A555,$B$3:B8806,B555)</f>
        <v>1</v>
      </c>
      <c r="G555" s="116"/>
    </row>
    <row r="556" spans="1:7" x14ac:dyDescent="0.2">
      <c r="A556" s="116">
        <f>IF(ISNUMBER(Tabela2[[#This Row],[CT-e/NFS]])=TRUE,(IF(B556&gt;30000,4,IF(B556&lt;1000,"ND",0))),"-")</f>
        <v>0</v>
      </c>
      <c r="B556" s="116">
        <v>21087</v>
      </c>
      <c r="C556" s="117">
        <v>45317</v>
      </c>
      <c r="D556" s="116">
        <v>80.8</v>
      </c>
      <c r="E556" s="117">
        <v>45321</v>
      </c>
      <c r="F556" s="116">
        <f>COUNTIFS($A$3:A8807,A556,$B$3:B8807,B556)</f>
        <v>1</v>
      </c>
      <c r="G556" s="116"/>
    </row>
    <row r="557" spans="1:7" x14ac:dyDescent="0.2">
      <c r="A557" s="116">
        <f>IF(ISNUMBER(Tabela2[[#This Row],[CT-e/NFS]])=TRUE,(IF(B557&gt;30000,4,IF(B557&lt;1000,"ND",0))),"-")</f>
        <v>0</v>
      </c>
      <c r="B557" s="116">
        <v>21086</v>
      </c>
      <c r="C557" s="117">
        <v>45317</v>
      </c>
      <c r="D557" s="116">
        <v>80.8</v>
      </c>
      <c r="E557" s="117">
        <v>45321</v>
      </c>
      <c r="F557" s="116">
        <f>COUNTIFS($A$3:A8808,A557,$B$3:B8808,B557)</f>
        <v>1</v>
      </c>
      <c r="G557" s="116"/>
    </row>
    <row r="558" spans="1:7" x14ac:dyDescent="0.2">
      <c r="A558" s="116">
        <f>IF(ISNUMBER(Tabela2[[#This Row],[CT-e/NFS]])=TRUE,(IF(B558&gt;30000,4,IF(B558&lt;1000,"ND",0))),"-")</f>
        <v>0</v>
      </c>
      <c r="B558" s="116">
        <v>21088</v>
      </c>
      <c r="C558" s="117">
        <v>45317</v>
      </c>
      <c r="D558" s="116">
        <v>76.28</v>
      </c>
      <c r="E558" s="117">
        <v>45321</v>
      </c>
      <c r="F558" s="116">
        <f>COUNTIFS($A$3:A8809,A558,$B$3:B8809,B558)</f>
        <v>1</v>
      </c>
      <c r="G558" s="116"/>
    </row>
    <row r="559" spans="1:7" x14ac:dyDescent="0.2">
      <c r="A559" s="116">
        <f>IF(ISNUMBER(Tabela2[[#This Row],[CT-e/NFS]])=TRUE,(IF(B559&gt;30000,4,IF(B559&lt;1000,"ND",0))),"-")</f>
        <v>4</v>
      </c>
      <c r="B559" s="116">
        <v>45770</v>
      </c>
      <c r="C559" s="117">
        <v>45317</v>
      </c>
      <c r="D559" s="116">
        <v>242.24</v>
      </c>
      <c r="E559" s="117">
        <v>45321</v>
      </c>
      <c r="F559" s="116">
        <f>COUNTIFS($A$3:A8810,A559,$B$3:B8810,B559)</f>
        <v>1</v>
      </c>
      <c r="G559" s="116"/>
    </row>
    <row r="560" spans="1:7" x14ac:dyDescent="0.2">
      <c r="A560" s="116">
        <f>IF(ISNUMBER(Tabela2[[#This Row],[CT-e/NFS]])=TRUE,(IF(B560&gt;30000,4,IF(B560&lt;1000,"ND",0))),"-")</f>
        <v>4</v>
      </c>
      <c r="B560" s="116">
        <v>45742</v>
      </c>
      <c r="C560" s="117">
        <v>45317</v>
      </c>
      <c r="D560" s="116">
        <v>309.31</v>
      </c>
      <c r="E560" s="117">
        <v>45321</v>
      </c>
      <c r="F560" s="116">
        <f>COUNTIFS($A$3:A8811,A560,$B$3:B8811,B560)</f>
        <v>1</v>
      </c>
      <c r="G560" s="116"/>
    </row>
    <row r="561" spans="1:7" x14ac:dyDescent="0.2">
      <c r="A561" s="116">
        <f>IF(ISNUMBER(Tabela2[[#This Row],[CT-e/NFS]])=TRUE,(IF(B561&gt;30000,4,IF(B561&lt;1000,"ND",0))),"-")</f>
        <v>4</v>
      </c>
      <c r="B561" s="116">
        <v>45845</v>
      </c>
      <c r="C561" s="117">
        <v>45317</v>
      </c>
      <c r="D561" s="116">
        <v>124.09</v>
      </c>
      <c r="E561" s="117">
        <v>45321</v>
      </c>
      <c r="F561" s="116">
        <f>COUNTIFS($A$3:A8812,A561,$B$3:B8812,B561)</f>
        <v>1</v>
      </c>
      <c r="G561" s="116"/>
    </row>
    <row r="562" spans="1:7" x14ac:dyDescent="0.2">
      <c r="A562" s="116">
        <f>IF(ISNUMBER(Tabela2[[#This Row],[CT-e/NFS]])=TRUE,(IF(B562&gt;30000,4,IF(B562&lt;1000,"ND",0))),"-")</f>
        <v>4</v>
      </c>
      <c r="B562" s="116">
        <v>45844</v>
      </c>
      <c r="C562" s="117">
        <v>45317</v>
      </c>
      <c r="D562" s="116">
        <v>90.39</v>
      </c>
      <c r="E562" s="117">
        <v>45321</v>
      </c>
      <c r="F562" s="116">
        <f>COUNTIFS($A$3:A8813,A562,$B$3:B8813,B562)</f>
        <v>1</v>
      </c>
      <c r="G562" s="116"/>
    </row>
    <row r="563" spans="1:7" x14ac:dyDescent="0.2">
      <c r="A563" s="116">
        <f>IF(ISNUMBER(Tabela2[[#This Row],[CT-e/NFS]])=TRUE,(IF(B563&gt;30000,4,IF(B563&lt;1000,"ND",0))),"-")</f>
        <v>4</v>
      </c>
      <c r="B563" s="116">
        <v>45842</v>
      </c>
      <c r="C563" s="117">
        <v>45317</v>
      </c>
      <c r="D563" s="116">
        <v>242.65</v>
      </c>
      <c r="E563" s="117">
        <v>45321</v>
      </c>
      <c r="F563" s="116">
        <f>COUNTIFS($A$3:A8814,A563,$B$3:B8814,B563)</f>
        <v>1</v>
      </c>
      <c r="G563" s="116"/>
    </row>
    <row r="564" spans="1:7" x14ac:dyDescent="0.2">
      <c r="A564" s="116">
        <f>IF(ISNUMBER(Tabela2[[#This Row],[CT-e/NFS]])=TRUE,(IF(B564&gt;30000,4,IF(B564&lt;1000,"ND",0))),"-")</f>
        <v>4</v>
      </c>
      <c r="B564" s="116">
        <v>45843</v>
      </c>
      <c r="C564" s="117">
        <v>45317</v>
      </c>
      <c r="D564" s="116">
        <v>124.39</v>
      </c>
      <c r="E564" s="117">
        <v>45321</v>
      </c>
      <c r="F564" s="116">
        <f>COUNTIFS($A$3:A8815,A564,$B$3:B8815,B564)</f>
        <v>1</v>
      </c>
      <c r="G564" s="116"/>
    </row>
    <row r="565" spans="1:7" x14ac:dyDescent="0.2">
      <c r="A565" s="116">
        <f>IF(ISNUMBER(Tabela2[[#This Row],[CT-e/NFS]])=TRUE,(IF(B565&gt;30000,4,IF(B565&lt;1000,"ND",0))),"-")</f>
        <v>4</v>
      </c>
      <c r="B565" s="116">
        <v>45839</v>
      </c>
      <c r="C565" s="117">
        <v>45317</v>
      </c>
      <c r="D565" s="116">
        <v>125.43</v>
      </c>
      <c r="E565" s="117">
        <v>45321</v>
      </c>
      <c r="F565" s="116">
        <f>COUNTIFS($A$3:A8816,A565,$B$3:B8816,B565)</f>
        <v>1</v>
      </c>
      <c r="G565" s="116"/>
    </row>
    <row r="566" spans="1:7" x14ac:dyDescent="0.2">
      <c r="A566" s="116">
        <f>IF(ISNUMBER(Tabela2[[#This Row],[CT-e/NFS]])=TRUE,(IF(B566&gt;30000,4,IF(B566&lt;1000,"ND",0))),"-")</f>
        <v>4</v>
      </c>
      <c r="B566" s="116">
        <v>45841</v>
      </c>
      <c r="C566" s="117">
        <v>45317</v>
      </c>
      <c r="D566" s="116">
        <v>124.45</v>
      </c>
      <c r="E566" s="117">
        <v>45321</v>
      </c>
      <c r="F566" s="116">
        <f>COUNTIFS($A$3:A8817,A566,$B$3:B8817,B566)</f>
        <v>1</v>
      </c>
      <c r="G566" s="116"/>
    </row>
    <row r="567" spans="1:7" x14ac:dyDescent="0.2">
      <c r="A567" s="116">
        <f>IF(ISNUMBER(Tabela2[[#This Row],[CT-e/NFS]])=TRUE,(IF(B567&gt;30000,4,IF(B567&lt;1000,"ND",0))),"-")</f>
        <v>4</v>
      </c>
      <c r="B567" s="116">
        <v>45836</v>
      </c>
      <c r="C567" s="117">
        <v>45317</v>
      </c>
      <c r="D567" s="116">
        <v>967.07</v>
      </c>
      <c r="E567" s="117">
        <v>45321</v>
      </c>
      <c r="F567" s="116">
        <f>COUNTIFS($A$3:A8818,A567,$B$3:B8818,B567)</f>
        <v>1</v>
      </c>
      <c r="G567" s="116"/>
    </row>
    <row r="568" spans="1:7" x14ac:dyDescent="0.2">
      <c r="A568" s="116">
        <f>IF(ISNUMBER(Tabela2[[#This Row],[CT-e/NFS]])=TRUE,(IF(B568&gt;30000,4,IF(B568&lt;1000,"ND",0))),"-")</f>
        <v>0</v>
      </c>
      <c r="B568" s="116">
        <v>21090</v>
      </c>
      <c r="C568" s="117">
        <v>45317</v>
      </c>
      <c r="D568" s="116">
        <v>844.3</v>
      </c>
      <c r="E568" s="117">
        <v>45321</v>
      </c>
      <c r="F568" s="116">
        <f>COUNTIFS($A$3:A8819,A568,$B$3:B8819,B568)</f>
        <v>1</v>
      </c>
      <c r="G568" s="116"/>
    </row>
    <row r="569" spans="1:7" x14ac:dyDescent="0.2">
      <c r="A569" s="116">
        <f>IF(ISNUMBER(Tabela2[[#This Row],[CT-e/NFS]])=TRUE,(IF(B569&gt;30000,4,IF(B569&lt;1000,"ND",0))),"-")</f>
        <v>4</v>
      </c>
      <c r="B569" s="116">
        <v>45855</v>
      </c>
      <c r="C569" s="117">
        <v>45317</v>
      </c>
      <c r="D569" s="116">
        <v>110.81</v>
      </c>
      <c r="E569" s="117">
        <v>45321</v>
      </c>
      <c r="F569" s="116">
        <f>COUNTIFS($A$3:A8820,A569,$B$3:B8820,B569)</f>
        <v>1</v>
      </c>
      <c r="G569" s="116"/>
    </row>
    <row r="570" spans="1:7" x14ac:dyDescent="0.2">
      <c r="A570" s="116">
        <f>IF(ISNUMBER(Tabela2[[#This Row],[CT-e/NFS]])=TRUE,(IF(B570&gt;30000,4,IF(B570&lt;1000,"ND",0))),"-")</f>
        <v>4</v>
      </c>
      <c r="B570" s="116">
        <v>45854</v>
      </c>
      <c r="C570" s="117">
        <v>45317</v>
      </c>
      <c r="D570" s="116">
        <v>61.53</v>
      </c>
      <c r="E570" s="117">
        <v>45321</v>
      </c>
      <c r="F570" s="116">
        <f>COUNTIFS($A$3:A8821,A570,$B$3:B8821,B570)</f>
        <v>1</v>
      </c>
      <c r="G570" s="116"/>
    </row>
    <row r="571" spans="1:7" x14ac:dyDescent="0.2">
      <c r="A571" s="116">
        <f>IF(ISNUMBER(Tabela2[[#This Row],[CT-e/NFS]])=TRUE,(IF(B571&gt;30000,4,IF(B571&lt;1000,"ND",0))),"-")</f>
        <v>4</v>
      </c>
      <c r="B571" s="116">
        <v>45840</v>
      </c>
      <c r="C571" s="117">
        <v>45317</v>
      </c>
      <c r="D571" s="116">
        <v>246.33</v>
      </c>
      <c r="E571" s="117">
        <v>45321</v>
      </c>
      <c r="F571" s="116">
        <f>COUNTIFS($A$3:A8822,A571,$B$3:B8822,B571)</f>
        <v>1</v>
      </c>
      <c r="G571" s="116"/>
    </row>
    <row r="572" spans="1:7" x14ac:dyDescent="0.2">
      <c r="A572" s="116">
        <f>IF(ISNUMBER(Tabela2[[#This Row],[CT-e/NFS]])=TRUE,(IF(B572&gt;30000,4,IF(B572&lt;1000,"ND",0))),"-")</f>
        <v>4</v>
      </c>
      <c r="B572" s="116">
        <v>45838</v>
      </c>
      <c r="C572" s="117">
        <v>45317</v>
      </c>
      <c r="D572" s="116">
        <v>985.32</v>
      </c>
      <c r="E572" s="117">
        <v>45321</v>
      </c>
      <c r="F572" s="116">
        <f>COUNTIFS($A$3:A8823,A572,$B$3:B8823,B572)</f>
        <v>1</v>
      </c>
      <c r="G572" s="116"/>
    </row>
    <row r="573" spans="1:7" x14ac:dyDescent="0.2">
      <c r="A573" s="116">
        <f>IF(ISNUMBER(Tabela2[[#This Row],[CT-e/NFS]])=TRUE,(IF(B573&gt;30000,4,IF(B573&lt;1000,"ND",0))),"-")</f>
        <v>4</v>
      </c>
      <c r="B573" s="116">
        <v>45873</v>
      </c>
      <c r="C573" s="117">
        <v>45317</v>
      </c>
      <c r="D573" s="116">
        <v>182.06</v>
      </c>
      <c r="E573" s="117">
        <v>45321</v>
      </c>
      <c r="F573" s="116">
        <f>COUNTIFS($A$3:A8824,A573,$B$3:B8824,B573)</f>
        <v>1</v>
      </c>
      <c r="G573" s="116"/>
    </row>
    <row r="574" spans="1:7" x14ac:dyDescent="0.2">
      <c r="A574" s="116">
        <f>IF(ISNUMBER(Tabela2[[#This Row],[CT-e/NFS]])=TRUE,(IF(B574&gt;30000,4,IF(B574&lt;1000,"ND",0))),"-")</f>
        <v>4</v>
      </c>
      <c r="B574" s="116">
        <v>45877</v>
      </c>
      <c r="C574" s="117">
        <v>45317</v>
      </c>
      <c r="D574" s="116">
        <v>243.8</v>
      </c>
      <c r="E574" s="117">
        <v>45321</v>
      </c>
      <c r="F574" s="116">
        <f>COUNTIFS($A$3:A8825,A574,$B$3:B8825,B574)</f>
        <v>1</v>
      </c>
      <c r="G574" s="116"/>
    </row>
    <row r="575" spans="1:7" x14ac:dyDescent="0.2">
      <c r="A575" s="116">
        <f>IF(ISNUMBER(Tabela2[[#This Row],[CT-e/NFS]])=TRUE,(IF(B575&gt;30000,4,IF(B575&lt;1000,"ND",0))),"-")</f>
        <v>4</v>
      </c>
      <c r="B575" s="116">
        <v>45875</v>
      </c>
      <c r="C575" s="117">
        <v>45317</v>
      </c>
      <c r="D575" s="116">
        <v>448.01</v>
      </c>
      <c r="E575" s="117">
        <v>45321</v>
      </c>
      <c r="F575" s="116">
        <f>COUNTIFS($A$3:A8826,A575,$B$3:B8826,B575)</f>
        <v>1</v>
      </c>
      <c r="G575" s="116"/>
    </row>
    <row r="576" spans="1:7" x14ac:dyDescent="0.2">
      <c r="A576" s="116">
        <f>IF(ISNUMBER(Tabela2[[#This Row],[CT-e/NFS]])=TRUE,(IF(B576&gt;30000,4,IF(B576&lt;1000,"ND",0))),"-")</f>
        <v>4</v>
      </c>
      <c r="B576" s="116">
        <v>45871</v>
      </c>
      <c r="C576" s="117">
        <v>45317</v>
      </c>
      <c r="D576" s="116">
        <v>124.35</v>
      </c>
      <c r="E576" s="117">
        <v>45321</v>
      </c>
      <c r="F576" s="116">
        <f>COUNTIFS($A$3:A8827,A576,$B$3:B8827,B576)</f>
        <v>1</v>
      </c>
      <c r="G576" s="116"/>
    </row>
    <row r="577" spans="1:7" x14ac:dyDescent="0.2">
      <c r="A577" s="116">
        <f>IF(ISNUMBER(Tabela2[[#This Row],[CT-e/NFS]])=TRUE,(IF(B577&gt;30000,4,IF(B577&lt;1000,"ND",0))),"-")</f>
        <v>4</v>
      </c>
      <c r="B577" s="116">
        <v>45866</v>
      </c>
      <c r="C577" s="117">
        <v>45317</v>
      </c>
      <c r="D577" s="116">
        <v>125.42</v>
      </c>
      <c r="E577" s="117">
        <v>45321</v>
      </c>
      <c r="F577" s="116">
        <f>COUNTIFS($A$3:A8828,A577,$B$3:B8828,B577)</f>
        <v>1</v>
      </c>
      <c r="G577" s="116"/>
    </row>
    <row r="578" spans="1:7" x14ac:dyDescent="0.2">
      <c r="A578" s="116">
        <f>IF(ISNUMBER(Tabela2[[#This Row],[CT-e/NFS]])=TRUE,(IF(B578&gt;30000,4,IF(B578&lt;1000,"ND",0))),"-")</f>
        <v>4</v>
      </c>
      <c r="B578" s="116">
        <v>45874</v>
      </c>
      <c r="C578" s="117">
        <v>45317</v>
      </c>
      <c r="D578" s="116">
        <v>238.86</v>
      </c>
      <c r="E578" s="117">
        <v>45321</v>
      </c>
      <c r="F578" s="116">
        <f>COUNTIFS($A$3:A8829,A578,$B$3:B8829,B578)</f>
        <v>1</v>
      </c>
      <c r="G578" s="116"/>
    </row>
    <row r="579" spans="1:7" x14ac:dyDescent="0.2">
      <c r="A579" s="116">
        <f>IF(ISNUMBER(Tabela2[[#This Row],[CT-e/NFS]])=TRUE,(IF(B579&gt;30000,4,IF(B579&lt;1000,"ND",0))),"-")</f>
        <v>4</v>
      </c>
      <c r="B579" s="116">
        <v>45868</v>
      </c>
      <c r="C579" s="117">
        <v>45317</v>
      </c>
      <c r="D579" s="116">
        <v>426.24</v>
      </c>
      <c r="E579" s="117">
        <v>45321</v>
      </c>
      <c r="F579" s="116">
        <f>COUNTIFS($A$3:A8830,A579,$B$3:B8830,B579)</f>
        <v>1</v>
      </c>
      <c r="G579" s="116"/>
    </row>
    <row r="580" spans="1:7" x14ac:dyDescent="0.2">
      <c r="A580" s="116">
        <f>IF(ISNUMBER(Tabela2[[#This Row],[CT-e/NFS]])=TRUE,(IF(B580&gt;30000,4,IF(B580&lt;1000,"ND",0))),"-")</f>
        <v>4</v>
      </c>
      <c r="B580" s="116">
        <v>45863</v>
      </c>
      <c r="C580" s="117">
        <v>45317</v>
      </c>
      <c r="D580" s="116">
        <v>211.1</v>
      </c>
      <c r="E580" s="117">
        <v>45321</v>
      </c>
      <c r="F580" s="116">
        <f>COUNTIFS($A$3:A8831,A580,$B$3:B8831,B580)</f>
        <v>1</v>
      </c>
      <c r="G580" s="116"/>
    </row>
    <row r="581" spans="1:7" x14ac:dyDescent="0.2">
      <c r="A581" s="116">
        <f>IF(ISNUMBER(Tabela2[[#This Row],[CT-e/NFS]])=TRUE,(IF(B581&gt;30000,4,IF(B581&lt;1000,"ND",0))),"-")</f>
        <v>4</v>
      </c>
      <c r="B581" s="116">
        <v>45865</v>
      </c>
      <c r="C581" s="117">
        <v>45317</v>
      </c>
      <c r="D581" s="116">
        <v>224.78</v>
      </c>
      <c r="E581" s="117">
        <v>45321</v>
      </c>
      <c r="F581" s="116">
        <f>COUNTIFS($A$3:A8832,A581,$B$3:B8832,B581)</f>
        <v>1</v>
      </c>
      <c r="G581" s="116"/>
    </row>
    <row r="582" spans="1:7" x14ac:dyDescent="0.2">
      <c r="A582" s="116">
        <f>IF(ISNUMBER(Tabela2[[#This Row],[CT-e/NFS]])=TRUE,(IF(B582&gt;30000,4,IF(B582&lt;1000,"ND",0))),"-")</f>
        <v>4</v>
      </c>
      <c r="B582" s="116">
        <v>45870</v>
      </c>
      <c r="C582" s="117">
        <v>45317</v>
      </c>
      <c r="D582" s="116">
        <v>122.76</v>
      </c>
      <c r="E582" s="117">
        <v>45321</v>
      </c>
      <c r="F582" s="116">
        <f>COUNTIFS($A$3:A8833,A582,$B$3:B8833,B582)</f>
        <v>1</v>
      </c>
      <c r="G582" s="116"/>
    </row>
    <row r="583" spans="1:7" x14ac:dyDescent="0.2">
      <c r="A583" s="116">
        <f>IF(ISNUMBER(Tabela2[[#This Row],[CT-e/NFS]])=TRUE,(IF(B583&gt;30000,4,IF(B583&lt;1000,"ND",0))),"-")</f>
        <v>4</v>
      </c>
      <c r="B583" s="116">
        <v>45869</v>
      </c>
      <c r="C583" s="117">
        <v>45317</v>
      </c>
      <c r="D583" s="116">
        <v>124.39</v>
      </c>
      <c r="E583" s="117">
        <v>45321</v>
      </c>
      <c r="F583" s="116">
        <f>COUNTIFS($A$3:A8834,A583,$B$3:B8834,B583)</f>
        <v>1</v>
      </c>
      <c r="G583" s="116"/>
    </row>
    <row r="584" spans="1:7" x14ac:dyDescent="0.2">
      <c r="A584" s="116">
        <f>IF(ISNUMBER(Tabela2[[#This Row],[CT-e/NFS]])=TRUE,(IF(B584&gt;30000,4,IF(B584&lt;1000,"ND",0))),"-")</f>
        <v>4</v>
      </c>
      <c r="B584" s="116">
        <v>45864</v>
      </c>
      <c r="C584" s="117">
        <v>45317</v>
      </c>
      <c r="D584" s="116">
        <v>123.32</v>
      </c>
      <c r="E584" s="117">
        <v>45321</v>
      </c>
      <c r="F584" s="116">
        <f>COUNTIFS($A$3:A8835,A584,$B$3:B8835,B584)</f>
        <v>1</v>
      </c>
      <c r="G584" s="116"/>
    </row>
    <row r="585" spans="1:7" x14ac:dyDescent="0.2">
      <c r="A585" s="116">
        <f>IF(ISNUMBER(Tabela2[[#This Row],[CT-e/NFS]])=TRUE,(IF(B585&gt;30000,4,IF(B585&lt;1000,"ND",0))),"-")</f>
        <v>4</v>
      </c>
      <c r="B585" s="116">
        <v>45867</v>
      </c>
      <c r="C585" s="117">
        <v>45317</v>
      </c>
      <c r="D585" s="116">
        <v>125.42</v>
      </c>
      <c r="E585" s="117">
        <v>45321</v>
      </c>
      <c r="F585" s="116">
        <f>COUNTIFS($A$3:A8836,A585,$B$3:B8836,B585)</f>
        <v>1</v>
      </c>
      <c r="G585" s="116"/>
    </row>
    <row r="586" spans="1:7" x14ac:dyDescent="0.2">
      <c r="A586" s="116">
        <f>IF(ISNUMBER(Tabela2[[#This Row],[CT-e/NFS]])=TRUE,(IF(B586&gt;30000,4,IF(B586&lt;1000,"ND",0))),"-")</f>
        <v>4</v>
      </c>
      <c r="B586" s="116">
        <v>45878</v>
      </c>
      <c r="C586" s="117">
        <v>45317</v>
      </c>
      <c r="D586" s="116">
        <v>123.44</v>
      </c>
      <c r="E586" s="117">
        <v>45321</v>
      </c>
      <c r="F586" s="116">
        <f>COUNTIFS($A$3:A8837,A586,$B$3:B8837,B586)</f>
        <v>1</v>
      </c>
      <c r="G586" s="116"/>
    </row>
    <row r="587" spans="1:7" x14ac:dyDescent="0.2">
      <c r="A587" s="116">
        <f>IF(ISNUMBER(Tabela2[[#This Row],[CT-e/NFS]])=TRUE,(IF(B587&gt;30000,4,IF(B587&lt;1000,"ND",0))),"-")</f>
        <v>4</v>
      </c>
      <c r="B587" s="116">
        <v>45880</v>
      </c>
      <c r="C587" s="117">
        <v>45317</v>
      </c>
      <c r="D587" s="116">
        <v>85.91</v>
      </c>
      <c r="E587" s="117">
        <v>45321</v>
      </c>
      <c r="F587" s="116">
        <f>COUNTIFS($A$3:A8838,A587,$B$3:B8838,B587)</f>
        <v>1</v>
      </c>
      <c r="G587" s="116"/>
    </row>
    <row r="588" spans="1:7" x14ac:dyDescent="0.2">
      <c r="A588" s="116">
        <f>IF(ISNUMBER(Tabela2[[#This Row],[CT-e/NFS]])=TRUE,(IF(B588&gt;30000,4,IF(B588&lt;1000,"ND",0))),"-")</f>
        <v>4</v>
      </c>
      <c r="B588" s="116">
        <v>45861</v>
      </c>
      <c r="C588" s="117">
        <v>45317</v>
      </c>
      <c r="D588" s="116">
        <v>126.23</v>
      </c>
      <c r="E588" s="117">
        <v>45321</v>
      </c>
      <c r="F588" s="116">
        <f>COUNTIFS($A$3:A8839,A588,$B$3:B8839,B588)</f>
        <v>1</v>
      </c>
      <c r="G588" s="116"/>
    </row>
    <row r="589" spans="1:7" x14ac:dyDescent="0.2">
      <c r="A589" s="116">
        <f>IF(ISNUMBER(Tabela2[[#This Row],[CT-e/NFS]])=TRUE,(IF(B589&gt;30000,4,IF(B589&lt;1000,"ND",0))),"-")</f>
        <v>4</v>
      </c>
      <c r="B589" s="116">
        <v>45862</v>
      </c>
      <c r="C589" s="117">
        <v>45317</v>
      </c>
      <c r="D589" s="116">
        <v>126.58</v>
      </c>
      <c r="E589" s="117">
        <v>45321</v>
      </c>
      <c r="F589" s="116">
        <f>COUNTIFS($A$3:A8840,A589,$B$3:B8840,B589)</f>
        <v>1</v>
      </c>
      <c r="G589" s="116"/>
    </row>
    <row r="590" spans="1:7" x14ac:dyDescent="0.2">
      <c r="A590" s="116">
        <f>IF(ISNUMBER(Tabela2[[#This Row],[CT-e/NFS]])=TRUE,(IF(B590&gt;30000,4,IF(B590&lt;1000,"ND",0))),"-")</f>
        <v>0</v>
      </c>
      <c r="B590" s="116">
        <v>21092</v>
      </c>
      <c r="C590" s="117">
        <v>45317</v>
      </c>
      <c r="D590" s="116">
        <v>102.45</v>
      </c>
      <c r="E590" s="117">
        <v>45321</v>
      </c>
      <c r="F590" s="116">
        <f>COUNTIFS($A$3:A8841,A590,$B$3:B8841,B590)</f>
        <v>1</v>
      </c>
      <c r="G590" s="116"/>
    </row>
    <row r="591" spans="1:7" x14ac:dyDescent="0.2">
      <c r="A591" s="116">
        <f>IF(ISNUMBER(Tabela2[[#This Row],[CT-e/NFS]])=TRUE,(IF(B591&gt;30000,4,IF(B591&lt;1000,"ND",0))),"-")</f>
        <v>0</v>
      </c>
      <c r="B591" s="116">
        <v>21093</v>
      </c>
      <c r="C591" s="117">
        <v>45317</v>
      </c>
      <c r="D591" s="116">
        <v>101.07</v>
      </c>
      <c r="E591" s="117">
        <v>45321</v>
      </c>
      <c r="F591" s="116">
        <f>COUNTIFS($A$3:A8842,A591,$B$3:B8842,B591)</f>
        <v>1</v>
      </c>
      <c r="G591" s="116"/>
    </row>
    <row r="592" spans="1:7" x14ac:dyDescent="0.2">
      <c r="A592" s="116">
        <f>IF(ISNUMBER(Tabela2[[#This Row],[CT-e/NFS]])=TRUE,(IF(B592&gt;30000,4,IF(B592&lt;1000,"ND",0))),"-")</f>
        <v>4</v>
      </c>
      <c r="B592" s="116">
        <v>45795</v>
      </c>
      <c r="C592" s="117">
        <v>45317</v>
      </c>
      <c r="D592" s="116">
        <v>62.17</v>
      </c>
      <c r="E592" s="117">
        <v>45321</v>
      </c>
      <c r="F592" s="116">
        <f>COUNTIFS($A$3:A8843,A592,$B$3:B8843,B592)</f>
        <v>1</v>
      </c>
      <c r="G592" s="116"/>
    </row>
    <row r="593" spans="1:7" x14ac:dyDescent="0.2">
      <c r="A593" s="116">
        <f>IF(ISNUMBER(Tabela2[[#This Row],[CT-e/NFS]])=TRUE,(IF(B593&gt;30000,4,IF(B593&lt;1000,"ND",0))),"-")</f>
        <v>4</v>
      </c>
      <c r="B593" s="116">
        <v>45796</v>
      </c>
      <c r="C593" s="117">
        <v>45317</v>
      </c>
      <c r="D593" s="116">
        <v>112.08</v>
      </c>
      <c r="E593" s="117">
        <v>45321</v>
      </c>
      <c r="F593" s="116">
        <f>COUNTIFS($A$3:A8844,A593,$B$3:B8844,B593)</f>
        <v>1</v>
      </c>
      <c r="G593" s="116"/>
    </row>
    <row r="594" spans="1:7" x14ac:dyDescent="0.2">
      <c r="A594" s="116">
        <f>IF(ISNUMBER(Tabela2[[#This Row],[CT-e/NFS]])=TRUE,(IF(B594&gt;30000,4,IF(B594&lt;1000,"ND",0))),"-")</f>
        <v>4</v>
      </c>
      <c r="B594" s="116">
        <v>45801</v>
      </c>
      <c r="C594" s="117">
        <v>45317</v>
      </c>
      <c r="D594" s="116">
        <v>1201.81</v>
      </c>
      <c r="E594" s="117">
        <v>45321</v>
      </c>
      <c r="F594" s="116">
        <f>COUNTIFS($A$3:A8845,A594,$B$3:B8845,B594)</f>
        <v>1</v>
      </c>
      <c r="G594" s="116"/>
    </row>
    <row r="595" spans="1:7" x14ac:dyDescent="0.2">
      <c r="A595" s="116">
        <f>IF(ISNUMBER(Tabela2[[#This Row],[CT-e/NFS]])=TRUE,(IF(B595&gt;30000,4,IF(B595&lt;1000,"ND",0))),"-")</f>
        <v>4</v>
      </c>
      <c r="B595" s="116">
        <v>45805</v>
      </c>
      <c r="C595" s="117">
        <v>45317</v>
      </c>
      <c r="D595" s="116">
        <v>408.02</v>
      </c>
      <c r="E595" s="117">
        <v>45321</v>
      </c>
      <c r="F595" s="116">
        <f>COUNTIFS($A$3:A8846,A595,$B$3:B8846,B595)</f>
        <v>1</v>
      </c>
      <c r="G595" s="116"/>
    </row>
    <row r="596" spans="1:7" x14ac:dyDescent="0.2">
      <c r="A596" s="116">
        <f>IF(ISNUMBER(Tabela2[[#This Row],[CT-e/NFS]])=TRUE,(IF(B596&gt;30000,4,IF(B596&lt;1000,"ND",0))),"-")</f>
        <v>4</v>
      </c>
      <c r="B596" s="116">
        <v>45803</v>
      </c>
      <c r="C596" s="117">
        <v>45317</v>
      </c>
      <c r="D596" s="116">
        <v>408.02</v>
      </c>
      <c r="E596" s="117">
        <v>45321</v>
      </c>
      <c r="F596" s="116">
        <f>COUNTIFS($A$3:A8847,A596,$B$3:B8847,B596)</f>
        <v>1</v>
      </c>
      <c r="G596" s="116"/>
    </row>
    <row r="597" spans="1:7" x14ac:dyDescent="0.2">
      <c r="A597" s="116">
        <f>IF(ISNUMBER(Tabela2[[#This Row],[CT-e/NFS]])=TRUE,(IF(B597&gt;30000,4,IF(B597&lt;1000,"ND",0))),"-")</f>
        <v>4</v>
      </c>
      <c r="B597" s="116">
        <v>45853</v>
      </c>
      <c r="C597" s="117">
        <v>45317</v>
      </c>
      <c r="D597" s="116">
        <v>408.02</v>
      </c>
      <c r="E597" s="117">
        <v>45321</v>
      </c>
      <c r="F597" s="116">
        <f>COUNTIFS($A$3:A8848,A597,$B$3:B8848,B597)</f>
        <v>1</v>
      </c>
      <c r="G597" s="116"/>
    </row>
    <row r="598" spans="1:7" x14ac:dyDescent="0.2">
      <c r="A598" s="116">
        <f>IF(ISNUMBER(Tabela2[[#This Row],[CT-e/NFS]])=TRUE,(IF(B598&gt;30000,4,IF(B598&lt;1000,"ND",0))),"-")</f>
        <v>4</v>
      </c>
      <c r="B598" s="116">
        <v>45850</v>
      </c>
      <c r="C598" s="117">
        <v>45317</v>
      </c>
      <c r="D598" s="116">
        <v>995.85</v>
      </c>
      <c r="E598" s="117">
        <v>45321</v>
      </c>
      <c r="F598" s="116">
        <f>COUNTIFS($A$3:A8849,A598,$B$3:B8849,B598)</f>
        <v>1</v>
      </c>
      <c r="G598" s="116"/>
    </row>
    <row r="599" spans="1:7" x14ac:dyDescent="0.2">
      <c r="A599" s="116">
        <f>IF(ISNUMBER(Tabela2[[#This Row],[CT-e/NFS]])=TRUE,(IF(B599&gt;30000,4,IF(B599&lt;1000,"ND",0))),"-")</f>
        <v>4</v>
      </c>
      <c r="B599" s="116">
        <v>45852</v>
      </c>
      <c r="C599" s="117">
        <v>45317</v>
      </c>
      <c r="D599" s="116">
        <v>1082.03</v>
      </c>
      <c r="E599" s="117">
        <v>45321</v>
      </c>
      <c r="F599" s="116">
        <f>COUNTIFS($A$3:A8850,A599,$B$3:B8850,B599)</f>
        <v>1</v>
      </c>
      <c r="G599" s="116"/>
    </row>
    <row r="600" spans="1:7" x14ac:dyDescent="0.2">
      <c r="A600" s="116">
        <f>IF(ISNUMBER(Tabela2[[#This Row],[CT-e/NFS]])=TRUE,(IF(B600&gt;30000,4,IF(B600&lt;1000,"ND",0))),"-")</f>
        <v>4</v>
      </c>
      <c r="B600" s="116">
        <v>45857</v>
      </c>
      <c r="C600" s="117">
        <v>45317</v>
      </c>
      <c r="D600" s="116">
        <v>180.3</v>
      </c>
      <c r="E600" s="117">
        <v>45321</v>
      </c>
      <c r="F600" s="116">
        <f>COUNTIFS($A$3:A8851,A600,$B$3:B8851,B600)</f>
        <v>1</v>
      </c>
      <c r="G600" s="116"/>
    </row>
    <row r="601" spans="1:7" x14ac:dyDescent="0.2">
      <c r="A601" s="116">
        <f>IF(ISNUMBER(Tabela2[[#This Row],[CT-e/NFS]])=TRUE,(IF(B601&gt;30000,4,IF(B601&lt;1000,"ND",0))),"-")</f>
        <v>4</v>
      </c>
      <c r="B601" s="116">
        <v>45860</v>
      </c>
      <c r="C601" s="117">
        <v>45317</v>
      </c>
      <c r="D601" s="116">
        <v>1323.86</v>
      </c>
      <c r="E601" s="117">
        <v>45321</v>
      </c>
      <c r="F601" s="116">
        <f>COUNTIFS($A$3:A8852,A601,$B$3:B8852,B601)</f>
        <v>1</v>
      </c>
      <c r="G601" s="116"/>
    </row>
    <row r="602" spans="1:7" x14ac:dyDescent="0.2">
      <c r="A602" s="116">
        <f>IF(ISNUMBER(Tabela2[[#This Row],[CT-e/NFS]])=TRUE,(IF(B602&gt;30000,4,IF(B602&lt;1000,"ND",0))),"-")</f>
        <v>4</v>
      </c>
      <c r="B602" s="116">
        <v>45859</v>
      </c>
      <c r="C602" s="117">
        <v>45317</v>
      </c>
      <c r="D602" s="116">
        <v>1063.6600000000001</v>
      </c>
      <c r="E602" s="117">
        <v>45321</v>
      </c>
      <c r="F602" s="116">
        <f>COUNTIFS($A$3:A8853,A602,$B$3:B8853,B602)</f>
        <v>1</v>
      </c>
      <c r="G602" s="116"/>
    </row>
    <row r="603" spans="1:7" x14ac:dyDescent="0.2">
      <c r="A603" s="116">
        <f>IF(ISNUMBER(Tabela2[[#This Row],[CT-e/NFS]])=TRUE,(IF(B603&gt;30000,4,IF(B603&lt;1000,"ND",0))),"-")</f>
        <v>4</v>
      </c>
      <c r="B603" s="116">
        <v>45872</v>
      </c>
      <c r="C603" s="117">
        <v>45317</v>
      </c>
      <c r="D603" s="116">
        <v>123.51</v>
      </c>
      <c r="E603" s="117">
        <v>45321</v>
      </c>
      <c r="F603" s="116">
        <f>COUNTIFS($A$3:A8854,A603,$B$3:B8854,B603)</f>
        <v>1</v>
      </c>
      <c r="G603" s="116"/>
    </row>
    <row r="604" spans="1:7" x14ac:dyDescent="0.2">
      <c r="A604" s="116">
        <f>IF(ISNUMBER(Tabela2[[#This Row],[CT-e/NFS]])=TRUE,(IF(B604&gt;30000,4,IF(B604&lt;1000,"ND",0))),"-")</f>
        <v>4</v>
      </c>
      <c r="B604" s="116">
        <v>45876</v>
      </c>
      <c r="C604" s="117">
        <v>45317</v>
      </c>
      <c r="D604" s="116">
        <v>126.02</v>
      </c>
      <c r="E604" s="117">
        <v>45321</v>
      </c>
      <c r="F604" s="116">
        <f>COUNTIFS($A$3:A8855,A604,$B$3:B8855,B604)</f>
        <v>1</v>
      </c>
      <c r="G604" s="116"/>
    </row>
    <row r="605" spans="1:7" x14ac:dyDescent="0.2">
      <c r="A605" s="116">
        <f>IF(ISNUMBER(Tabela2[[#This Row],[CT-e/NFS]])=TRUE,(IF(B605&gt;30000,4,IF(B605&lt;1000,"ND",0))),"-")</f>
        <v>4</v>
      </c>
      <c r="B605" s="116">
        <v>45887</v>
      </c>
      <c r="C605" s="117">
        <v>45317</v>
      </c>
      <c r="D605" s="116">
        <v>125.16</v>
      </c>
      <c r="E605" s="117">
        <v>45321</v>
      </c>
      <c r="F605" s="116">
        <f>COUNTIFS($A$3:A8856,A605,$B$3:B8856,B605)</f>
        <v>1</v>
      </c>
      <c r="G605" s="116"/>
    </row>
    <row r="606" spans="1:7" x14ac:dyDescent="0.2">
      <c r="A606" s="116">
        <f>IF(ISNUMBER(Tabela2[[#This Row],[CT-e/NFS]])=TRUE,(IF(B606&gt;30000,4,IF(B606&lt;1000,"ND",0))),"-")</f>
        <v>4</v>
      </c>
      <c r="B606" s="116">
        <v>45883</v>
      </c>
      <c r="C606" s="117">
        <v>45317</v>
      </c>
      <c r="D606" s="116">
        <v>137.94</v>
      </c>
      <c r="E606" s="117">
        <v>45321</v>
      </c>
      <c r="F606" s="116">
        <f>COUNTIFS($A$3:A8857,A606,$B$3:B8857,B606)</f>
        <v>1</v>
      </c>
      <c r="G606" s="116"/>
    </row>
    <row r="607" spans="1:7" x14ac:dyDescent="0.2">
      <c r="A607" s="116">
        <f>IF(ISNUMBER(Tabela2[[#This Row],[CT-e/NFS]])=TRUE,(IF(B607&gt;30000,4,IF(B607&lt;1000,"ND",0))),"-")</f>
        <v>4</v>
      </c>
      <c r="B607" s="116">
        <v>45882</v>
      </c>
      <c r="C607" s="117">
        <v>45317</v>
      </c>
      <c r="D607" s="116">
        <v>240.47</v>
      </c>
      <c r="E607" s="117">
        <v>45321</v>
      </c>
      <c r="F607" s="116">
        <f>COUNTIFS($A$3:A8858,A607,$B$3:B8858,B607)</f>
        <v>1</v>
      </c>
      <c r="G607" s="116"/>
    </row>
    <row r="608" spans="1:7" x14ac:dyDescent="0.2">
      <c r="A608" s="116">
        <f>IF(ISNUMBER(Tabela2[[#This Row],[CT-e/NFS]])=TRUE,(IF(B608&gt;30000,4,IF(B608&lt;1000,"ND",0))),"-")</f>
        <v>4</v>
      </c>
      <c r="B608" s="116">
        <v>45846</v>
      </c>
      <c r="C608" s="117">
        <v>45317</v>
      </c>
      <c r="D608" s="116">
        <v>1756.28</v>
      </c>
      <c r="E608" s="117">
        <v>45321</v>
      </c>
      <c r="F608" s="116">
        <f>COUNTIFS($A$3:A8859,A608,$B$3:B8859,B608)</f>
        <v>1</v>
      </c>
      <c r="G608" s="116"/>
    </row>
    <row r="609" spans="1:7" x14ac:dyDescent="0.2">
      <c r="A609" s="116">
        <f>IF(ISNUMBER(Tabela2[[#This Row],[CT-e/NFS]])=TRUE,(IF(B609&gt;30000,4,IF(B609&lt;1000,"ND",0))),"-")</f>
        <v>4</v>
      </c>
      <c r="B609" s="116">
        <v>45890</v>
      </c>
      <c r="C609" s="117">
        <v>45317</v>
      </c>
      <c r="D609" s="116">
        <v>307.75</v>
      </c>
      <c r="E609" s="117">
        <v>45321</v>
      </c>
      <c r="F609" s="116">
        <f>COUNTIFS($A$3:A8860,A609,$B$3:B8860,B609)</f>
        <v>1</v>
      </c>
      <c r="G609" s="116"/>
    </row>
    <row r="610" spans="1:7" x14ac:dyDescent="0.2">
      <c r="A610" s="116">
        <f>IF(ISNUMBER(Tabela2[[#This Row],[CT-e/NFS]])=TRUE,(IF(B610&gt;30000,4,IF(B610&lt;1000,"ND",0))),"-")</f>
        <v>4</v>
      </c>
      <c r="B610" s="116">
        <v>45851</v>
      </c>
      <c r="C610" s="117">
        <v>45317</v>
      </c>
      <c r="D610" s="116">
        <v>454.19</v>
      </c>
      <c r="E610" s="117">
        <v>45321</v>
      </c>
      <c r="F610" s="116">
        <f>COUNTIFS($A$3:A8861,A610,$B$3:B8861,B610)</f>
        <v>1</v>
      </c>
      <c r="G610" s="116"/>
    </row>
    <row r="611" spans="1:7" x14ac:dyDescent="0.2">
      <c r="A611" s="116">
        <f>IF(ISNUMBER(Tabela2[[#This Row],[CT-e/NFS]])=TRUE,(IF(B611&gt;30000,4,IF(B611&lt;1000,"ND",0))),"-")</f>
        <v>4</v>
      </c>
      <c r="B611" s="116">
        <v>45885</v>
      </c>
      <c r="C611" s="117">
        <v>45317</v>
      </c>
      <c r="D611" s="116">
        <v>125.92</v>
      </c>
      <c r="E611" s="117">
        <v>45321</v>
      </c>
      <c r="F611" s="116">
        <f>COUNTIFS($A$3:A8862,A611,$B$3:B8862,B611)</f>
        <v>1</v>
      </c>
      <c r="G611" s="116"/>
    </row>
    <row r="612" spans="1:7" x14ac:dyDescent="0.2">
      <c r="A612" s="116">
        <f>IF(ISNUMBER(Tabela2[[#This Row],[CT-e/NFS]])=TRUE,(IF(B612&gt;30000,4,IF(B612&lt;1000,"ND",0))),"-")</f>
        <v>4</v>
      </c>
      <c r="B612" s="116">
        <v>45886</v>
      </c>
      <c r="C612" s="117">
        <v>45317</v>
      </c>
      <c r="D612" s="116">
        <v>125.25</v>
      </c>
      <c r="E612" s="117">
        <v>45321</v>
      </c>
      <c r="F612" s="116">
        <f>COUNTIFS($A$3:A8863,A612,$B$3:B8863,B612)</f>
        <v>1</v>
      </c>
      <c r="G612" s="116"/>
    </row>
    <row r="613" spans="1:7" x14ac:dyDescent="0.2">
      <c r="A613" s="116">
        <f>IF(ISNUMBER(Tabela2[[#This Row],[CT-e/NFS]])=TRUE,(IF(B613&gt;30000,4,IF(B613&lt;1000,"ND",0))),"-")</f>
        <v>4</v>
      </c>
      <c r="B613" s="116">
        <v>45888</v>
      </c>
      <c r="C613" s="117">
        <v>45317</v>
      </c>
      <c r="D613" s="116">
        <v>215.53</v>
      </c>
      <c r="E613" s="117">
        <v>45321</v>
      </c>
      <c r="F613" s="116">
        <f>COUNTIFS($A$3:A8864,A613,$B$3:B8864,B613)</f>
        <v>1</v>
      </c>
      <c r="G613" s="116"/>
    </row>
    <row r="614" spans="1:7" x14ac:dyDescent="0.2">
      <c r="A614" s="116">
        <f>IF(ISNUMBER(Tabela2[[#This Row],[CT-e/NFS]])=TRUE,(IF(B614&gt;30000,4,IF(B614&lt;1000,"ND",0))),"-")</f>
        <v>4</v>
      </c>
      <c r="B614" s="116">
        <v>45831</v>
      </c>
      <c r="C614" s="117">
        <v>45317</v>
      </c>
      <c r="D614" s="116">
        <v>399.14</v>
      </c>
      <c r="E614" s="117">
        <v>45321</v>
      </c>
      <c r="F614" s="116">
        <f>COUNTIFS($A$3:A8865,A614,$B$3:B8865,B614)</f>
        <v>1</v>
      </c>
      <c r="G614" s="116"/>
    </row>
    <row r="615" spans="1:7" x14ac:dyDescent="0.2">
      <c r="A615" s="116">
        <f>IF(ISNUMBER(Tabela2[[#This Row],[CT-e/NFS]])=TRUE,(IF(B615&gt;30000,4,IF(B615&lt;1000,"ND",0))),"-")</f>
        <v>4</v>
      </c>
      <c r="B615" s="116">
        <v>45833</v>
      </c>
      <c r="C615" s="117">
        <v>45317</v>
      </c>
      <c r="D615" s="116">
        <v>727.34</v>
      </c>
      <c r="E615" s="117">
        <v>45321</v>
      </c>
      <c r="F615" s="116">
        <f>COUNTIFS($A$3:A8866,A615,$B$3:B8866,B615)</f>
        <v>1</v>
      </c>
      <c r="G615" s="116"/>
    </row>
    <row r="616" spans="1:7" x14ac:dyDescent="0.2">
      <c r="A616" s="116">
        <f>IF(ISNUMBER(Tabela2[[#This Row],[CT-e/NFS]])=TRUE,(IF(B616&gt;30000,4,IF(B616&lt;1000,"ND",0))),"-")</f>
        <v>4</v>
      </c>
      <c r="B616" s="116">
        <v>45889</v>
      </c>
      <c r="C616" s="117">
        <v>45317</v>
      </c>
      <c r="D616" s="116">
        <v>467.33</v>
      </c>
      <c r="E616" s="117">
        <v>45321</v>
      </c>
      <c r="F616" s="116">
        <f>COUNTIFS($A$3:A8867,A616,$B$3:B8867,B616)</f>
        <v>1</v>
      </c>
      <c r="G616" s="116"/>
    </row>
    <row r="617" spans="1:7" x14ac:dyDescent="0.2">
      <c r="A617" s="116">
        <f>IF(ISNUMBER(Tabela2[[#This Row],[CT-e/NFS]])=TRUE,(IF(B617&gt;30000,4,IF(B617&lt;1000,"ND",0))),"-")</f>
        <v>4</v>
      </c>
      <c r="B617" s="116">
        <v>45897</v>
      </c>
      <c r="C617" s="117">
        <v>45317</v>
      </c>
      <c r="D617" s="116">
        <v>218.09</v>
      </c>
      <c r="E617" s="117">
        <v>45321</v>
      </c>
      <c r="F617" s="116">
        <f>COUNTIFS($A$3:A8868,A617,$B$3:B8868,B617)</f>
        <v>1</v>
      </c>
      <c r="G617" s="116"/>
    </row>
    <row r="618" spans="1:7" x14ac:dyDescent="0.2">
      <c r="A618" s="116">
        <f>IF(ISNUMBER(Tabela2[[#This Row],[CT-e/NFS]])=TRUE,(IF(B618&gt;30000,4,IF(B618&lt;1000,"ND",0))),"-")</f>
        <v>4</v>
      </c>
      <c r="B618" s="116">
        <v>45898</v>
      </c>
      <c r="C618" s="117">
        <v>45317</v>
      </c>
      <c r="D618" s="116">
        <v>124.45</v>
      </c>
      <c r="E618" s="117">
        <v>45321</v>
      </c>
      <c r="F618" s="116">
        <f>COUNTIFS($A$3:A8869,A618,$B$3:B8869,B618)</f>
        <v>1</v>
      </c>
      <c r="G618" s="116"/>
    </row>
    <row r="619" spans="1:7" x14ac:dyDescent="0.2">
      <c r="A619" s="116">
        <f>IF(ISNUMBER(Tabela2[[#This Row],[CT-e/NFS]])=TRUE,(IF(B619&gt;30000,4,IF(B619&lt;1000,"ND",0))),"-")</f>
        <v>4</v>
      </c>
      <c r="B619" s="116">
        <v>45899</v>
      </c>
      <c r="C619" s="117">
        <v>45317</v>
      </c>
      <c r="D619" s="116">
        <v>277.3</v>
      </c>
      <c r="E619" s="117">
        <v>45321</v>
      </c>
      <c r="F619" s="116">
        <f>COUNTIFS($A$3:A8870,A619,$B$3:B8870,B619)</f>
        <v>1</v>
      </c>
      <c r="G619" s="116"/>
    </row>
    <row r="620" spans="1:7" x14ac:dyDescent="0.2">
      <c r="A620" s="116">
        <f>IF(ISNUMBER(Tabela2[[#This Row],[CT-e/NFS]])=TRUE,(IF(B620&gt;30000,4,IF(B620&lt;1000,"ND",0))),"-")</f>
        <v>4</v>
      </c>
      <c r="B620" s="116">
        <v>45895</v>
      </c>
      <c r="C620" s="117">
        <v>45317</v>
      </c>
      <c r="D620" s="116">
        <v>609.98</v>
      </c>
      <c r="E620" s="117">
        <v>45321</v>
      </c>
      <c r="F620" s="116">
        <f>COUNTIFS($A$3:A8871,A620,$B$3:B8871,B620)</f>
        <v>1</v>
      </c>
      <c r="G620" s="116"/>
    </row>
    <row r="621" spans="1:7" x14ac:dyDescent="0.2">
      <c r="A621" s="116">
        <f>IF(ISNUMBER(Tabela2[[#This Row],[CT-e/NFS]])=TRUE,(IF(B621&gt;30000,4,IF(B621&lt;1000,"ND",0))),"-")</f>
        <v>4</v>
      </c>
      <c r="B621" s="116">
        <v>45907</v>
      </c>
      <c r="C621" s="117">
        <v>45317</v>
      </c>
      <c r="D621" s="116">
        <v>124.36</v>
      </c>
      <c r="E621" s="117">
        <v>45321</v>
      </c>
      <c r="F621" s="116">
        <f>COUNTIFS($A$3:A8872,A621,$B$3:B8872,B621)</f>
        <v>1</v>
      </c>
      <c r="G621" s="116"/>
    </row>
    <row r="622" spans="1:7" x14ac:dyDescent="0.2">
      <c r="A622" s="116">
        <f>IF(ISNUMBER(Tabela2[[#This Row],[CT-e/NFS]])=TRUE,(IF(B622&gt;30000,4,IF(B622&lt;1000,"ND",0))),"-")</f>
        <v>4</v>
      </c>
      <c r="B622" s="116">
        <v>45906</v>
      </c>
      <c r="C622" s="117">
        <v>45317</v>
      </c>
      <c r="D622" s="116">
        <v>124.16</v>
      </c>
      <c r="E622" s="117">
        <v>45321</v>
      </c>
      <c r="F622" s="116">
        <f>COUNTIFS($A$3:A8873,A622,$B$3:B8873,B622)</f>
        <v>1</v>
      </c>
      <c r="G622" s="116"/>
    </row>
    <row r="623" spans="1:7" x14ac:dyDescent="0.2">
      <c r="A623" s="116">
        <f>IF(ISNUMBER(Tabela2[[#This Row],[CT-e/NFS]])=TRUE,(IF(B623&gt;30000,4,IF(B623&lt;1000,"ND",0))),"-")</f>
        <v>4</v>
      </c>
      <c r="B623" s="116">
        <v>45905</v>
      </c>
      <c r="C623" s="117">
        <v>45317</v>
      </c>
      <c r="D623" s="116">
        <v>145.66999999999999</v>
      </c>
      <c r="E623" s="117">
        <v>45321</v>
      </c>
      <c r="F623" s="116">
        <f>COUNTIFS($A$3:A8874,A623,$B$3:B8874,B623)</f>
        <v>1</v>
      </c>
      <c r="G623" s="116"/>
    </row>
    <row r="624" spans="1:7" x14ac:dyDescent="0.2">
      <c r="A624" s="116">
        <f>IF(ISNUMBER(Tabela2[[#This Row],[CT-e/NFS]])=TRUE,(IF(B624&gt;30000,4,IF(B624&lt;1000,"ND",0))),"-")</f>
        <v>4</v>
      </c>
      <c r="B624" s="116">
        <v>45900</v>
      </c>
      <c r="C624" s="117">
        <v>45317</v>
      </c>
      <c r="D624" s="116">
        <v>126.32</v>
      </c>
      <c r="E624" s="117">
        <v>45321</v>
      </c>
      <c r="F624" s="116">
        <f>COUNTIFS($A$3:A8875,A624,$B$3:B8875,B624)</f>
        <v>1</v>
      </c>
      <c r="G624" s="116"/>
    </row>
    <row r="625" spans="1:7" x14ac:dyDescent="0.2">
      <c r="A625" s="116">
        <f>IF(ISNUMBER(Tabela2[[#This Row],[CT-e/NFS]])=TRUE,(IF(B625&gt;30000,4,IF(B625&lt;1000,"ND",0))),"-")</f>
        <v>4</v>
      </c>
      <c r="B625" s="116">
        <v>45896</v>
      </c>
      <c r="C625" s="117">
        <v>45317</v>
      </c>
      <c r="D625" s="116">
        <v>753.55</v>
      </c>
      <c r="E625" s="117">
        <v>45321</v>
      </c>
      <c r="F625" s="116">
        <f>COUNTIFS($A$3:A8876,A625,$B$3:B8876,B625)</f>
        <v>1</v>
      </c>
      <c r="G625" s="116"/>
    </row>
    <row r="626" spans="1:7" x14ac:dyDescent="0.2">
      <c r="A626" s="116">
        <f>IF(ISNUMBER(Tabela2[[#This Row],[CT-e/NFS]])=TRUE,(IF(B626&gt;30000,4,IF(B626&lt;1000,"ND",0))),"-")</f>
        <v>4</v>
      </c>
      <c r="B626" s="116">
        <v>45902</v>
      </c>
      <c r="C626" s="117">
        <v>45317</v>
      </c>
      <c r="D626" s="116">
        <v>123.52</v>
      </c>
      <c r="E626" s="117">
        <v>45321</v>
      </c>
      <c r="F626" s="116">
        <f>COUNTIFS($A$3:A8877,A626,$B$3:B8877,B626)</f>
        <v>1</v>
      </c>
      <c r="G626" s="116"/>
    </row>
    <row r="627" spans="1:7" x14ac:dyDescent="0.2">
      <c r="A627" s="116">
        <f>IF(ISNUMBER(Tabela2[[#This Row],[CT-e/NFS]])=TRUE,(IF(B627&gt;30000,4,IF(B627&lt;1000,"ND",0))),"-")</f>
        <v>4</v>
      </c>
      <c r="B627" s="116">
        <v>45903</v>
      </c>
      <c r="C627" s="117">
        <v>45317</v>
      </c>
      <c r="D627" s="116">
        <v>125.35</v>
      </c>
      <c r="E627" s="117">
        <v>45321</v>
      </c>
      <c r="F627" s="116">
        <f>COUNTIFS($A$3:A8878,A627,$B$3:B8878,B627)</f>
        <v>1</v>
      </c>
      <c r="G627" s="116"/>
    </row>
    <row r="628" spans="1:7" x14ac:dyDescent="0.2">
      <c r="A628" s="116">
        <f>IF(ISNUMBER(Tabela2[[#This Row],[CT-e/NFS]])=TRUE,(IF(B628&gt;30000,4,IF(B628&lt;1000,"ND",0))),"-")</f>
        <v>4</v>
      </c>
      <c r="B628" s="116">
        <v>45901</v>
      </c>
      <c r="C628" s="117">
        <v>45317</v>
      </c>
      <c r="D628" s="116">
        <v>532.16999999999996</v>
      </c>
      <c r="E628" s="117">
        <v>45321</v>
      </c>
      <c r="F628" s="116">
        <f>COUNTIFS($A$3:A8879,A628,$B$3:B8879,B628)</f>
        <v>1</v>
      </c>
      <c r="G628" s="116"/>
    </row>
    <row r="629" spans="1:7" x14ac:dyDescent="0.2">
      <c r="A629" s="116">
        <f>IF(ISNUMBER(Tabela2[[#This Row],[CT-e/NFS]])=TRUE,(IF(B629&gt;30000,4,IF(B629&lt;1000,"ND",0))),"-")</f>
        <v>4</v>
      </c>
      <c r="B629" s="116">
        <v>45915</v>
      </c>
      <c r="C629" s="117">
        <v>45317</v>
      </c>
      <c r="D629" s="116">
        <v>114.31</v>
      </c>
      <c r="E629" s="117">
        <v>45321</v>
      </c>
      <c r="F629" s="116">
        <f>COUNTIFS($A$3:A8880,A629,$B$3:B8880,B629)</f>
        <v>1</v>
      </c>
      <c r="G629" s="116"/>
    </row>
    <row r="630" spans="1:7" x14ac:dyDescent="0.2">
      <c r="A630" s="116">
        <f>IF(ISNUMBER(Tabela2[[#This Row],[CT-e/NFS]])=TRUE,(IF(B630&gt;30000,4,IF(B630&lt;1000,"ND",0))),"-")</f>
        <v>4</v>
      </c>
      <c r="B630" s="116">
        <v>45914</v>
      </c>
      <c r="C630" s="117">
        <v>45317</v>
      </c>
      <c r="D630" s="116">
        <v>63.28</v>
      </c>
      <c r="E630" s="117">
        <v>45321</v>
      </c>
      <c r="F630" s="116">
        <f>COUNTIFS($A$3:A8881,A630,$B$3:B8881,B630)</f>
        <v>1</v>
      </c>
      <c r="G630" s="116"/>
    </row>
    <row r="631" spans="1:7" x14ac:dyDescent="0.2">
      <c r="A631" s="116">
        <f>IF(ISNUMBER(Tabela2[[#This Row],[CT-e/NFS]])=TRUE,(IF(B631&gt;30000,4,IF(B631&lt;1000,"ND",0))),"-")</f>
        <v>4</v>
      </c>
      <c r="B631" s="116">
        <v>45893</v>
      </c>
      <c r="C631" s="117">
        <v>45317</v>
      </c>
      <c r="D631" s="116">
        <v>967.07</v>
      </c>
      <c r="E631" s="117">
        <v>45321</v>
      </c>
      <c r="F631" s="116">
        <f>COUNTIFS($A$3:A8882,A631,$B$3:B8882,B631)</f>
        <v>1</v>
      </c>
      <c r="G631" s="116"/>
    </row>
    <row r="632" spans="1:7" x14ac:dyDescent="0.2">
      <c r="A632" s="116">
        <f>IF(ISNUMBER(Tabela2[[#This Row],[CT-e/NFS]])=TRUE,(IF(B632&gt;30000,4,IF(B632&lt;1000,"ND",0))),"-")</f>
        <v>4</v>
      </c>
      <c r="B632" s="116">
        <v>45916</v>
      </c>
      <c r="C632" s="117">
        <v>45317</v>
      </c>
      <c r="D632" s="116">
        <v>714.65</v>
      </c>
      <c r="E632" s="117">
        <v>45321</v>
      </c>
      <c r="F632" s="116">
        <f>COUNTIFS($A$3:A8883,A632,$B$3:B8883,B632)</f>
        <v>1</v>
      </c>
      <c r="G632" s="116"/>
    </row>
    <row r="633" spans="1:7" x14ac:dyDescent="0.2">
      <c r="A633" s="116">
        <f>IF(ISNUMBER(Tabela2[[#This Row],[CT-e/NFS]])=TRUE,(IF(B633&gt;30000,4,IF(B633&lt;1000,"ND",0))),"-")</f>
        <v>4</v>
      </c>
      <c r="B633" s="116">
        <v>45910</v>
      </c>
      <c r="C633" s="117">
        <v>45317</v>
      </c>
      <c r="D633" s="116">
        <v>410.2</v>
      </c>
      <c r="E633" s="117">
        <v>45321</v>
      </c>
      <c r="F633" s="116">
        <f>COUNTIFS($A$3:A8884,A633,$B$3:B8884,B633)</f>
        <v>1</v>
      </c>
      <c r="G633" s="116"/>
    </row>
    <row r="634" spans="1:7" x14ac:dyDescent="0.2">
      <c r="A634" s="116">
        <f>IF(ISNUMBER(Tabela2[[#This Row],[CT-e/NFS]])=TRUE,(IF(B634&gt;30000,4,IF(B634&lt;1000,"ND",0))),"-")</f>
        <v>0</v>
      </c>
      <c r="B634" s="116">
        <v>21077</v>
      </c>
      <c r="C634" s="117">
        <v>45317</v>
      </c>
      <c r="D634" s="116">
        <v>38.54</v>
      </c>
      <c r="E634" s="117">
        <v>45321</v>
      </c>
      <c r="F634" s="116">
        <f>COUNTIFS($A$3:A8885,A634,$B$3:B8885,B634)</f>
        <v>1</v>
      </c>
      <c r="G634" s="116"/>
    </row>
    <row r="635" spans="1:7" x14ac:dyDescent="0.2">
      <c r="A635" s="116">
        <f>IF(ISNUMBER(Tabela2[[#This Row],[CT-e/NFS]])=TRUE,(IF(B635&gt;30000,4,IF(B635&lt;1000,"ND",0))),"-")</f>
        <v>0</v>
      </c>
      <c r="B635" s="116">
        <v>21078</v>
      </c>
      <c r="C635" s="117">
        <v>45317</v>
      </c>
      <c r="D635" s="116">
        <v>69.53</v>
      </c>
      <c r="E635" s="117">
        <v>45321</v>
      </c>
      <c r="F635" s="116">
        <f>COUNTIFS($A$3:A8886,A635,$B$3:B8886,B635)</f>
        <v>1</v>
      </c>
      <c r="G635" s="116"/>
    </row>
    <row r="636" spans="1:7" x14ac:dyDescent="0.2">
      <c r="A636" s="116">
        <f>IF(ISNUMBER(Tabela2[[#This Row],[CT-e/NFS]])=TRUE,(IF(B636&gt;30000,4,IF(B636&lt;1000,"ND",0))),"-")</f>
        <v>0</v>
      </c>
      <c r="B636" s="116">
        <v>21102</v>
      </c>
      <c r="C636" s="117">
        <v>45317</v>
      </c>
      <c r="D636" s="116">
        <v>143.56</v>
      </c>
      <c r="E636" s="117">
        <v>45321</v>
      </c>
      <c r="F636" s="116">
        <f>COUNTIFS($A$3:A8887,A636,$B$3:B8887,B636)</f>
        <v>1</v>
      </c>
      <c r="G636" s="116"/>
    </row>
    <row r="637" spans="1:7" x14ac:dyDescent="0.2">
      <c r="A637" s="116">
        <f>IF(ISNUMBER(Tabela2[[#This Row],[CT-e/NFS]])=TRUE,(IF(B637&gt;30000,4,IF(B637&lt;1000,"ND",0))),"-")</f>
        <v>0</v>
      </c>
      <c r="B637" s="116">
        <v>21101</v>
      </c>
      <c r="C637" s="117">
        <v>45317</v>
      </c>
      <c r="D637" s="116">
        <v>133.80000000000001</v>
      </c>
      <c r="E637" s="117">
        <v>45321</v>
      </c>
      <c r="F637" s="116">
        <f>COUNTIFS($A$3:A8888,A637,$B$3:B8888,B637)</f>
        <v>1</v>
      </c>
      <c r="G637" s="116"/>
    </row>
    <row r="638" spans="1:7" x14ac:dyDescent="0.2">
      <c r="A638" s="116">
        <f>IF(ISNUMBER(Tabela2[[#This Row],[CT-e/NFS]])=TRUE,(IF(B638&gt;30000,4,IF(B638&lt;1000,"ND",0))),"-")</f>
        <v>0</v>
      </c>
      <c r="B638" s="116">
        <v>21100</v>
      </c>
      <c r="C638" s="117">
        <v>45317</v>
      </c>
      <c r="D638" s="116">
        <v>219.65</v>
      </c>
      <c r="E638" s="117">
        <v>45321</v>
      </c>
      <c r="F638" s="116">
        <f>COUNTIFS($A$3:A8889,A638,$B$3:B8889,B638)</f>
        <v>1</v>
      </c>
      <c r="G638" s="116"/>
    </row>
    <row r="639" spans="1:7" x14ac:dyDescent="0.2">
      <c r="A639" s="116">
        <f>IF(ISNUMBER(Tabela2[[#This Row],[CT-e/NFS]])=TRUE,(IF(B639&gt;30000,4,IF(B639&lt;1000,"ND",0))),"-")</f>
        <v>0</v>
      </c>
      <c r="B639" s="116">
        <v>21103</v>
      </c>
      <c r="C639" s="117">
        <v>45317</v>
      </c>
      <c r="D639" s="116">
        <v>146.43</v>
      </c>
      <c r="E639" s="117">
        <v>45321</v>
      </c>
      <c r="F639" s="116">
        <f>COUNTIFS($A$3:A8890,A639,$B$3:B8890,B639)</f>
        <v>1</v>
      </c>
      <c r="G639" s="116"/>
    </row>
    <row r="640" spans="1:7" x14ac:dyDescent="0.2">
      <c r="A640" s="116">
        <f>IF(ISNUMBER(Tabela2[[#This Row],[CT-e/NFS]])=TRUE,(IF(B640&gt;30000,4,IF(B640&lt;1000,"ND",0))),"-")</f>
        <v>0</v>
      </c>
      <c r="B640" s="116">
        <v>21110</v>
      </c>
      <c r="C640" s="117">
        <v>45317</v>
      </c>
      <c r="D640" s="116">
        <v>75.7</v>
      </c>
      <c r="E640" s="117">
        <v>45321</v>
      </c>
      <c r="F640" s="116">
        <f>COUNTIFS($A$3:A8891,A640,$B$3:B8891,B640)</f>
        <v>1</v>
      </c>
      <c r="G640" s="116"/>
    </row>
    <row r="641" spans="1:7" x14ac:dyDescent="0.2">
      <c r="A641" s="116">
        <f>IF(ISNUMBER(Tabela2[[#This Row],[CT-e/NFS]])=TRUE,(IF(B641&gt;30000,4,IF(B641&lt;1000,"ND",0))),"-")</f>
        <v>0</v>
      </c>
      <c r="B641" s="116">
        <v>21106</v>
      </c>
      <c r="C641" s="117">
        <v>45317</v>
      </c>
      <c r="D641" s="116">
        <v>631.66</v>
      </c>
      <c r="E641" s="117">
        <v>45321</v>
      </c>
      <c r="F641" s="116">
        <f>COUNTIFS($A$3:A8892,A641,$B$3:B8892,B641)</f>
        <v>1</v>
      </c>
      <c r="G641" s="116"/>
    </row>
    <row r="642" spans="1:7" x14ac:dyDescent="0.2">
      <c r="A642" s="116">
        <f>IF(ISNUMBER(Tabela2[[#This Row],[CT-e/NFS]])=TRUE,(IF(B642&gt;30000,4,IF(B642&lt;1000,"ND",0))),"-")</f>
        <v>0</v>
      </c>
      <c r="B642" s="116">
        <v>21105</v>
      </c>
      <c r="C642" s="117">
        <v>45317</v>
      </c>
      <c r="D642" s="116">
        <v>444.46</v>
      </c>
      <c r="E642" s="117">
        <v>45321</v>
      </c>
      <c r="F642" s="116">
        <f>COUNTIFS($A$3:A8893,A642,$B$3:B8893,B642)</f>
        <v>1</v>
      </c>
      <c r="G642" s="116"/>
    </row>
    <row r="643" spans="1:7" x14ac:dyDescent="0.2">
      <c r="A643" s="116">
        <f>IF(ISNUMBER(Tabela2[[#This Row],[CT-e/NFS]])=TRUE,(IF(B643&gt;30000,4,IF(B643&lt;1000,"ND",0))),"-")</f>
        <v>0</v>
      </c>
      <c r="B643" s="116">
        <v>21108</v>
      </c>
      <c r="C643" s="117">
        <v>45317</v>
      </c>
      <c r="D643" s="116">
        <v>378.72</v>
      </c>
      <c r="E643" s="117">
        <v>45321</v>
      </c>
      <c r="F643" s="116">
        <f>COUNTIFS($A$3:A8894,A643,$B$3:B8894,B643)</f>
        <v>1</v>
      </c>
      <c r="G643" s="116"/>
    </row>
    <row r="644" spans="1:7" x14ac:dyDescent="0.2">
      <c r="A644" s="116">
        <f>IF(ISNUMBER(Tabela2[[#This Row],[CT-e/NFS]])=TRUE,(IF(B644&gt;30000,4,IF(B644&lt;1000,"ND",0))),"-")</f>
        <v>0</v>
      </c>
      <c r="B644" s="116">
        <v>21107</v>
      </c>
      <c r="C644" s="117">
        <v>45317</v>
      </c>
      <c r="D644" s="116">
        <v>75.599999999999994</v>
      </c>
      <c r="E644" s="117">
        <v>45321</v>
      </c>
      <c r="F644" s="116">
        <f>COUNTIFS($A$3:A8895,A644,$B$3:B8895,B644)</f>
        <v>1</v>
      </c>
      <c r="G644" s="116"/>
    </row>
    <row r="645" spans="1:7" x14ac:dyDescent="0.2">
      <c r="A645" s="116">
        <f>IF(ISNUMBER(Tabela2[[#This Row],[CT-e/NFS]])=TRUE,(IF(B645&gt;30000,4,IF(B645&lt;1000,"ND",0))),"-")</f>
        <v>0</v>
      </c>
      <c r="B645" s="116">
        <v>21111</v>
      </c>
      <c r="C645" s="117">
        <v>45317</v>
      </c>
      <c r="D645" s="116">
        <v>75.61</v>
      </c>
      <c r="E645" s="117">
        <v>45321</v>
      </c>
      <c r="F645" s="116">
        <f>COUNTIFS($A$3:A8896,A645,$B$3:B8896,B645)</f>
        <v>1</v>
      </c>
      <c r="G645" s="116"/>
    </row>
    <row r="646" spans="1:7" x14ac:dyDescent="0.2">
      <c r="A646" s="116">
        <f>IF(ISNUMBER(Tabela2[[#This Row],[CT-e/NFS]])=TRUE,(IF(B646&gt;30000,4,IF(B646&lt;1000,"ND",0))),"-")</f>
        <v>0</v>
      </c>
      <c r="B646" s="116">
        <v>21084</v>
      </c>
      <c r="C646" s="117">
        <v>45317</v>
      </c>
      <c r="D646" s="116">
        <v>515.41</v>
      </c>
      <c r="E646" s="117">
        <v>45321</v>
      </c>
      <c r="F646" s="116">
        <f>COUNTIFS($A$3:A8897,A646,$B$3:B8897,B646)</f>
        <v>1</v>
      </c>
      <c r="G646" s="116"/>
    </row>
    <row r="647" spans="1:7" x14ac:dyDescent="0.2">
      <c r="A647" s="116">
        <f>IF(ISNUMBER(Tabela2[[#This Row],[CT-e/NFS]])=TRUE,(IF(B647&gt;30000,4,IF(B647&lt;1000,"ND",0))),"-")</f>
        <v>0</v>
      </c>
      <c r="B647" s="116">
        <v>21085</v>
      </c>
      <c r="C647" s="117">
        <v>45317</v>
      </c>
      <c r="D647" s="116">
        <v>348.37</v>
      </c>
      <c r="E647" s="117">
        <v>45321</v>
      </c>
      <c r="F647" s="116">
        <f>COUNTIFS($A$3:A8898,A647,$B$3:B8898,B647)</f>
        <v>1</v>
      </c>
      <c r="G647" s="116"/>
    </row>
    <row r="648" spans="1:7" x14ac:dyDescent="0.2">
      <c r="A648" s="116">
        <f>IF(ISNUMBER(Tabela2[[#This Row],[CT-e/NFS]])=TRUE,(IF(B648&gt;30000,4,IF(B648&lt;1000,"ND",0))),"-")</f>
        <v>0</v>
      </c>
      <c r="B648" s="116">
        <v>21097</v>
      </c>
      <c r="C648" s="117">
        <v>45317</v>
      </c>
      <c r="D648" s="116">
        <v>76.28</v>
      </c>
      <c r="E648" s="117">
        <v>45321</v>
      </c>
      <c r="F648" s="116">
        <f>COUNTIFS($A$3:A8899,A648,$B$3:B8899,B648)</f>
        <v>1</v>
      </c>
      <c r="G648" s="116"/>
    </row>
    <row r="649" spans="1:7" x14ac:dyDescent="0.2">
      <c r="A649" s="116">
        <f>IF(ISNUMBER(Tabela2[[#This Row],[CT-e/NFS]])=TRUE,(IF(B649&gt;30000,4,IF(B649&lt;1000,"ND",0))),"-")</f>
        <v>0</v>
      </c>
      <c r="B649" s="116">
        <v>21098</v>
      </c>
      <c r="C649" s="117">
        <v>45317</v>
      </c>
      <c r="D649" s="116">
        <v>75.69</v>
      </c>
      <c r="E649" s="117">
        <v>45321</v>
      </c>
      <c r="F649" s="116">
        <f>COUNTIFS($A$3:A8900,A649,$B$3:B8900,B649)</f>
        <v>1</v>
      </c>
      <c r="G649" s="116"/>
    </row>
    <row r="650" spans="1:7" x14ac:dyDescent="0.2">
      <c r="A650" s="116">
        <f>IF(ISNUMBER(Tabela2[[#This Row],[CT-e/NFS]])=TRUE,(IF(B650&gt;30000,4,IF(B650&lt;1000,"ND",0))),"-")</f>
        <v>0</v>
      </c>
      <c r="B650" s="116">
        <v>21094</v>
      </c>
      <c r="C650" s="117">
        <v>45317</v>
      </c>
      <c r="D650" s="116">
        <v>75.680000000000007</v>
      </c>
      <c r="E650" s="117">
        <v>45321</v>
      </c>
      <c r="F650" s="116">
        <f>COUNTIFS($A$3:A8901,A650,$B$3:B8901,B650)</f>
        <v>1</v>
      </c>
      <c r="G650" s="116"/>
    </row>
    <row r="651" spans="1:7" x14ac:dyDescent="0.2">
      <c r="A651" s="116">
        <f>IF(ISNUMBER(Tabela2[[#This Row],[CT-e/NFS]])=TRUE,(IF(B651&gt;30000,4,IF(B651&lt;1000,"ND",0))),"-")</f>
        <v>0</v>
      </c>
      <c r="B651" s="116">
        <v>21099</v>
      </c>
      <c r="C651" s="117">
        <v>45317</v>
      </c>
      <c r="D651" s="116">
        <v>120.36</v>
      </c>
      <c r="E651" s="117">
        <v>45321</v>
      </c>
      <c r="F651" s="116">
        <f>COUNTIFS($A$3:A8902,A651,$B$3:B8902,B651)</f>
        <v>1</v>
      </c>
      <c r="G651" s="116"/>
    </row>
    <row r="652" spans="1:7" x14ac:dyDescent="0.2">
      <c r="A652" s="116">
        <f>IF(ISNUMBER(Tabela2[[#This Row],[CT-e/NFS]])=TRUE,(IF(B652&gt;30000,4,IF(B652&lt;1000,"ND",0))),"-")</f>
        <v>4</v>
      </c>
      <c r="B652" s="116">
        <v>45856</v>
      </c>
      <c r="C652" s="117">
        <v>45317</v>
      </c>
      <c r="D652" s="116">
        <v>786.77</v>
      </c>
      <c r="E652" s="117">
        <v>45321</v>
      </c>
      <c r="F652" s="116">
        <f>COUNTIFS($A$3:A8903,A652,$B$3:B8903,B652)</f>
        <v>1</v>
      </c>
      <c r="G652" s="116"/>
    </row>
    <row r="653" spans="1:7" x14ac:dyDescent="0.2">
      <c r="A653" s="116">
        <f>IF(ISNUMBER(Tabela2[[#This Row],[CT-e/NFS]])=TRUE,(IF(B653&gt;30000,4,IF(B653&lt;1000,"ND",0))),"-")</f>
        <v>0</v>
      </c>
      <c r="B653" s="116">
        <v>21059</v>
      </c>
      <c r="C653" s="117">
        <v>45317</v>
      </c>
      <c r="D653" s="116">
        <v>844.3</v>
      </c>
      <c r="E653" s="117">
        <v>45321</v>
      </c>
      <c r="F653" s="116">
        <f>COUNTIFS($A$3:A8904,A653,$B$3:B8904,B653)</f>
        <v>1</v>
      </c>
      <c r="G653" s="116"/>
    </row>
    <row r="654" spans="1:7" x14ac:dyDescent="0.2">
      <c r="A654" s="116">
        <f>IF(ISNUMBER(Tabela2[[#This Row],[CT-e/NFS]])=TRUE,(IF(B654&gt;30000,4,IF(B654&lt;1000,"ND",0))),"-")</f>
        <v>0</v>
      </c>
      <c r="B654" s="116">
        <v>21091</v>
      </c>
      <c r="C654" s="117">
        <v>45317</v>
      </c>
      <c r="D654" s="116">
        <v>597.04</v>
      </c>
      <c r="E654" s="117">
        <v>45321</v>
      </c>
      <c r="F654" s="116">
        <f>COUNTIFS($A$3:A8905,A654,$B$3:B8905,B654)</f>
        <v>1</v>
      </c>
      <c r="G654" s="116"/>
    </row>
    <row r="655" spans="1:7" x14ac:dyDescent="0.2">
      <c r="A655" s="116">
        <f>IF(ISNUMBER(Tabela2[[#This Row],[CT-e/NFS]])=TRUE,(IF(B655&gt;30000,4,IF(B655&lt;1000,"ND",0))),"-")</f>
        <v>4</v>
      </c>
      <c r="B655" s="116">
        <v>45884</v>
      </c>
      <c r="C655" s="117">
        <v>45317</v>
      </c>
      <c r="D655" s="116">
        <v>239.17</v>
      </c>
      <c r="E655" s="117">
        <v>45321</v>
      </c>
      <c r="F655" s="116">
        <f>COUNTIFS($A$3:A8906,A655,$B$3:B8906,B655)</f>
        <v>1</v>
      </c>
      <c r="G655" s="116"/>
    </row>
    <row r="656" spans="1:7" x14ac:dyDescent="0.2">
      <c r="A656" s="116">
        <f>IF(ISNUMBER(Tabela2[[#This Row],[CT-e/NFS]])=TRUE,(IF(B656&gt;30000,4,IF(B656&lt;1000,"ND",0))),"-")</f>
        <v>4</v>
      </c>
      <c r="B656" s="116">
        <v>45894</v>
      </c>
      <c r="C656" s="117">
        <v>45317</v>
      </c>
      <c r="D656" s="116">
        <v>123.92</v>
      </c>
      <c r="E656" s="117">
        <v>45321</v>
      </c>
      <c r="F656" s="116">
        <f>COUNTIFS($A$3:A8907,A656,$B$3:B8907,B656)</f>
        <v>1</v>
      </c>
      <c r="G656" s="116"/>
    </row>
    <row r="657" spans="1:7" x14ac:dyDescent="0.2">
      <c r="A657" s="116">
        <f>IF(ISNUMBER(Tabela2[[#This Row],[CT-e/NFS]])=TRUE,(IF(B657&gt;30000,4,IF(B657&lt;1000,"ND",0))),"-")</f>
        <v>4</v>
      </c>
      <c r="B657" s="116">
        <v>45904</v>
      </c>
      <c r="C657" s="117">
        <v>45317</v>
      </c>
      <c r="D657" s="116">
        <v>311.97000000000003</v>
      </c>
      <c r="E657" s="117">
        <v>45321</v>
      </c>
      <c r="F657" s="116">
        <f>COUNTIFS($A$3:A8908,A657,$B$3:B8908,B657)</f>
        <v>1</v>
      </c>
      <c r="G657" s="116"/>
    </row>
    <row r="658" spans="1:7" x14ac:dyDescent="0.2">
      <c r="A658" s="116">
        <f>IF(ISNUMBER(Tabela2[[#This Row],[CT-e/NFS]])=TRUE,(IF(B658&gt;30000,4,IF(B658&lt;1000,"ND",0))),"-")</f>
        <v>4</v>
      </c>
      <c r="B658" s="116">
        <v>45911</v>
      </c>
      <c r="C658" s="117">
        <v>45317</v>
      </c>
      <c r="D658" s="116">
        <v>122.73</v>
      </c>
      <c r="E658" s="117">
        <v>45321</v>
      </c>
      <c r="F658" s="116">
        <f>COUNTIFS($A$3:A8909,A658,$B$3:B8909,B658)</f>
        <v>1</v>
      </c>
      <c r="G658" s="116"/>
    </row>
    <row r="659" spans="1:7" x14ac:dyDescent="0.2">
      <c r="A659" s="116">
        <f>IF(ISNUMBER(Tabela2[[#This Row],[CT-e/NFS]])=TRUE,(IF(B659&gt;30000,4,IF(B659&lt;1000,"ND",0))),"-")</f>
        <v>4</v>
      </c>
      <c r="B659" s="116">
        <v>45913</v>
      </c>
      <c r="C659" s="117">
        <v>45317</v>
      </c>
      <c r="D659" s="116">
        <v>2226</v>
      </c>
      <c r="E659" s="117">
        <v>45321</v>
      </c>
      <c r="F659" s="116">
        <f>COUNTIFS($A$3:A8910,A659,$B$3:B8910,B659)</f>
        <v>1</v>
      </c>
      <c r="G659" s="116"/>
    </row>
    <row r="660" spans="1:7" x14ac:dyDescent="0.2">
      <c r="A660" s="116">
        <f>IF(ISNUMBER(Tabela2[[#This Row],[CT-e/NFS]])=TRUE,(IF(B660&gt;30000,4,IF(B660&lt;1000,"ND",0))),"-")</f>
        <v>4</v>
      </c>
      <c r="B660" s="116">
        <v>45892</v>
      </c>
      <c r="C660" s="117">
        <v>45317</v>
      </c>
      <c r="D660" s="116">
        <v>2377.73</v>
      </c>
      <c r="E660" s="117">
        <v>45321</v>
      </c>
      <c r="F660" s="116">
        <f>COUNTIFS($A$3:A8911,A660,$B$3:B8911,B660)</f>
        <v>1</v>
      </c>
      <c r="G660" s="116"/>
    </row>
    <row r="661" spans="1:7" x14ac:dyDescent="0.2">
      <c r="A661" s="116">
        <f>IF(ISNUMBER(Tabela2[[#This Row],[CT-e/NFS]])=TRUE,(IF(B661&gt;30000,4,IF(B661&lt;1000,"ND",0))),"-")</f>
        <v>0</v>
      </c>
      <c r="B661" s="116">
        <v>21079</v>
      </c>
      <c r="C661" s="117">
        <v>45317</v>
      </c>
      <c r="D661" s="116">
        <v>844.3</v>
      </c>
      <c r="E661" s="117">
        <v>45321</v>
      </c>
      <c r="F661" s="116">
        <f>COUNTIFS($A$3:A8912,A661,$B$3:B8912,B661)</f>
        <v>1</v>
      </c>
      <c r="G661" s="116"/>
    </row>
    <row r="662" spans="1:7" x14ac:dyDescent="0.2">
      <c r="A662" s="116">
        <f>IF(ISNUMBER(Tabela2[[#This Row],[CT-e/NFS]])=TRUE,(IF(B662&gt;30000,4,IF(B662&lt;1000,"ND",0))),"-")</f>
        <v>4</v>
      </c>
      <c r="B662" s="116">
        <v>45917</v>
      </c>
      <c r="C662" s="117">
        <v>45317</v>
      </c>
      <c r="D662" s="116">
        <v>252.42</v>
      </c>
      <c r="E662" s="117">
        <v>45321</v>
      </c>
      <c r="F662" s="116">
        <f>COUNTIFS($A$3:A8913,A662,$B$3:B8913,B662)</f>
        <v>1</v>
      </c>
      <c r="G662" s="116"/>
    </row>
    <row r="663" spans="1:7" x14ac:dyDescent="0.2">
      <c r="A663" s="116">
        <f>IF(ISNUMBER(Tabela2[[#This Row],[CT-e/NFS]])=TRUE,(IF(B663&gt;30000,4,IF(B663&lt;1000,"ND",0))),"-")</f>
        <v>0</v>
      </c>
      <c r="B663" s="116">
        <v>21104</v>
      </c>
      <c r="C663" s="117">
        <v>45317</v>
      </c>
      <c r="D663" s="116">
        <v>427.93</v>
      </c>
      <c r="E663" s="117">
        <v>45321</v>
      </c>
      <c r="F663" s="116">
        <f>COUNTIFS($A$3:A8914,A663,$B$3:B8914,B663)</f>
        <v>1</v>
      </c>
      <c r="G663" s="116"/>
    </row>
    <row r="664" spans="1:7" x14ac:dyDescent="0.2">
      <c r="A664" s="116">
        <f>IF(ISNUMBER(Tabela2[[#This Row],[CT-e/NFS]])=TRUE,(IF(B664&gt;30000,4,IF(B664&lt;1000,"ND",0))),"-")</f>
        <v>0</v>
      </c>
      <c r="B664" s="116">
        <v>21095</v>
      </c>
      <c r="C664" s="117">
        <v>45317</v>
      </c>
      <c r="D664" s="116">
        <v>515.41</v>
      </c>
      <c r="E664" s="117">
        <v>45321</v>
      </c>
      <c r="F664" s="116">
        <f>COUNTIFS($A$3:A8915,A664,$B$3:B8915,B664)</f>
        <v>1</v>
      </c>
      <c r="G664" s="116"/>
    </row>
    <row r="665" spans="1:7" x14ac:dyDescent="0.2">
      <c r="A665" s="116">
        <f>IF(ISNUMBER(Tabela2[[#This Row],[CT-e/NFS]])=TRUE,(IF(B665&gt;30000,4,IF(B665&lt;1000,"ND",0))),"-")</f>
        <v>0</v>
      </c>
      <c r="B665" s="116">
        <v>21096</v>
      </c>
      <c r="C665" s="117">
        <v>45317</v>
      </c>
      <c r="D665" s="116">
        <v>348.37</v>
      </c>
      <c r="E665" s="117">
        <v>45321</v>
      </c>
      <c r="F665" s="116">
        <f>COUNTIFS($A$3:A8916,A665,$B$3:B8916,B665)</f>
        <v>1</v>
      </c>
      <c r="G665" s="116"/>
    </row>
    <row r="666" spans="1:7" x14ac:dyDescent="0.2">
      <c r="A666" s="116">
        <f>IF(ISNUMBER(Tabela2[[#This Row],[CT-e/NFS]])=TRUE,(IF(B666&gt;30000,4,IF(B666&lt;1000,"ND",0))),"-")</f>
        <v>4</v>
      </c>
      <c r="B666" s="116">
        <v>45908</v>
      </c>
      <c r="C666" s="117">
        <v>45317</v>
      </c>
      <c r="D666" s="116">
        <v>2192.39</v>
      </c>
      <c r="E666" s="117">
        <v>45321</v>
      </c>
      <c r="F666" s="116">
        <f>COUNTIFS($A$3:A8917,A666,$B$3:B8917,B666)</f>
        <v>1</v>
      </c>
      <c r="G666" s="116"/>
    </row>
    <row r="667" spans="1:7" x14ac:dyDescent="0.2">
      <c r="A667" s="116">
        <f>IF(ISNUMBER(Tabela2[[#This Row],[CT-e/NFS]])=TRUE,(IF(B667&gt;30000,4,IF(B667&lt;1000,"ND",0))),"-")</f>
        <v>0</v>
      </c>
      <c r="B667" s="116">
        <v>20889</v>
      </c>
      <c r="C667" s="117">
        <v>45317</v>
      </c>
      <c r="D667" s="116">
        <v>597.04</v>
      </c>
      <c r="E667" s="117">
        <v>45321</v>
      </c>
      <c r="F667" s="116">
        <f>COUNTIFS($A$3:A8918,A667,$B$3:B8918,B667)</f>
        <v>1</v>
      </c>
      <c r="G667" s="116"/>
    </row>
    <row r="668" spans="1:7" x14ac:dyDescent="0.2">
      <c r="A668" s="116">
        <f>IF(ISNUMBER(Tabela2[[#This Row],[CT-e/NFS]])=TRUE,(IF(B668&gt;30000,4,IF(B668&lt;1000,"ND",0))),"-")</f>
        <v>0</v>
      </c>
      <c r="B668" s="116">
        <v>20877</v>
      </c>
      <c r="C668" s="117">
        <v>45317</v>
      </c>
      <c r="D668" s="116">
        <v>348.37</v>
      </c>
      <c r="E668" s="117">
        <v>45321</v>
      </c>
      <c r="F668" s="116">
        <f>COUNTIFS($A$3:A8920,A668,$B$3:B8920,B668)</f>
        <v>1</v>
      </c>
      <c r="G668" s="116"/>
    </row>
    <row r="669" spans="1:7" x14ac:dyDescent="0.2">
      <c r="A669" s="116">
        <f>IF(ISNUMBER(Tabela2[[#This Row],[CT-e/NFS]])=TRUE,(IF(B669&gt;30000,4,IF(B669&lt;1000,"ND",0))),"-")</f>
        <v>0</v>
      </c>
      <c r="B669" s="116">
        <v>20888</v>
      </c>
      <c r="C669" s="117">
        <v>45317</v>
      </c>
      <c r="D669" s="116">
        <v>597.04</v>
      </c>
      <c r="E669" s="117">
        <v>45321</v>
      </c>
      <c r="F669" s="116">
        <f>COUNTIFS($A$3:A8921,A669,$B$3:B8921,B669)</f>
        <v>1</v>
      </c>
      <c r="G669" s="116"/>
    </row>
    <row r="670" spans="1:7" x14ac:dyDescent="0.2">
      <c r="A670" s="116">
        <f>IF(ISNUMBER(Tabela2[[#This Row],[CT-e/NFS]])=TRUE,(IF(B670&gt;30000,4,IF(B670&lt;1000,"ND",0))),"-")</f>
        <v>0</v>
      </c>
      <c r="B670" s="116">
        <v>20220</v>
      </c>
      <c r="C670" s="117">
        <v>45231</v>
      </c>
      <c r="D670" s="116">
        <v>102.68</v>
      </c>
      <c r="E670" s="117">
        <v>45337</v>
      </c>
      <c r="F670" s="116">
        <f>COUNTIFS($A$3:A8922,A670,$B$3:B8922,B670)</f>
        <v>1</v>
      </c>
      <c r="G670" s="116"/>
    </row>
    <row r="671" spans="1:7" x14ac:dyDescent="0.2">
      <c r="A671" s="116">
        <f>IF(ISNUMBER(Tabela2[[#This Row],[CT-e/NFS]])=TRUE,(IF(B671&gt;30000,4,IF(B671&lt;1000,"ND",0))),"-")</f>
        <v>4</v>
      </c>
      <c r="B671" s="116">
        <v>42978</v>
      </c>
      <c r="C671" s="117">
        <v>45231</v>
      </c>
      <c r="D671" s="116">
        <v>565.08000000000004</v>
      </c>
      <c r="E671" s="117">
        <v>45337</v>
      </c>
      <c r="F671" s="116">
        <f>COUNTIFS($A$3:A8923,A671,$B$3:B8923,B671)</f>
        <v>1</v>
      </c>
      <c r="G671" s="116"/>
    </row>
    <row r="672" spans="1:7" x14ac:dyDescent="0.2">
      <c r="A672" s="116">
        <f>IF(ISNUMBER(Tabela2[[#This Row],[CT-e/NFS]])=TRUE,(IF(B672&gt;30000,4,IF(B672&lt;1000,"ND",0))),"-")</f>
        <v>4</v>
      </c>
      <c r="B672" s="116">
        <v>43206</v>
      </c>
      <c r="C672" s="117">
        <v>45231</v>
      </c>
      <c r="D672" s="116">
        <v>234.34</v>
      </c>
      <c r="E672" s="117">
        <v>45337</v>
      </c>
      <c r="F672" s="116">
        <f>COUNTIFS($A$3:A8921,A672,$B$3:B8921,B672)</f>
        <v>1</v>
      </c>
      <c r="G672" s="116"/>
    </row>
    <row r="673" spans="1:7" x14ac:dyDescent="0.2">
      <c r="A673" s="116">
        <f>IF(ISNUMBER(Tabela2[[#This Row],[CT-e/NFS]])=TRUE,(IF(B673&gt;30000,4,IF(B673&lt;1000,"ND",0))),"-")</f>
        <v>4</v>
      </c>
      <c r="B673" s="116">
        <v>43207</v>
      </c>
      <c r="C673" s="117">
        <v>45231</v>
      </c>
      <c r="D673" s="116">
        <v>534.11</v>
      </c>
      <c r="E673" s="117">
        <v>45337</v>
      </c>
      <c r="F673" s="116">
        <f>COUNTIFS($A$3:A8922,A673,$B$3:B8922,B673)</f>
        <v>1</v>
      </c>
      <c r="G673" s="116"/>
    </row>
    <row r="674" spans="1:7" x14ac:dyDescent="0.2">
      <c r="A674" s="116">
        <f>IF(ISNUMBER(Tabela2[[#This Row],[CT-e/NFS]])=TRUE,(IF(B674&gt;30000,4,IF(B674&lt;1000,"ND",0))),"-")</f>
        <v>4</v>
      </c>
      <c r="B674" s="116">
        <v>43248</v>
      </c>
      <c r="C674" s="117">
        <v>45231</v>
      </c>
      <c r="D674" s="116">
        <v>564.77</v>
      </c>
      <c r="E674" s="117">
        <v>45337</v>
      </c>
      <c r="F674" s="116">
        <f>COUNTIFS($A$3:A8923,A674,$B$3:B8923,B674)</f>
        <v>1</v>
      </c>
      <c r="G674" s="116"/>
    </row>
    <row r="675" spans="1:7" x14ac:dyDescent="0.2">
      <c r="A675" s="116">
        <f>IF(ISNUMBER(Tabela2[[#This Row],[CT-e/NFS]])=TRUE,(IF(B675&gt;30000,4,IF(B675&lt;1000,"ND",0))),"-")</f>
        <v>4</v>
      </c>
      <c r="B675" s="116">
        <v>44155</v>
      </c>
      <c r="C675" s="117">
        <v>45240</v>
      </c>
      <c r="D675" s="116">
        <v>422.43</v>
      </c>
      <c r="E675" s="117">
        <v>45337</v>
      </c>
      <c r="F675" s="116">
        <f>COUNTIFS($A$3:A8924,A675,$B$3:B8924,B675)</f>
        <v>1</v>
      </c>
      <c r="G675" s="116"/>
    </row>
    <row r="676" spans="1:7" x14ac:dyDescent="0.2">
      <c r="A676" s="116">
        <f>IF(ISNUMBER(Tabela2[[#This Row],[CT-e/NFS]])=TRUE,(IF(B676&gt;30000,4,IF(B676&lt;1000,"ND",0))),"-")</f>
        <v>4</v>
      </c>
      <c r="B676" s="116">
        <v>44159</v>
      </c>
      <c r="C676" s="117">
        <v>45240</v>
      </c>
      <c r="D676" s="116">
        <v>134.93</v>
      </c>
      <c r="E676" s="117">
        <v>45337</v>
      </c>
      <c r="F676" s="116">
        <f>COUNTIFS($A$3:A8925,A676,$B$3:B8925,B676)</f>
        <v>1</v>
      </c>
      <c r="G676" s="116"/>
    </row>
    <row r="677" spans="1:7" x14ac:dyDescent="0.2">
      <c r="A677" s="116">
        <f>IF(ISNUMBER(Tabela2[[#This Row],[CT-e/NFS]])=TRUE,(IF(B677&gt;30000,4,IF(B677&lt;1000,"ND",0))),"-")</f>
        <v>4</v>
      </c>
      <c r="B677" s="116">
        <v>44185</v>
      </c>
      <c r="C677" s="117">
        <v>45240</v>
      </c>
      <c r="D677" s="116">
        <v>1227.81</v>
      </c>
      <c r="E677" s="117">
        <v>45337</v>
      </c>
      <c r="F677" s="116">
        <f>COUNTIFS($A$3:A8926,A677,$B$3:B8926,B677)</f>
        <v>1</v>
      </c>
      <c r="G677" s="116"/>
    </row>
    <row r="678" spans="1:7" x14ac:dyDescent="0.2">
      <c r="A678" s="116">
        <f>IF(ISNUMBER(Tabela2[[#This Row],[CT-e/NFS]])=TRUE,(IF(B678&gt;30000,4,IF(B678&lt;1000,"ND",0))),"-")</f>
        <v>4</v>
      </c>
      <c r="B678" s="116">
        <v>44186</v>
      </c>
      <c r="C678" s="117">
        <v>45240</v>
      </c>
      <c r="D678" s="116">
        <v>156.63999999999999</v>
      </c>
      <c r="E678" s="117">
        <v>45337</v>
      </c>
      <c r="F678" s="116">
        <f>COUNTIFS($A$3:A8927,A678,$B$3:B8927,B678)</f>
        <v>1</v>
      </c>
      <c r="G678" s="116"/>
    </row>
    <row r="679" spans="1:7" x14ac:dyDescent="0.2">
      <c r="A679" s="116">
        <f>IF(ISNUMBER(Tabela2[[#This Row],[CT-e/NFS]])=TRUE,(IF(B679&gt;30000,4,IF(B679&lt;1000,"ND",0))),"-")</f>
        <v>4</v>
      </c>
      <c r="B679" s="116">
        <v>44220</v>
      </c>
      <c r="C679" s="117">
        <v>45240</v>
      </c>
      <c r="D679" s="116">
        <v>102.09</v>
      </c>
      <c r="E679" s="117">
        <v>45337</v>
      </c>
      <c r="F679" s="116">
        <f>COUNTIFS($A$3:A8928,A679,$B$3:B8928,B679)</f>
        <v>1</v>
      </c>
      <c r="G679" s="116"/>
    </row>
    <row r="680" spans="1:7" x14ac:dyDescent="0.2">
      <c r="A680" s="116">
        <f>IF(ISNUMBER(Tabela2[[#This Row],[CT-e/NFS]])=TRUE,(IF(B680&gt;30000,4,IF(B680&lt;1000,"ND",0))),"-")</f>
        <v>4</v>
      </c>
      <c r="B680" s="116">
        <v>44241</v>
      </c>
      <c r="C680" s="117">
        <v>45240</v>
      </c>
      <c r="D680" s="116">
        <v>139.34</v>
      </c>
      <c r="E680" s="117">
        <v>45337</v>
      </c>
      <c r="F680" s="116">
        <f>COUNTIFS($A$3:A8929,A680,$B$3:B8929,B680)</f>
        <v>1</v>
      </c>
      <c r="G680" s="116"/>
    </row>
    <row r="681" spans="1:7" x14ac:dyDescent="0.2">
      <c r="A681" s="116">
        <f>IF(ISNUMBER(Tabela2[[#This Row],[CT-e/NFS]])=TRUE,(IF(B681&gt;30000,4,IF(B681&lt;1000,"ND",0))),"-")</f>
        <v>4</v>
      </c>
      <c r="B681" s="116">
        <v>44242</v>
      </c>
      <c r="C681" s="117">
        <v>45240</v>
      </c>
      <c r="D681" s="116">
        <v>123.55</v>
      </c>
      <c r="E681" s="117">
        <v>45337</v>
      </c>
      <c r="F681" s="116">
        <f>COUNTIFS($A$3:A8930,A681,$B$3:B8930,B681)</f>
        <v>1</v>
      </c>
      <c r="G681" s="116"/>
    </row>
    <row r="682" spans="1:7" x14ac:dyDescent="0.2">
      <c r="A682" s="116">
        <f>IF(ISNUMBER(Tabela2[[#This Row],[CT-e/NFS]])=TRUE,(IF(B682&gt;30000,4,IF(B682&lt;1000,"ND",0))),"-")</f>
        <v>4</v>
      </c>
      <c r="B682" s="116">
        <v>44244</v>
      </c>
      <c r="C682" s="117">
        <v>45240</v>
      </c>
      <c r="D682" s="116">
        <v>450.45</v>
      </c>
      <c r="E682" s="117">
        <v>45337</v>
      </c>
      <c r="F682" s="116">
        <f>COUNTIFS($A$3:A8931,A682,$B$3:B8931,B682)</f>
        <v>1</v>
      </c>
      <c r="G682" s="116"/>
    </row>
    <row r="683" spans="1:7" x14ac:dyDescent="0.2">
      <c r="A683" s="116">
        <f>IF(ISNUMBER(Tabela2[[#This Row],[CT-e/NFS]])=TRUE,(IF(B683&gt;30000,4,IF(B683&lt;1000,"ND",0))),"-")</f>
        <v>4</v>
      </c>
      <c r="B683" s="116">
        <v>44263</v>
      </c>
      <c r="C683" s="117">
        <v>45240</v>
      </c>
      <c r="D683" s="116">
        <v>984.23</v>
      </c>
      <c r="E683" s="117">
        <v>45337</v>
      </c>
      <c r="F683" s="116">
        <f>COUNTIFS($A$3:A8932,A683,$B$3:B8932,B683)</f>
        <v>1</v>
      </c>
      <c r="G683" s="116"/>
    </row>
    <row r="684" spans="1:7" x14ac:dyDescent="0.2">
      <c r="A684" s="116">
        <f>IF(ISNUMBER(Tabela2[[#This Row],[CT-e/NFS]])=TRUE,(IF(B684&gt;30000,4,IF(B684&lt;1000,"ND",0))),"-")</f>
        <v>4</v>
      </c>
      <c r="B684" s="116">
        <v>44264</v>
      </c>
      <c r="C684" s="117">
        <v>45240</v>
      </c>
      <c r="D684" s="116">
        <v>100.44</v>
      </c>
      <c r="E684" s="117">
        <v>45337</v>
      </c>
      <c r="F684" s="116">
        <f>COUNTIFS($A$3:A8933,A684,$B$3:B8933,B684)</f>
        <v>1</v>
      </c>
      <c r="G684" s="116"/>
    </row>
    <row r="685" spans="1:7" x14ac:dyDescent="0.2">
      <c r="A685" s="116">
        <f>IF(ISNUMBER(Tabela2[[#This Row],[CT-e/NFS]])=TRUE,(IF(B685&gt;30000,4,IF(B685&lt;1000,"ND",0))),"-")</f>
        <v>4</v>
      </c>
      <c r="B685" s="116">
        <v>44286</v>
      </c>
      <c r="C685" s="117">
        <v>45240</v>
      </c>
      <c r="D685" s="116">
        <v>268.66000000000003</v>
      </c>
      <c r="E685" s="117">
        <v>45337</v>
      </c>
      <c r="F685" s="116">
        <f>COUNTIFS($A$3:A8934,A685,$B$3:B8934,B685)</f>
        <v>1</v>
      </c>
      <c r="G685" s="116"/>
    </row>
    <row r="686" spans="1:7" x14ac:dyDescent="0.2">
      <c r="A686" s="116">
        <f>IF(ISNUMBER(Tabela2[[#This Row],[CT-e/NFS]])=TRUE,(IF(B686&gt;30000,4,IF(B686&lt;1000,"ND",0))),"-")</f>
        <v>4</v>
      </c>
      <c r="B686" s="116">
        <v>44606</v>
      </c>
      <c r="C686" s="117">
        <v>45236</v>
      </c>
      <c r="D686" s="116">
        <v>162.02000000000001</v>
      </c>
      <c r="E686" s="117">
        <v>45337</v>
      </c>
      <c r="F686" s="116">
        <f>COUNTIFS($A$3:A8935,A686,$B$3:B8935,B686)</f>
        <v>1</v>
      </c>
      <c r="G686" s="116"/>
    </row>
    <row r="687" spans="1:7" x14ac:dyDescent="0.2">
      <c r="A687" s="116">
        <f>IF(ISNUMBER(Tabela2[[#This Row],[CT-e/NFS]])=TRUE,(IF(B687&gt;30000,4,IF(B687&lt;1000,"ND",0))),"-")</f>
        <v>4</v>
      </c>
      <c r="B687" s="116">
        <v>44607</v>
      </c>
      <c r="C687" s="117">
        <v>45236</v>
      </c>
      <c r="D687" s="116">
        <v>119.77</v>
      </c>
      <c r="E687" s="117">
        <v>45337</v>
      </c>
      <c r="F687" s="116">
        <f>COUNTIFS($A$3:A8936,A687,$B$3:B8936,B687)</f>
        <v>1</v>
      </c>
      <c r="G687" s="116"/>
    </row>
    <row r="688" spans="1:7" x14ac:dyDescent="0.2">
      <c r="A688" s="116">
        <f>IF(ISNUMBER(Tabela2[[#This Row],[CT-e/NFS]])=TRUE,(IF(B688&gt;30000,4,IF(B688&lt;1000,"ND",0))),"-")</f>
        <v>4</v>
      </c>
      <c r="B688" s="116">
        <v>44640</v>
      </c>
      <c r="C688" s="117">
        <v>45236</v>
      </c>
      <c r="D688" s="116">
        <v>928.66</v>
      </c>
      <c r="E688" s="117">
        <v>45337</v>
      </c>
      <c r="F688" s="116">
        <f>COUNTIFS($A$3:A8937,A688,$B$3:B8937,B688)</f>
        <v>1</v>
      </c>
      <c r="G688" s="116"/>
    </row>
    <row r="689" spans="1:7" x14ac:dyDescent="0.2">
      <c r="A689" s="116">
        <f>IF(ISNUMBER(Tabela2[[#This Row],[CT-e/NFS]])=TRUE,(IF(B689&gt;30000,4,IF(B689&lt;1000,"ND",0))),"-")</f>
        <v>4</v>
      </c>
      <c r="B689" s="116">
        <v>44643</v>
      </c>
      <c r="C689" s="117">
        <v>45236</v>
      </c>
      <c r="D689" s="116">
        <v>110.23</v>
      </c>
      <c r="E689" s="117">
        <v>45337</v>
      </c>
      <c r="F689" s="116">
        <f>COUNTIFS($A$3:A8938,A689,$B$3:B8938,B689)</f>
        <v>1</v>
      </c>
      <c r="G689" s="116"/>
    </row>
    <row r="690" spans="1:7" x14ac:dyDescent="0.2">
      <c r="A690" s="116">
        <f>IF(ISNUMBER(Tabela2[[#This Row],[CT-e/NFS]])=TRUE,(IF(B690&gt;30000,4,IF(B690&lt;1000,"ND",0))),"-")</f>
        <v>4</v>
      </c>
      <c r="B690" s="116">
        <v>44709</v>
      </c>
      <c r="C690" s="117">
        <v>45260</v>
      </c>
      <c r="D690" s="116">
        <v>1209.68</v>
      </c>
      <c r="E690" s="117">
        <v>45337</v>
      </c>
      <c r="F690" s="116">
        <f>COUNTIFS($A$3:A8939,A690,$B$3:B8939,B690)</f>
        <v>1</v>
      </c>
      <c r="G690" s="116"/>
    </row>
    <row r="691" spans="1:7" x14ac:dyDescent="0.2">
      <c r="A691" s="116">
        <f>IF(ISNUMBER(Tabela2[[#This Row],[CT-e/NFS]])=TRUE,(IF(B691&gt;30000,4,IF(B691&lt;1000,"ND",0))),"-")</f>
        <v>4</v>
      </c>
      <c r="B691" s="116">
        <v>44727</v>
      </c>
      <c r="C691" s="117">
        <v>45260</v>
      </c>
      <c r="D691" s="116">
        <v>564.77</v>
      </c>
      <c r="E691" s="117">
        <v>45337</v>
      </c>
      <c r="F691" s="116">
        <f>COUNTIFS($A$3:A8940,A691,$B$3:B8940,B691)</f>
        <v>1</v>
      </c>
      <c r="G691" s="116"/>
    </row>
    <row r="692" spans="1:7" x14ac:dyDescent="0.2">
      <c r="A692" s="116">
        <f>IF(ISNUMBER(Tabela2[[#This Row],[CT-e/NFS]])=TRUE,(IF(B692&gt;30000,4,IF(B692&lt;1000,"ND",0))),"-")</f>
        <v>4</v>
      </c>
      <c r="B692" s="116">
        <v>44758</v>
      </c>
      <c r="C692" s="117">
        <v>45260</v>
      </c>
      <c r="D692" s="116">
        <v>103.52</v>
      </c>
      <c r="E692" s="117">
        <v>45337</v>
      </c>
      <c r="F692" s="116">
        <f>COUNTIFS($A$3:A8941,A692,$B$3:B8941,B692)</f>
        <v>1</v>
      </c>
      <c r="G692" s="116"/>
    </row>
    <row r="693" spans="1:7" x14ac:dyDescent="0.2">
      <c r="A693" s="116">
        <f>IF(ISNUMBER(Tabela2[[#This Row],[CT-e/NFS]])=TRUE,(IF(B693&gt;30000,4,IF(B693&lt;1000,"ND",0))),"-")</f>
        <v>4</v>
      </c>
      <c r="B693" s="116">
        <v>44763</v>
      </c>
      <c r="C693" s="117">
        <v>45260</v>
      </c>
      <c r="D693" s="116">
        <v>233.63</v>
      </c>
      <c r="E693" s="117">
        <v>45337</v>
      </c>
      <c r="F693" s="116">
        <f>COUNTIFS($A$3:A8942,A693,$B$3:B8942,B693)</f>
        <v>1</v>
      </c>
      <c r="G693" s="116"/>
    </row>
    <row r="694" spans="1:7" x14ac:dyDescent="0.2">
      <c r="A694" s="116">
        <f>IF(ISNUMBER(Tabela2[[#This Row],[CT-e/NFS]])=TRUE,(IF(B694&gt;30000,4,IF(B694&lt;1000,"ND",0))),"-")</f>
        <v>4</v>
      </c>
      <c r="B694" s="116">
        <v>44793</v>
      </c>
      <c r="C694" s="117">
        <v>45288</v>
      </c>
      <c r="D694" s="116">
        <v>413.01</v>
      </c>
      <c r="E694" s="117">
        <v>45337</v>
      </c>
      <c r="F694" s="116">
        <f>COUNTIFS($A$3:A8943,A694,$B$3:B8943,B694)</f>
        <v>1</v>
      </c>
      <c r="G694" s="116"/>
    </row>
    <row r="695" spans="1:7" x14ac:dyDescent="0.2">
      <c r="A695" s="116">
        <f>IF(ISNUMBER(Tabela2[[#This Row],[CT-e/NFS]])=TRUE,(IF(B695&gt;30000,4,IF(B695&lt;1000,"ND",0))),"-")</f>
        <v>4</v>
      </c>
      <c r="B695" s="116">
        <v>44794</v>
      </c>
      <c r="C695" s="117">
        <v>45288</v>
      </c>
      <c r="D695" s="116">
        <v>244.61</v>
      </c>
      <c r="E695" s="117">
        <v>45337</v>
      </c>
      <c r="F695" s="116">
        <f>COUNTIFS($A$3:A8944,A695,$B$3:B8944,B695)</f>
        <v>1</v>
      </c>
      <c r="G695" s="116"/>
    </row>
    <row r="696" spans="1:7" x14ac:dyDescent="0.2">
      <c r="A696" s="116">
        <f>IF(ISNUMBER(Tabela2[[#This Row],[CT-e/NFS]])=TRUE,(IF(B696&gt;30000,4,IF(B696&lt;1000,"ND",0))),"-")</f>
        <v>4</v>
      </c>
      <c r="B696" s="116">
        <v>44825</v>
      </c>
      <c r="C696" s="117">
        <v>45288</v>
      </c>
      <c r="D696" s="116">
        <v>450.45</v>
      </c>
      <c r="E696" s="117">
        <v>45337</v>
      </c>
      <c r="F696" s="116">
        <f>COUNTIFS($A$3:A8945,A696,$B$3:B8945,B696)</f>
        <v>1</v>
      </c>
      <c r="G696" s="116"/>
    </row>
    <row r="697" spans="1:7" x14ac:dyDescent="0.2">
      <c r="A697" s="116">
        <f>IF(ISNUMBER(Tabela2[[#This Row],[CT-e/NFS]])=TRUE,(IF(B697&gt;30000,4,IF(B697&lt;1000,"ND",0))),"-")</f>
        <v>4</v>
      </c>
      <c r="B697" s="116">
        <v>44844</v>
      </c>
      <c r="C697" s="117">
        <v>45288</v>
      </c>
      <c r="D697" s="116">
        <v>245.4</v>
      </c>
      <c r="E697" s="117">
        <v>45337</v>
      </c>
      <c r="F697" s="116">
        <f>COUNTIFS($A$3:A8946,A697,$B$3:B8946,B697)</f>
        <v>1</v>
      </c>
      <c r="G697" s="116"/>
    </row>
    <row r="698" spans="1:7" x14ac:dyDescent="0.2">
      <c r="A698" s="116">
        <f>IF(ISNUMBER(Tabela2[[#This Row],[CT-e/NFS]])=TRUE,(IF(B698&gt;30000,4,IF(B698&lt;1000,"ND",0))),"-")</f>
        <v>4</v>
      </c>
      <c r="B698" s="116">
        <v>44855</v>
      </c>
      <c r="C698" s="117">
        <v>45288</v>
      </c>
      <c r="D698" s="116">
        <v>486.22</v>
      </c>
      <c r="E698" s="117">
        <v>45337</v>
      </c>
      <c r="F698" s="116">
        <f>COUNTIFS($A$3:A8947,A698,$B$3:B8947,B698)</f>
        <v>1</v>
      </c>
      <c r="G698" s="116"/>
    </row>
    <row r="699" spans="1:7" x14ac:dyDescent="0.2">
      <c r="A699" s="116">
        <f>IF(ISNUMBER(Tabela2[[#This Row],[CT-e/NFS]])=TRUE,(IF(B699&gt;30000,4,IF(B699&lt;1000,"ND",0))),"-")</f>
        <v>4</v>
      </c>
      <c r="B699" s="116">
        <v>44874</v>
      </c>
      <c r="C699" s="117">
        <v>45288</v>
      </c>
      <c r="D699" s="116">
        <v>352.14</v>
      </c>
      <c r="E699" s="117">
        <v>45337</v>
      </c>
      <c r="F699" s="116">
        <f>COUNTIFS($A$3:A8948,A699,$B$3:B8948,B699)</f>
        <v>1</v>
      </c>
      <c r="G699" s="116"/>
    </row>
    <row r="700" spans="1:7" x14ac:dyDescent="0.2">
      <c r="A700" s="116">
        <f>IF(ISNUMBER(Tabela2[[#This Row],[CT-e/NFS]])=TRUE,(IF(B700&gt;30000,4,IF(B700&lt;1000,"ND",0))),"-")</f>
        <v>4</v>
      </c>
      <c r="B700" s="116">
        <v>44901</v>
      </c>
      <c r="C700" s="117">
        <v>45288</v>
      </c>
      <c r="D700" s="116">
        <v>120.45</v>
      </c>
      <c r="E700" s="117">
        <v>45337</v>
      </c>
      <c r="F700" s="116">
        <f>COUNTIFS($A$3:A8949,A700,$B$3:B8949,B700)</f>
        <v>1</v>
      </c>
      <c r="G700" s="116"/>
    </row>
    <row r="701" spans="1:7" x14ac:dyDescent="0.2">
      <c r="A701" s="116">
        <f>IF(ISNUMBER(Tabela2[[#This Row],[CT-e/NFS]])=TRUE,(IF(B701&gt;30000,4,IF(B701&lt;1000,"ND",0))),"-")</f>
        <v>4</v>
      </c>
      <c r="B701" s="116">
        <v>44902</v>
      </c>
      <c r="C701" s="117">
        <v>45288</v>
      </c>
      <c r="D701" s="116">
        <v>244.61</v>
      </c>
      <c r="E701" s="117">
        <v>45337</v>
      </c>
      <c r="F701" s="116">
        <f>COUNTIFS($A$3:A8950,A701,$B$3:B8950,B701)</f>
        <v>1</v>
      </c>
      <c r="G701" s="116"/>
    </row>
    <row r="702" spans="1:7" x14ac:dyDescent="0.2">
      <c r="A702" s="116">
        <f>IF(ISNUMBER(Tabela2[[#This Row],[CT-e/NFS]])=TRUE,(IF(B702&gt;30000,4,IF(B702&lt;1000,"ND",0))),"-")</f>
        <v>4</v>
      </c>
      <c r="B702" s="116">
        <v>44935</v>
      </c>
      <c r="C702" s="117">
        <v>45288</v>
      </c>
      <c r="D702" s="116">
        <v>307.33</v>
      </c>
      <c r="E702" s="117">
        <v>45337</v>
      </c>
      <c r="F702" s="116">
        <f>COUNTIFS($A$3:A8951,A702,$B$3:B8951,B702)</f>
        <v>1</v>
      </c>
      <c r="G702" s="116"/>
    </row>
    <row r="703" spans="1:7" x14ac:dyDescent="0.2">
      <c r="A703" s="116">
        <f>IF(ISNUMBER(Tabela2[[#This Row],[CT-e/NFS]])=TRUE,(IF(B703&gt;30000,4,IF(B703&lt;1000,"ND",0))),"-")</f>
        <v>4</v>
      </c>
      <c r="B703" s="116">
        <v>44394</v>
      </c>
      <c r="C703" s="117">
        <v>45260</v>
      </c>
      <c r="D703" s="116">
        <v>168.06</v>
      </c>
      <c r="E703" s="117">
        <v>45337</v>
      </c>
      <c r="F703" s="116">
        <f>COUNTIFS($A$3:A8952,A703,$B$3:B8952,B703)</f>
        <v>1</v>
      </c>
      <c r="G703" s="116"/>
    </row>
    <row r="704" spans="1:7" x14ac:dyDescent="0.2">
      <c r="A704" s="116">
        <f>IF(ISNUMBER(Tabela2[[#This Row],[CT-e/NFS]])=TRUE,(IF(B704&gt;30000,4,IF(B704&lt;1000,"ND",0))),"-")</f>
        <v>4</v>
      </c>
      <c r="B704" s="116">
        <v>44449</v>
      </c>
      <c r="C704" s="117">
        <v>45260</v>
      </c>
      <c r="D704" s="116">
        <v>566.59</v>
      </c>
      <c r="E704" s="117">
        <v>45337</v>
      </c>
      <c r="F704" s="116">
        <f>COUNTIFS($A$3:A8953,A704,$B$3:B8953,B704)</f>
        <v>1</v>
      </c>
      <c r="G704" s="116"/>
    </row>
    <row r="705" spans="1:7" x14ac:dyDescent="0.2">
      <c r="A705" s="116">
        <f>IF(ISNUMBER(Tabela2[[#This Row],[CT-e/NFS]])=TRUE,(IF(B705&gt;30000,4,IF(B705&lt;1000,"ND",0))),"-")</f>
        <v>4</v>
      </c>
      <c r="B705" s="116">
        <v>44454</v>
      </c>
      <c r="C705" s="117">
        <v>45260</v>
      </c>
      <c r="D705" s="127">
        <v>1181.1500000000001</v>
      </c>
      <c r="E705" s="117">
        <v>45337</v>
      </c>
      <c r="F705" s="116">
        <f>COUNTIFS($A$3:A8954,A705,$B$3:B8954,B705)</f>
        <v>1</v>
      </c>
      <c r="G705" s="116"/>
    </row>
    <row r="706" spans="1:7" x14ac:dyDescent="0.2">
      <c r="A706" s="116">
        <f>IF(ISNUMBER(Tabela2[[#This Row],[CT-e/NFS]])=TRUE,(IF(B706&gt;30000,4,IF(B706&lt;1000,"ND",0))),"-")</f>
        <v>4</v>
      </c>
      <c r="B706" s="116">
        <v>44467</v>
      </c>
      <c r="C706" s="117">
        <v>45260</v>
      </c>
      <c r="D706" s="116">
        <v>669.42</v>
      </c>
      <c r="E706" s="117">
        <v>45337</v>
      </c>
      <c r="F706" s="116">
        <f>COUNTIFS($A$3:A8955,A706,$B$3:B8955,B706)</f>
        <v>1</v>
      </c>
      <c r="G706" s="116"/>
    </row>
    <row r="707" spans="1:7" x14ac:dyDescent="0.2">
      <c r="A707" s="116">
        <f>IF(ISNUMBER(Tabela2[[#This Row],[CT-e/NFS]])=TRUE,(IF(B707&gt;30000,4,IF(B707&lt;1000,"ND",0))),"-")</f>
        <v>4</v>
      </c>
      <c r="B707" s="116">
        <v>44493</v>
      </c>
      <c r="C707" s="117">
        <v>45260</v>
      </c>
      <c r="D707" s="116">
        <v>895.92</v>
      </c>
      <c r="E707" s="117">
        <v>45337</v>
      </c>
      <c r="F707" s="116">
        <f>COUNTIFS($A$3:A8956,A707,$B$3:B8956,B707)</f>
        <v>1</v>
      </c>
      <c r="G707" s="116"/>
    </row>
    <row r="708" spans="1:7" x14ac:dyDescent="0.2">
      <c r="A708" s="116">
        <f>IF(ISNUMBER(Tabela2[[#This Row],[CT-e/NFS]])=TRUE,(IF(B708&gt;30000,4,IF(B708&lt;1000,"ND",0))),"-")</f>
        <v>4</v>
      </c>
      <c r="B708" s="116">
        <v>44504</v>
      </c>
      <c r="C708" s="117">
        <v>45260</v>
      </c>
      <c r="D708" s="116">
        <v>506.07</v>
      </c>
      <c r="E708" s="117">
        <v>45337</v>
      </c>
      <c r="F708" s="116">
        <f>COUNTIFS($A$3:A8957,A708,$B$3:B8957,B708)</f>
        <v>1</v>
      </c>
      <c r="G708" s="116"/>
    </row>
    <row r="709" spans="1:7" x14ac:dyDescent="0.2">
      <c r="A709" s="116">
        <f>IF(ISNUMBER(Tabela2[[#This Row],[CT-e/NFS]])=TRUE,(IF(B709&gt;30000,4,IF(B709&lt;1000,"ND",0))),"-")</f>
        <v>4</v>
      </c>
      <c r="B709" s="116">
        <v>44505</v>
      </c>
      <c r="C709" s="117">
        <v>45260</v>
      </c>
      <c r="D709" s="116">
        <v>532.65</v>
      </c>
      <c r="E709" s="117">
        <v>45337</v>
      </c>
      <c r="F709" s="116">
        <f>COUNTIFS($A$3:A8958,A709,$B$3:B8958,B709)</f>
        <v>1</v>
      </c>
      <c r="G709" s="116"/>
    </row>
    <row r="710" spans="1:7" x14ac:dyDescent="0.2">
      <c r="A710" s="116">
        <f>IF(ISNUMBER(Tabela2[[#This Row],[CT-e/NFS]])=TRUE,(IF(B710&gt;30000,4,IF(B710&lt;1000,"ND",0))),"-")</f>
        <v>4</v>
      </c>
      <c r="B710" s="116">
        <v>44541</v>
      </c>
      <c r="C710" s="117">
        <v>45260</v>
      </c>
      <c r="D710" s="116">
        <v>100.8</v>
      </c>
      <c r="E710" s="117">
        <v>45337</v>
      </c>
      <c r="F710" s="116">
        <f>COUNTIFS($A$3:A8959,A710,$B$3:B8959,B710)</f>
        <v>1</v>
      </c>
      <c r="G710" s="116"/>
    </row>
    <row r="711" spans="1:7" x14ac:dyDescent="0.2">
      <c r="A711" s="116">
        <f>IF(ISNUMBER(Tabela2[[#This Row],[CT-e/NFS]])=TRUE,(IF(B711&gt;30000,4,IF(B711&lt;1000,"ND",0))),"-")</f>
        <v>0</v>
      </c>
      <c r="B711" s="116">
        <v>20099</v>
      </c>
      <c r="C711" s="117">
        <v>45240</v>
      </c>
      <c r="D711" s="116">
        <v>501.27</v>
      </c>
      <c r="E711" s="117">
        <v>45337</v>
      </c>
      <c r="F711" s="116">
        <f>COUNTIFS($A$3:A8960,A711,$B$3:B8960,B711)</f>
        <v>1</v>
      </c>
      <c r="G711" s="116"/>
    </row>
    <row r="712" spans="1:7" x14ac:dyDescent="0.2">
      <c r="A712" s="116">
        <f>IF(ISNUMBER(Tabela2[[#This Row],[CT-e/NFS]])=TRUE,(IF(B712&gt;30000,4,IF(B712&lt;1000,"ND",0))),"-")</f>
        <v>0</v>
      </c>
      <c r="B712" s="116">
        <v>20106</v>
      </c>
      <c r="C712" s="117">
        <v>45240</v>
      </c>
      <c r="D712" s="116">
        <v>452.69</v>
      </c>
      <c r="E712" s="117">
        <v>45337</v>
      </c>
      <c r="F712" s="116">
        <f>COUNTIFS($A$3:A8961,A712,$B$3:B8961,B712)</f>
        <v>1</v>
      </c>
      <c r="G712" s="116"/>
    </row>
    <row r="713" spans="1:7" x14ac:dyDescent="0.2">
      <c r="A713" s="116">
        <f>IF(ISNUMBER(Tabela2[[#This Row],[CT-e/NFS]])=TRUE,(IF(B713&gt;30000,4,IF(B713&lt;1000,"ND",0))),"-")</f>
        <v>0</v>
      </c>
      <c r="B713" s="116">
        <v>20107</v>
      </c>
      <c r="C713" s="117">
        <v>45240</v>
      </c>
      <c r="D713" s="116">
        <v>486.22</v>
      </c>
      <c r="E713" s="117">
        <v>45337</v>
      </c>
      <c r="F713" s="116">
        <f>COUNTIFS($A$3:A8962,A713,$B$3:B8962,B713)</f>
        <v>1</v>
      </c>
      <c r="G713" s="116"/>
    </row>
    <row r="714" spans="1:7" x14ac:dyDescent="0.2">
      <c r="A714" s="116">
        <f>IF(ISNUMBER(Tabela2[[#This Row],[CT-e/NFS]])=TRUE,(IF(B714&gt;30000,4,IF(B714&lt;1000,"ND",0))),"-")</f>
        <v>4</v>
      </c>
      <c r="B714" s="116">
        <v>42808</v>
      </c>
      <c r="C714" s="117">
        <v>45240</v>
      </c>
      <c r="D714" s="116">
        <v>165.86</v>
      </c>
      <c r="E714" s="117">
        <v>45337</v>
      </c>
      <c r="F714" s="116">
        <f>COUNTIFS($A$3:A8963,A714,$B$3:B8963,B714)</f>
        <v>1</v>
      </c>
      <c r="G714" s="116"/>
    </row>
    <row r="715" spans="1:7" x14ac:dyDescent="0.2">
      <c r="A715" s="116">
        <f>IF(ISNUMBER(Tabela2[[#This Row],[CT-e/NFS]])=TRUE,(IF(B715&gt;30000,4,IF(B715&lt;1000,"ND",0))),"-")</f>
        <v>4</v>
      </c>
      <c r="B715" s="116">
        <v>42815</v>
      </c>
      <c r="C715" s="117">
        <v>45240</v>
      </c>
      <c r="D715" s="116">
        <v>669.88</v>
      </c>
      <c r="E715" s="117">
        <v>45337</v>
      </c>
      <c r="F715" s="116">
        <f>COUNTIFS($A$3:A8964,A715,$B$3:B8964,B715)</f>
        <v>1</v>
      </c>
      <c r="G715" s="116"/>
    </row>
    <row r="716" spans="1:7" x14ac:dyDescent="0.2">
      <c r="A716" s="116">
        <f>IF(ISNUMBER(Tabela2[[#This Row],[CT-e/NFS]])=TRUE,(IF(B716&gt;30000,4,IF(B716&lt;1000,"ND",0))),"-")</f>
        <v>4</v>
      </c>
      <c r="B716" s="116">
        <v>42821</v>
      </c>
      <c r="C716" s="117">
        <v>45240</v>
      </c>
      <c r="D716" s="116">
        <v>118.92</v>
      </c>
      <c r="E716" s="117">
        <v>45337</v>
      </c>
      <c r="F716" s="116">
        <f>COUNTIFS($A$3:A8965,A716,$B$3:B8965,B716)</f>
        <v>1</v>
      </c>
      <c r="G716" s="116"/>
    </row>
    <row r="717" spans="1:7" x14ac:dyDescent="0.2">
      <c r="A717" s="116">
        <f>IF(ISNUMBER(Tabela2[[#This Row],[CT-e/NFS]])=TRUE,(IF(B717&gt;30000,4,IF(B717&lt;1000,"ND",0))),"-")</f>
        <v>4</v>
      </c>
      <c r="B717" s="116">
        <v>42838</v>
      </c>
      <c r="C717" s="117">
        <v>45240</v>
      </c>
      <c r="D717" s="116">
        <v>924.43</v>
      </c>
      <c r="E717" s="117">
        <v>45337</v>
      </c>
      <c r="F717" s="116">
        <f>COUNTIFS($A$3:A8966,A717,$B$3:B8966,B717)</f>
        <v>1</v>
      </c>
      <c r="G717" s="116"/>
    </row>
    <row r="718" spans="1:7" x14ac:dyDescent="0.2">
      <c r="A718" s="116">
        <f>IF(ISNUMBER(Tabela2[[#This Row],[CT-e/NFS]])=TRUE,(IF(B718&gt;30000,4,IF(B718&lt;1000,"ND",0))),"-")</f>
        <v>4</v>
      </c>
      <c r="B718" s="116">
        <v>42887</v>
      </c>
      <c r="C718" s="117">
        <v>45240</v>
      </c>
      <c r="D718" s="116">
        <v>598.03</v>
      </c>
      <c r="E718" s="117">
        <v>45337</v>
      </c>
      <c r="F718" s="116">
        <f>COUNTIFS($A$3:A8967,A718,$B$3:B8967,B718)</f>
        <v>1</v>
      </c>
      <c r="G718" s="116"/>
    </row>
    <row r="719" spans="1:7" x14ac:dyDescent="0.2">
      <c r="A719" s="116">
        <f>IF(ISNUMBER(Tabela2[[#This Row],[CT-e/NFS]])=TRUE,(IF(B719&gt;30000,4,IF(B719&lt;1000,"ND",0))),"-")</f>
        <v>4</v>
      </c>
      <c r="B719" s="116">
        <v>42918</v>
      </c>
      <c r="C719" s="117">
        <v>45240</v>
      </c>
      <c r="D719" s="116">
        <v>162.88999999999999</v>
      </c>
      <c r="E719" s="117">
        <v>45337</v>
      </c>
      <c r="F719" s="116">
        <f>COUNTIFS($A$3:A8968,A719,$B$3:B8968,B719)</f>
        <v>1</v>
      </c>
      <c r="G719" s="116"/>
    </row>
    <row r="720" spans="1:7" x14ac:dyDescent="0.2">
      <c r="A720" s="116">
        <f>IF(ISNUMBER(Tabela2[[#This Row],[CT-e/NFS]])=TRUE,(IF(B720&gt;30000,4,IF(B720&lt;1000,"ND",0))),"-")</f>
        <v>4</v>
      </c>
      <c r="B720" s="116">
        <v>42933</v>
      </c>
      <c r="C720" s="117">
        <v>45240</v>
      </c>
      <c r="D720" s="116">
        <v>104.9</v>
      </c>
      <c r="E720" s="117">
        <v>45337</v>
      </c>
      <c r="F720" s="116">
        <f>COUNTIFS($A$3:A8969,A720,$B$3:B8969,B720)</f>
        <v>1</v>
      </c>
      <c r="G720" s="116"/>
    </row>
    <row r="721" spans="1:7" x14ac:dyDescent="0.2">
      <c r="A721" s="116">
        <f>IF(ISNUMBER(Tabela2[[#This Row],[CT-e/NFS]])=TRUE,(IF(B721&gt;30000,4,IF(B721&lt;1000,"ND",0))),"-")</f>
        <v>4</v>
      </c>
      <c r="B721" s="116">
        <v>42980</v>
      </c>
      <c r="C721" s="117">
        <v>45240</v>
      </c>
      <c r="D721" s="116">
        <v>258.61</v>
      </c>
      <c r="E721" s="117">
        <v>45337</v>
      </c>
      <c r="F721" s="116">
        <f>COUNTIFS($A$3:A8970,A721,$B$3:B8970,B721)</f>
        <v>1</v>
      </c>
      <c r="G721" s="116"/>
    </row>
    <row r="722" spans="1:7" x14ac:dyDescent="0.2">
      <c r="A722" s="116">
        <f>IF(ISNUMBER(Tabela2[[#This Row],[CT-e/NFS]])=TRUE,(IF(B722&gt;30000,4,IF(B722&lt;1000,"ND",0))),"-")</f>
        <v>4</v>
      </c>
      <c r="B722" s="116">
        <v>43024</v>
      </c>
      <c r="C722" s="117">
        <v>45240</v>
      </c>
      <c r="D722" s="116">
        <v>133.03</v>
      </c>
      <c r="E722" s="117">
        <v>45337</v>
      </c>
      <c r="F722" s="116">
        <f>COUNTIFS($A$3:A8971,A722,$B$3:B8971,B722)</f>
        <v>1</v>
      </c>
      <c r="G722" s="116"/>
    </row>
    <row r="723" spans="1:7" x14ac:dyDescent="0.2">
      <c r="A723" s="116">
        <f>IF(ISNUMBER(Tabela2[[#This Row],[CT-e/NFS]])=TRUE,(IF(B723&gt;30000,4,IF(B723&lt;1000,"ND",0))),"-")</f>
        <v>4</v>
      </c>
      <c r="B723" s="116">
        <v>43046</v>
      </c>
      <c r="C723" s="117">
        <v>45240</v>
      </c>
      <c r="D723" s="116">
        <v>307.45</v>
      </c>
      <c r="E723" s="117">
        <v>45337</v>
      </c>
      <c r="F723" s="116">
        <f>COUNTIFS($A$3:A8972,A723,$B$3:B8972,B723)</f>
        <v>1</v>
      </c>
      <c r="G723" s="116"/>
    </row>
    <row r="724" spans="1:7" x14ac:dyDescent="0.2">
      <c r="A724" s="116">
        <f>IF(ISNUMBER(Tabela2[[#This Row],[CT-e/NFS]])=TRUE,(IF(B724&gt;30000,4,IF(B724&lt;1000,"ND",0))),"-")</f>
        <v>4</v>
      </c>
      <c r="B724" s="116">
        <v>43052</v>
      </c>
      <c r="C724" s="117">
        <v>45240</v>
      </c>
      <c r="D724" s="116">
        <v>179.82</v>
      </c>
      <c r="E724" s="117">
        <v>45337</v>
      </c>
      <c r="F724" s="116">
        <f>COUNTIFS($A$3:A8973,A724,$B$3:B8973,B724)</f>
        <v>1</v>
      </c>
      <c r="G724" s="116"/>
    </row>
    <row r="725" spans="1:7" x14ac:dyDescent="0.2">
      <c r="A725" s="116">
        <f>IF(ISNUMBER(Tabela2[[#This Row],[CT-e/NFS]])=TRUE,(IF(B725&gt;30000,4,IF(B725&lt;1000,"ND",0))),"-")</f>
        <v>4</v>
      </c>
      <c r="B725" s="116">
        <v>43054</v>
      </c>
      <c r="C725" s="117">
        <v>45240</v>
      </c>
      <c r="D725" s="116">
        <v>534.11</v>
      </c>
      <c r="E725" s="117">
        <v>45337</v>
      </c>
      <c r="F725" s="116">
        <f>COUNTIFS($A$3:A8974,A725,$B$3:B8974,B725)</f>
        <v>1</v>
      </c>
      <c r="G725" s="116"/>
    </row>
    <row r="726" spans="1:7" x14ac:dyDescent="0.2">
      <c r="A726" s="116">
        <f>IF(ISNUMBER(Tabela2[[#This Row],[CT-e/NFS]])=TRUE,(IF(B726&gt;30000,4,IF(B726&lt;1000,"ND",0))),"-")</f>
        <v>4</v>
      </c>
      <c r="B726" s="116">
        <v>43104</v>
      </c>
      <c r="C726" s="117">
        <v>45240</v>
      </c>
      <c r="D726" s="116">
        <v>103.52</v>
      </c>
      <c r="E726" s="117">
        <v>45337</v>
      </c>
      <c r="F726" s="116">
        <f>COUNTIFS($A$3:A8975,A726,$B$3:B8975,B726)</f>
        <v>1</v>
      </c>
      <c r="G726" s="116"/>
    </row>
    <row r="727" spans="1:7" x14ac:dyDescent="0.2">
      <c r="A727" s="116">
        <f>IF(ISNUMBER(Tabela2[[#This Row],[CT-e/NFS]])=TRUE,(IF(B727&gt;30000,4,IF(B727&lt;1000,"ND",0))),"-")</f>
        <v>4</v>
      </c>
      <c r="B727" s="116">
        <v>43130</v>
      </c>
      <c r="C727" s="117">
        <v>45240</v>
      </c>
      <c r="D727" s="116">
        <v>978.98</v>
      </c>
      <c r="E727" s="117">
        <v>45337</v>
      </c>
      <c r="F727" s="116">
        <f>COUNTIFS($A$3:A8976,A727,$B$3:B8976,B727)</f>
        <v>1</v>
      </c>
      <c r="G727" s="116"/>
    </row>
    <row r="728" spans="1:7" x14ac:dyDescent="0.2">
      <c r="A728" s="116">
        <f>IF(ISNUMBER(Tabela2[[#This Row],[CT-e/NFS]])=TRUE,(IF(B728&gt;30000,4,IF(B728&lt;1000,"ND",0))),"-")</f>
        <v>4</v>
      </c>
      <c r="B728" s="116">
        <v>43144</v>
      </c>
      <c r="C728" s="117">
        <v>45240</v>
      </c>
      <c r="D728" s="116">
        <v>102.02</v>
      </c>
      <c r="E728" s="117">
        <v>45337</v>
      </c>
      <c r="F728" s="116">
        <f>COUNTIFS($A$3:A8977,A728,$B$3:B8977,B728)</f>
        <v>1</v>
      </c>
      <c r="G728" s="116"/>
    </row>
    <row r="729" spans="1:7" x14ac:dyDescent="0.2">
      <c r="A729" s="116">
        <f>IF(ISNUMBER(Tabela2[[#This Row],[CT-e/NFS]])=TRUE,(IF(B729&gt;30000,4,IF(B729&lt;1000,"ND",0))),"-")</f>
        <v>4</v>
      </c>
      <c r="B729" s="116">
        <v>43154</v>
      </c>
      <c r="C729" s="117">
        <v>45240</v>
      </c>
      <c r="D729" s="116">
        <v>1333.09</v>
      </c>
      <c r="E729" s="117">
        <v>45337</v>
      </c>
      <c r="F729" s="116">
        <f>COUNTIFS($A$3:A8978,A729,$B$3:B8978,B729)</f>
        <v>1</v>
      </c>
      <c r="G729" s="116"/>
    </row>
    <row r="730" spans="1:7" x14ac:dyDescent="0.2">
      <c r="A730" s="116">
        <f>IF(ISNUMBER(Tabela2[[#This Row],[CT-e/NFS]])=TRUE,(IF(B730&gt;30000,4,IF(B730&lt;1000,"ND",0))),"-")</f>
        <v>4</v>
      </c>
      <c r="B730" s="116">
        <v>43249</v>
      </c>
      <c r="C730" s="117">
        <v>45240</v>
      </c>
      <c r="D730" s="116">
        <v>486.22</v>
      </c>
      <c r="E730" s="117">
        <v>45337</v>
      </c>
      <c r="F730" s="116">
        <f>COUNTIFS($A$3:A8979,A730,$B$3:B8979,B730)</f>
        <v>1</v>
      </c>
      <c r="G730" s="116"/>
    </row>
    <row r="731" spans="1:7" x14ac:dyDescent="0.2">
      <c r="A731" s="116">
        <f>IF(ISNUMBER(Tabela2[[#This Row],[CT-e/NFS]])=TRUE,(IF(B731&gt;30000,4,IF(B731&lt;1000,"ND",0))),"-")</f>
        <v>0</v>
      </c>
      <c r="B731" s="116">
        <v>20854</v>
      </c>
      <c r="C731" s="117">
        <v>45274</v>
      </c>
      <c r="D731" s="116">
        <v>235.36</v>
      </c>
      <c r="E731" s="117">
        <v>45337</v>
      </c>
      <c r="F731" s="116">
        <f>COUNTIFS($A$3:A8980,A731,$B$3:B8980,B731)</f>
        <v>1</v>
      </c>
      <c r="G731" s="116"/>
    </row>
    <row r="732" spans="1:7" x14ac:dyDescent="0.2">
      <c r="A732" s="116">
        <f>IF(ISNUMBER(Tabela2[[#This Row],[CT-e/NFS]])=TRUE,(IF(B732&gt;30000,4,IF(B732&lt;1000,"ND",0))),"-")</f>
        <v>0</v>
      </c>
      <c r="B732" s="116">
        <v>20856</v>
      </c>
      <c r="C732" s="117">
        <v>45274</v>
      </c>
      <c r="D732" s="116">
        <v>699.5</v>
      </c>
      <c r="E732" s="117">
        <v>45337</v>
      </c>
      <c r="F732" s="116">
        <f>COUNTIFS($A$3:A8981,A732,$B$3:B8981,B732)</f>
        <v>1</v>
      </c>
      <c r="G732" s="116"/>
    </row>
    <row r="733" spans="1:7" x14ac:dyDescent="0.2">
      <c r="A733" s="116">
        <f>IF(ISNUMBER(Tabela2[[#This Row],[CT-e/NFS]])=TRUE,(IF(B733&gt;30000,4,IF(B733&lt;1000,"ND",0))),"-")</f>
        <v>0</v>
      </c>
      <c r="B733" s="116">
        <v>20857</v>
      </c>
      <c r="C733" s="117">
        <v>45274</v>
      </c>
      <c r="D733" s="116">
        <v>458.19</v>
      </c>
      <c r="E733" s="117">
        <v>45337</v>
      </c>
      <c r="F733" s="116">
        <f>COUNTIFS($A$3:A8982,A733,$B$3:B8982,B733)</f>
        <v>1</v>
      </c>
      <c r="G733" s="116"/>
    </row>
    <row r="734" spans="1:7" x14ac:dyDescent="0.2">
      <c r="A734" s="116">
        <f>IF(ISNUMBER(Tabela2[[#This Row],[CT-e/NFS]])=TRUE,(IF(B734&gt;30000,4,IF(B734&lt;1000,"ND",0))),"-")</f>
        <v>0</v>
      </c>
      <c r="B734" s="116">
        <v>20855</v>
      </c>
      <c r="C734" s="117">
        <v>45274</v>
      </c>
      <c r="D734" s="116">
        <v>101.21</v>
      </c>
      <c r="E734" s="117">
        <v>45337</v>
      </c>
      <c r="F734" s="116">
        <f>COUNTIFS($A$3:A8983,A734,$B$3:B8983,B734)</f>
        <v>1</v>
      </c>
      <c r="G734" s="116"/>
    </row>
    <row r="735" spans="1:7" x14ac:dyDescent="0.2">
      <c r="A735" s="116">
        <f>IF(ISNUMBER(Tabela2[[#This Row],[CT-e/NFS]])=TRUE,(IF(B735&gt;30000,4,IF(B735&lt;1000,"ND",0))),"-")</f>
        <v>0</v>
      </c>
      <c r="B735" s="116">
        <v>20860</v>
      </c>
      <c r="C735" s="117">
        <v>45274</v>
      </c>
      <c r="D735" s="116">
        <v>224.34</v>
      </c>
      <c r="E735" s="117">
        <v>45337</v>
      </c>
      <c r="F735" s="116">
        <f>COUNTIFS($A$3:A8984,A735,$B$3:B8984,B735)</f>
        <v>1</v>
      </c>
      <c r="G735" s="116"/>
    </row>
    <row r="736" spans="1:7" x14ac:dyDescent="0.2">
      <c r="A736" s="116">
        <f>IF(ISNUMBER(Tabela2[[#This Row],[CT-e/NFS]])=TRUE,(IF(B736&gt;30000,4,IF(B736&lt;1000,"ND",0))),"-")</f>
        <v>0</v>
      </c>
      <c r="B736" s="116">
        <v>20858</v>
      </c>
      <c r="C736" s="117">
        <v>45274</v>
      </c>
      <c r="D736" s="116">
        <v>450.51</v>
      </c>
      <c r="E736" s="117">
        <v>45337</v>
      </c>
      <c r="F736" s="116">
        <f>COUNTIFS($A$3:A8985,A736,$B$3:B8985,B736)</f>
        <v>1</v>
      </c>
      <c r="G736" s="116"/>
    </row>
    <row r="737" spans="1:7" x14ac:dyDescent="0.2">
      <c r="A737" s="116">
        <f>IF(ISNUMBER(Tabela2[[#This Row],[CT-e/NFS]])=TRUE,(IF(B737&gt;30000,4,IF(B737&lt;1000,"ND",0))),"-")</f>
        <v>0</v>
      </c>
      <c r="B737" s="116">
        <v>20909</v>
      </c>
      <c r="C737" s="117">
        <v>45274</v>
      </c>
      <c r="D737" s="116">
        <v>91.83</v>
      </c>
      <c r="E737" s="117">
        <v>45337</v>
      </c>
      <c r="F737" s="116">
        <f>COUNTIFS($A$3:A8986,A737,$B$3:B8986,B737)</f>
        <v>1</v>
      </c>
      <c r="G737" s="116"/>
    </row>
    <row r="738" spans="1:7" x14ac:dyDescent="0.2">
      <c r="A738" s="116">
        <f>IF(ISNUMBER(Tabela2[[#This Row],[CT-e/NFS]])=TRUE,(IF(B738&gt;30000,4,IF(B738&lt;1000,"ND",0))),"-")</f>
        <v>4</v>
      </c>
      <c r="B738" s="116">
        <v>44945</v>
      </c>
      <c r="C738" s="117">
        <v>45274</v>
      </c>
      <c r="D738" s="116">
        <v>201.08</v>
      </c>
      <c r="E738" s="117">
        <v>45337</v>
      </c>
      <c r="F738" s="116">
        <f>COUNTIFS($A$3:A8987,A738,$B$3:B8987,B738)</f>
        <v>1</v>
      </c>
      <c r="G738" s="116"/>
    </row>
    <row r="739" spans="1:7" x14ac:dyDescent="0.2">
      <c r="A739" s="116">
        <f>IF(ISNUMBER(Tabela2[[#This Row],[CT-e/NFS]])=TRUE,(IF(B739&gt;30000,4,IF(B739&lt;1000,"ND",0))),"-")</f>
        <v>4</v>
      </c>
      <c r="B739" s="116">
        <v>44965</v>
      </c>
      <c r="C739" s="117">
        <v>45274</v>
      </c>
      <c r="D739" s="116">
        <v>925.66</v>
      </c>
      <c r="E739" s="117">
        <v>45337</v>
      </c>
      <c r="F739" s="116">
        <f>COUNTIFS($A$3:A8988,A739,$B$3:B8988,B739)</f>
        <v>1</v>
      </c>
      <c r="G739" s="116"/>
    </row>
    <row r="740" spans="1:7" x14ac:dyDescent="0.2">
      <c r="A740" s="116">
        <f>IF(ISNUMBER(Tabela2[[#This Row],[CT-e/NFS]])=TRUE,(IF(B740&gt;30000,4,IF(B740&lt;1000,"ND",0))),"-")</f>
        <v>4</v>
      </c>
      <c r="B740" s="116">
        <v>45005</v>
      </c>
      <c r="C740" s="117">
        <v>45274</v>
      </c>
      <c r="D740" s="116">
        <v>532.65</v>
      </c>
      <c r="E740" s="117">
        <v>45337</v>
      </c>
      <c r="F740" s="116">
        <f>COUNTIFS($A$3:A8989,A740,$B$3:B8989,B740)</f>
        <v>1</v>
      </c>
      <c r="G740" s="116"/>
    </row>
    <row r="741" spans="1:7" x14ac:dyDescent="0.2">
      <c r="A741" s="116">
        <f>IF(ISNUMBER(Tabela2[[#This Row],[CT-e/NFS]])=TRUE,(IF(B741&gt;30000,4,IF(B741&lt;1000,"ND",0))),"-")</f>
        <v>4</v>
      </c>
      <c r="B741" s="116">
        <v>45073</v>
      </c>
      <c r="C741" s="117">
        <v>45274</v>
      </c>
      <c r="D741" s="116">
        <v>101.83</v>
      </c>
      <c r="E741" s="117">
        <v>45337</v>
      </c>
      <c r="F741" s="116">
        <f>COUNTIFS($A$3:A8990,A741,$B$3:B8990,B741)</f>
        <v>1</v>
      </c>
      <c r="G741" s="116"/>
    </row>
    <row r="742" spans="1:7" x14ac:dyDescent="0.2">
      <c r="A742" s="116">
        <f>IF(ISNUMBER(Tabela2[[#This Row],[CT-e/NFS]])=TRUE,(IF(B742&gt;30000,4,IF(B742&lt;1000,"ND",0))),"-")</f>
        <v>4</v>
      </c>
      <c r="B742" s="116">
        <v>45074</v>
      </c>
      <c r="C742" s="117">
        <v>45274</v>
      </c>
      <c r="D742" s="116">
        <v>231.5</v>
      </c>
      <c r="E742" s="117">
        <v>45337</v>
      </c>
      <c r="F742" s="116">
        <f>COUNTIFS($A$3:A8991,A742,$B$3:B8991,B742)</f>
        <v>1</v>
      </c>
      <c r="G742" s="116"/>
    </row>
    <row r="743" spans="1:7" x14ac:dyDescent="0.2">
      <c r="A743" s="116">
        <f>IF(ISNUMBER(Tabela2[[#This Row],[CT-e/NFS]])=TRUE,(IF(B743&gt;30000,4,IF(B743&lt;1000,"ND",0))),"-")</f>
        <v>4</v>
      </c>
      <c r="B743" s="116">
        <v>45107</v>
      </c>
      <c r="C743" s="117">
        <v>45274</v>
      </c>
      <c r="D743" s="116">
        <v>336.16</v>
      </c>
      <c r="E743" s="117">
        <v>45337</v>
      </c>
      <c r="F743" s="116">
        <f>COUNTIFS($A$3:A8992,A743,$B$3:B8992,B743)</f>
        <v>1</v>
      </c>
      <c r="G743" s="116"/>
    </row>
    <row r="744" spans="1:7" x14ac:dyDescent="0.2">
      <c r="A744" s="116">
        <f>IF(ISNUMBER(Tabela2[[#This Row],[CT-e/NFS]])=TRUE,(IF(B744&gt;30000,4,IF(B744&lt;1000,"ND",0))),"-")</f>
        <v>4</v>
      </c>
      <c r="B744" s="116">
        <v>45140</v>
      </c>
      <c r="C744" s="117">
        <v>45274</v>
      </c>
      <c r="D744" s="116">
        <v>245.4</v>
      </c>
      <c r="E744" s="117">
        <v>45337</v>
      </c>
      <c r="F744" s="116">
        <f>COUNTIFS($A$3:A8994,A744,$B$3:B8994,B744)</f>
        <v>1</v>
      </c>
      <c r="G744" s="116"/>
    </row>
    <row r="745" spans="1:7" x14ac:dyDescent="0.2">
      <c r="A745" s="116">
        <f>IF(ISNUMBER(Tabela2[[#This Row],[CT-e/NFS]])=TRUE,(IF(B745&gt;30000,4,IF(B745&lt;1000,"ND",0))),"-")</f>
        <v>4</v>
      </c>
      <c r="B745" s="116">
        <v>45167</v>
      </c>
      <c r="C745" s="117">
        <v>45274</v>
      </c>
      <c r="D745" s="116">
        <v>162.02000000000001</v>
      </c>
      <c r="E745" s="117">
        <v>45337</v>
      </c>
      <c r="F745" s="116">
        <f>COUNTIFS($A$3:A8995,A745,$B$3:B8995,B745)</f>
        <v>1</v>
      </c>
      <c r="G745" s="116"/>
    </row>
    <row r="746" spans="1:7" x14ac:dyDescent="0.2">
      <c r="A746" s="116">
        <f>IF(ISNUMBER(Tabela2[[#This Row],[CT-e/NFS]])=TRUE,(IF(B746&gt;30000,4,IF(B746&lt;1000,"ND",0))),"-")</f>
        <v>4</v>
      </c>
      <c r="B746" s="116">
        <v>45168</v>
      </c>
      <c r="C746" s="117">
        <v>45274</v>
      </c>
      <c r="D746" s="116">
        <v>163.06</v>
      </c>
      <c r="E746" s="117">
        <v>45337</v>
      </c>
      <c r="F746" s="116">
        <f>COUNTIFS($A$3:A8996,A746,$B$3:B8996,B746)</f>
        <v>1</v>
      </c>
      <c r="G746" s="116"/>
    </row>
    <row r="747" spans="1:7" x14ac:dyDescent="0.2">
      <c r="A747" s="116">
        <f>IF(ISNUMBER(Tabela2[[#This Row],[CT-e/NFS]])=TRUE,(IF(B747&gt;30000,4,IF(B747&lt;1000,"ND",0))),"-")</f>
        <v>4</v>
      </c>
      <c r="B747" s="116">
        <v>45173</v>
      </c>
      <c r="C747" s="117">
        <v>45274</v>
      </c>
      <c r="D747" s="116">
        <v>102.09</v>
      </c>
      <c r="E747" s="117">
        <v>45337</v>
      </c>
      <c r="F747" s="116">
        <f>COUNTIFS($A$3:A8997,A747,$B$3:B8997,B747)</f>
        <v>1</v>
      </c>
      <c r="G747" s="116"/>
    </row>
    <row r="748" spans="1:7" x14ac:dyDescent="0.2">
      <c r="A748" s="116">
        <f>IF(ISNUMBER(Tabela2[[#This Row],[CT-e/NFS]])=TRUE,(IF(B748&gt;30000,4,IF(B748&lt;1000,"ND",0))),"-")</f>
        <v>4</v>
      </c>
      <c r="B748" s="116">
        <v>45194</v>
      </c>
      <c r="C748" s="117">
        <v>45274</v>
      </c>
      <c r="D748" s="116">
        <v>107.08</v>
      </c>
      <c r="E748" s="117">
        <v>45337</v>
      </c>
      <c r="F748" s="116">
        <f>COUNTIFS($A$3:A8998,A748,$B$3:B8998,B748)</f>
        <v>1</v>
      </c>
      <c r="G748" s="116"/>
    </row>
    <row r="749" spans="1:7" x14ac:dyDescent="0.2">
      <c r="A749" s="116">
        <f>IF(ISNUMBER(Tabela2[[#This Row],[CT-e/NFS]])=TRUE,(IF(B749&gt;30000,4,IF(B749&lt;1000,"ND",0))),"-")</f>
        <v>0</v>
      </c>
      <c r="B749" s="116">
        <v>20910</v>
      </c>
      <c r="C749" s="117">
        <v>45288</v>
      </c>
      <c r="D749" s="116">
        <v>91.92</v>
      </c>
      <c r="E749" s="117">
        <v>45337</v>
      </c>
      <c r="F749" s="116">
        <f>COUNTIFS($A$3:A8999,A749,$B$3:B8999,B749)</f>
        <v>1</v>
      </c>
      <c r="G749" s="116"/>
    </row>
    <row r="750" spans="1:7" x14ac:dyDescent="0.2">
      <c r="A750" s="116">
        <f>IF(ISNUMBER(Tabela2[[#This Row],[CT-e/NFS]])=TRUE,(IF(B750&gt;30000,4,IF(B750&lt;1000,"ND",0))),"-")</f>
        <v>0</v>
      </c>
      <c r="B750" s="116">
        <v>20918</v>
      </c>
      <c r="C750" s="117">
        <v>45288</v>
      </c>
      <c r="D750" s="116">
        <v>663.97</v>
      </c>
      <c r="E750" s="117">
        <v>45337</v>
      </c>
      <c r="F750" s="116">
        <f>COUNTIFS($A$3:A9000,A750,$B$3:B9000,B750)</f>
        <v>1</v>
      </c>
      <c r="G750" s="116"/>
    </row>
    <row r="751" spans="1:7" x14ac:dyDescent="0.2">
      <c r="A751" s="116">
        <f>IF(ISNUMBER(Tabela2[[#This Row],[CT-e/NFS]])=TRUE,(IF(B751&gt;30000,4,IF(B751&lt;1000,"ND",0))),"-")</f>
        <v>0</v>
      </c>
      <c r="B751" s="116">
        <v>20919</v>
      </c>
      <c r="C751" s="117">
        <v>45288</v>
      </c>
      <c r="D751" s="116">
        <v>447.19</v>
      </c>
      <c r="E751" s="117">
        <v>45337</v>
      </c>
      <c r="F751" s="116">
        <f>COUNTIFS($A$3:A9001,A751,$B$3:B9001,B751)</f>
        <v>1</v>
      </c>
      <c r="G751" s="116"/>
    </row>
    <row r="752" spans="1:7" x14ac:dyDescent="0.2">
      <c r="A752" s="116">
        <f>IF(ISNUMBER(Tabela2[[#This Row],[CT-e/NFS]])=TRUE,(IF(B752&gt;30000,4,IF(B752&lt;1000,"ND",0))),"-")</f>
        <v>4</v>
      </c>
      <c r="B752" s="116">
        <v>45227</v>
      </c>
      <c r="C752" s="117">
        <v>45288</v>
      </c>
      <c r="D752" s="116">
        <v>351.09</v>
      </c>
      <c r="E752" s="117">
        <v>45337</v>
      </c>
      <c r="F752" s="116">
        <f>COUNTIFS($A$3:A9002,A752,$B$3:B9002,B752)</f>
        <v>1</v>
      </c>
      <c r="G752" s="116"/>
    </row>
    <row r="753" spans="1:7" x14ac:dyDescent="0.2">
      <c r="A753" s="116">
        <f>IF(ISNUMBER(Tabela2[[#This Row],[CT-e/NFS]])=TRUE,(IF(B753&gt;30000,4,IF(B753&lt;1000,"ND",0))),"-")</f>
        <v>4</v>
      </c>
      <c r="B753" s="116">
        <v>45253</v>
      </c>
      <c r="C753" s="117">
        <v>45288</v>
      </c>
      <c r="D753" s="116">
        <v>532</v>
      </c>
      <c r="E753" s="117">
        <v>45337</v>
      </c>
      <c r="F753" s="116">
        <f>COUNTIFS($A$3:A9003,A753,$B$3:B9003,B753)</f>
        <v>1</v>
      </c>
      <c r="G753" s="116"/>
    </row>
    <row r="754" spans="1:7" x14ac:dyDescent="0.2">
      <c r="A754" s="116">
        <f>IF(ISNUMBER(Tabela2[[#This Row],[CT-e/NFS]])=TRUE,(IF(B754&gt;30000,4,IF(B754&lt;1000,"ND",0))),"-")</f>
        <v>4</v>
      </c>
      <c r="B754" s="116">
        <v>45255</v>
      </c>
      <c r="C754" s="117">
        <v>45288</v>
      </c>
      <c r="D754" s="116">
        <v>669.42</v>
      </c>
      <c r="E754" s="117">
        <v>45337</v>
      </c>
      <c r="F754" s="116">
        <f>COUNTIFS($A$3:A9004,A754,$B$3:B9004,B754)</f>
        <v>1</v>
      </c>
      <c r="G754" s="116"/>
    </row>
    <row r="755" spans="1:7" x14ac:dyDescent="0.2">
      <c r="A755" s="116">
        <f>IF(ISNUMBER(Tabela2[[#This Row],[CT-e/NFS]])=TRUE,(IF(B755&gt;30000,4,IF(B755&lt;1000,"ND",0))),"-")</f>
        <v>4</v>
      </c>
      <c r="B755" s="116">
        <v>45278</v>
      </c>
      <c r="C755" s="117">
        <v>45288</v>
      </c>
      <c r="D755" s="116">
        <v>135.55000000000001</v>
      </c>
      <c r="E755" s="117">
        <v>45337</v>
      </c>
      <c r="F755" s="116">
        <f>COUNTIFS($A$3:A9005,A755,$B$3:B9005,B755)</f>
        <v>1</v>
      </c>
      <c r="G755" s="116"/>
    </row>
    <row r="756" spans="1:7" x14ac:dyDescent="0.2">
      <c r="A756" s="116">
        <f>IF(ISNUMBER(Tabela2[[#This Row],[CT-e/NFS]])=TRUE,(IF(B756&gt;30000,4,IF(B756&lt;1000,"ND",0))),"-")</f>
        <v>4</v>
      </c>
      <c r="B756" s="116">
        <v>45333</v>
      </c>
      <c r="C756" s="117">
        <v>45288</v>
      </c>
      <c r="D756" s="116">
        <v>306.58</v>
      </c>
      <c r="E756" s="117">
        <v>45337</v>
      </c>
      <c r="F756" s="116">
        <f>COUNTIFS($A$3:A9006,A756,$B$3:B9006,B756)</f>
        <v>1</v>
      </c>
      <c r="G756" s="116"/>
    </row>
    <row r="757" spans="1:7" x14ac:dyDescent="0.2">
      <c r="A757" s="116">
        <f>IF(ISNUMBER(Tabela2[[#This Row],[CT-e/NFS]])=TRUE,(IF(B757&gt;30000,4,IF(B757&lt;1000,"ND",0))),"-")</f>
        <v>4</v>
      </c>
      <c r="B757" s="116">
        <v>45359</v>
      </c>
      <c r="C757" s="117">
        <v>45288</v>
      </c>
      <c r="D757" s="116">
        <v>126.77</v>
      </c>
      <c r="E757" s="117">
        <v>45337</v>
      </c>
      <c r="F757" s="116">
        <f>COUNTIFS($A$3:A9007,A757,$B$3:B9007,B757)</f>
        <v>1</v>
      </c>
      <c r="G757" s="116"/>
    </row>
    <row r="758" spans="1:7" x14ac:dyDescent="0.2">
      <c r="A758" s="116">
        <f>IF(ISNUMBER(Tabela2[[#This Row],[CT-e/NFS]])=TRUE,(IF(B758&gt;30000,4,IF(B758&lt;1000,"ND",0))),"-")</f>
        <v>0</v>
      </c>
      <c r="B758" s="116">
        <v>21030</v>
      </c>
      <c r="C758" s="117">
        <v>44930</v>
      </c>
      <c r="D758" s="116">
        <v>445.82</v>
      </c>
      <c r="E758" s="117">
        <v>45337</v>
      </c>
      <c r="F758" s="116">
        <f>COUNTIFS($A$3:A9008,A758,$B$3:B9008,B758)</f>
        <v>1</v>
      </c>
      <c r="G758" s="116"/>
    </row>
    <row r="759" spans="1:7" x14ac:dyDescent="0.2">
      <c r="A759" s="116">
        <f>IF(ISNUMBER(Tabela2[[#This Row],[CT-e/NFS]])=TRUE,(IF(B759&gt;30000,4,IF(B759&lt;1000,"ND",0))),"-")</f>
        <v>4</v>
      </c>
      <c r="B759" s="116">
        <v>45550</v>
      </c>
      <c r="C759" s="117">
        <v>44930</v>
      </c>
      <c r="D759" s="116">
        <v>512.15</v>
      </c>
      <c r="E759" s="117">
        <v>45337</v>
      </c>
      <c r="F759" s="116">
        <f>COUNTIFS($A$3:A9009,A759,$B$3:B9009,B759)</f>
        <v>1</v>
      </c>
      <c r="G759" s="116"/>
    </row>
    <row r="760" spans="1:7" x14ac:dyDescent="0.2">
      <c r="A760" s="116">
        <f>IF(ISNUMBER(Tabela2[[#This Row],[CT-e/NFS]])=TRUE,(IF(B760&gt;30000,4,IF(B760&lt;1000,"ND",0))),"-")</f>
        <v>4</v>
      </c>
      <c r="B760" s="116">
        <v>45571</v>
      </c>
      <c r="C760" s="117">
        <v>44930</v>
      </c>
      <c r="D760" s="116">
        <v>130.72</v>
      </c>
      <c r="E760" s="117">
        <v>45337</v>
      </c>
      <c r="F760" s="116">
        <f>COUNTIFS($A$3:A9010,A760,$B$3:B9010,B760)</f>
        <v>1</v>
      </c>
      <c r="G760" s="116"/>
    </row>
    <row r="761" spans="1:7" x14ac:dyDescent="0.2">
      <c r="A761" s="116">
        <f>IF(ISNUMBER(Tabela2[[#This Row],[CT-e/NFS]])=TRUE,(IF(B761&gt;30000,4,IF(B761&lt;1000,"ND",0))),"-")</f>
        <v>4</v>
      </c>
      <c r="B761" s="116">
        <v>45572</v>
      </c>
      <c r="C761" s="117">
        <v>44930</v>
      </c>
      <c r="D761" s="116">
        <v>420.2</v>
      </c>
      <c r="E761" s="117">
        <v>45337</v>
      </c>
      <c r="F761" s="116">
        <f>COUNTIFS($A$3:A9011,A761,$B$3:B9011,B761)</f>
        <v>1</v>
      </c>
      <c r="G761" s="116"/>
    </row>
    <row r="762" spans="1:7" x14ac:dyDescent="0.2">
      <c r="A762" s="116">
        <f>IF(ISNUMBER(Tabela2[[#This Row],[CT-e/NFS]])=TRUE,(IF(B762&gt;30000,4,IF(B762&lt;1000,"ND",0))),"-")</f>
        <v>4</v>
      </c>
      <c r="B762" s="116">
        <v>45576</v>
      </c>
      <c r="C762" s="117">
        <v>44930</v>
      </c>
      <c r="D762" s="116">
        <v>563.76</v>
      </c>
      <c r="E762" s="117">
        <v>45337</v>
      </c>
      <c r="F762" s="116">
        <f>COUNTIFS($A$3:A9012,A762,$B$3:B9012,B762)</f>
        <v>1</v>
      </c>
      <c r="G762" s="116"/>
    </row>
    <row r="763" spans="1:7" x14ac:dyDescent="0.2">
      <c r="A763" s="116">
        <f>IF(ISNUMBER(Tabela2[[#This Row],[CT-e/NFS]])=TRUE,(IF(B763&gt;30000,4,IF(B763&lt;1000,"ND",0))),"-")</f>
        <v>0</v>
      </c>
      <c r="B763" s="116">
        <v>21056</v>
      </c>
      <c r="C763" s="117">
        <v>44944</v>
      </c>
      <c r="D763" s="116">
        <v>177.87</v>
      </c>
      <c r="E763" s="117">
        <v>45337</v>
      </c>
      <c r="F763" s="116">
        <f>COUNTIFS($A$3:A9013,A763,$B$3:B9013,B763)</f>
        <v>1</v>
      </c>
      <c r="G763" s="116"/>
    </row>
    <row r="764" spans="1:7" x14ac:dyDescent="0.2">
      <c r="A764" s="116">
        <f>IF(ISNUMBER(Tabela2[[#This Row],[CT-e/NFS]])=TRUE,(IF(B764&gt;30000,4,IF(B764&lt;1000,"ND",0))),"-")</f>
        <v>0</v>
      </c>
      <c r="B764" s="116">
        <v>21089</v>
      </c>
      <c r="C764" s="117">
        <v>44944</v>
      </c>
      <c r="D764" s="116">
        <v>276.38</v>
      </c>
      <c r="E764" s="117">
        <v>45337</v>
      </c>
      <c r="F764" s="116">
        <f>COUNTIFS($A$3:A9014,A764,$B$3:B9014,B764)</f>
        <v>1</v>
      </c>
      <c r="G764" s="116"/>
    </row>
    <row r="765" spans="1:7" x14ac:dyDescent="0.2">
      <c r="A765" s="116">
        <f>IF(ISNUMBER(Tabela2[[#This Row],[CT-e/NFS]])=TRUE,(IF(B765&gt;30000,4,IF(B765&lt;1000,"ND",0))),"-")</f>
        <v>4</v>
      </c>
      <c r="B765" s="116">
        <v>45600</v>
      </c>
      <c r="C765" s="117">
        <v>44944</v>
      </c>
      <c r="D765" s="116">
        <v>251.35</v>
      </c>
      <c r="E765" s="117">
        <v>45337</v>
      </c>
      <c r="F765" s="116">
        <f>COUNTIFS($A$3:A9015,A765,$B$3:B9015,B765)</f>
        <v>1</v>
      </c>
      <c r="G765" s="116"/>
    </row>
    <row r="766" spans="1:7" x14ac:dyDescent="0.2">
      <c r="A766" s="116">
        <f>IF(ISNUMBER(Tabela2[[#This Row],[CT-e/NFS]])=TRUE,(IF(B766&gt;30000,4,IF(B766&lt;1000,"ND",0))),"-")</f>
        <v>4</v>
      </c>
      <c r="B766" s="116">
        <v>45625</v>
      </c>
      <c r="C766" s="117">
        <v>44944</v>
      </c>
      <c r="D766" s="116">
        <v>105.23</v>
      </c>
      <c r="E766" s="117">
        <v>45337</v>
      </c>
      <c r="F766" s="116">
        <f>COUNTIFS($A$3:A9016,A766,$B$3:B9016,B766)</f>
        <v>1</v>
      </c>
      <c r="G766" s="116"/>
    </row>
    <row r="767" spans="1:7" x14ac:dyDescent="0.2">
      <c r="A767" s="116">
        <f>IF(ISNUMBER(Tabela2[[#This Row],[CT-e/NFS]])=TRUE,(IF(B767&gt;30000,4,IF(B767&lt;1000,"ND",0))),"-")</f>
        <v>4</v>
      </c>
      <c r="B767" s="116">
        <v>45653</v>
      </c>
      <c r="C767" s="117">
        <v>44944</v>
      </c>
      <c r="D767" s="127">
        <v>1206.25</v>
      </c>
      <c r="E767" s="117">
        <v>45337</v>
      </c>
      <c r="F767" s="116">
        <f>COUNTIFS($A$3:A9017,A767,$B$3:B9017,B767)</f>
        <v>1</v>
      </c>
      <c r="G767" s="116"/>
    </row>
    <row r="768" spans="1:7" x14ac:dyDescent="0.2">
      <c r="A768" s="116">
        <f>IF(ISNUMBER(Tabela2[[#This Row],[CT-e/NFS]])=TRUE,(IF(B768&gt;30000,4,IF(B768&lt;1000,"ND",0))),"-")</f>
        <v>4</v>
      </c>
      <c r="B768" s="116">
        <v>45654</v>
      </c>
      <c r="C768" s="117">
        <v>44944</v>
      </c>
      <c r="D768" s="127">
        <v>1206.25</v>
      </c>
      <c r="E768" s="117">
        <v>45337</v>
      </c>
      <c r="F768" s="116">
        <f>COUNTIFS($A$3:A9018,A768,$B$3:B9018,B768)</f>
        <v>1</v>
      </c>
      <c r="G768" s="116"/>
    </row>
    <row r="769" spans="1:7" x14ac:dyDescent="0.2">
      <c r="A769" s="116">
        <f>IF(ISNUMBER(Tabela2[[#This Row],[CT-e/NFS]])=TRUE,(IF(B769&gt;30000,4,IF(B769&lt;1000,"ND",0))),"-")</f>
        <v>4</v>
      </c>
      <c r="B769" s="116">
        <v>45684</v>
      </c>
      <c r="C769" s="117">
        <v>44944</v>
      </c>
      <c r="D769" s="116">
        <v>350.36</v>
      </c>
      <c r="E769" s="117">
        <v>45337</v>
      </c>
      <c r="F769" s="116">
        <f>COUNTIFS($A$3:A9019,A769,$B$3:B9019,B769)</f>
        <v>1</v>
      </c>
      <c r="G769" s="116"/>
    </row>
    <row r="770" spans="1:7" x14ac:dyDescent="0.2">
      <c r="A770" s="116">
        <f>IF(ISNUMBER(Tabela2[[#This Row],[CT-e/NFS]])=TRUE,(IF(B770&gt;30000,4,IF(B770&lt;1000,"ND",0))),"-")</f>
        <v>4</v>
      </c>
      <c r="B770" s="116">
        <v>45732</v>
      </c>
      <c r="C770" s="117">
        <v>44944</v>
      </c>
      <c r="D770" s="116">
        <v>924.93</v>
      </c>
      <c r="E770" s="117">
        <v>45337</v>
      </c>
      <c r="F770" s="116">
        <f>COUNTIFS($A$3:A9020,A770,$B$3:B9020,B770)</f>
        <v>1</v>
      </c>
      <c r="G770" s="116"/>
    </row>
    <row r="771" spans="1:7" x14ac:dyDescent="0.2">
      <c r="A771" s="116">
        <f>IF(ISNUMBER(Tabela2[[#This Row],[CT-e/NFS]])=TRUE,(IF(B771&gt;30000,4,IF(B771&lt;1000,"ND",0))),"-")</f>
        <v>4</v>
      </c>
      <c r="B771" s="116">
        <v>45767</v>
      </c>
      <c r="C771" s="117">
        <v>44944</v>
      </c>
      <c r="D771" s="116">
        <v>411.2</v>
      </c>
      <c r="E771" s="117">
        <v>45337</v>
      </c>
      <c r="F771" s="116">
        <f>COUNTIFS($A$3:A9021,A771,$B$3:B9021,B771)</f>
        <v>1</v>
      </c>
      <c r="G771" s="116"/>
    </row>
    <row r="772" spans="1:7" x14ac:dyDescent="0.2">
      <c r="A772" s="116">
        <f>IF(ISNUMBER(Tabela2[[#This Row],[CT-e/NFS]])=TRUE,(IF(B772&gt;30000,4,IF(B772&lt;1000,"ND",0))),"-")</f>
        <v>4</v>
      </c>
      <c r="B772" s="116">
        <v>45769</v>
      </c>
      <c r="C772" s="117">
        <v>44944</v>
      </c>
      <c r="D772" s="116">
        <v>490.8</v>
      </c>
      <c r="E772" s="117">
        <v>45337</v>
      </c>
      <c r="F772" s="116">
        <f>COUNTIFS($A$3:A9022,A772,$B$3:B9022,B772)</f>
        <v>1</v>
      </c>
      <c r="G772" s="116"/>
    </row>
    <row r="773" spans="1:7" x14ac:dyDescent="0.2">
      <c r="A773" s="116">
        <f>IF(ISNUMBER(Tabela2[[#This Row],[CT-e/NFS]])=TRUE,(IF(B773&gt;30000,4,IF(B773&lt;1000,"ND",0))),"-")</f>
        <v>4</v>
      </c>
      <c r="B773" s="116">
        <v>45829</v>
      </c>
      <c r="C773" s="117">
        <v>44944</v>
      </c>
      <c r="D773" s="127">
        <v>1771.07</v>
      </c>
      <c r="E773" s="117">
        <v>45337</v>
      </c>
      <c r="F773" s="116">
        <f>COUNTIFS($A$3:A9023,A773,$B$3:B9023,B773)</f>
        <v>1</v>
      </c>
      <c r="G773" s="116"/>
    </row>
    <row r="774" spans="1:7" x14ac:dyDescent="0.2">
      <c r="A774" s="116">
        <f>IF(ISNUMBER(Tabela2[[#This Row],[CT-e/NFS]])=TRUE,(IF(B774&gt;30000,4,IF(B774&lt;1000,"ND",0))),"-")</f>
        <v>4</v>
      </c>
      <c r="B774" s="116">
        <v>45847</v>
      </c>
      <c r="C774" s="117">
        <v>44944</v>
      </c>
      <c r="D774" s="116">
        <v>891.81</v>
      </c>
      <c r="E774" s="117">
        <v>45337</v>
      </c>
      <c r="F774" s="116">
        <f>COUNTIFS($A$3:A9024,A774,$B$3:B9024,B774)</f>
        <v>1</v>
      </c>
      <c r="G774" s="116"/>
    </row>
    <row r="775" spans="1:7" x14ac:dyDescent="0.2">
      <c r="A775" s="116">
        <f>IF(ISNUMBER(Tabela2[[#This Row],[CT-e/NFS]])=TRUE,(IF(B775&gt;30000,4,IF(B775&lt;1000,"ND",0))),"-")</f>
        <v>4</v>
      </c>
      <c r="B775" s="116">
        <v>45848</v>
      </c>
      <c r="C775" s="117">
        <v>44944</v>
      </c>
      <c r="D775" s="116">
        <v>450.45</v>
      </c>
      <c r="E775" s="117">
        <v>45337</v>
      </c>
      <c r="F775" s="116">
        <f>COUNTIFS($A$3:A9025,A775,$B$3:B9025,B775)</f>
        <v>1</v>
      </c>
      <c r="G775" s="116"/>
    </row>
    <row r="776" spans="1:7" x14ac:dyDescent="0.2">
      <c r="A776" s="116">
        <f>IF(ISNUMBER(Tabela2[[#This Row],[CT-e/NFS]])=TRUE,(IF(B776&gt;30000,4,IF(B776&lt;1000,"ND",0))),"-")</f>
        <v>4</v>
      </c>
      <c r="B776" s="116">
        <v>45849</v>
      </c>
      <c r="C776" s="117">
        <v>44944</v>
      </c>
      <c r="D776" s="116">
        <v>777.44</v>
      </c>
      <c r="E776" s="117">
        <v>45337</v>
      </c>
      <c r="F776" s="116">
        <f>COUNTIFS($A$3:A9026,A776,$B$3:B9026,B776)</f>
        <v>1</v>
      </c>
      <c r="G776" s="116"/>
    </row>
    <row r="777" spans="1:7" x14ac:dyDescent="0.2">
      <c r="A777" s="116">
        <f>IF(ISNUMBER(Tabela2[[#This Row],[CT-e/NFS]])=TRUE,(IF(B777&gt;30000,4,IF(B777&lt;1000,"ND",0))),"-")</f>
        <v>0</v>
      </c>
      <c r="B777" s="116">
        <v>20210</v>
      </c>
      <c r="C777" s="117">
        <v>45240</v>
      </c>
      <c r="D777" s="116">
        <v>216.25</v>
      </c>
      <c r="E777" s="117">
        <v>45337</v>
      </c>
      <c r="F777" s="116">
        <f>COUNTIFS($A$3:A9027,A777,$B$3:B9027,B777)</f>
        <v>1</v>
      </c>
      <c r="G777" s="116"/>
    </row>
    <row r="778" spans="1:7" x14ac:dyDescent="0.2">
      <c r="A778" s="116">
        <f>IF(ISNUMBER(Tabela2[[#This Row],[CT-e/NFS]])=TRUE,(IF(B778&gt;30000,4,IF(B778&lt;1000,"ND",0))),"-")</f>
        <v>4</v>
      </c>
      <c r="B778" s="116">
        <v>43293</v>
      </c>
      <c r="C778" s="117">
        <v>45241</v>
      </c>
      <c r="D778" s="116">
        <v>100.44</v>
      </c>
      <c r="E778" s="117">
        <v>45337</v>
      </c>
      <c r="F778" s="116">
        <f>COUNTIFS($A$3:A9028,A778,$B$3:B9028,B778)</f>
        <v>1</v>
      </c>
      <c r="G778" s="116"/>
    </row>
    <row r="779" spans="1:7" x14ac:dyDescent="0.2">
      <c r="A779" s="116">
        <f>IF(ISNUMBER(Tabela2[[#This Row],[CT-e/NFS]])=TRUE,(IF(B779&gt;30000,4,IF(B779&lt;1000,"ND",0))),"-")</f>
        <v>4</v>
      </c>
      <c r="B779" s="116">
        <v>43297</v>
      </c>
      <c r="C779" s="117">
        <v>45242</v>
      </c>
      <c r="D779" s="116">
        <v>108.5</v>
      </c>
      <c r="E779" s="117">
        <v>45337</v>
      </c>
      <c r="F779" s="116">
        <f>COUNTIFS($A$3:A9029,A779,$B$3:B9029,B779)</f>
        <v>1</v>
      </c>
      <c r="G779" s="116"/>
    </row>
    <row r="780" spans="1:7" x14ac:dyDescent="0.2">
      <c r="A780" s="116">
        <f>IF(ISNUMBER(Tabela2[[#This Row],[CT-e/NFS]])=TRUE,(IF(B780&gt;30000,4,IF(B780&lt;1000,"ND",0))),"-")</f>
        <v>4</v>
      </c>
      <c r="B780" s="116">
        <v>43328</v>
      </c>
      <c r="C780" s="117">
        <v>45243</v>
      </c>
      <c r="D780" s="116">
        <v>506.93</v>
      </c>
      <c r="E780" s="117">
        <v>45337</v>
      </c>
      <c r="F780" s="116">
        <f>COUNTIFS($A$3:A9030,A780,$B$3:B9030,B780)</f>
        <v>1</v>
      </c>
      <c r="G780" s="116"/>
    </row>
    <row r="781" spans="1:7" x14ac:dyDescent="0.2">
      <c r="A781" s="116">
        <f>IF(ISNUMBER(Tabela2[[#This Row],[CT-e/NFS]])=TRUE,(IF(B781&gt;30000,4,IF(B781&lt;1000,"ND",0))),"-")</f>
        <v>4</v>
      </c>
      <c r="B781" s="116">
        <v>43350</v>
      </c>
      <c r="C781" s="117">
        <v>45244</v>
      </c>
      <c r="D781" s="116">
        <v>362.92</v>
      </c>
      <c r="E781" s="117">
        <v>45337</v>
      </c>
      <c r="F781" s="116">
        <f>COUNTIFS($A$3:A9031,A781,$B$3:B9031,B781)</f>
        <v>1</v>
      </c>
      <c r="G781" s="116"/>
    </row>
    <row r="782" spans="1:7" x14ac:dyDescent="0.2">
      <c r="A782" s="116">
        <f>IF(ISNUMBER(Tabela2[[#This Row],[CT-e/NFS]])=TRUE,(IF(B782&gt;30000,4,IF(B782&lt;1000,"ND",0))),"-")</f>
        <v>4</v>
      </c>
      <c r="B782" s="116">
        <v>43361</v>
      </c>
      <c r="C782" s="117">
        <v>45245</v>
      </c>
      <c r="D782" s="116">
        <v>258.36</v>
      </c>
      <c r="E782" s="117">
        <v>45337</v>
      </c>
      <c r="F782" s="116">
        <f>COUNTIFS($A$3:A9032,A782,$B$3:B9032,B782)</f>
        <v>1</v>
      </c>
      <c r="G782" s="116"/>
    </row>
    <row r="783" spans="1:7" x14ac:dyDescent="0.2">
      <c r="A783" s="116">
        <f>IF(ISNUMBER(Tabela2[[#This Row],[CT-e/NFS]])=TRUE,(IF(B783&gt;30000,4,IF(B783&lt;1000,"ND",0))),"-")</f>
        <v>4</v>
      </c>
      <c r="B783" s="116">
        <v>45924</v>
      </c>
      <c r="C783" s="117">
        <v>45328</v>
      </c>
      <c r="D783" s="116">
        <v>299.33999999999997</v>
      </c>
      <c r="E783" s="117">
        <v>45337</v>
      </c>
      <c r="F783" s="116">
        <f>COUNTIFS($A$3:A9033,A783,$B$3:B9033,B783)</f>
        <v>1</v>
      </c>
      <c r="G783" s="116"/>
    </row>
    <row r="784" spans="1:7" x14ac:dyDescent="0.2">
      <c r="A784" s="116">
        <f>IF(ISNUMBER(Tabela2[[#This Row],[CT-e/NFS]])=TRUE,(IF(B784&gt;30000,4,IF(B784&lt;1000,"ND",0))),"-")</f>
        <v>4</v>
      </c>
      <c r="B784" s="116">
        <v>45920</v>
      </c>
      <c r="C784" s="117">
        <v>45328</v>
      </c>
      <c r="D784" s="116">
        <v>124.24</v>
      </c>
      <c r="E784" s="117">
        <v>45337</v>
      </c>
      <c r="F784" s="116">
        <f>COUNTIFS($A$3:A9034,A784,$B$3:B9034,B784)</f>
        <v>1</v>
      </c>
      <c r="G784" s="116"/>
    </row>
    <row r="785" spans="1:7" x14ac:dyDescent="0.2">
      <c r="A785" s="116">
        <f>IF(ISNUMBER(Tabela2[[#This Row],[CT-e/NFS]])=TRUE,(IF(B785&gt;30000,4,IF(B785&lt;1000,"ND",0))),"-")</f>
        <v>4</v>
      </c>
      <c r="B785" s="116">
        <v>45918</v>
      </c>
      <c r="C785" s="117">
        <v>45328</v>
      </c>
      <c r="D785" s="116">
        <v>189.68</v>
      </c>
      <c r="E785" s="117">
        <v>45337</v>
      </c>
      <c r="F785" s="116">
        <f>COUNTIFS($A$3:A9035,A785,$B$3:B9035,B785)</f>
        <v>1</v>
      </c>
      <c r="G785" s="116"/>
    </row>
    <row r="786" spans="1:7" x14ac:dyDescent="0.2">
      <c r="A786" s="116">
        <f>IF(ISNUMBER(Tabela2[[#This Row],[CT-e/NFS]])=TRUE,(IF(B786&gt;30000,4,IF(B786&lt;1000,"ND",0))),"-")</f>
        <v>4</v>
      </c>
      <c r="B786" s="116">
        <v>45930</v>
      </c>
      <c r="C786" s="117">
        <v>45328</v>
      </c>
      <c r="D786" s="116">
        <v>798.27</v>
      </c>
      <c r="E786" s="117">
        <v>45337</v>
      </c>
      <c r="F786" s="116">
        <f>COUNTIFS($A$3:A9036,A786,$B$3:B9036,B786)</f>
        <v>1</v>
      </c>
      <c r="G786" s="116"/>
    </row>
    <row r="787" spans="1:7" x14ac:dyDescent="0.2">
      <c r="A787" s="116">
        <f>IF(ISNUMBER(Tabela2[[#This Row],[CT-e/NFS]])=TRUE,(IF(B787&gt;30000,4,IF(B787&lt;1000,"ND",0))),"-")</f>
        <v>4</v>
      </c>
      <c r="B787" s="116">
        <v>45922</v>
      </c>
      <c r="C787" s="117">
        <v>45328</v>
      </c>
      <c r="D787" s="116">
        <v>188.66</v>
      </c>
      <c r="E787" s="117">
        <v>45337</v>
      </c>
      <c r="F787" s="116">
        <f>COUNTIFS($A$3:A9037,A787,$B$3:B9037,B787)</f>
        <v>1</v>
      </c>
      <c r="G787" s="116"/>
    </row>
    <row r="788" spans="1:7" x14ac:dyDescent="0.2">
      <c r="A788" s="116">
        <f>IF(ISNUMBER(Tabela2[[#This Row],[CT-e/NFS]])=TRUE,(IF(B788&gt;30000,4,IF(B788&lt;1000,"ND",0))),"-")</f>
        <v>4</v>
      </c>
      <c r="B788" s="116">
        <v>45921</v>
      </c>
      <c r="C788" s="117">
        <v>45328</v>
      </c>
      <c r="D788" s="116">
        <v>241.26</v>
      </c>
      <c r="E788" s="117">
        <v>45337</v>
      </c>
      <c r="F788" s="116">
        <f>COUNTIFS($A$3:A9038,A788,$B$3:B9038,B788)</f>
        <v>1</v>
      </c>
      <c r="G788" s="116"/>
    </row>
    <row r="789" spans="1:7" x14ac:dyDescent="0.2">
      <c r="A789" s="116">
        <f>IF(ISNUMBER(Tabela2[[#This Row],[CT-e/NFS]])=TRUE,(IF(B789&gt;30000,4,IF(B789&lt;1000,"ND",0))),"-")</f>
        <v>4</v>
      </c>
      <c r="B789" s="116">
        <v>45919</v>
      </c>
      <c r="C789" s="117">
        <v>45328</v>
      </c>
      <c r="D789" s="116">
        <v>125.42</v>
      </c>
      <c r="E789" s="117">
        <v>45337</v>
      </c>
      <c r="F789" s="116">
        <f>COUNTIFS($A$3:A9039,A789,$B$3:B9039,B789)</f>
        <v>1</v>
      </c>
      <c r="G789" s="116"/>
    </row>
    <row r="790" spans="1:7" x14ac:dyDescent="0.2">
      <c r="A790" s="116">
        <f>IF(ISNUMBER(Tabela2[[#This Row],[CT-e/NFS]])=TRUE,(IF(B790&gt;30000,4,IF(B790&lt;1000,"ND",0))),"-")</f>
        <v>4</v>
      </c>
      <c r="B790" s="116">
        <v>45926</v>
      </c>
      <c r="C790" s="117">
        <v>45328</v>
      </c>
      <c r="D790" s="116">
        <v>124.03</v>
      </c>
      <c r="E790" s="117">
        <v>45337</v>
      </c>
      <c r="F790" s="116">
        <f>COUNTIFS($A$3:A9040,A790,$B$3:B9040,B790)</f>
        <v>1</v>
      </c>
      <c r="G790" s="116"/>
    </row>
    <row r="791" spans="1:7" x14ac:dyDescent="0.2">
      <c r="A791" s="116">
        <f>IF(ISNUMBER(Tabela2[[#This Row],[CT-e/NFS]])=TRUE,(IF(B791&gt;30000,4,IF(B791&lt;1000,"ND",0))),"-")</f>
        <v>4</v>
      </c>
      <c r="B791" s="116">
        <v>45923</v>
      </c>
      <c r="C791" s="117">
        <v>45328</v>
      </c>
      <c r="D791" s="116">
        <v>224.78</v>
      </c>
      <c r="E791" s="117">
        <v>45337</v>
      </c>
      <c r="F791" s="116">
        <f>COUNTIFS($A$3:A9041,A791,$B$3:B9041,B791)</f>
        <v>1</v>
      </c>
      <c r="G791" s="116"/>
    </row>
    <row r="792" spans="1:7" x14ac:dyDescent="0.2">
      <c r="A792" s="116">
        <f>IF(ISNUMBER(Tabela2[[#This Row],[CT-e/NFS]])=TRUE,(IF(B792&gt;30000,4,IF(B792&lt;1000,"ND",0))),"-")</f>
        <v>0</v>
      </c>
      <c r="B792" s="116">
        <v>21113</v>
      </c>
      <c r="C792" s="117">
        <v>45328</v>
      </c>
      <c r="D792" s="116">
        <v>220.42</v>
      </c>
      <c r="E792" s="117">
        <v>45337</v>
      </c>
      <c r="F792" s="116">
        <f>COUNTIFS($A$3:A9042,A792,$B$3:B9042,B792)</f>
        <v>1</v>
      </c>
      <c r="G792" s="116"/>
    </row>
    <row r="793" spans="1:7" x14ac:dyDescent="0.2">
      <c r="A793" s="116">
        <f>IF(ISNUMBER(Tabela2[[#This Row],[CT-e/NFS]])=TRUE,(IF(B793&gt;30000,4,IF(B793&lt;1000,"ND",0))),"-")</f>
        <v>4</v>
      </c>
      <c r="B793" s="116">
        <v>45928</v>
      </c>
      <c r="C793" s="117">
        <v>45328</v>
      </c>
      <c r="D793" s="116">
        <v>234.33</v>
      </c>
      <c r="E793" s="117">
        <v>45337</v>
      </c>
      <c r="F793" s="116">
        <f>COUNTIFS($A$3:A9043,A793,$B$3:B9043,B793)</f>
        <v>1</v>
      </c>
      <c r="G793" s="116"/>
    </row>
    <row r="794" spans="1:7" x14ac:dyDescent="0.2">
      <c r="A794" s="116">
        <f>IF(ISNUMBER(Tabela2[[#This Row],[CT-e/NFS]])=TRUE,(IF(B794&gt;30000,4,IF(B794&lt;1000,"ND",0))),"-")</f>
        <v>4</v>
      </c>
      <c r="B794" s="116">
        <v>45932</v>
      </c>
      <c r="C794" s="117">
        <v>45328</v>
      </c>
      <c r="D794" s="116">
        <v>176.14</v>
      </c>
      <c r="E794" s="117">
        <v>45337</v>
      </c>
      <c r="F794" s="116">
        <f>COUNTIFS($A$3:A9044,A794,$B$3:B9044,B794)</f>
        <v>1</v>
      </c>
      <c r="G794" s="116"/>
    </row>
    <row r="795" spans="1:7" x14ac:dyDescent="0.2">
      <c r="A795" s="116">
        <f>IF(ISNUMBER(Tabela2[[#This Row],[CT-e/NFS]])=TRUE,(IF(B795&gt;30000,4,IF(B795&lt;1000,"ND",0))),"-")</f>
        <v>4</v>
      </c>
      <c r="B795" s="116">
        <v>45938</v>
      </c>
      <c r="C795" s="117">
        <v>45328</v>
      </c>
      <c r="D795" s="116">
        <v>251.26</v>
      </c>
      <c r="E795" s="117">
        <v>45337</v>
      </c>
      <c r="F795" s="116">
        <f>COUNTIFS($A$3:A9045,A795,$B$3:B9045,B795)</f>
        <v>1</v>
      </c>
      <c r="G795" s="116"/>
    </row>
    <row r="796" spans="1:7" x14ac:dyDescent="0.2">
      <c r="A796" s="116">
        <f>IF(ISNUMBER(Tabela2[[#This Row],[CT-e/NFS]])=TRUE,(IF(B796&gt;30000,4,IF(B796&lt;1000,"ND",0))),"-")</f>
        <v>4</v>
      </c>
      <c r="B796" s="116">
        <v>45939</v>
      </c>
      <c r="C796" s="117">
        <v>45328</v>
      </c>
      <c r="D796" s="116">
        <v>124.22</v>
      </c>
      <c r="E796" s="117">
        <v>45337</v>
      </c>
      <c r="F796" s="116">
        <f>COUNTIFS($A$3:A9046,A796,$B$3:B9046,B796)</f>
        <v>1</v>
      </c>
      <c r="G796" s="116"/>
    </row>
    <row r="797" spans="1:7" x14ac:dyDescent="0.2">
      <c r="A797" s="116">
        <f>IF(ISNUMBER(Tabela2[[#This Row],[CT-e/NFS]])=TRUE,(IF(B797&gt;30000,4,IF(B797&lt;1000,"ND",0))),"-")</f>
        <v>4</v>
      </c>
      <c r="B797" s="116">
        <v>45937</v>
      </c>
      <c r="C797" s="117">
        <v>45328</v>
      </c>
      <c r="D797" s="116">
        <v>609.98</v>
      </c>
      <c r="E797" s="117">
        <v>45337</v>
      </c>
      <c r="F797" s="116">
        <f>COUNTIFS($A$3:A9047,A797,$B$3:B9047,B797)</f>
        <v>1</v>
      </c>
      <c r="G797" s="116"/>
    </row>
    <row r="798" spans="1:7" x14ac:dyDescent="0.2">
      <c r="A798" s="116">
        <f>IF(ISNUMBER(Tabela2[[#This Row],[CT-e/NFS]])=TRUE,(IF(B798&gt;30000,4,IF(B798&lt;1000,"ND",0))),"-")</f>
        <v>4</v>
      </c>
      <c r="B798" s="116">
        <v>45943</v>
      </c>
      <c r="C798" s="117">
        <v>45328</v>
      </c>
      <c r="D798" s="116">
        <v>124.15</v>
      </c>
      <c r="E798" s="117">
        <v>45337</v>
      </c>
      <c r="F798" s="116">
        <f>COUNTIFS($A$3:A9048,A798,$B$3:B9048,B798)</f>
        <v>1</v>
      </c>
      <c r="G798" s="116"/>
    </row>
    <row r="799" spans="1:7" x14ac:dyDescent="0.2">
      <c r="A799" s="116">
        <f>IF(ISNUMBER(Tabela2[[#This Row],[CT-e/NFS]])=TRUE,(IF(B799&gt;30000,4,IF(B799&lt;1000,"ND",0))),"-")</f>
        <v>4</v>
      </c>
      <c r="B799" s="116">
        <v>45941</v>
      </c>
      <c r="C799" s="117">
        <v>45328</v>
      </c>
      <c r="D799" s="116">
        <v>124.98</v>
      </c>
      <c r="E799" s="117">
        <v>45337</v>
      </c>
      <c r="F799" s="116">
        <f>COUNTIFS($A$3:A9049,A799,$B$3:B9049,B799)</f>
        <v>1</v>
      </c>
      <c r="G799" s="116"/>
    </row>
    <row r="800" spans="1:7" x14ac:dyDescent="0.2">
      <c r="A800" s="116">
        <f>IF(ISNUMBER(Tabela2[[#This Row],[CT-e/NFS]])=TRUE,(IF(B800&gt;30000,4,IF(B800&lt;1000,"ND",0))),"-")</f>
        <v>4</v>
      </c>
      <c r="B800" s="116">
        <v>45942</v>
      </c>
      <c r="C800" s="117">
        <v>45328</v>
      </c>
      <c r="D800" s="116">
        <v>122.77</v>
      </c>
      <c r="E800" s="117">
        <v>45337</v>
      </c>
      <c r="F800" s="116">
        <f>COUNTIFS($A$3:A9050,A800,$B$3:B9050,B800)</f>
        <v>1</v>
      </c>
      <c r="G800" s="116"/>
    </row>
    <row r="801" spans="1:7" x14ac:dyDescent="0.2">
      <c r="A801" s="116">
        <f>IF(ISNUMBER(Tabela2[[#This Row],[CT-e/NFS]])=TRUE,(IF(B801&gt;30000,4,IF(B801&lt;1000,"ND",0))),"-")</f>
        <v>4</v>
      </c>
      <c r="B801" s="116">
        <v>45944</v>
      </c>
      <c r="C801" s="117">
        <v>45328</v>
      </c>
      <c r="D801" s="116">
        <v>544.01</v>
      </c>
      <c r="E801" s="117">
        <v>45337</v>
      </c>
      <c r="F801" s="116">
        <f>COUNTIFS($A$3:A9051,A801,$B$3:B9051,B801)</f>
        <v>1</v>
      </c>
      <c r="G801" s="116"/>
    </row>
    <row r="802" spans="1:7" x14ac:dyDescent="0.2">
      <c r="A802" s="116">
        <f>IF(ISNUMBER(Tabela2[[#This Row],[CT-e/NFS]])=TRUE,(IF(B802&gt;30000,4,IF(B802&lt;1000,"ND",0))),"-")</f>
        <v>4</v>
      </c>
      <c r="B802" s="116">
        <v>45945</v>
      </c>
      <c r="C802" s="117">
        <v>45328</v>
      </c>
      <c r="D802" s="116">
        <v>172.44</v>
      </c>
      <c r="E802" s="117">
        <v>45337</v>
      </c>
      <c r="F802" s="116">
        <f>COUNTIFS($A$3:A9052,A802,$B$3:B9052,B802)</f>
        <v>1</v>
      </c>
      <c r="G802" s="116"/>
    </row>
    <row r="803" spans="1:7" x14ac:dyDescent="0.2">
      <c r="A803" s="116">
        <f>IF(ISNUMBER(Tabela2[[#This Row],[CT-e/NFS]])=TRUE,(IF(B803&gt;30000,4,IF(B803&lt;1000,"ND",0))),"-")</f>
        <v>4</v>
      </c>
      <c r="B803" s="116">
        <v>45948</v>
      </c>
      <c r="C803" s="117">
        <v>45328</v>
      </c>
      <c r="D803" s="116">
        <v>123.72</v>
      </c>
      <c r="E803" s="117">
        <v>45337</v>
      </c>
      <c r="F803" s="116">
        <f>COUNTIFS($A$3:A9053,A803,$B$3:B9053,B803)</f>
        <v>1</v>
      </c>
      <c r="G803" s="116"/>
    </row>
    <row r="804" spans="1:7" x14ac:dyDescent="0.2">
      <c r="A804" s="116">
        <f>IF(ISNUMBER(Tabela2[[#This Row],[CT-e/NFS]])=TRUE,(IF(B804&gt;30000,4,IF(B804&lt;1000,"ND",0))),"-")</f>
        <v>4</v>
      </c>
      <c r="B804" s="116">
        <v>45947</v>
      </c>
      <c r="C804" s="117">
        <v>45328</v>
      </c>
      <c r="D804" s="116">
        <v>229.67</v>
      </c>
      <c r="E804" s="117">
        <v>45337</v>
      </c>
      <c r="F804" s="116">
        <f>COUNTIFS($A$3:A9054,A804,$B$3:B9054,B804)</f>
        <v>1</v>
      </c>
      <c r="G804" s="116"/>
    </row>
    <row r="805" spans="1:7" x14ac:dyDescent="0.2">
      <c r="A805" s="116">
        <f>IF(ISNUMBER(Tabela2[[#This Row],[CT-e/NFS]])=TRUE,(IF(B805&gt;30000,4,IF(B805&lt;1000,"ND",0))),"-")</f>
        <v>4</v>
      </c>
      <c r="B805" s="116">
        <v>45946</v>
      </c>
      <c r="C805" s="117">
        <v>45328</v>
      </c>
      <c r="D805" s="116">
        <v>439.5</v>
      </c>
      <c r="E805" s="117">
        <v>45337</v>
      </c>
      <c r="F805" s="116">
        <f>COUNTIFS($A$3:A9055,A805,$B$3:B9055,B805)</f>
        <v>1</v>
      </c>
      <c r="G805" s="116"/>
    </row>
    <row r="806" spans="1:7" x14ac:dyDescent="0.2">
      <c r="A806" s="116">
        <f>IF(ISNUMBER(Tabela2[[#This Row],[CT-e/NFS]])=TRUE,(IF(B806&gt;30000,4,IF(B806&lt;1000,"ND",0))),"-")</f>
        <v>0</v>
      </c>
      <c r="B806" s="116">
        <v>21116</v>
      </c>
      <c r="C806" s="117">
        <v>45328</v>
      </c>
      <c r="D806" s="116">
        <v>76.77</v>
      </c>
      <c r="E806" s="117">
        <v>45337</v>
      </c>
      <c r="F806" s="116">
        <f>COUNTIFS($A$3:A9056,A806,$B$3:B9056,B806)</f>
        <v>1</v>
      </c>
      <c r="G806" s="116"/>
    </row>
    <row r="807" spans="1:7" x14ac:dyDescent="0.2">
      <c r="A807" s="116">
        <f>IF(ISNUMBER(Tabela2[[#This Row],[CT-e/NFS]])=TRUE,(IF(B807&gt;30000,4,IF(B807&lt;1000,"ND",0))),"-")</f>
        <v>4</v>
      </c>
      <c r="B807" s="116">
        <v>45949</v>
      </c>
      <c r="C807" s="117">
        <v>45328</v>
      </c>
      <c r="D807" s="116">
        <v>19088.25</v>
      </c>
      <c r="E807" s="117">
        <v>45337</v>
      </c>
      <c r="F807" s="116">
        <f>COUNTIFS($A$3:A9057,A807,$B$3:B9057,B807)</f>
        <v>1</v>
      </c>
      <c r="G807" s="116"/>
    </row>
    <row r="808" spans="1:7" x14ac:dyDescent="0.2">
      <c r="A808" s="116">
        <f>IF(ISNUMBER(Tabela2[[#This Row],[CT-e/NFS]])=TRUE,(IF(B808&gt;30000,4,IF(B808&lt;1000,"ND",0))),"-")</f>
        <v>0</v>
      </c>
      <c r="B808" s="116">
        <v>21112</v>
      </c>
      <c r="C808" s="117">
        <v>45328</v>
      </c>
      <c r="D808" s="116">
        <v>515.41</v>
      </c>
      <c r="E808" s="117">
        <v>45337</v>
      </c>
      <c r="F808" s="116">
        <f>COUNTIFS($A$3:A9058,A808,$B$3:B9058,B808)</f>
        <v>1</v>
      </c>
      <c r="G808" s="116"/>
    </row>
    <row r="809" spans="1:7" x14ac:dyDescent="0.2">
      <c r="A809" s="116">
        <f>IF(ISNUMBER(Tabela2[[#This Row],[CT-e/NFS]])=TRUE,(IF(B809&gt;30000,4,IF(B809&lt;1000,"ND",0))),"-")</f>
        <v>4</v>
      </c>
      <c r="B809" s="116">
        <v>45952</v>
      </c>
      <c r="C809" s="117">
        <v>45328</v>
      </c>
      <c r="D809" s="116">
        <v>246.33</v>
      </c>
      <c r="E809" s="117">
        <v>45337</v>
      </c>
      <c r="F809" s="116">
        <f>COUNTIFS($A$3:A9059,A809,$B$3:B9059,B809)</f>
        <v>1</v>
      </c>
      <c r="G809" s="116"/>
    </row>
    <row r="810" spans="1:7" x14ac:dyDescent="0.2">
      <c r="A810" s="116">
        <f>IF(ISNUMBER(Tabela2[[#This Row],[CT-e/NFS]])=TRUE,(IF(B810&gt;30000,4,IF(B810&lt;1000,"ND",0))),"-")</f>
        <v>4</v>
      </c>
      <c r="B810" s="116">
        <v>45954</v>
      </c>
      <c r="C810" s="117">
        <v>45328</v>
      </c>
      <c r="D810" s="116">
        <v>125.35</v>
      </c>
      <c r="E810" s="117">
        <v>45337</v>
      </c>
      <c r="F810" s="116">
        <f>COUNTIFS($A$3:A9060,A810,$B$3:B9060,B810)</f>
        <v>1</v>
      </c>
      <c r="G810" s="116"/>
    </row>
    <row r="811" spans="1:7" x14ac:dyDescent="0.2">
      <c r="A811" s="116">
        <f>IF(ISNUMBER(Tabela2[[#This Row],[CT-e/NFS]])=TRUE,(IF(B811&gt;30000,4,IF(B811&lt;1000,"ND",0))),"-")</f>
        <v>4</v>
      </c>
      <c r="B811" s="116">
        <v>45956</v>
      </c>
      <c r="C811" s="117">
        <v>45328</v>
      </c>
      <c r="D811" s="116">
        <v>306.02</v>
      </c>
      <c r="E811" s="117">
        <v>45337</v>
      </c>
      <c r="F811" s="116">
        <f>COUNTIFS($A$3:A9061,A811,$B$3:B9061,B811)</f>
        <v>1</v>
      </c>
      <c r="G811" s="116"/>
    </row>
    <row r="812" spans="1:7" x14ac:dyDescent="0.2">
      <c r="A812" s="116">
        <f>IF(ISNUMBER(Tabela2[[#This Row],[CT-e/NFS]])=TRUE,(IF(B812&gt;30000,4,IF(B812&lt;1000,"ND",0))),"-")</f>
        <v>4</v>
      </c>
      <c r="B812" s="116">
        <v>45953</v>
      </c>
      <c r="C812" s="117">
        <v>45328</v>
      </c>
      <c r="D812" s="116">
        <v>125.56</v>
      </c>
      <c r="E812" s="117">
        <v>45337</v>
      </c>
      <c r="F812" s="116">
        <f>COUNTIFS($A$3:A9062,A812,$B$3:B9062,B812)</f>
        <v>1</v>
      </c>
      <c r="G812" s="116"/>
    </row>
    <row r="813" spans="1:7" x14ac:dyDescent="0.2">
      <c r="A813" s="116">
        <f>IF(ISNUMBER(Tabela2[[#This Row],[CT-e/NFS]])=TRUE,(IF(B813&gt;30000,4,IF(B813&lt;1000,"ND",0))),"-")</f>
        <v>4</v>
      </c>
      <c r="B813" s="116">
        <v>45951</v>
      </c>
      <c r="C813" s="117">
        <v>45328</v>
      </c>
      <c r="D813" s="116">
        <v>444.77</v>
      </c>
      <c r="E813" s="117">
        <v>45337</v>
      </c>
      <c r="F813" s="116">
        <f>COUNTIFS($A$3:A9063,A813,$B$3:B9063,B813)</f>
        <v>1</v>
      </c>
      <c r="G813" s="116"/>
    </row>
    <row r="814" spans="1:7" x14ac:dyDescent="0.2">
      <c r="A814" s="116">
        <f>IF(ISNUMBER(Tabela2[[#This Row],[CT-e/NFS]])=TRUE,(IF(B814&gt;30000,4,IF(B814&lt;1000,"ND",0))),"-")</f>
        <v>4</v>
      </c>
      <c r="B814" s="116">
        <v>45929</v>
      </c>
      <c r="C814" s="117">
        <v>45328</v>
      </c>
      <c r="D814" s="116">
        <v>702.11</v>
      </c>
      <c r="E814" s="117">
        <v>45337</v>
      </c>
      <c r="F814" s="116">
        <f>COUNTIFS($A$3:A9064,A814,$B$3:B9064,B814)</f>
        <v>1</v>
      </c>
      <c r="G814" s="116"/>
    </row>
    <row r="815" spans="1:7" x14ac:dyDescent="0.2">
      <c r="A815" s="116">
        <f>IF(ISNUMBER(Tabela2[[#This Row],[CT-e/NFS]])=TRUE,(IF(B815&gt;30000,4,IF(B815&lt;1000,"ND",0))),"-")</f>
        <v>0</v>
      </c>
      <c r="B815" s="116">
        <v>21117</v>
      </c>
      <c r="C815" s="117">
        <v>45328</v>
      </c>
      <c r="D815" s="116">
        <v>844.3</v>
      </c>
      <c r="E815" s="117">
        <v>45337</v>
      </c>
      <c r="F815" s="116">
        <f>COUNTIFS($A$3:A9065,A815,$B$3:B9065,B815)</f>
        <v>1</v>
      </c>
      <c r="G815" s="116"/>
    </row>
    <row r="816" spans="1:7" x14ac:dyDescent="0.2">
      <c r="A816" s="116">
        <f>IF(ISNUMBER(Tabela2[[#This Row],[CT-e/NFS]])=TRUE,(IF(B816&gt;30000,4,IF(B816&lt;1000,"ND",0))),"-")</f>
        <v>4</v>
      </c>
      <c r="B816" s="116">
        <v>45957</v>
      </c>
      <c r="C816" s="117">
        <v>45328</v>
      </c>
      <c r="D816" s="116">
        <v>1050.73</v>
      </c>
      <c r="E816" s="117">
        <v>45337</v>
      </c>
      <c r="F816" s="116">
        <f>COUNTIFS($A$3:A9066,A816,$B$3:B9066,B816)</f>
        <v>1</v>
      </c>
      <c r="G816" s="116"/>
    </row>
    <row r="817" spans="1:7" x14ac:dyDescent="0.2">
      <c r="A817" s="116">
        <f>IF(ISNUMBER(Tabela2[[#This Row],[CT-e/NFS]])=TRUE,(IF(B817&gt;30000,4,IF(B817&lt;1000,"ND",0))),"-")</f>
        <v>4</v>
      </c>
      <c r="B817" s="116">
        <v>45927</v>
      </c>
      <c r="C817" s="117">
        <v>45328</v>
      </c>
      <c r="D817" s="116">
        <v>1442.69</v>
      </c>
      <c r="E817" s="117">
        <v>45337</v>
      </c>
      <c r="F817" s="116">
        <f>COUNTIFS($A$3:A9067,A817,$B$3:B9067,B817)</f>
        <v>1</v>
      </c>
      <c r="G817" s="116"/>
    </row>
    <row r="818" spans="1:7" x14ac:dyDescent="0.2">
      <c r="A818" s="116">
        <f>IF(ISNUMBER(Tabela2[[#This Row],[CT-e/NFS]])=TRUE,(IF(B818&gt;30000,4,IF(B818&lt;1000,"ND",0))),"-")</f>
        <v>4</v>
      </c>
      <c r="B818" s="116">
        <v>45963</v>
      </c>
      <c r="C818" s="117">
        <v>45328</v>
      </c>
      <c r="D818" s="116">
        <v>395.89</v>
      </c>
      <c r="E818" s="117">
        <v>45337</v>
      </c>
      <c r="F818" s="116">
        <f>COUNTIFS($A$3:A9068,A818,$B$3:B9068,B818)</f>
        <v>1</v>
      </c>
      <c r="G818" s="116"/>
    </row>
    <row r="819" spans="1:7" x14ac:dyDescent="0.2">
      <c r="A819" s="116">
        <f>IF(ISNUMBER(Tabela2[[#This Row],[CT-e/NFS]])=TRUE,(IF(B819&gt;30000,4,IF(B819&lt;1000,"ND",0))),"-")</f>
        <v>4</v>
      </c>
      <c r="B819" s="116">
        <v>45934</v>
      </c>
      <c r="C819" s="117">
        <v>45328</v>
      </c>
      <c r="D819" s="116">
        <v>967.07</v>
      </c>
      <c r="E819" s="117">
        <v>45337</v>
      </c>
      <c r="F819" s="116">
        <f>COUNTIFS($A$3:A9069,A819,$B$3:B9069,B819)</f>
        <v>1</v>
      </c>
      <c r="G819" s="116"/>
    </row>
    <row r="820" spans="1:7" x14ac:dyDescent="0.2">
      <c r="A820" s="116">
        <f>IF(ISNUMBER(Tabela2[[#This Row],[CT-e/NFS]])=TRUE,(IF(B820&gt;30000,4,IF(B820&lt;1000,"ND",0))),"-")</f>
        <v>0</v>
      </c>
      <c r="B820" s="116">
        <v>19966</v>
      </c>
      <c r="C820" s="117">
        <v>45121</v>
      </c>
      <c r="D820" s="128">
        <v>415.58</v>
      </c>
      <c r="E820" s="117">
        <v>45337</v>
      </c>
      <c r="F820" s="116">
        <f>COUNTIFS($A$3:A9070,A820,$B$3:B9070,B820)</f>
        <v>1</v>
      </c>
      <c r="G820" s="116"/>
    </row>
    <row r="821" spans="1:7" x14ac:dyDescent="0.2">
      <c r="A821" s="116">
        <f>IF(ISNUMBER(Tabela2[[#This Row],[CT-e/NFS]])=TRUE,(IF(B821&gt;30000,4,IF(B821&lt;1000,"ND",0))),"-")</f>
        <v>0</v>
      </c>
      <c r="B821" s="116">
        <v>19967</v>
      </c>
      <c r="C821" s="117">
        <v>45121</v>
      </c>
      <c r="D821" s="128">
        <v>439.02</v>
      </c>
      <c r="E821" s="117">
        <v>45337</v>
      </c>
      <c r="F821" s="116">
        <f>COUNTIFS($A$3:A9071,A821,$B$3:B9071,B821)</f>
        <v>1</v>
      </c>
      <c r="G821" s="116"/>
    </row>
    <row r="822" spans="1:7" x14ac:dyDescent="0.2">
      <c r="A822" s="116">
        <f>IF(ISNUMBER(Tabela2[[#This Row],[CT-e/NFS]])=TRUE,(IF(B822&gt;30000,4,IF(B822&lt;1000,"ND",0))),"-")</f>
        <v>0</v>
      </c>
      <c r="B822" s="116">
        <v>20315</v>
      </c>
      <c r="C822" s="117">
        <v>45224</v>
      </c>
      <c r="D822" s="128">
        <v>124.44</v>
      </c>
      <c r="E822" s="117">
        <v>45337</v>
      </c>
      <c r="F822" s="116">
        <f>COUNTIFS($A$3:A9072,A822,$B$3:B9072,B822)</f>
        <v>1</v>
      </c>
      <c r="G822" s="116"/>
    </row>
    <row r="823" spans="1:7" x14ac:dyDescent="0.2">
      <c r="A823" s="116">
        <f>IF(ISNUMBER(Tabela2[[#This Row],[CT-e/NFS]])=TRUE,(IF(B823&gt;30000,4,IF(B823&lt;1000,"ND",0))),"-")</f>
        <v>0</v>
      </c>
      <c r="B823" s="116">
        <v>20574</v>
      </c>
      <c r="C823" s="117">
        <v>45224</v>
      </c>
      <c r="D823" s="128">
        <v>893.25</v>
      </c>
      <c r="E823" s="117">
        <v>45337</v>
      </c>
      <c r="F823" s="116">
        <f>COUNTIFS($A$3:A9073,A823,$B$3:B9073,B823)</f>
        <v>1</v>
      </c>
      <c r="G823" s="116"/>
    </row>
    <row r="824" spans="1:7" x14ac:dyDescent="0.2">
      <c r="A824" s="116">
        <f>IF(ISNUMBER(Tabela2[[#This Row],[CT-e/NFS]])=TRUE,(IF(B824&gt;30000,4,IF(B824&lt;1000,"ND",0))),"-")</f>
        <v>0</v>
      </c>
      <c r="B824" s="116">
        <v>20573</v>
      </c>
      <c r="C824" s="117">
        <v>45224</v>
      </c>
      <c r="D824" s="128">
        <v>155.55000000000001</v>
      </c>
      <c r="E824" s="117">
        <v>45337</v>
      </c>
      <c r="F824" s="116">
        <f>COUNTIFS($A$3:A9074,A824,$B$3:B9074,B824)</f>
        <v>1</v>
      </c>
      <c r="G824" s="116"/>
    </row>
    <row r="825" spans="1:7" x14ac:dyDescent="0.2">
      <c r="A825" s="116">
        <f>IF(ISNUMBER(Tabela2[[#This Row],[CT-e/NFS]])=TRUE,(IF(B825&gt;30000,4,IF(B825&lt;1000,"ND",0))),"-")</f>
        <v>0</v>
      </c>
      <c r="B825" s="116">
        <v>20642</v>
      </c>
      <c r="C825" s="117">
        <v>45236</v>
      </c>
      <c r="D825" s="116">
        <v>109.78</v>
      </c>
      <c r="E825" s="117">
        <v>45337</v>
      </c>
      <c r="F825" s="116">
        <f>COUNTIFS($A$3:A9075,A825,$B$3:B9075,B825)</f>
        <v>1</v>
      </c>
      <c r="G825" s="116"/>
    </row>
    <row r="826" spans="1:7" x14ac:dyDescent="0.2">
      <c r="A826" s="116">
        <f>IF(ISNUMBER(Tabela2[[#This Row],[CT-e/NFS]])=TRUE,(IF(B826&gt;30000,4,IF(B826&lt;1000,"ND",0))),"-")</f>
        <v>0</v>
      </c>
      <c r="B826" s="116">
        <v>20639</v>
      </c>
      <c r="C826" s="117">
        <v>45236</v>
      </c>
      <c r="D826" s="116">
        <v>136.11000000000001</v>
      </c>
      <c r="E826" s="117">
        <v>45337</v>
      </c>
      <c r="F826" s="116">
        <f>COUNTIFS($A$3:A9076,A826,$B$3:B9076,B826)</f>
        <v>1</v>
      </c>
      <c r="G826" s="116"/>
    </row>
    <row r="827" spans="1:7" x14ac:dyDescent="0.2">
      <c r="A827" s="116">
        <f>IF(ISNUMBER(Tabela2[[#This Row],[CT-e/NFS]])=TRUE,(IF(B827&gt;30000,4,IF(B827&lt;1000,"ND",0))),"-")</f>
        <v>0</v>
      </c>
      <c r="B827" s="116">
        <v>20640</v>
      </c>
      <c r="C827" s="117">
        <v>45236</v>
      </c>
      <c r="D827" s="116">
        <v>94.77</v>
      </c>
      <c r="E827" s="117">
        <v>45337</v>
      </c>
      <c r="F827" s="116">
        <f>COUNTIFS($A$3:A9077,A827,$B$3:B9077,B827)</f>
        <v>1</v>
      </c>
      <c r="G827" s="116"/>
    </row>
    <row r="828" spans="1:7" x14ac:dyDescent="0.2">
      <c r="A828" s="116">
        <f>IF(ISNUMBER(Tabela2[[#This Row],[CT-e/NFS]])=TRUE,(IF(B828&gt;30000,4,IF(B828&lt;1000,"ND",0))),"-")</f>
        <v>0</v>
      </c>
      <c r="B828" s="116">
        <v>20641</v>
      </c>
      <c r="C828" s="117">
        <v>45236</v>
      </c>
      <c r="D828" s="116">
        <v>98.7</v>
      </c>
      <c r="E828" s="117">
        <v>45337</v>
      </c>
      <c r="F828" s="116">
        <f>COUNTIFS($A$3:A9078,A828,$B$3:B9078,B828)</f>
        <v>1</v>
      </c>
      <c r="G828" s="116"/>
    </row>
    <row r="829" spans="1:7" x14ac:dyDescent="0.2">
      <c r="A829" s="116">
        <f>IF(ISNUMBER(Tabela2[[#This Row],[CT-e/NFS]])=TRUE,(IF(B829&gt;30000,4,IF(B829&lt;1000,"ND",0))),"-")</f>
        <v>0</v>
      </c>
      <c r="B829" s="116">
        <v>20643</v>
      </c>
      <c r="C829" s="117">
        <v>45236</v>
      </c>
      <c r="D829" s="116">
        <v>91.06</v>
      </c>
      <c r="E829" s="117">
        <v>45337</v>
      </c>
      <c r="F829" s="116">
        <f>COUNTIFS($A$3:A9079,A829,$B$3:B9079,B829)</f>
        <v>1</v>
      </c>
      <c r="G829" s="116"/>
    </row>
    <row r="830" spans="1:7" x14ac:dyDescent="0.2">
      <c r="A830" s="116">
        <f>IF(ISNUMBER(Tabela2[[#This Row],[CT-e/NFS]])=TRUE,(IF(B830&gt;30000,4,IF(B830&lt;1000,"ND",0))),"-")</f>
        <v>0</v>
      </c>
      <c r="B830" s="116">
        <v>20665</v>
      </c>
      <c r="C830" s="117">
        <v>45236</v>
      </c>
      <c r="D830" s="116">
        <v>43.85</v>
      </c>
      <c r="E830" s="117">
        <v>45337</v>
      </c>
      <c r="F830" s="116">
        <f>COUNTIFS($A$3:A9080,A830,$B$3:B9080,B830)</f>
        <v>1</v>
      </c>
      <c r="G830" s="116"/>
    </row>
    <row r="831" spans="1:7" x14ac:dyDescent="0.2">
      <c r="A831" s="116">
        <f>IF(ISNUMBER(Tabela2[[#This Row],[CT-e/NFS]])=TRUE,(IF(B831&gt;30000,4,IF(B831&lt;1000,"ND",0))),"-")</f>
        <v>0</v>
      </c>
      <c r="B831" s="116">
        <v>20666</v>
      </c>
      <c r="C831" s="117">
        <v>45236</v>
      </c>
      <c r="D831" s="116">
        <v>90.39</v>
      </c>
      <c r="E831" s="117">
        <v>45337</v>
      </c>
      <c r="F831" s="116">
        <f>COUNTIFS($A$3:A9081,A831,$B$3:B9081,B831)</f>
        <v>1</v>
      </c>
      <c r="G831" s="116"/>
    </row>
    <row r="832" spans="1:7" x14ac:dyDescent="0.2">
      <c r="A832" s="116">
        <f>IF(ISNUMBER(Tabela2[[#This Row],[CT-e/NFS]])=TRUE,(IF(B832&gt;30000,4,IF(B832&lt;1000,"ND",0))),"-")</f>
        <v>0</v>
      </c>
      <c r="B832" s="116">
        <v>20619</v>
      </c>
      <c r="C832" s="117">
        <v>45236</v>
      </c>
      <c r="D832" s="116">
        <v>99.1</v>
      </c>
      <c r="E832" s="117">
        <v>45337</v>
      </c>
      <c r="F832" s="116">
        <f>COUNTIFS($A$3:A9082,A832,$B$3:B9082,B832)</f>
        <v>1</v>
      </c>
      <c r="G832" s="116"/>
    </row>
    <row r="833" spans="1:7" x14ac:dyDescent="0.2">
      <c r="A833" s="116">
        <f>IF(ISNUMBER(Tabela2[[#This Row],[CT-e/NFS]])=TRUE,(IF(B833&gt;30000,4,IF(B833&lt;1000,"ND",0))),"-")</f>
        <v>4</v>
      </c>
      <c r="B833" s="116">
        <v>44536</v>
      </c>
      <c r="C833" s="117">
        <v>45236</v>
      </c>
      <c r="D833" s="116">
        <v>112.03</v>
      </c>
      <c r="E833" s="117">
        <v>45337</v>
      </c>
      <c r="F833" s="116">
        <f>COUNTIFS($A$3:A9083,A833,$B$3:B9083,B833)</f>
        <v>1</v>
      </c>
      <c r="G833" s="116"/>
    </row>
    <row r="834" spans="1:7" x14ac:dyDescent="0.2">
      <c r="A834" s="116">
        <f>IF(ISNUMBER(Tabela2[[#This Row],[CT-e/NFS]])=TRUE,(IF(B834&gt;30000,4,IF(B834&lt;1000,"ND",0))),"-")</f>
        <v>4</v>
      </c>
      <c r="B834" s="116">
        <v>44539</v>
      </c>
      <c r="C834" s="117">
        <v>45236</v>
      </c>
      <c r="D834" s="116">
        <v>401.68</v>
      </c>
      <c r="E834" s="117">
        <v>45337</v>
      </c>
      <c r="F834" s="116">
        <f>COUNTIFS($A$3:A9084,A834,$B$3:B9084,B834)</f>
        <v>1</v>
      </c>
      <c r="G834" s="116"/>
    </row>
    <row r="835" spans="1:7" x14ac:dyDescent="0.2">
      <c r="A835" s="116">
        <f>IF(ISNUMBER(Tabela2[[#This Row],[CT-e/NFS]])=TRUE,(IF(B835&gt;30000,4,IF(B835&lt;1000,"ND",0))),"-")</f>
        <v>4</v>
      </c>
      <c r="B835" s="116">
        <v>44416</v>
      </c>
      <c r="C835" s="117">
        <v>45236</v>
      </c>
      <c r="D835" s="116">
        <v>155.81</v>
      </c>
      <c r="E835" s="117">
        <v>45337</v>
      </c>
      <c r="F835" s="116">
        <f>COUNTIFS($A$3:A9085,A835,$B$3:B9085,B835)</f>
        <v>1</v>
      </c>
      <c r="G835" s="116"/>
    </row>
    <row r="836" spans="1:7" x14ac:dyDescent="0.2">
      <c r="A836" s="116">
        <f>IF(ISNUMBER(Tabela2[[#This Row],[CT-e/NFS]])=TRUE,(IF(B836&gt;30000,4,IF(B836&lt;1000,"ND",0))),"-")</f>
        <v>4</v>
      </c>
      <c r="B836" s="116">
        <v>44486</v>
      </c>
      <c r="C836" s="117">
        <v>45236</v>
      </c>
      <c r="D836" s="116">
        <v>547.91</v>
      </c>
      <c r="E836" s="117">
        <v>45337</v>
      </c>
      <c r="F836" s="116">
        <f>COUNTIFS($A$3:A9086,A836,$B$3:B9086,B836)</f>
        <v>1</v>
      </c>
      <c r="G836" s="116"/>
    </row>
    <row r="837" spans="1:7" x14ac:dyDescent="0.2">
      <c r="A837" s="116">
        <f>IF(ISNUMBER(Tabela2[[#This Row],[CT-e/NFS]])=TRUE,(IF(B837&gt;30000,4,IF(B837&lt;1000,"ND",0))),"-")</f>
        <v>4</v>
      </c>
      <c r="B837" s="116">
        <v>44494</v>
      </c>
      <c r="C837" s="117">
        <v>45236</v>
      </c>
      <c r="D837" s="116">
        <v>350.98</v>
      </c>
      <c r="E837" s="117">
        <v>45337</v>
      </c>
      <c r="F837" s="116">
        <f>COUNTIFS($A$3:A9087,A837,$B$3:B9087,B837)</f>
        <v>1</v>
      </c>
      <c r="G837" s="116"/>
    </row>
    <row r="838" spans="1:7" x14ac:dyDescent="0.2">
      <c r="A838" s="116">
        <f>IF(ISNUMBER(Tabela2[[#This Row],[CT-e/NFS]])=TRUE,(IF(B838&gt;30000,4,IF(B838&lt;1000,"ND",0))),"-")</f>
        <v>4</v>
      </c>
      <c r="B838" s="116">
        <v>44448</v>
      </c>
      <c r="C838" s="117">
        <v>45236</v>
      </c>
      <c r="D838" s="116">
        <v>112.5</v>
      </c>
      <c r="E838" s="117">
        <v>45337</v>
      </c>
      <c r="F838" s="116">
        <f>COUNTIFS($A$3:A9088,A838,$B$3:B9088,B838)</f>
        <v>1</v>
      </c>
      <c r="G838" s="116"/>
    </row>
    <row r="839" spans="1:7" x14ac:dyDescent="0.2">
      <c r="A839" s="116">
        <f>IF(ISNUMBER(Tabela2[[#This Row],[CT-e/NFS]])=TRUE,(IF(B839&gt;30000,4,IF(B839&lt;1000,"ND",0))),"-")</f>
        <v>4</v>
      </c>
      <c r="B839" s="116">
        <v>44441</v>
      </c>
      <c r="C839" s="117">
        <v>45236</v>
      </c>
      <c r="D839" s="116">
        <v>542.03</v>
      </c>
      <c r="E839" s="117">
        <v>45337</v>
      </c>
      <c r="F839" s="116">
        <f>COUNTIFS($A$3:A9089,A839,$B$3:B9089,B839)</f>
        <v>1</v>
      </c>
      <c r="G839" s="116"/>
    </row>
    <row r="840" spans="1:7" x14ac:dyDescent="0.2">
      <c r="A840" s="116">
        <f>IF(ISNUMBER(Tabela2[[#This Row],[CT-e/NFS]])=TRUE,(IF(B840&gt;30000,4,IF(B840&lt;1000,"ND",0))),"-")</f>
        <v>0</v>
      </c>
      <c r="B840" s="116">
        <v>20728</v>
      </c>
      <c r="C840" s="117">
        <v>45243</v>
      </c>
      <c r="D840" s="116">
        <v>97.06</v>
      </c>
      <c r="E840" s="117">
        <v>45337</v>
      </c>
      <c r="F840" s="116">
        <f>COUNTIFS($A$3:A9090,A840,$B$3:B9090,B840)</f>
        <v>1</v>
      </c>
      <c r="G840" s="116"/>
    </row>
    <row r="841" spans="1:7" x14ac:dyDescent="0.2">
      <c r="A841" s="116">
        <f>IF(ISNUMBER(Tabela2[[#This Row],[CT-e/NFS]])=TRUE,(IF(B841&gt;30000,4,IF(B841&lt;1000,"ND",0))),"-")</f>
        <v>0</v>
      </c>
      <c r="B841" s="116">
        <v>20714</v>
      </c>
      <c r="C841" s="117">
        <v>45266</v>
      </c>
      <c r="D841" s="116">
        <v>904.23</v>
      </c>
      <c r="E841" s="117">
        <v>45337</v>
      </c>
      <c r="F841" s="116">
        <f>COUNTIFS($A$3:A9091,A841,$B$3:B9091,B841)</f>
        <v>1</v>
      </c>
      <c r="G841" s="116"/>
    </row>
    <row r="842" spans="1:7" x14ac:dyDescent="0.2">
      <c r="A842" s="116">
        <f>IF(ISNUMBER(Tabela2[[#This Row],[CT-e/NFS]])=TRUE,(IF(B842&gt;30000,4,IF(B842&lt;1000,"ND",0))),"-")</f>
        <v>4</v>
      </c>
      <c r="B842" s="116">
        <v>44823</v>
      </c>
      <c r="C842" s="117">
        <v>45266</v>
      </c>
      <c r="D842" s="116">
        <v>193.27</v>
      </c>
      <c r="E842" s="117">
        <v>45337</v>
      </c>
      <c r="F842" s="116">
        <f>COUNTIFS($A$3:A9092,A842,$B$3:B9092,B842)</f>
        <v>1</v>
      </c>
      <c r="G842" s="116"/>
    </row>
    <row r="843" spans="1:7" x14ac:dyDescent="0.2">
      <c r="A843" s="116" t="str">
        <f>IF(ISNUMBER(Tabela2[[#This Row],[CT-e/NFS]])=TRUE,(IF(B843&gt;30000,4,IF(B843&lt;1000,"ND",0))),"-")</f>
        <v>ND</v>
      </c>
      <c r="B843" s="116">
        <v>196</v>
      </c>
      <c r="C843" s="117">
        <v>45268</v>
      </c>
      <c r="D843" s="116">
        <v>580</v>
      </c>
      <c r="E843" s="117">
        <v>45337</v>
      </c>
      <c r="F843" s="116">
        <f>COUNTIFS($A$3:A9093,A843,$B$3:B9093,B843)</f>
        <v>1</v>
      </c>
      <c r="G843" s="116"/>
    </row>
    <row r="844" spans="1:7" x14ac:dyDescent="0.2">
      <c r="A844" s="116">
        <f>IF(ISNUMBER(Tabela2[[#This Row],[CT-e/NFS]])=TRUE,(IF(B844&gt;30000,4,IF(B844&lt;1000,"ND",0))),"-")</f>
        <v>4</v>
      </c>
      <c r="B844" s="116">
        <v>45649</v>
      </c>
      <c r="C844" s="117">
        <v>45300</v>
      </c>
      <c r="D844" s="116">
        <v>185.69</v>
      </c>
      <c r="E844" s="117">
        <v>45337</v>
      </c>
      <c r="F844" s="116">
        <f>COUNTIFS($A$3:A9094,A844,$B$3:B9094,B844)</f>
        <v>1</v>
      </c>
      <c r="G844" s="116"/>
    </row>
    <row r="845" spans="1:7" x14ac:dyDescent="0.2">
      <c r="A845" s="116">
        <f>IF(ISNUMBER(Tabela2[[#This Row],[CT-e/NFS]])=TRUE,(IF(B845&gt;30000,4,IF(B845&lt;1000,"ND",0))),"-")</f>
        <v>0</v>
      </c>
      <c r="B845" s="116">
        <v>21115</v>
      </c>
      <c r="C845" s="117">
        <v>45315</v>
      </c>
      <c r="D845" s="116">
        <v>101.45</v>
      </c>
      <c r="E845" s="117">
        <v>45337</v>
      </c>
      <c r="F845" s="116">
        <f>COUNTIFS($A$3:A9095,A845,$B$3:B9095,B845)</f>
        <v>1</v>
      </c>
      <c r="G845" s="116"/>
    </row>
    <row r="846" spans="1:7" x14ac:dyDescent="0.2">
      <c r="A846" s="116">
        <f>IF(ISNUMBER(Tabela2[[#This Row],[CT-e/NFS]])=TRUE,(IF(B846&gt;30000,4,IF(B846&lt;1000,"ND",0))),"-")</f>
        <v>4</v>
      </c>
      <c r="B846" s="116">
        <v>45881</v>
      </c>
      <c r="C846" s="117">
        <v>45315</v>
      </c>
      <c r="D846" s="116">
        <v>619.49</v>
      </c>
      <c r="E846" s="117">
        <v>45337</v>
      </c>
      <c r="F846" s="116">
        <f>COUNTIFS($A$3:A9096,A846,$B$3:B9096,B846)</f>
        <v>1</v>
      </c>
      <c r="G846" s="116"/>
    </row>
    <row r="847" spans="1:7" x14ac:dyDescent="0.2">
      <c r="A847" s="116">
        <f>IF(ISNUMBER(Tabela2[[#This Row],[CT-e/NFS]])=TRUE,(IF(B847&gt;30000,4,IF(B847&lt;1000,"ND",0))),"-")</f>
        <v>0</v>
      </c>
      <c r="B847" s="116">
        <v>21118</v>
      </c>
      <c r="C847" s="117">
        <v>45315</v>
      </c>
      <c r="D847" s="116">
        <v>929.18</v>
      </c>
      <c r="E847" s="117">
        <v>45337</v>
      </c>
      <c r="F847" s="116">
        <f>COUNTIFS($A$3:A9097,A847,$B$3:B9097,B847)</f>
        <v>1</v>
      </c>
      <c r="G847" s="116"/>
    </row>
    <row r="848" spans="1:7" x14ac:dyDescent="0.2">
      <c r="A848" s="116">
        <f>IF(ISNUMBER(Tabela2[[#This Row],[CT-e/NFS]])=TRUE,(IF(B848&gt;30000,4,IF(B848&lt;1000,"ND",0))),"-")</f>
        <v>0</v>
      </c>
      <c r="B848" s="116">
        <v>20209</v>
      </c>
      <c r="C848" s="117">
        <v>45156</v>
      </c>
      <c r="D848" s="116">
        <v>155.4</v>
      </c>
      <c r="E848" s="117">
        <v>45337</v>
      </c>
      <c r="F848" s="116">
        <f>COUNTIFS($A$3:A9098,A848,$B$3:B9098,B848)</f>
        <v>1</v>
      </c>
      <c r="G848" s="116"/>
    </row>
    <row r="849" spans="1:7" x14ac:dyDescent="0.2">
      <c r="A849" s="116">
        <f>IF(ISNUMBER(Tabela2[[#This Row],[CT-e/NFS]])=TRUE,(IF(B849&gt;30000,4,IF(B849&lt;1000,"ND",0))),"-")</f>
        <v>0</v>
      </c>
      <c r="B849" s="116">
        <v>20234</v>
      </c>
      <c r="C849" s="117">
        <v>45156</v>
      </c>
      <c r="D849" s="116">
        <v>93.18</v>
      </c>
      <c r="E849" s="117">
        <v>45337</v>
      </c>
      <c r="F849" s="116">
        <f>COUNTIFS($A$3:A9099,A849,$B$3:B9099,B849)</f>
        <v>1</v>
      </c>
      <c r="G849" s="116"/>
    </row>
    <row r="850" spans="1:7" x14ac:dyDescent="0.2">
      <c r="A850" s="116">
        <f>IF(ISNUMBER(Tabela2[[#This Row],[CT-e/NFS]])=TRUE,(IF(B850&gt;30000,4,IF(B850&lt;1000,"ND",0))),"-")</f>
        <v>0</v>
      </c>
      <c r="B850" s="116">
        <v>20178</v>
      </c>
      <c r="C850" s="117">
        <v>45156</v>
      </c>
      <c r="D850" s="116">
        <v>100.42</v>
      </c>
      <c r="E850" s="117">
        <v>45337</v>
      </c>
      <c r="F850" s="116">
        <f>COUNTIFS($A$3:A9100,A850,$B$3:B9100,B850)</f>
        <v>1</v>
      </c>
      <c r="G850" s="116"/>
    </row>
    <row r="851" spans="1:7" x14ac:dyDescent="0.2">
      <c r="A851" s="116">
        <f>IF(ISNUMBER(Tabela2[[#This Row],[CT-e/NFS]])=TRUE,(IF(B851&gt;30000,4,IF(B851&lt;1000,"ND",0))),"-")</f>
        <v>0</v>
      </c>
      <c r="B851" s="116">
        <v>20160</v>
      </c>
      <c r="C851" s="117">
        <v>45156</v>
      </c>
      <c r="D851" s="116">
        <v>203.4</v>
      </c>
      <c r="E851" s="117">
        <v>45337</v>
      </c>
      <c r="F851" s="116">
        <f>COUNTIFS($A$3:A9101,A851,$B$3:B9101,B851)</f>
        <v>1</v>
      </c>
      <c r="G851" s="116"/>
    </row>
    <row r="852" spans="1:7" x14ac:dyDescent="0.2">
      <c r="A852" s="116">
        <f>IF(ISNUMBER(Tabela2[[#This Row],[CT-e/NFS]])=TRUE,(IF(B852&gt;30000,4,IF(B852&lt;1000,"ND",0))),"-")</f>
        <v>0</v>
      </c>
      <c r="B852" s="116">
        <v>20151</v>
      </c>
      <c r="C852" s="117">
        <v>45156</v>
      </c>
      <c r="D852" s="116">
        <v>90.98</v>
      </c>
      <c r="E852" s="117">
        <v>45337</v>
      </c>
      <c r="F852" s="116">
        <f>COUNTIFS($A$3:A9102,A852,$B$3:B9102,B852)</f>
        <v>1</v>
      </c>
      <c r="G852" s="116"/>
    </row>
    <row r="853" spans="1:7" x14ac:dyDescent="0.2">
      <c r="A853" s="116">
        <f>IF(ISNUMBER(Tabela2[[#This Row],[CT-e/NFS]])=TRUE,(IF(B853&gt;30000,4,IF(B853&lt;1000,"ND",0))),"-")</f>
        <v>0</v>
      </c>
      <c r="B853" s="116">
        <v>20149</v>
      </c>
      <c r="C853" s="117">
        <v>45156</v>
      </c>
      <c r="D853" s="116">
        <v>194.09</v>
      </c>
      <c r="E853" s="117">
        <v>45337</v>
      </c>
      <c r="F853" s="116">
        <f>COUNTIFS($A$3:A9103,A853,$B$3:B9103,B853)</f>
        <v>1</v>
      </c>
      <c r="G853" s="116"/>
    </row>
    <row r="854" spans="1:7" x14ac:dyDescent="0.2">
      <c r="A854" s="116">
        <f>IF(ISNUMBER(Tabela2[[#This Row],[CT-e/NFS]])=TRUE,(IF(B854&gt;30000,4,IF(B854&lt;1000,"ND",0))),"-")</f>
        <v>0</v>
      </c>
      <c r="B854" s="116">
        <v>20129</v>
      </c>
      <c r="C854" s="117">
        <v>45156</v>
      </c>
      <c r="D854" s="116">
        <v>94.65</v>
      </c>
      <c r="E854" s="117">
        <v>45337</v>
      </c>
      <c r="F854" s="116">
        <f>COUNTIFS($A$3:A9104,A854,$B$3:B9104,B854)</f>
        <v>1</v>
      </c>
      <c r="G854" s="116"/>
    </row>
    <row r="855" spans="1:7" x14ac:dyDescent="0.2">
      <c r="A855" s="116">
        <f>IF(ISNUMBER(Tabela2[[#This Row],[CT-e/NFS]])=TRUE,(IF(B855&gt;30000,4,IF(B855&lt;1000,"ND",0))),"-")</f>
        <v>4</v>
      </c>
      <c r="B855" s="116">
        <v>43216</v>
      </c>
      <c r="C855" s="117">
        <v>45156</v>
      </c>
      <c r="D855" s="116">
        <v>102.61</v>
      </c>
      <c r="E855" s="117">
        <v>45337</v>
      </c>
      <c r="F855" s="116">
        <f>COUNTIFS($A$3:A9105,A855,$B$3:B9105,B855)</f>
        <v>1</v>
      </c>
      <c r="G855" s="116"/>
    </row>
    <row r="856" spans="1:7" x14ac:dyDescent="0.2">
      <c r="A856" s="116">
        <f>IF(ISNUMBER(Tabela2[[#This Row],[CT-e/NFS]])=TRUE,(IF(B856&gt;30000,4,IF(B856&lt;1000,"ND",0))),"-")</f>
        <v>4</v>
      </c>
      <c r="B856" s="116">
        <v>43191</v>
      </c>
      <c r="C856" s="117">
        <v>45156</v>
      </c>
      <c r="D856" s="116">
        <v>104.17</v>
      </c>
      <c r="E856" s="117">
        <v>45337</v>
      </c>
      <c r="F856" s="116">
        <f>COUNTIFS($A$3:A9106,A856,$B$3:B9106,B856)</f>
        <v>1</v>
      </c>
      <c r="G856" s="116"/>
    </row>
    <row r="857" spans="1:7" x14ac:dyDescent="0.2">
      <c r="A857" s="116">
        <f>IF(ISNUMBER(Tabela2[[#This Row],[CT-e/NFS]])=TRUE,(IF(B857&gt;30000,4,IF(B857&lt;1000,"ND",0))),"-")</f>
        <v>4</v>
      </c>
      <c r="B857" s="116">
        <v>43139</v>
      </c>
      <c r="C857" s="117">
        <v>45156</v>
      </c>
      <c r="D857" s="116">
        <v>202.11</v>
      </c>
      <c r="E857" s="117">
        <v>45337</v>
      </c>
      <c r="F857" s="116">
        <f>COUNTIFS($A$3:A9107,A857,$B$3:B9107,B857)</f>
        <v>1</v>
      </c>
      <c r="G857" s="116"/>
    </row>
    <row r="858" spans="1:7" x14ac:dyDescent="0.2">
      <c r="A858" s="116">
        <f>IF(ISNUMBER(Tabela2[[#This Row],[CT-e/NFS]])=TRUE,(IF(B858&gt;30000,4,IF(B858&lt;1000,"ND",0))),"-")</f>
        <v>4</v>
      </c>
      <c r="B858" s="116">
        <v>43135</v>
      </c>
      <c r="C858" s="117">
        <v>45156</v>
      </c>
      <c r="D858" s="116">
        <v>257.98</v>
      </c>
      <c r="E858" s="117">
        <v>45337</v>
      </c>
      <c r="F858" s="116">
        <f>COUNTIFS($A$3:A9108,A858,$B$3:B9108,B858)</f>
        <v>1</v>
      </c>
      <c r="G858" s="116"/>
    </row>
    <row r="859" spans="1:7" x14ac:dyDescent="0.2">
      <c r="A859" s="116">
        <f>IF(ISNUMBER(Tabela2[[#This Row],[CT-e/NFS]])=TRUE,(IF(B859&gt;30000,4,IF(B859&lt;1000,"ND",0))),"-")</f>
        <v>4</v>
      </c>
      <c r="B859" s="116">
        <v>43105</v>
      </c>
      <c r="C859" s="117">
        <v>45156</v>
      </c>
      <c r="D859" s="116">
        <v>115.58</v>
      </c>
      <c r="E859" s="117">
        <v>45337</v>
      </c>
      <c r="F859" s="116">
        <f>COUNTIFS($A$3:A9109,A859,$B$3:B9109,B859)</f>
        <v>1</v>
      </c>
      <c r="G859" s="116"/>
    </row>
    <row r="860" spans="1:7" x14ac:dyDescent="0.2">
      <c r="A860" s="116">
        <f>IF(ISNUMBER(Tabela2[[#This Row],[CT-e/NFS]])=TRUE,(IF(B860&gt;30000,4,IF(B860&lt;1000,"ND",0))),"-")</f>
        <v>4</v>
      </c>
      <c r="B860" s="116">
        <v>43099</v>
      </c>
      <c r="C860" s="117">
        <v>45156</v>
      </c>
      <c r="D860" s="116">
        <v>112.82</v>
      </c>
      <c r="E860" s="117">
        <v>45337</v>
      </c>
      <c r="F860" s="116">
        <f>COUNTIFS($A$3:A9110,A860,$B$3:B9110,B860)</f>
        <v>1</v>
      </c>
      <c r="G860" s="116"/>
    </row>
    <row r="861" spans="1:7" x14ac:dyDescent="0.2">
      <c r="A861" s="116">
        <f>IF(ISNUMBER(Tabela2[[#This Row],[CT-e/NFS]])=TRUE,(IF(B861&gt;30000,4,IF(B861&lt;1000,"ND",0))),"-")</f>
        <v>4</v>
      </c>
      <c r="B861" s="116">
        <v>43047</v>
      </c>
      <c r="C861" s="117">
        <v>45156</v>
      </c>
      <c r="D861" s="116">
        <v>398.38</v>
      </c>
      <c r="E861" s="117">
        <v>45337</v>
      </c>
      <c r="F861" s="116">
        <f>COUNTIFS($A$3:A9111,A861,$B$3:B9111,B861)</f>
        <v>1</v>
      </c>
      <c r="G861" s="116"/>
    </row>
    <row r="862" spans="1:7" x14ac:dyDescent="0.2">
      <c r="A862" s="116">
        <f>IF(ISNUMBER(Tabela2[[#This Row],[CT-e/NFS]])=TRUE,(IF(B862&gt;30000,4,IF(B862&lt;1000,"ND",0))),"-")</f>
        <v>0</v>
      </c>
      <c r="B862" s="116">
        <v>20306</v>
      </c>
      <c r="C862" s="117">
        <v>45169</v>
      </c>
      <c r="D862" s="116">
        <v>110.21</v>
      </c>
      <c r="E862" s="117">
        <v>45337</v>
      </c>
      <c r="F862" s="116">
        <f>COUNTIFS($A$3:A9112,A862,$B$3:B9112,B862)</f>
        <v>1</v>
      </c>
      <c r="G862" s="116"/>
    </row>
    <row r="863" spans="1:7" x14ac:dyDescent="0.2">
      <c r="A863" s="116">
        <f>IF(ISNUMBER(Tabela2[[#This Row],[CT-e/NFS]])=TRUE,(IF(B863&gt;30000,4,IF(B863&lt;1000,"ND",0))),"-")</f>
        <v>0</v>
      </c>
      <c r="B863" s="116">
        <v>20270</v>
      </c>
      <c r="C863" s="117">
        <v>45169</v>
      </c>
      <c r="D863" s="116">
        <v>97.06</v>
      </c>
      <c r="E863" s="117">
        <v>45337</v>
      </c>
      <c r="F863" s="116">
        <f>COUNTIFS($A$3:A9113,A863,$B$3:B9113,B863)</f>
        <v>1</v>
      </c>
      <c r="G863" s="116"/>
    </row>
    <row r="864" spans="1:7" x14ac:dyDescent="0.2">
      <c r="A864" s="116">
        <f>IF(ISNUMBER(Tabela2[[#This Row],[CT-e/NFS]])=TRUE,(IF(B864&gt;30000,4,IF(B864&lt;1000,"ND",0))),"-")</f>
        <v>0</v>
      </c>
      <c r="B864" s="116">
        <v>20259</v>
      </c>
      <c r="C864" s="117">
        <v>45169</v>
      </c>
      <c r="D864" s="116">
        <v>106.11</v>
      </c>
      <c r="E864" s="117">
        <v>45337</v>
      </c>
      <c r="F864" s="116">
        <f>COUNTIFS($A$3:A9114,A864,$B$3:B9114,B864)</f>
        <v>1</v>
      </c>
      <c r="G864" s="116"/>
    </row>
    <row r="865" spans="1:7" x14ac:dyDescent="0.2">
      <c r="A865" s="116">
        <f>IF(ISNUMBER(Tabela2[[#This Row],[CT-e/NFS]])=TRUE,(IF(B865&gt;30000,4,IF(B865&lt;1000,"ND",0))),"-")</f>
        <v>0</v>
      </c>
      <c r="B865" s="116">
        <v>20258</v>
      </c>
      <c r="C865" s="117">
        <v>45169</v>
      </c>
      <c r="D865" s="116">
        <v>112.25</v>
      </c>
      <c r="E865" s="117">
        <v>45337</v>
      </c>
      <c r="F865" s="116">
        <f>COUNTIFS($A$3:A9115,A865,$B$3:B9115,B865)</f>
        <v>1</v>
      </c>
      <c r="G865" s="116"/>
    </row>
    <row r="866" spans="1:7" x14ac:dyDescent="0.2">
      <c r="A866" s="116">
        <f>IF(ISNUMBER(Tabela2[[#This Row],[CT-e/NFS]])=TRUE,(IF(B866&gt;30000,4,IF(B866&lt;1000,"ND",0))),"-")</f>
        <v>0</v>
      </c>
      <c r="B866" s="116">
        <v>20241</v>
      </c>
      <c r="C866" s="117">
        <v>45169</v>
      </c>
      <c r="D866" s="116">
        <v>259.55</v>
      </c>
      <c r="E866" s="117">
        <v>45337</v>
      </c>
      <c r="F866" s="116">
        <f>COUNTIFS($A$3:A9116,A866,$B$3:B9116,B866)</f>
        <v>1</v>
      </c>
      <c r="G866" s="116"/>
    </row>
    <row r="867" spans="1:7" x14ac:dyDescent="0.2">
      <c r="A867" s="116">
        <f>IF(ISNUMBER(Tabela2[[#This Row],[CT-e/NFS]])=TRUE,(IF(B867&gt;30000,4,IF(B867&lt;1000,"ND",0))),"-")</f>
        <v>4</v>
      </c>
      <c r="B867" s="116">
        <v>43543</v>
      </c>
      <c r="C867" s="117">
        <v>45169</v>
      </c>
      <c r="D867" s="116">
        <v>143.03</v>
      </c>
      <c r="E867" s="117">
        <v>45337</v>
      </c>
      <c r="F867" s="116">
        <f>COUNTIFS($A$3:A9117,A867,$B$3:B9117,B867)</f>
        <v>1</v>
      </c>
      <c r="G867" s="116"/>
    </row>
    <row r="868" spans="1:7" x14ac:dyDescent="0.2">
      <c r="A868" s="116">
        <f>IF(ISNUMBER(Tabela2[[#This Row],[CT-e/NFS]])=TRUE,(IF(B868&gt;30000,4,IF(B868&lt;1000,"ND",0))),"-")</f>
        <v>4</v>
      </c>
      <c r="B868" s="116">
        <v>43500</v>
      </c>
      <c r="C868" s="117">
        <v>45169</v>
      </c>
      <c r="D868" s="116">
        <v>609.92999999999995</v>
      </c>
      <c r="E868" s="117">
        <v>45337</v>
      </c>
      <c r="F868" s="116">
        <f>COUNTIFS($A$3:A9118,A868,$B$3:B9118,B868)</f>
        <v>1</v>
      </c>
      <c r="G868" s="116"/>
    </row>
    <row r="869" spans="1:7" x14ac:dyDescent="0.2">
      <c r="A869" s="116">
        <f>IF(ISNUMBER(Tabela2[[#This Row],[CT-e/NFS]])=TRUE,(IF(B869&gt;30000,4,IF(B869&lt;1000,"ND",0))),"-")</f>
        <v>4</v>
      </c>
      <c r="B869" s="116">
        <v>43492</v>
      </c>
      <c r="C869" s="117">
        <v>45169</v>
      </c>
      <c r="D869" s="116">
        <v>145.43</v>
      </c>
      <c r="E869" s="117">
        <v>45337</v>
      </c>
      <c r="F869" s="116">
        <f>COUNTIFS($A$3:A9119,A869,$B$3:B9119,B869)</f>
        <v>1</v>
      </c>
      <c r="G869" s="116"/>
    </row>
    <row r="870" spans="1:7" x14ac:dyDescent="0.2">
      <c r="A870" s="116">
        <f>IF(ISNUMBER(Tabela2[[#This Row],[CT-e/NFS]])=TRUE,(IF(B870&gt;30000,4,IF(B870&lt;1000,"ND",0))),"-")</f>
        <v>4</v>
      </c>
      <c r="B870" s="116">
        <v>43474</v>
      </c>
      <c r="C870" s="117">
        <v>45169</v>
      </c>
      <c r="D870" s="116">
        <v>514.45000000000005</v>
      </c>
      <c r="E870" s="117">
        <v>45337</v>
      </c>
      <c r="F870" s="116">
        <f>COUNTIFS($A$3:A9120,A870,$B$3:B9120,B870)</f>
        <v>1</v>
      </c>
      <c r="G870" s="116"/>
    </row>
    <row r="871" spans="1:7" x14ac:dyDescent="0.2">
      <c r="A871" s="116">
        <f>IF(ISNUMBER(Tabela2[[#This Row],[CT-e/NFS]])=TRUE,(IF(B871&gt;30000,4,IF(B871&lt;1000,"ND",0))),"-")</f>
        <v>4</v>
      </c>
      <c r="B871" s="116">
        <v>43431</v>
      </c>
      <c r="C871" s="117">
        <v>45169</v>
      </c>
      <c r="D871" s="116">
        <v>104.17</v>
      </c>
      <c r="E871" s="117">
        <v>45337</v>
      </c>
      <c r="F871" s="116">
        <f>COUNTIFS($A$3:A9121,A871,$B$3:B9121,B871)</f>
        <v>1</v>
      </c>
      <c r="G871" s="116"/>
    </row>
    <row r="872" spans="1:7" x14ac:dyDescent="0.2">
      <c r="A872" s="116">
        <f>IF(ISNUMBER(Tabela2[[#This Row],[CT-e/NFS]])=TRUE,(IF(B872&gt;30000,4,IF(B872&lt;1000,"ND",0))),"-")</f>
        <v>4</v>
      </c>
      <c r="B872" s="116">
        <v>43345</v>
      </c>
      <c r="C872" s="117">
        <v>45169</v>
      </c>
      <c r="D872" s="116">
        <v>573.45000000000005</v>
      </c>
      <c r="E872" s="117">
        <v>45337</v>
      </c>
      <c r="F872" s="116">
        <f>COUNTIFS($A$3:A9122,A872,$B$3:B9122,B872)</f>
        <v>1</v>
      </c>
      <c r="G872" s="116"/>
    </row>
    <row r="873" spans="1:7" x14ac:dyDescent="0.2">
      <c r="A873" s="116">
        <f>IF(ISNUMBER(Tabela2[[#This Row],[CT-e/NFS]])=TRUE,(IF(B873&gt;30000,4,IF(B873&lt;1000,"ND",0))),"-")</f>
        <v>4</v>
      </c>
      <c r="B873" s="116">
        <v>43316</v>
      </c>
      <c r="C873" s="117">
        <v>45169</v>
      </c>
      <c r="D873" s="116">
        <v>568.94000000000005</v>
      </c>
      <c r="E873" s="117">
        <v>45337</v>
      </c>
      <c r="F873" s="116">
        <f>COUNTIFS($A$3:A9123,A873,$B$3:B9123,B873)</f>
        <v>1</v>
      </c>
      <c r="G873" s="116"/>
    </row>
    <row r="874" spans="1:7" x14ac:dyDescent="0.2">
      <c r="A874" s="116">
        <f>IF(ISNUMBER(Tabela2[[#This Row],[CT-e/NFS]])=TRUE,(IF(B874&gt;30000,4,IF(B874&lt;1000,"ND",0))),"-")</f>
        <v>4</v>
      </c>
      <c r="B874" s="116">
        <v>43277</v>
      </c>
      <c r="C874" s="117">
        <v>45169</v>
      </c>
      <c r="D874" s="116">
        <v>112.5</v>
      </c>
      <c r="E874" s="117">
        <v>45337</v>
      </c>
      <c r="F874" s="116">
        <f>COUNTIFS($A$3:A9124,A874,$B$3:B9124,B874)</f>
        <v>1</v>
      </c>
      <c r="G874" s="116"/>
    </row>
    <row r="875" spans="1:7" x14ac:dyDescent="0.2">
      <c r="A875" s="116">
        <f>IF(ISNUMBER(Tabela2[[#This Row],[CT-e/NFS]])=TRUE,(IF(B875&gt;30000,4,IF(B875&lt;1000,"ND",0))),"-")</f>
        <v>4</v>
      </c>
      <c r="B875" s="116">
        <v>43331</v>
      </c>
      <c r="C875" s="117">
        <v>45169</v>
      </c>
      <c r="D875" s="116">
        <v>186.57</v>
      </c>
      <c r="E875" s="117">
        <v>45337</v>
      </c>
      <c r="F875" s="116">
        <f>COUNTIFS($A$3:A9125,A875,$B$3:B9125,B875)</f>
        <v>1</v>
      </c>
      <c r="G875" s="116"/>
    </row>
    <row r="876" spans="1:7" x14ac:dyDescent="0.2">
      <c r="A876" s="116">
        <f>IF(ISNUMBER(Tabela2[[#This Row],[CT-e/NFS]])=TRUE,(IF(B876&gt;30000,4,IF(B876&lt;1000,"ND",0))),"-")</f>
        <v>4</v>
      </c>
      <c r="B876" s="116">
        <v>44540</v>
      </c>
      <c r="C876" s="117">
        <v>45236</v>
      </c>
      <c r="D876" s="116">
        <v>185.69</v>
      </c>
      <c r="E876" s="117">
        <v>45337</v>
      </c>
      <c r="F876" s="116">
        <f>COUNTIFS($A$3:A9126,A876,$B$3:B9126,B876)</f>
        <v>1</v>
      </c>
      <c r="G876" s="116"/>
    </row>
    <row r="877" spans="1:7" x14ac:dyDescent="0.2">
      <c r="A877" s="116">
        <f>IF(ISNUMBER(Tabela2[[#This Row],[CT-e/NFS]])=TRUE,(IF(B877&gt;30000,4,IF(B877&lt;1000,"ND",0))),"-")</f>
        <v>4</v>
      </c>
      <c r="B877" s="116">
        <v>44673</v>
      </c>
      <c r="C877" s="117">
        <v>45254</v>
      </c>
      <c r="D877" s="116">
        <v>924.09</v>
      </c>
      <c r="E877" s="117">
        <v>45337</v>
      </c>
      <c r="F877" s="116">
        <f>COUNTIFS($A$3:A9127,A877,$B$3:B9127,B877)</f>
        <v>1</v>
      </c>
      <c r="G877" s="116"/>
    </row>
    <row r="878" spans="1:7" x14ac:dyDescent="0.2">
      <c r="A878" s="116">
        <f>IF(ISNUMBER(Tabela2[[#This Row],[CT-e/NFS]])=TRUE,(IF(B878&gt;30000,4,IF(B878&lt;1000,"ND",0))),"-")</f>
        <v>0</v>
      </c>
      <c r="B878" s="116">
        <v>20914</v>
      </c>
      <c r="C878" s="117">
        <v>45266</v>
      </c>
      <c r="D878" s="116">
        <v>94.77</v>
      </c>
      <c r="E878" s="117">
        <v>45337</v>
      </c>
      <c r="F878" s="116">
        <f>COUNTIFS($A$3:A9128,A878,$B$3:B9128,B878)</f>
        <v>1</v>
      </c>
      <c r="G878" s="116"/>
    </row>
    <row r="879" spans="1:7" x14ac:dyDescent="0.2">
      <c r="A879" s="116">
        <f>IF(ISNUMBER(Tabela2[[#This Row],[CT-e/NFS]])=TRUE,(IF(B879&gt;30000,4,IF(B879&lt;1000,"ND",0))),"-")</f>
        <v>0</v>
      </c>
      <c r="B879" s="116">
        <v>20913</v>
      </c>
      <c r="C879" s="117">
        <v>45266</v>
      </c>
      <c r="D879" s="116">
        <v>95.49</v>
      </c>
      <c r="E879" s="117">
        <v>45337</v>
      </c>
      <c r="F879" s="116">
        <f>COUNTIFS($A$3:A9129,A879,$B$3:B9129,B879)</f>
        <v>1</v>
      </c>
      <c r="G879" s="116"/>
    </row>
    <row r="880" spans="1:7" x14ac:dyDescent="0.2">
      <c r="A880" s="116">
        <f>IF(ISNUMBER(Tabela2[[#This Row],[CT-e/NFS]])=TRUE,(IF(B880&gt;30000,4,IF(B880&lt;1000,"ND",0))),"-")</f>
        <v>0</v>
      </c>
      <c r="B880" s="116">
        <v>20912</v>
      </c>
      <c r="C880" s="117">
        <v>45266</v>
      </c>
      <c r="D880" s="116">
        <v>97.06</v>
      </c>
      <c r="E880" s="117">
        <v>45337</v>
      </c>
      <c r="F880" s="116">
        <f>COUNTIFS($A$3:A9130,A880,$B$3:B9130,B880)</f>
        <v>1</v>
      </c>
      <c r="G880" s="116"/>
    </row>
    <row r="881" spans="1:7" x14ac:dyDescent="0.2">
      <c r="A881" s="116">
        <f>IF(ISNUMBER(Tabela2[[#This Row],[CT-e/NFS]])=TRUE,(IF(B881&gt;30000,4,IF(B881&lt;1000,"ND",0))),"-")</f>
        <v>0</v>
      </c>
      <c r="B881" s="116">
        <v>20867</v>
      </c>
      <c r="C881" s="117">
        <v>45266</v>
      </c>
      <c r="D881" s="116">
        <v>128.71</v>
      </c>
      <c r="E881" s="117">
        <v>45337</v>
      </c>
      <c r="F881" s="116">
        <f>COUNTIFS($A$3:A9132,A881,$B$3:B9132,B881)</f>
        <v>1</v>
      </c>
      <c r="G881" s="116"/>
    </row>
    <row r="882" spans="1:7" x14ac:dyDescent="0.2">
      <c r="A882" s="116">
        <f>IF(ISNUMBER(Tabela2[[#This Row],[CT-e/NFS]])=TRUE,(IF(B882&gt;30000,4,IF(B882&lt;1000,"ND",0))),"-")</f>
        <v>0</v>
      </c>
      <c r="B882" s="116">
        <v>20865</v>
      </c>
      <c r="C882" s="117">
        <v>45266</v>
      </c>
      <c r="D882" s="116">
        <v>112.25</v>
      </c>
      <c r="E882" s="117">
        <v>45337</v>
      </c>
      <c r="F882" s="116">
        <f>COUNTIFS($A$3:A9134,A882,$B$3:B9134,B882)</f>
        <v>1</v>
      </c>
      <c r="G882" s="116"/>
    </row>
    <row r="883" spans="1:7" x14ac:dyDescent="0.2">
      <c r="A883" s="116">
        <f>IF(ISNUMBER(Tabela2[[#This Row],[CT-e/NFS]])=TRUE,(IF(B883&gt;30000,4,IF(B883&lt;1000,"ND",0))),"-")</f>
        <v>0</v>
      </c>
      <c r="B883" s="116">
        <v>20862</v>
      </c>
      <c r="C883" s="117">
        <v>45266</v>
      </c>
      <c r="D883" s="116">
        <v>167.05</v>
      </c>
      <c r="E883" s="117">
        <v>45337</v>
      </c>
      <c r="F883" s="116">
        <f>COUNTIFS($A$3:A9135,A883,$B$3:B9135,B883)</f>
        <v>1</v>
      </c>
      <c r="G883" s="116"/>
    </row>
    <row r="884" spans="1:7" x14ac:dyDescent="0.2">
      <c r="A884" s="116">
        <f>IF(ISNUMBER(Tabela2[[#This Row],[CT-e/NFS]])=TRUE,(IF(B884&gt;30000,4,IF(B884&lt;1000,"ND",0))),"-")</f>
        <v>0</v>
      </c>
      <c r="B884" s="116">
        <v>20861</v>
      </c>
      <c r="C884" s="117">
        <v>45266</v>
      </c>
      <c r="D884" s="116">
        <v>136.11000000000001</v>
      </c>
      <c r="E884" s="117">
        <v>45337</v>
      </c>
      <c r="F884" s="116">
        <f>COUNTIFS($A$3:A9136,A884,$B$3:B9136,B884)</f>
        <v>1</v>
      </c>
      <c r="G884" s="116"/>
    </row>
    <row r="885" spans="1:7" x14ac:dyDescent="0.2">
      <c r="A885" s="116">
        <f>IF(ISNUMBER(Tabela2[[#This Row],[CT-e/NFS]])=TRUE,(IF(B885&gt;30000,4,IF(B885&lt;1000,"ND",0))),"-")</f>
        <v>0</v>
      </c>
      <c r="B885" s="116">
        <v>20864</v>
      </c>
      <c r="C885" s="117">
        <v>45266</v>
      </c>
      <c r="D885" s="116">
        <v>97.06</v>
      </c>
      <c r="E885" s="117">
        <v>45337</v>
      </c>
      <c r="F885" s="116">
        <f>COUNTIFS($A$3:A9137,A885,$B$3:B9137,B885)</f>
        <v>1</v>
      </c>
      <c r="G885" s="116"/>
    </row>
    <row r="886" spans="1:7" x14ac:dyDescent="0.2">
      <c r="A886" s="116">
        <f>IF(ISNUMBER(Tabela2[[#This Row],[CT-e/NFS]])=TRUE,(IF(B886&gt;30000,4,IF(B886&lt;1000,"ND",0))),"-")</f>
        <v>0</v>
      </c>
      <c r="B886" s="116">
        <v>20859</v>
      </c>
      <c r="C886" s="117">
        <v>45266</v>
      </c>
      <c r="D886" s="116">
        <v>90.29</v>
      </c>
      <c r="E886" s="117">
        <v>45337</v>
      </c>
      <c r="F886" s="116">
        <f>COUNTIFS($A$3:A9138,A886,$B$3:B9138,B886)</f>
        <v>1</v>
      </c>
      <c r="G886" s="116"/>
    </row>
    <row r="887" spans="1:7" x14ac:dyDescent="0.2">
      <c r="A887" s="116">
        <f>IF(ISNUMBER(Tabela2[[#This Row],[CT-e/NFS]])=TRUE,(IF(B887&gt;30000,4,IF(B887&lt;1000,"ND",0))),"-")</f>
        <v>0</v>
      </c>
      <c r="B887" s="116">
        <v>20863</v>
      </c>
      <c r="C887" s="117">
        <v>45266</v>
      </c>
      <c r="D887" s="116">
        <v>43.4</v>
      </c>
      <c r="E887" s="117">
        <v>45337</v>
      </c>
      <c r="F887" s="116">
        <f>COUNTIFS($A$3:A9139,A887,$B$3:B9139,B887)</f>
        <v>1</v>
      </c>
      <c r="G887" s="116"/>
    </row>
    <row r="888" spans="1:7" x14ac:dyDescent="0.2">
      <c r="A888" s="116">
        <f>IF(ISNUMBER(Tabela2[[#This Row],[CT-e/NFS]])=TRUE,(IF(B888&gt;30000,4,IF(B888&lt;1000,"ND",0))),"-")</f>
        <v>0</v>
      </c>
      <c r="B888" s="116">
        <v>20868</v>
      </c>
      <c r="C888" s="117">
        <v>45266</v>
      </c>
      <c r="D888" s="116">
        <v>91.24</v>
      </c>
      <c r="E888" s="117">
        <v>45337</v>
      </c>
      <c r="F888" s="116">
        <f>COUNTIFS($A$3:A9140,A888,$B$3:B9140,B888)</f>
        <v>1</v>
      </c>
      <c r="G888" s="116"/>
    </row>
    <row r="889" spans="1:7" x14ac:dyDescent="0.2">
      <c r="A889" s="116">
        <f>IF(ISNUMBER(Tabela2[[#This Row],[CT-e/NFS]])=TRUE,(IF(B889&gt;30000,4,IF(B889&lt;1000,"ND",0))),"-")</f>
        <v>0</v>
      </c>
      <c r="B889" s="116">
        <v>20718</v>
      </c>
      <c r="C889" s="117">
        <v>45266</v>
      </c>
      <c r="D889" s="116">
        <v>161.72999999999999</v>
      </c>
      <c r="E889" s="117">
        <v>45337</v>
      </c>
      <c r="F889" s="116">
        <f>COUNTIFS($A$3:A9141,A889,$B$3:B9141,B889)</f>
        <v>1</v>
      </c>
      <c r="G889" s="116"/>
    </row>
    <row r="890" spans="1:7" x14ac:dyDescent="0.2">
      <c r="A890" s="116">
        <f>IF(ISNUMBER(Tabela2[[#This Row],[CT-e/NFS]])=TRUE,(IF(B890&gt;30000,4,IF(B890&lt;1000,"ND",0))),"-")</f>
        <v>4</v>
      </c>
      <c r="B890" s="116">
        <v>45263</v>
      </c>
      <c r="C890" s="117">
        <v>45266</v>
      </c>
      <c r="D890" s="116">
        <v>130.91999999999999</v>
      </c>
      <c r="E890" s="117">
        <v>45337</v>
      </c>
      <c r="F890" s="116">
        <f>COUNTIFS($A$3:A9142,A890,$B$3:B9142,B890)</f>
        <v>1</v>
      </c>
      <c r="G890" s="116"/>
    </row>
    <row r="891" spans="1:7" x14ac:dyDescent="0.2">
      <c r="A891" s="116">
        <f>IF(ISNUMBER(Tabela2[[#This Row],[CT-e/NFS]])=TRUE,(IF(B891&gt;30000,4,IF(B891&lt;1000,"ND",0))),"-")</f>
        <v>4</v>
      </c>
      <c r="B891" s="116">
        <v>45230</v>
      </c>
      <c r="C891" s="117">
        <v>45266</v>
      </c>
      <c r="D891" s="116">
        <v>336.35</v>
      </c>
      <c r="E891" s="117">
        <v>45337</v>
      </c>
      <c r="F891" s="116">
        <f>COUNTIFS($A$3:A9143,A891,$B$3:B9143,B891)</f>
        <v>1</v>
      </c>
      <c r="G891" s="116"/>
    </row>
    <row r="892" spans="1:7" x14ac:dyDescent="0.2">
      <c r="A892" s="116">
        <f>IF(ISNUMBER(Tabela2[[#This Row],[CT-e/NFS]])=TRUE,(IF(B892&gt;30000,4,IF(B892&lt;1000,"ND",0))),"-")</f>
        <v>4</v>
      </c>
      <c r="B892" s="116">
        <v>45175</v>
      </c>
      <c r="C892" s="117">
        <v>45266</v>
      </c>
      <c r="D892" s="116">
        <v>113.16</v>
      </c>
      <c r="E892" s="117">
        <v>45337</v>
      </c>
      <c r="F892" s="116">
        <f>COUNTIFS($A$3:A9144,A892,$B$3:B9144,B892)</f>
        <v>1</v>
      </c>
      <c r="G892" s="116"/>
    </row>
    <row r="893" spans="1:7" x14ac:dyDescent="0.2">
      <c r="A893" s="116">
        <f>IF(ISNUMBER(Tabela2[[#This Row],[CT-e/NFS]])=TRUE,(IF(B893&gt;30000,4,IF(B893&lt;1000,"ND",0))),"-")</f>
        <v>4</v>
      </c>
      <c r="B893" s="116">
        <v>45174</v>
      </c>
      <c r="C893" s="117">
        <v>45266</v>
      </c>
      <c r="D893" s="116">
        <v>99.95</v>
      </c>
      <c r="E893" s="117">
        <v>45337</v>
      </c>
      <c r="F893" s="116">
        <f>COUNTIFS($A$3:A9145,A893,$B$3:B9145,B893)</f>
        <v>1</v>
      </c>
      <c r="G893" s="116"/>
    </row>
    <row r="894" spans="1:7" x14ac:dyDescent="0.2">
      <c r="A894" s="116">
        <f>IF(ISNUMBER(Tabela2[[#This Row],[CT-e/NFS]])=TRUE,(IF(B894&gt;30000,4,IF(B894&lt;1000,"ND",0))),"-")</f>
        <v>4</v>
      </c>
      <c r="B894" s="116">
        <v>45169</v>
      </c>
      <c r="C894" s="117">
        <v>45266</v>
      </c>
      <c r="D894" s="116">
        <v>123.02</v>
      </c>
      <c r="E894" s="117">
        <v>45337</v>
      </c>
      <c r="F894" s="116">
        <f>COUNTIFS($A$3:A9146,A894,$B$3:B9146,B894)</f>
        <v>1</v>
      </c>
      <c r="G894" s="116"/>
    </row>
    <row r="895" spans="1:7" x14ac:dyDescent="0.2">
      <c r="A895" s="116">
        <f>IF(ISNUMBER(Tabela2[[#This Row],[CT-e/NFS]])=TRUE,(IF(B895&gt;30000,4,IF(B895&lt;1000,"ND",0))),"-")</f>
        <v>4</v>
      </c>
      <c r="B895" s="116">
        <v>45035</v>
      </c>
      <c r="C895" s="117">
        <v>45266</v>
      </c>
      <c r="D895" s="116">
        <v>553.54999999999995</v>
      </c>
      <c r="E895" s="117">
        <v>45337</v>
      </c>
      <c r="F895" s="116">
        <f>COUNTIFS($A$3:A9148,A895,$B$3:B9148,B895)</f>
        <v>1</v>
      </c>
      <c r="G895" s="116"/>
    </row>
    <row r="896" spans="1:7" x14ac:dyDescent="0.2">
      <c r="A896" s="116">
        <f>IF(ISNUMBER(Tabela2[[#This Row],[CT-e/NFS]])=TRUE,(IF(B896&gt;30000,4,IF(B896&lt;1000,"ND",0))),"-")</f>
        <v>4</v>
      </c>
      <c r="B896" s="116">
        <v>44995</v>
      </c>
      <c r="C896" s="117">
        <v>45266</v>
      </c>
      <c r="D896" s="116">
        <v>104.17</v>
      </c>
      <c r="E896" s="117">
        <v>45337</v>
      </c>
      <c r="F896" s="116">
        <f>COUNTIFS($A$3:A9149,A896,$B$3:B9149,B896)</f>
        <v>1</v>
      </c>
      <c r="G896" s="116"/>
    </row>
    <row r="897" spans="1:7" x14ac:dyDescent="0.2">
      <c r="A897" s="116">
        <f>IF(ISNUMBER(Tabela2[[#This Row],[CT-e/NFS]])=TRUE,(IF(B897&gt;30000,4,IF(B897&lt;1000,"ND",0))),"-")</f>
        <v>4</v>
      </c>
      <c r="B897" s="116">
        <v>44994</v>
      </c>
      <c r="C897" s="117">
        <v>45266</v>
      </c>
      <c r="D897" s="116">
        <v>151.85</v>
      </c>
      <c r="E897" s="117">
        <v>45337</v>
      </c>
      <c r="F897" s="116">
        <f>COUNTIFS($A$3:A9150,A897,$B$3:B9150,B897)</f>
        <v>1</v>
      </c>
      <c r="G897" s="116"/>
    </row>
    <row r="898" spans="1:7" x14ac:dyDescent="0.2">
      <c r="A898" s="116">
        <f>IF(ISNUMBER(Tabela2[[#This Row],[CT-e/NFS]])=TRUE,(IF(B898&gt;30000,4,IF(B898&lt;1000,"ND",0))),"-")</f>
        <v>4</v>
      </c>
      <c r="B898" s="116">
        <v>44956</v>
      </c>
      <c r="C898" s="117">
        <v>45266</v>
      </c>
      <c r="D898" s="116">
        <v>112.5</v>
      </c>
      <c r="E898" s="117">
        <v>45337</v>
      </c>
      <c r="F898" s="116">
        <f>COUNTIFS($A$3:A9151,A898,$B$3:B9151,B898)</f>
        <v>1</v>
      </c>
      <c r="G898" s="116"/>
    </row>
    <row r="899" spans="1:7" x14ac:dyDescent="0.2">
      <c r="A899" s="116">
        <f>IF(ISNUMBER(Tabela2[[#This Row],[CT-e/NFS]])=TRUE,(IF(B899&gt;30000,4,IF(B899&lt;1000,"ND",0))),"-")</f>
        <v>4</v>
      </c>
      <c r="B899" s="116">
        <v>44932</v>
      </c>
      <c r="C899" s="117">
        <v>45266</v>
      </c>
      <c r="D899" s="116">
        <v>111.03</v>
      </c>
      <c r="E899" s="117">
        <v>45337</v>
      </c>
      <c r="F899" s="116">
        <f>COUNTIFS($A$3:A9152,A899,$B$3:B9152,B899)</f>
        <v>1</v>
      </c>
      <c r="G899" s="116"/>
    </row>
    <row r="900" spans="1:7" x14ac:dyDescent="0.2">
      <c r="A900" s="116">
        <f>IF(ISNUMBER(Tabela2[[#This Row],[CT-e/NFS]])=TRUE,(IF(B900&gt;30000,4,IF(B900&lt;1000,"ND",0))),"-")</f>
        <v>4</v>
      </c>
      <c r="B900" s="116">
        <v>44894</v>
      </c>
      <c r="C900" s="117">
        <v>45266</v>
      </c>
      <c r="D900" s="116">
        <v>547.49</v>
      </c>
      <c r="E900" s="117">
        <v>45337</v>
      </c>
      <c r="F900" s="116">
        <f>COUNTIFS($A$3:A9153,A900,$B$3:B9153,B900)</f>
        <v>1</v>
      </c>
      <c r="G900" s="116"/>
    </row>
    <row r="901" spans="1:7" x14ac:dyDescent="0.2">
      <c r="A901" s="116">
        <f>IF(ISNUMBER(Tabela2[[#This Row],[CT-e/NFS]])=TRUE,(IF(B901&gt;30000,4,IF(B901&lt;1000,"ND",0))),"-")</f>
        <v>4</v>
      </c>
      <c r="B901" s="116">
        <v>44868</v>
      </c>
      <c r="C901" s="117">
        <v>45266</v>
      </c>
      <c r="D901" s="116">
        <v>176.22</v>
      </c>
      <c r="E901" s="117">
        <v>45337</v>
      </c>
      <c r="F901" s="116">
        <f>COUNTIFS($A$3:A9154,A901,$B$3:B9154,B901)</f>
        <v>1</v>
      </c>
      <c r="G901" s="116"/>
    </row>
    <row r="902" spans="1:7" x14ac:dyDescent="0.2">
      <c r="A902" s="116">
        <f>IF(ISNUMBER(Tabela2[[#This Row],[CT-e/NFS]])=TRUE,(IF(B902&gt;30000,4,IF(B902&lt;1000,"ND",0))),"-")</f>
        <v>4</v>
      </c>
      <c r="B902" s="116">
        <v>44847</v>
      </c>
      <c r="C902" s="117">
        <v>45266</v>
      </c>
      <c r="D902" s="116">
        <v>612.76</v>
      </c>
      <c r="E902" s="117">
        <v>45337</v>
      </c>
      <c r="F902" s="116">
        <f>COUNTIFS($A$3:A9156,A902,$B$3:B9156,B902)</f>
        <v>1</v>
      </c>
      <c r="G902" s="116"/>
    </row>
    <row r="903" spans="1:7" x14ac:dyDescent="0.2">
      <c r="A903" s="116">
        <f>IF(ISNUMBER(Tabela2[[#This Row],[CT-e/NFS]])=TRUE,(IF(B903&gt;30000,4,IF(B903&lt;1000,"ND",0))),"-")</f>
        <v>4</v>
      </c>
      <c r="B903" s="116">
        <v>44846</v>
      </c>
      <c r="C903" s="117">
        <v>45266</v>
      </c>
      <c r="D903" s="116">
        <v>115.58</v>
      </c>
      <c r="E903" s="117">
        <v>45337</v>
      </c>
      <c r="F903" s="116">
        <f>COUNTIFS($A$3:A9157,A903,$B$3:B9157,B903)</f>
        <v>1</v>
      </c>
      <c r="G903" s="116"/>
    </row>
    <row r="904" spans="1:7" x14ac:dyDescent="0.2">
      <c r="A904" s="116">
        <f>IF(ISNUMBER(Tabela2[[#This Row],[CT-e/NFS]])=TRUE,(IF(B904&gt;30000,4,IF(B904&lt;1000,"ND",0))),"-")</f>
        <v>4</v>
      </c>
      <c r="B904" s="116">
        <v>44845</v>
      </c>
      <c r="C904" s="117">
        <v>45266</v>
      </c>
      <c r="D904" s="116">
        <v>144.44999999999999</v>
      </c>
      <c r="E904" s="117">
        <v>45337</v>
      </c>
      <c r="F904" s="116">
        <f>COUNTIFS($A$3:A9158,A904,$B$3:B9158,B904)</f>
        <v>1</v>
      </c>
      <c r="G904" s="116"/>
    </row>
    <row r="905" spans="1:7" x14ac:dyDescent="0.2">
      <c r="A905" s="116">
        <f>IF(ISNUMBER(Tabela2[[#This Row],[CT-e/NFS]])=TRUE,(IF(B905&gt;30000,4,IF(B905&lt;1000,"ND",0))),"-")</f>
        <v>4</v>
      </c>
      <c r="B905" s="116">
        <v>44704</v>
      </c>
      <c r="C905" s="117">
        <v>45266</v>
      </c>
      <c r="D905" s="116">
        <v>102.61</v>
      </c>
      <c r="E905" s="117">
        <v>45337</v>
      </c>
      <c r="F905" s="116">
        <f>COUNTIFS($A$3:A9159,A905,$B$3:B9159,B905)</f>
        <v>1</v>
      </c>
      <c r="G905" s="116"/>
    </row>
    <row r="906" spans="1:7" x14ac:dyDescent="0.2">
      <c r="A906" s="116">
        <f>IF(ISNUMBER(Tabela2[[#This Row],[CT-e/NFS]])=TRUE,(IF(B906&gt;30000,4,IF(B906&lt;1000,"ND",0))),"-")</f>
        <v>0</v>
      </c>
      <c r="B906" s="116">
        <v>21083</v>
      </c>
      <c r="C906" s="117">
        <v>45299</v>
      </c>
      <c r="D906" s="116">
        <v>97.06</v>
      </c>
      <c r="E906" s="117">
        <v>45337</v>
      </c>
      <c r="F906" s="116">
        <f>COUNTIFS($A$3:A9160,A906,$B$3:B9160,B906)</f>
        <v>1</v>
      </c>
      <c r="G906" s="116"/>
    </row>
    <row r="907" spans="1:7" x14ac:dyDescent="0.2">
      <c r="A907" s="116">
        <f>IF(ISNUMBER(Tabela2[[#This Row],[CT-e/NFS]])=TRUE,(IF(B907&gt;30000,4,IF(B907&lt;1000,"ND",0))),"-")</f>
        <v>0</v>
      </c>
      <c r="B907" s="116">
        <v>21055</v>
      </c>
      <c r="C907" s="117">
        <v>45299</v>
      </c>
      <c r="D907" s="116">
        <v>98.8</v>
      </c>
      <c r="E907" s="117">
        <v>45337</v>
      </c>
      <c r="F907" s="116">
        <f>COUNTIFS($A$3:A9161,A907,$B$3:B9161,B907)</f>
        <v>1</v>
      </c>
      <c r="G907" s="116"/>
    </row>
    <row r="908" spans="1:7" x14ac:dyDescent="0.2">
      <c r="A908" s="116">
        <f>IF(ISNUMBER(Tabela2[[#This Row],[CT-e/NFS]])=TRUE,(IF(B908&gt;30000,4,IF(B908&lt;1000,"ND",0))),"-")</f>
        <v>0</v>
      </c>
      <c r="B908" s="116">
        <v>21043</v>
      </c>
      <c r="C908" s="117">
        <v>45299</v>
      </c>
      <c r="D908" s="116">
        <v>98.79</v>
      </c>
      <c r="E908" s="117">
        <v>45337</v>
      </c>
      <c r="F908" s="116">
        <f>COUNTIFS($A$3:A9162,A908,$B$3:B9162,B908)</f>
        <v>1</v>
      </c>
      <c r="G908" s="116"/>
    </row>
    <row r="909" spans="1:7" x14ac:dyDescent="0.2">
      <c r="A909" s="116">
        <f>IF(ISNUMBER(Tabela2[[#This Row],[CT-e/NFS]])=TRUE,(IF(B909&gt;30000,4,IF(B909&lt;1000,"ND",0))),"-")</f>
        <v>0</v>
      </c>
      <c r="B909" s="116">
        <v>21042</v>
      </c>
      <c r="C909" s="117">
        <v>45299</v>
      </c>
      <c r="D909" s="116">
        <v>97.06</v>
      </c>
      <c r="E909" s="117">
        <v>45337</v>
      </c>
      <c r="F909" s="116">
        <f>COUNTIFS($A$3:A9163,A909,$B$3:B9163,B909)</f>
        <v>1</v>
      </c>
      <c r="G909" s="116"/>
    </row>
    <row r="910" spans="1:7" x14ac:dyDescent="0.2">
      <c r="A910" s="116">
        <f>IF(ISNUMBER(Tabela2[[#This Row],[CT-e/NFS]])=TRUE,(IF(B910&gt;30000,4,IF(B910&lt;1000,"ND",0))),"-")</f>
        <v>0</v>
      </c>
      <c r="B910" s="116">
        <v>21041</v>
      </c>
      <c r="C910" s="117">
        <v>45299</v>
      </c>
      <c r="D910" s="116">
        <v>113.59</v>
      </c>
      <c r="E910" s="117">
        <v>45337</v>
      </c>
      <c r="F910" s="116">
        <f>COUNTIFS($A$3:A9164,A910,$B$3:B9164,B910)</f>
        <v>1</v>
      </c>
      <c r="G910" s="116"/>
    </row>
    <row r="911" spans="1:7" x14ac:dyDescent="0.2">
      <c r="A911" s="116">
        <f>IF(ISNUMBER(Tabela2[[#This Row],[CT-e/NFS]])=TRUE,(IF(B911&gt;30000,4,IF(B911&lt;1000,"ND",0))),"-")</f>
        <v>0</v>
      </c>
      <c r="B911" s="116">
        <v>21040</v>
      </c>
      <c r="C911" s="117">
        <v>45299</v>
      </c>
      <c r="D911" s="116">
        <v>136.11000000000001</v>
      </c>
      <c r="E911" s="117">
        <v>45337</v>
      </c>
      <c r="F911" s="116">
        <f>COUNTIFS($A$3:A9165,A911,$B$3:B9165,B911)</f>
        <v>1</v>
      </c>
      <c r="G911" s="116"/>
    </row>
    <row r="912" spans="1:7" x14ac:dyDescent="0.2">
      <c r="A912" s="116">
        <f>IF(ISNUMBER(Tabela2[[#This Row],[CT-e/NFS]])=TRUE,(IF(B912&gt;30000,4,IF(B912&lt;1000,"ND",0))),"-")</f>
        <v>4</v>
      </c>
      <c r="B912" s="116">
        <v>45765</v>
      </c>
      <c r="C912" s="117">
        <v>45299</v>
      </c>
      <c r="D912" s="116">
        <v>553.34</v>
      </c>
      <c r="E912" s="117">
        <v>45337</v>
      </c>
      <c r="F912" s="116">
        <f>COUNTIFS($A$3:A9166,A912,$B$3:B9166,B912)</f>
        <v>1</v>
      </c>
      <c r="G912" s="116"/>
    </row>
    <row r="913" spans="1:7" x14ac:dyDescent="0.2">
      <c r="A913" s="116">
        <f>IF(ISNUMBER(Tabela2[[#This Row],[CT-e/NFS]])=TRUE,(IF(B913&gt;30000,4,IF(B913&lt;1000,"ND",0))),"-")</f>
        <v>4</v>
      </c>
      <c r="B913" s="116">
        <v>45703</v>
      </c>
      <c r="C913" s="117">
        <v>45299</v>
      </c>
      <c r="D913" s="116">
        <v>570.32000000000005</v>
      </c>
      <c r="E913" s="117">
        <v>45337</v>
      </c>
      <c r="F913" s="116">
        <f>COUNTIFS($A$3:A9167,A913,$B$3:B9167,B913)</f>
        <v>1</v>
      </c>
      <c r="G913" s="116"/>
    </row>
    <row r="914" spans="1:7" x14ac:dyDescent="0.2">
      <c r="A914" s="116">
        <f>IF(ISNUMBER(Tabela2[[#This Row],[CT-e/NFS]])=TRUE,(IF(B914&gt;30000,4,IF(B914&lt;1000,"ND",0))),"-")</f>
        <v>4</v>
      </c>
      <c r="B914" s="116">
        <v>45683</v>
      </c>
      <c r="C914" s="117">
        <v>45299</v>
      </c>
      <c r="D914" s="116">
        <v>104.17</v>
      </c>
      <c r="E914" s="117">
        <v>45337</v>
      </c>
      <c r="F914" s="116">
        <f>COUNTIFS($A$3:A9168,A914,$B$3:B9168,B914)</f>
        <v>1</v>
      </c>
      <c r="G914" s="116"/>
    </row>
    <row r="915" spans="1:7" x14ac:dyDescent="0.2">
      <c r="A915" s="116">
        <f>IF(ISNUMBER(Tabela2[[#This Row],[CT-e/NFS]])=TRUE,(IF(B915&gt;30000,4,IF(B915&lt;1000,"ND",0))),"-")</f>
        <v>4</v>
      </c>
      <c r="B915" s="116">
        <v>45682</v>
      </c>
      <c r="C915" s="117">
        <v>45299</v>
      </c>
      <c r="D915" s="116">
        <v>122.4</v>
      </c>
      <c r="E915" s="117">
        <v>45337</v>
      </c>
      <c r="F915" s="116">
        <f>COUNTIFS($A$3:A9169,A915,$B$3:B9169,B915)</f>
        <v>1</v>
      </c>
      <c r="G915" s="116"/>
    </row>
    <row r="916" spans="1:7" x14ac:dyDescent="0.2">
      <c r="A916" s="116">
        <f>IF(ISNUMBER(Tabela2[[#This Row],[CT-e/NFS]])=TRUE,(IF(B916&gt;30000,4,IF(B916&lt;1000,"ND",0))),"-")</f>
        <v>4</v>
      </c>
      <c r="B916" s="116">
        <v>45601</v>
      </c>
      <c r="C916" s="117">
        <v>45299</v>
      </c>
      <c r="D916" s="116">
        <v>619.16999999999996</v>
      </c>
      <c r="E916" s="117">
        <v>45337</v>
      </c>
      <c r="F916" s="116">
        <f>COUNTIFS($A$3:A9170,A916,$B$3:B9170,B916)</f>
        <v>1</v>
      </c>
      <c r="G916" s="116"/>
    </row>
    <row r="917" spans="1:7" x14ac:dyDescent="0.2">
      <c r="A917" s="116">
        <f>IF(ISNUMBER(Tabela2[[#This Row],[CT-e/NFS]])=TRUE,(IF(B917&gt;30000,4,IF(B917&lt;1000,"ND",0))),"-")</f>
        <v>4</v>
      </c>
      <c r="B917" s="116">
        <v>45570</v>
      </c>
      <c r="C917" s="117">
        <v>45299</v>
      </c>
      <c r="D917" s="116">
        <v>145.32</v>
      </c>
      <c r="E917" s="117">
        <v>45337</v>
      </c>
      <c r="F917" s="116">
        <f>COUNTIFS($A$3:A9171,A917,$B$3:B9171,B917)</f>
        <v>1</v>
      </c>
      <c r="G917" s="116"/>
    </row>
    <row r="918" spans="1:7" x14ac:dyDescent="0.2">
      <c r="A918" s="116">
        <f>IF(ISNUMBER(Tabela2[[#This Row],[CT-e/NFS]])=TRUE,(IF(B918&gt;30000,4,IF(B918&lt;1000,"ND",0))),"-")</f>
        <v>4</v>
      </c>
      <c r="B918" s="116">
        <v>45565</v>
      </c>
      <c r="C918" s="117">
        <v>45299</v>
      </c>
      <c r="D918" s="116">
        <v>375.52</v>
      </c>
      <c r="E918" s="117">
        <v>45337</v>
      </c>
      <c r="F918" s="116">
        <f>COUNTIFS($A$3:A9172,A918,$B$3:B9172,B918)</f>
        <v>1</v>
      </c>
      <c r="G918" s="116"/>
    </row>
    <row r="919" spans="1:7" x14ac:dyDescent="0.2">
      <c r="A919" s="116">
        <f>IF(ISNUMBER(Tabela2[[#This Row],[CT-e/NFS]])=TRUE,(IF(B919&gt;30000,4,IF(B919&lt;1000,"ND",0))),"-")</f>
        <v>4</v>
      </c>
      <c r="B919" s="116">
        <v>45564</v>
      </c>
      <c r="C919" s="117">
        <v>45299</v>
      </c>
      <c r="D919" s="116">
        <v>111.41</v>
      </c>
      <c r="E919" s="117">
        <v>45337</v>
      </c>
      <c r="F919" s="116">
        <f>COUNTIFS($A$3:A9173,A919,$B$3:B9173,B919)</f>
        <v>1</v>
      </c>
      <c r="G919" s="116"/>
    </row>
    <row r="920" spans="1:7" x14ac:dyDescent="0.2">
      <c r="A920" s="116">
        <f>IF(ISNUMBER(Tabela2[[#This Row],[CT-e/NFS]])=TRUE,(IF(B920&gt;30000,4,IF(B920&lt;1000,"ND",0))),"-")</f>
        <v>4</v>
      </c>
      <c r="B920" s="116">
        <v>46021</v>
      </c>
      <c r="C920" s="117">
        <v>45330</v>
      </c>
      <c r="D920" s="116">
        <v>490.8</v>
      </c>
      <c r="E920" s="117">
        <v>45337</v>
      </c>
      <c r="F920" s="116">
        <f>COUNTIFS($A$3:A9174,A920,$B$3:B9174,B920)</f>
        <v>1</v>
      </c>
      <c r="G920" s="116"/>
    </row>
    <row r="921" spans="1:7" x14ac:dyDescent="0.2">
      <c r="A921" s="116">
        <f>IF(ISNUMBER(Tabela2[[#This Row],[CT-e/NFS]])=TRUE,(IF(B921&gt;30000,4,IF(B921&lt;1000,"ND",0))),"-")</f>
        <v>4</v>
      </c>
      <c r="B921" s="116">
        <v>46002</v>
      </c>
      <c r="C921" s="117">
        <v>45330</v>
      </c>
      <c r="D921" s="116">
        <v>126.77</v>
      </c>
      <c r="E921" s="117">
        <v>45337</v>
      </c>
      <c r="F921" s="116">
        <f>COUNTIFS($A$3:A9175,A921,$B$3:B9175,B921)</f>
        <v>1</v>
      </c>
      <c r="G921" s="116"/>
    </row>
    <row r="922" spans="1:7" x14ac:dyDescent="0.2">
      <c r="A922" s="116">
        <f>IF(ISNUMBER(Tabela2[[#This Row],[CT-e/NFS]])=TRUE,(IF(B922&gt;30000,4,IF(B922&lt;1000,"ND",0))),"-")</f>
        <v>4</v>
      </c>
      <c r="B922" s="116">
        <v>45985</v>
      </c>
      <c r="C922" s="117">
        <v>45330</v>
      </c>
      <c r="D922" s="116">
        <v>134.47</v>
      </c>
      <c r="E922" s="117">
        <v>45337</v>
      </c>
      <c r="F922" s="116">
        <f>COUNTIFS($A$3:A9176,A922,$B$3:B9176,B922)</f>
        <v>1</v>
      </c>
      <c r="G922" s="116"/>
    </row>
    <row r="923" spans="1:7" x14ac:dyDescent="0.2">
      <c r="A923" s="116">
        <f>IF(ISNUMBER(Tabela2[[#This Row],[CT-e/NFS]])=TRUE,(IF(B923&gt;30000,4,IF(B923&lt;1000,"ND",0))),"-")</f>
        <v>4</v>
      </c>
      <c r="B923" s="116">
        <v>45983</v>
      </c>
      <c r="C923" s="117">
        <v>45330</v>
      </c>
      <c r="D923" s="116">
        <v>212.86</v>
      </c>
      <c r="E923" s="117">
        <v>45337</v>
      </c>
      <c r="F923" s="116">
        <f>COUNTIFS($A$3:A9177,A923,$B$3:B9177,B923)</f>
        <v>1</v>
      </c>
      <c r="G923" s="116"/>
    </row>
    <row r="924" spans="1:7" x14ac:dyDescent="0.2">
      <c r="A924" s="116">
        <f>IF(ISNUMBER(Tabela2[[#This Row],[CT-e/NFS]])=TRUE,(IF(B924&gt;30000,4,IF(B924&lt;1000,"ND",0))),"-")</f>
        <v>4</v>
      </c>
      <c r="B924" s="116">
        <v>45982</v>
      </c>
      <c r="C924" s="117">
        <v>45330</v>
      </c>
      <c r="D924" s="116">
        <v>126.77</v>
      </c>
      <c r="E924" s="117">
        <v>45337</v>
      </c>
      <c r="F924" s="116">
        <f>COUNTIFS($A$3:A9178,A924,$B$3:B9178,B924)</f>
        <v>1</v>
      </c>
      <c r="G924" s="116"/>
    </row>
    <row r="925" spans="1:7" x14ac:dyDescent="0.2">
      <c r="A925" s="116">
        <f>IF(ISNUMBER(Tabela2[[#This Row],[CT-e/NFS]])=TRUE,(IF(B925&gt;30000,4,IF(B925&lt;1000,"ND",0))),"-")</f>
        <v>4</v>
      </c>
      <c r="B925" s="116">
        <v>45940</v>
      </c>
      <c r="C925" s="117">
        <v>45330</v>
      </c>
      <c r="D925" s="116">
        <v>107.08</v>
      </c>
      <c r="E925" s="117">
        <v>45337</v>
      </c>
      <c r="F925" s="116">
        <f>COUNTIFS($A$3:A9179,A925,$B$3:B9179,B925)</f>
        <v>1</v>
      </c>
      <c r="G925" s="116"/>
    </row>
    <row r="926" spans="1:7" x14ac:dyDescent="0.2">
      <c r="A926" s="116">
        <f>IF(ISNUMBER(Tabela2[[#This Row],[CT-e/NFS]])=TRUE,(IF(B926&gt;30000,4,IF(B926&lt;1000,"ND",0))),"-")</f>
        <v>4</v>
      </c>
      <c r="B926" s="116">
        <v>45936</v>
      </c>
      <c r="C926" s="117">
        <v>45330</v>
      </c>
      <c r="D926" s="116">
        <v>1205.43</v>
      </c>
      <c r="E926" s="117">
        <v>45337</v>
      </c>
      <c r="F926" s="116">
        <f>COUNTIFS($A$3:A9180,A926,$B$3:B9180,B926)</f>
        <v>1</v>
      </c>
      <c r="G926" s="116"/>
    </row>
    <row r="927" spans="1:7" x14ac:dyDescent="0.2">
      <c r="A927" s="116">
        <f>IF(ISNUMBER(Tabela2[[#This Row],[CT-e/NFS]])=TRUE,(IF(B927&gt;30000,4,IF(B927&lt;1000,"ND",0))),"-")</f>
        <v>4</v>
      </c>
      <c r="B927" s="116">
        <v>45935</v>
      </c>
      <c r="C927" s="117">
        <v>45330</v>
      </c>
      <c r="D927" s="116">
        <v>1205.43</v>
      </c>
      <c r="E927" s="117">
        <v>45337</v>
      </c>
      <c r="F927" s="116">
        <f>COUNTIFS($A$3:A9181,A927,$B$3:B9181,B927)</f>
        <v>1</v>
      </c>
      <c r="G927" s="116"/>
    </row>
    <row r="928" spans="1:7" x14ac:dyDescent="0.2">
      <c r="A928" s="116">
        <f>IF(ISNUMBER(Tabela2[[#This Row],[CT-e/NFS]])=TRUE,(IF(B928&gt;30000,4,IF(B928&lt;1000,"ND",0))),"-")</f>
        <v>4</v>
      </c>
      <c r="B928" s="116">
        <v>45933</v>
      </c>
      <c r="C928" s="117">
        <v>45330</v>
      </c>
      <c r="D928" s="116">
        <v>532.65</v>
      </c>
      <c r="E928" s="117">
        <v>45337</v>
      </c>
      <c r="F928" s="116">
        <f>COUNTIFS($A$3:A9182,A928,$B$3:B9182,B928)</f>
        <v>1</v>
      </c>
      <c r="G928" s="116"/>
    </row>
    <row r="929" spans="1:7" x14ac:dyDescent="0.2">
      <c r="A929" s="116">
        <f>IF(ISNUMBER(Tabela2[[#This Row],[CT-e/NFS]])=TRUE,(IF(B929&gt;30000,4,IF(B929&lt;1000,"ND",0))),"-")</f>
        <v>4</v>
      </c>
      <c r="B929" s="116">
        <v>45909</v>
      </c>
      <c r="C929" s="117">
        <v>45330</v>
      </c>
      <c r="D929" s="116">
        <v>125.95</v>
      </c>
      <c r="E929" s="117">
        <v>45337</v>
      </c>
      <c r="F929" s="116">
        <f>COUNTIFS($A$3:A9183,A929,$B$3:B9183,B929)</f>
        <v>1</v>
      </c>
      <c r="G929" s="116"/>
    </row>
    <row r="930" spans="1:7" x14ac:dyDescent="0.2">
      <c r="A930" s="116">
        <f>IF(ISNUMBER(Tabela2[[#This Row],[CT-e/NFS]])=TRUE,(IF(B930&gt;30000,4,IF(B930&lt;1000,"ND",0))),"-")</f>
        <v>4</v>
      </c>
      <c r="B930" s="116">
        <v>45879</v>
      </c>
      <c r="C930" s="117">
        <v>45330</v>
      </c>
      <c r="D930" s="116">
        <v>305.58999999999997</v>
      </c>
      <c r="E930" s="117">
        <v>45337</v>
      </c>
      <c r="F930" s="116">
        <f>COUNTIFS($A$3:A9184,A930,$B$3:B9184,B930)</f>
        <v>1</v>
      </c>
      <c r="G930" s="116"/>
    </row>
    <row r="931" spans="1:7" x14ac:dyDescent="0.2">
      <c r="A931" s="116">
        <f>IF(ISNUMBER(Tabela2[[#This Row],[CT-e/NFS]])=TRUE,(IF(B931&gt;30000,4,IF(B931&lt;1000,"ND",0))),"-")</f>
        <v>0</v>
      </c>
      <c r="B931" s="116">
        <v>21154</v>
      </c>
      <c r="C931" s="117">
        <v>45329</v>
      </c>
      <c r="D931" s="116">
        <v>124.38</v>
      </c>
      <c r="E931" s="117">
        <v>45337</v>
      </c>
      <c r="F931" s="116">
        <f>COUNTIFS($A$3:A9185,A931,$B$3:B9185,B931)</f>
        <v>1</v>
      </c>
      <c r="G931" s="116"/>
    </row>
    <row r="932" spans="1:7" x14ac:dyDescent="0.2">
      <c r="A932" s="116">
        <f>IF(ISNUMBER(Tabela2[[#This Row],[CT-e/NFS]])=TRUE,(IF(B932&gt;30000,4,IF(B932&lt;1000,"ND",0))),"-")</f>
        <v>0</v>
      </c>
      <c r="B932" s="116">
        <v>21156</v>
      </c>
      <c r="C932" s="117">
        <v>45329</v>
      </c>
      <c r="D932" s="116">
        <v>98.79</v>
      </c>
      <c r="E932" s="117">
        <v>45337</v>
      </c>
      <c r="F932" s="116">
        <f>COUNTIFS($A$3:A9186,A932,$B$3:B9186,B932)</f>
        <v>1</v>
      </c>
      <c r="G932" s="116"/>
    </row>
    <row r="933" spans="1:7" x14ac:dyDescent="0.2">
      <c r="A933" s="116">
        <f>IF(ISNUMBER(Tabela2[[#This Row],[CT-e/NFS]])=TRUE,(IF(B933&gt;30000,4,IF(B933&lt;1000,"ND",0))),"-")</f>
        <v>4</v>
      </c>
      <c r="B933" s="116">
        <v>46140</v>
      </c>
      <c r="C933" s="117">
        <v>45329</v>
      </c>
      <c r="D933" s="116">
        <v>291.22000000000003</v>
      </c>
      <c r="E933" s="117">
        <v>45337</v>
      </c>
      <c r="F933" s="116">
        <f>COUNTIFS($A$3:A9187,A933,$B$3:B9187,B933)</f>
        <v>1</v>
      </c>
      <c r="G933" s="116"/>
    </row>
    <row r="934" spans="1:7" x14ac:dyDescent="0.2">
      <c r="A934" s="116">
        <f>IF(ISNUMBER(Tabela2[[#This Row],[CT-e/NFS]])=TRUE,(IF(B934&gt;30000,4,IF(B934&lt;1000,"ND",0))),"-")</f>
        <v>4</v>
      </c>
      <c r="B934" s="116">
        <v>46092</v>
      </c>
      <c r="C934" s="117">
        <v>45329</v>
      </c>
      <c r="D934" s="116">
        <v>112.5</v>
      </c>
      <c r="E934" s="117">
        <v>45337</v>
      </c>
      <c r="F934" s="116">
        <f>COUNTIFS($A$3:A9188,A934,$B$3:B9188,B934)</f>
        <v>1</v>
      </c>
      <c r="G934" s="116"/>
    </row>
    <row r="935" spans="1:7" x14ac:dyDescent="0.2">
      <c r="A935" s="116">
        <f>IF(ISNUMBER(Tabela2[[#This Row],[CT-e/NFS]])=TRUE,(IF(B935&gt;30000,4,IF(B935&lt;1000,"ND",0))),"-")</f>
        <v>4</v>
      </c>
      <c r="B935" s="116">
        <v>46091</v>
      </c>
      <c r="C935" s="117">
        <v>45329</v>
      </c>
      <c r="D935" s="116">
        <v>553.27</v>
      </c>
      <c r="E935" s="117">
        <v>45337</v>
      </c>
      <c r="F935" s="116">
        <f>COUNTIFS($A$3:A9189,A935,$B$3:B9189,B935)</f>
        <v>1</v>
      </c>
      <c r="G935" s="116"/>
    </row>
    <row r="936" spans="1:7" x14ac:dyDescent="0.2">
      <c r="A936" s="116">
        <f>IF(ISNUMBER(Tabela2[[#This Row],[CT-e/NFS]])=TRUE,(IF(B936&gt;30000,4,IF(B936&lt;1000,"ND",0))),"-")</f>
        <v>4</v>
      </c>
      <c r="B936" s="116">
        <v>46064</v>
      </c>
      <c r="C936" s="117">
        <v>45329</v>
      </c>
      <c r="D936" s="116">
        <v>597.53</v>
      </c>
      <c r="E936" s="117">
        <v>45337</v>
      </c>
      <c r="F936" s="116">
        <f>COUNTIFS($A$3:A9190,A936,$B$3:B9190,B936)</f>
        <v>1</v>
      </c>
      <c r="G936" s="116"/>
    </row>
    <row r="937" spans="1:7" x14ac:dyDescent="0.2">
      <c r="A937" s="116">
        <f>IF(ISNUMBER(Tabela2[[#This Row],[CT-e/NFS]])=TRUE,(IF(B937&gt;30000,4,IF(B937&lt;1000,"ND",0))),"-")</f>
        <v>4</v>
      </c>
      <c r="B937" s="116">
        <v>46006</v>
      </c>
      <c r="C937" s="117">
        <v>45329</v>
      </c>
      <c r="D937" s="116">
        <v>336.38</v>
      </c>
      <c r="E937" s="117">
        <v>45337</v>
      </c>
      <c r="F937" s="116">
        <f>COUNTIFS($A$3:A9191,A937,$B$3:B9191,B937)</f>
        <v>1</v>
      </c>
      <c r="G937" s="116"/>
    </row>
    <row r="938" spans="1:7" x14ac:dyDescent="0.2">
      <c r="A938" s="116">
        <f>IF(ISNUMBER(Tabela2[[#This Row],[CT-e/NFS]])=TRUE,(IF(B938&gt;30000,4,IF(B938&lt;1000,"ND",0))),"-")</f>
        <v>0</v>
      </c>
      <c r="B938" s="116">
        <v>21236</v>
      </c>
      <c r="C938" s="117">
        <v>45337</v>
      </c>
      <c r="D938" s="116">
        <v>572.49</v>
      </c>
      <c r="E938" s="117">
        <v>45337</v>
      </c>
      <c r="F938" s="116">
        <f>COUNTIFS($A$3:A9192,A938,$B$3:B9192,B938)</f>
        <v>1</v>
      </c>
      <c r="G938" s="116"/>
    </row>
    <row r="939" spans="1:7" x14ac:dyDescent="0.2">
      <c r="A939" s="116">
        <f>IF(ISNUMBER(Tabela2[[#This Row],[CT-e/NFS]])=TRUE,(IF(B939&gt;30000,4,IF(B939&lt;1000,"ND",0))),"-")</f>
        <v>0</v>
      </c>
      <c r="B939" s="116">
        <v>19961</v>
      </c>
      <c r="C939" s="117">
        <v>45338</v>
      </c>
      <c r="D939" s="116">
        <v>94.77</v>
      </c>
      <c r="E939" s="117">
        <v>45350</v>
      </c>
      <c r="F939" s="116">
        <f>COUNTIFS($A$3:A9193,A939,$B$3:B9193,B939)</f>
        <v>1</v>
      </c>
      <c r="G939" s="116"/>
    </row>
    <row r="940" spans="1:7" x14ac:dyDescent="0.2">
      <c r="A940" s="116">
        <f>IF(ISNUMBER(Tabela2[[#This Row],[CT-e/NFS]])=TRUE,(IF(B940&gt;30000,4,IF(B940&lt;1000,"ND",0))),"-")</f>
        <v>0</v>
      </c>
      <c r="B940" s="116">
        <v>19985</v>
      </c>
      <c r="C940" s="117">
        <v>45338</v>
      </c>
      <c r="D940" s="116">
        <v>98.57</v>
      </c>
      <c r="E940" s="117">
        <v>45350</v>
      </c>
      <c r="F940" s="116">
        <f>COUNTIFS($A$3:A9194,A940,$B$3:B9194,B940)</f>
        <v>1</v>
      </c>
      <c r="G940" s="116"/>
    </row>
    <row r="941" spans="1:7" x14ac:dyDescent="0.2">
      <c r="A941" s="116">
        <f>IF(ISNUMBER(Tabela2[[#This Row],[CT-e/NFS]])=TRUE,(IF(B941&gt;30000,4,IF(B941&lt;1000,"ND",0))),"-")</f>
        <v>0</v>
      </c>
      <c r="B941" s="116">
        <v>19987</v>
      </c>
      <c r="C941" s="117">
        <v>45338</v>
      </c>
      <c r="D941" s="116">
        <v>103.21</v>
      </c>
      <c r="E941" s="117">
        <v>45350</v>
      </c>
      <c r="F941" s="116">
        <f>COUNTIFS($A$3:A9195,A941,$B$3:B9195,B941)</f>
        <v>1</v>
      </c>
      <c r="G941" s="116"/>
    </row>
    <row r="942" spans="1:7" x14ac:dyDescent="0.2">
      <c r="A942" s="116">
        <f>IF(ISNUMBER(Tabela2[[#This Row],[CT-e/NFS]])=TRUE,(IF(B942&gt;30000,4,IF(B942&lt;1000,"ND",0))),"-")</f>
        <v>0</v>
      </c>
      <c r="B942" s="116">
        <v>20006</v>
      </c>
      <c r="C942" s="117">
        <v>45338</v>
      </c>
      <c r="D942" s="116">
        <v>99.32</v>
      </c>
      <c r="E942" s="117">
        <v>45350</v>
      </c>
      <c r="F942" s="116">
        <f>COUNTIFS($A$3:A9196,A942,$B$3:B9196,B942)</f>
        <v>1</v>
      </c>
      <c r="G942" s="116"/>
    </row>
    <row r="943" spans="1:7" x14ac:dyDescent="0.2">
      <c r="A943" s="116">
        <f>IF(ISNUMBER(Tabela2[[#This Row],[CT-e/NFS]])=TRUE,(IF(B943&gt;30000,4,IF(B943&lt;1000,"ND",0))),"-")</f>
        <v>0</v>
      </c>
      <c r="B943" s="116">
        <v>20014</v>
      </c>
      <c r="C943" s="117">
        <v>45338</v>
      </c>
      <c r="D943" s="116">
        <v>97.46</v>
      </c>
      <c r="E943" s="117">
        <v>45350</v>
      </c>
      <c r="F943" s="116">
        <f>COUNTIFS($A$3:A9197,A943,$B$3:B9197,B943)</f>
        <v>1</v>
      </c>
      <c r="G943" s="116"/>
    </row>
    <row r="944" spans="1:7" x14ac:dyDescent="0.2">
      <c r="A944" s="116">
        <f>IF(ISNUMBER(Tabela2[[#This Row],[CT-e/NFS]])=TRUE,(IF(B944&gt;30000,4,IF(B944&lt;1000,"ND",0))),"-")</f>
        <v>0</v>
      </c>
      <c r="B944" s="116">
        <v>20067</v>
      </c>
      <c r="C944" s="117">
        <v>45338</v>
      </c>
      <c r="D944" s="116">
        <v>168.42</v>
      </c>
      <c r="E944" s="117">
        <v>45350</v>
      </c>
      <c r="F944" s="116">
        <f>COUNTIFS($A$3:A9198,A944,$B$3:B9198,B944)</f>
        <v>1</v>
      </c>
      <c r="G944" s="116"/>
    </row>
    <row r="945" spans="1:7" x14ac:dyDescent="0.2">
      <c r="A945" s="116">
        <f>IF(ISNUMBER(Tabela2[[#This Row],[CT-e/NFS]])=TRUE,(IF(B945&gt;30000,4,IF(B945&lt;1000,"ND",0))),"-")</f>
        <v>0</v>
      </c>
      <c r="B945" s="116">
        <v>20068</v>
      </c>
      <c r="C945" s="117">
        <v>45338</v>
      </c>
      <c r="D945" s="116">
        <v>205.22</v>
      </c>
      <c r="E945" s="117">
        <v>45350</v>
      </c>
      <c r="F945" s="116">
        <f>COUNTIFS($A$3:A9199,A945,$B$3:B9199,B945)</f>
        <v>1</v>
      </c>
      <c r="G945" s="116"/>
    </row>
    <row r="946" spans="1:7" x14ac:dyDescent="0.2">
      <c r="A946" s="116">
        <f>IF(ISNUMBER(Tabela2[[#This Row],[CT-e/NFS]])=TRUE,(IF(B946&gt;30000,4,IF(B946&lt;1000,"ND",0))),"-")</f>
        <v>0</v>
      </c>
      <c r="B946" s="116">
        <v>20098</v>
      </c>
      <c r="C946" s="117">
        <v>45338</v>
      </c>
      <c r="D946" s="116">
        <v>101.87</v>
      </c>
      <c r="E946" s="117">
        <v>45350</v>
      </c>
      <c r="F946" s="116">
        <f>COUNTIFS($A$3:A9200,A946,$B$3:B9200,B946)</f>
        <v>1</v>
      </c>
      <c r="G946" s="116"/>
    </row>
    <row r="947" spans="1:7" x14ac:dyDescent="0.2">
      <c r="A947" s="116">
        <f>IF(ISNUMBER(Tabela2[[#This Row],[CT-e/NFS]])=TRUE,(IF(B947&gt;30000,4,IF(B947&lt;1000,"ND",0))),"-")</f>
        <v>0</v>
      </c>
      <c r="B947" s="116">
        <v>20112</v>
      </c>
      <c r="C947" s="117">
        <v>45338</v>
      </c>
      <c r="D947" s="116">
        <v>155.26</v>
      </c>
      <c r="E947" s="117">
        <v>45350</v>
      </c>
      <c r="F947" s="116">
        <f>COUNTIFS($A$3:A9201,A947,$B$3:B9201,B947)</f>
        <v>1</v>
      </c>
      <c r="G947" s="116"/>
    </row>
    <row r="948" spans="1:7" x14ac:dyDescent="0.2">
      <c r="A948" s="116">
        <f>IF(ISNUMBER(Tabela2[[#This Row],[CT-e/NFS]])=TRUE,(IF(B948&gt;30000,4,IF(B948&lt;1000,"ND",0))),"-")</f>
        <v>0</v>
      </c>
      <c r="B948" s="116">
        <v>20096</v>
      </c>
      <c r="C948" s="117">
        <v>45338</v>
      </c>
      <c r="D948" s="116">
        <v>90.2</v>
      </c>
      <c r="E948" s="117">
        <v>45350</v>
      </c>
      <c r="F948" s="116">
        <f>COUNTIFS($A$3:A9202,A948,$B$3:B9202,B948)</f>
        <v>1</v>
      </c>
      <c r="G948" s="116"/>
    </row>
    <row r="949" spans="1:7" x14ac:dyDescent="0.2">
      <c r="A949" s="116">
        <f>IF(ISNUMBER(Tabela2[[#This Row],[CT-e/NFS]])=TRUE,(IF(B949&gt;30000,4,IF(B949&lt;1000,"ND",0))),"-")</f>
        <v>0</v>
      </c>
      <c r="B949" s="116">
        <v>20097</v>
      </c>
      <c r="C949" s="117">
        <v>45338</v>
      </c>
      <c r="D949" s="116">
        <v>120.95</v>
      </c>
      <c r="E949" s="117">
        <v>45350</v>
      </c>
      <c r="F949" s="116">
        <f>COUNTIFS($A$3:A9203,A949,$B$3:B9203,B949)</f>
        <v>1</v>
      </c>
      <c r="G949" s="116"/>
    </row>
    <row r="950" spans="1:7" x14ac:dyDescent="0.2">
      <c r="A950" s="116">
        <f>IF(ISNUMBER(Tabela2[[#This Row],[CT-e/NFS]])=TRUE,(IF(B950&gt;30000,4,IF(B950&lt;1000,"ND",0))),"-")</f>
        <v>0</v>
      </c>
      <c r="B950" s="116">
        <v>20109</v>
      </c>
      <c r="C950" s="117">
        <v>45338</v>
      </c>
      <c r="D950" s="116">
        <v>93.32</v>
      </c>
      <c r="E950" s="117">
        <v>45350</v>
      </c>
      <c r="F950" s="116">
        <f>COUNTIFS($A$3:A9204,A950,$B$3:B9204,B950)</f>
        <v>1</v>
      </c>
      <c r="G950" s="116"/>
    </row>
    <row r="951" spans="1:7" x14ac:dyDescent="0.2">
      <c r="A951" s="116">
        <f>IF(ISNUMBER(Tabela2[[#This Row],[CT-e/NFS]])=TRUE,(IF(B951&gt;30000,4,IF(B951&lt;1000,"ND",0))),"-")</f>
        <v>0</v>
      </c>
      <c r="B951" s="116">
        <v>20138</v>
      </c>
      <c r="C951" s="117">
        <v>45338</v>
      </c>
      <c r="D951" s="116">
        <v>94.12</v>
      </c>
      <c r="E951" s="117">
        <v>45350</v>
      </c>
      <c r="F951" s="116">
        <f>COUNTIFS($A$3:A9205,A951,$B$3:B9205,B951)</f>
        <v>1</v>
      </c>
      <c r="G951" s="116"/>
    </row>
    <row r="952" spans="1:7" x14ac:dyDescent="0.2">
      <c r="A952" s="116">
        <f>IF(ISNUMBER(Tabela2[[#This Row],[CT-e/NFS]])=TRUE,(IF(B952&gt;30000,4,IF(B952&lt;1000,"ND",0))),"-")</f>
        <v>0</v>
      </c>
      <c r="B952" s="116">
        <v>20134</v>
      </c>
      <c r="C952" s="117">
        <v>45338</v>
      </c>
      <c r="D952" s="116">
        <v>95.41</v>
      </c>
      <c r="E952" s="117">
        <v>45350</v>
      </c>
      <c r="F952" s="116">
        <f>COUNTIFS($A$3:A9206,A952,$B$3:B9206,B952)</f>
        <v>1</v>
      </c>
      <c r="G952" s="116"/>
    </row>
    <row r="953" spans="1:7" x14ac:dyDescent="0.2">
      <c r="A953" s="116">
        <f>IF(ISNUMBER(Tabela2[[#This Row],[CT-e/NFS]])=TRUE,(IF(B953&gt;30000,4,IF(B953&lt;1000,"ND",0))),"-")</f>
        <v>4</v>
      </c>
      <c r="B953" s="116">
        <v>42604</v>
      </c>
      <c r="C953" s="117">
        <v>45338</v>
      </c>
      <c r="D953" s="116">
        <v>398.66</v>
      </c>
      <c r="E953" s="117">
        <v>45350</v>
      </c>
      <c r="F953" s="116">
        <f>COUNTIFS($A$3:A9207,A953,$B$3:B9207,B953)</f>
        <v>1</v>
      </c>
      <c r="G953" s="116"/>
    </row>
    <row r="954" spans="1:7" x14ac:dyDescent="0.2">
      <c r="A954" s="116">
        <f>IF(ISNUMBER(Tabela2[[#This Row],[CT-e/NFS]])=TRUE,(IF(B954&gt;30000,4,IF(B954&lt;1000,"ND",0))),"-")</f>
        <v>4</v>
      </c>
      <c r="B954" s="116">
        <v>42673</v>
      </c>
      <c r="C954" s="117">
        <v>45338</v>
      </c>
      <c r="D954" s="116">
        <v>112.86</v>
      </c>
      <c r="E954" s="117">
        <v>45350</v>
      </c>
      <c r="F954" s="116">
        <f>COUNTIFS($A$3:A9208,A954,$B$3:B9208,B954)</f>
        <v>1</v>
      </c>
      <c r="G954" s="116"/>
    </row>
    <row r="955" spans="1:7" x14ac:dyDescent="0.2">
      <c r="A955" s="116">
        <f>IF(ISNUMBER(Tabela2[[#This Row],[CT-e/NFS]])=TRUE,(IF(B955&gt;30000,4,IF(B955&lt;1000,"ND",0))),"-")</f>
        <v>4</v>
      </c>
      <c r="B955" s="116">
        <v>42724</v>
      </c>
      <c r="C955" s="117">
        <v>45338</v>
      </c>
      <c r="D955" s="116">
        <v>151.75</v>
      </c>
      <c r="E955" s="117">
        <v>45350</v>
      </c>
      <c r="F955" s="116">
        <f>COUNTIFS($A$3:A9209,A955,$B$3:B9209,B955)</f>
        <v>1</v>
      </c>
      <c r="G955" s="116"/>
    </row>
    <row r="956" spans="1:7" x14ac:dyDescent="0.2">
      <c r="A956" s="116">
        <f>IF(ISNUMBER(Tabela2[[#This Row],[CT-e/NFS]])=TRUE,(IF(B956&gt;30000,4,IF(B956&lt;1000,"ND",0))),"-")</f>
        <v>4</v>
      </c>
      <c r="B956" s="116">
        <v>42774</v>
      </c>
      <c r="C956" s="117">
        <v>45338</v>
      </c>
      <c r="D956" s="116">
        <v>147.93</v>
      </c>
      <c r="E956" s="117">
        <v>45350</v>
      </c>
      <c r="F956" s="116">
        <f>COUNTIFS($A$3:A9210,A956,$B$3:B9210,B956)</f>
        <v>1</v>
      </c>
      <c r="G956" s="116"/>
    </row>
    <row r="957" spans="1:7" x14ac:dyDescent="0.2">
      <c r="A957" s="116">
        <f>IF(ISNUMBER(Tabela2[[#This Row],[CT-e/NFS]])=TRUE,(IF(B957&gt;30000,4,IF(B957&lt;1000,"ND",0))),"-")</f>
        <v>4</v>
      </c>
      <c r="B957" s="116">
        <v>42882</v>
      </c>
      <c r="C957" s="117">
        <v>45338</v>
      </c>
      <c r="D957" s="116">
        <v>579.35</v>
      </c>
      <c r="E957" s="117">
        <v>45350</v>
      </c>
      <c r="F957" s="116">
        <f>COUNTIFS($A$3:A9211,A957,$B$3:B9211,B957)</f>
        <v>1</v>
      </c>
      <c r="G957" s="116"/>
    </row>
    <row r="958" spans="1:7" x14ac:dyDescent="0.2">
      <c r="A958" s="116">
        <f>IF(ISNUMBER(Tabela2[[#This Row],[CT-e/NFS]])=TRUE,(IF(B958&gt;30000,4,IF(B958&lt;1000,"ND",0))),"-")</f>
        <v>4</v>
      </c>
      <c r="B958" s="116">
        <v>42913</v>
      </c>
      <c r="C958" s="117">
        <v>45338</v>
      </c>
      <c r="D958" s="116">
        <v>104.17</v>
      </c>
      <c r="E958" s="117">
        <v>45350</v>
      </c>
      <c r="F958" s="116">
        <f>COUNTIFS($A$3:A9212,A958,$B$3:B9212,B958)</f>
        <v>1</v>
      </c>
      <c r="G958" s="116"/>
    </row>
    <row r="959" spans="1:7" x14ac:dyDescent="0.2">
      <c r="A959" s="116">
        <f>IF(ISNUMBER(Tabela2[[#This Row],[CT-e/NFS]])=TRUE,(IF(B959&gt;30000,4,IF(B959&lt;1000,"ND",0))),"-")</f>
        <v>4</v>
      </c>
      <c r="B959" s="116">
        <v>45448</v>
      </c>
      <c r="C959" s="117">
        <v>45341</v>
      </c>
      <c r="D959" s="116">
        <v>136.41</v>
      </c>
      <c r="E959" s="117">
        <v>45350</v>
      </c>
      <c r="F959" s="116">
        <f>COUNTIFS($A$3:A9215,A959,$B$3:B9215,B959)</f>
        <v>1</v>
      </c>
      <c r="G959" s="116"/>
    </row>
    <row r="960" spans="1:7" x14ac:dyDescent="0.2">
      <c r="A960" s="116">
        <f>IF(ISNUMBER(Tabela2[[#This Row],[CT-e/NFS]])=TRUE,(IF(B960&gt;30000,4,IF(B960&lt;1000,"ND",0))),"-")</f>
        <v>4</v>
      </c>
      <c r="B960" s="116">
        <v>45447</v>
      </c>
      <c r="C960" s="117">
        <v>45341</v>
      </c>
      <c r="D960" s="116">
        <v>112.5</v>
      </c>
      <c r="E960" s="117">
        <v>45350</v>
      </c>
      <c r="F960" s="116">
        <f>COUNTIFS($A$3:A9216,A960,$B$3:B9216,B960)</f>
        <v>1</v>
      </c>
      <c r="G960" s="116"/>
    </row>
    <row r="961" spans="1:7" x14ac:dyDescent="0.2">
      <c r="A961" s="116">
        <f>IF(ISNUMBER(Tabela2[[#This Row],[CT-e/NFS]])=TRUE,(IF(B961&gt;30000,4,IF(B961&lt;1000,"ND",0))),"-")</f>
        <v>4</v>
      </c>
      <c r="B961" s="116">
        <v>45360</v>
      </c>
      <c r="C961" s="117">
        <v>45341</v>
      </c>
      <c r="D961" s="116">
        <v>130.05000000000001</v>
      </c>
      <c r="E961" s="117">
        <v>45350</v>
      </c>
      <c r="F961" s="116">
        <f>COUNTIFS($A$3:A9217,A961,$B$3:B9217,B961)</f>
        <v>1</v>
      </c>
      <c r="G961" s="116"/>
    </row>
    <row r="962" spans="1:7" x14ac:dyDescent="0.2">
      <c r="A962" s="116">
        <f>IF(ISNUMBER(Tabela2[[#This Row],[CT-e/NFS]])=TRUE,(IF(B962&gt;30000,4,IF(B962&lt;1000,"ND",0))),"-")</f>
        <v>4</v>
      </c>
      <c r="B962" s="116">
        <v>45332</v>
      </c>
      <c r="C962" s="117">
        <v>45341</v>
      </c>
      <c r="D962" s="116">
        <v>597.16999999999996</v>
      </c>
      <c r="E962" s="117">
        <v>45350</v>
      </c>
      <c r="F962" s="116">
        <f>COUNTIFS($A$3:A9218,A962,$B$3:B9218,B962)</f>
        <v>1</v>
      </c>
      <c r="G962" s="116"/>
    </row>
    <row r="963" spans="1:7" x14ac:dyDescent="0.2">
      <c r="A963" s="116">
        <f>IF(ISNUMBER(Tabela2[[#This Row],[CT-e/NFS]])=TRUE,(IF(B963&gt;30000,4,IF(B963&lt;1000,"ND",0))),"-")</f>
        <v>4</v>
      </c>
      <c r="B963" s="116">
        <v>45284</v>
      </c>
      <c r="C963" s="117">
        <v>45341</v>
      </c>
      <c r="D963" s="116">
        <v>547.63</v>
      </c>
      <c r="E963" s="117">
        <v>45350</v>
      </c>
      <c r="F963" s="116">
        <f>COUNTIFS($A$3:A9219,A963,$B$3:B9219,B963)</f>
        <v>1</v>
      </c>
      <c r="G963" s="116"/>
    </row>
    <row r="964" spans="1:7" x14ac:dyDescent="0.2">
      <c r="A964" s="116">
        <f>IF(ISNUMBER(Tabela2[[#This Row],[CT-e/NFS]])=TRUE,(IF(B964&gt;30000,4,IF(B964&lt;1000,"ND",0))),"-")</f>
        <v>4</v>
      </c>
      <c r="B964" s="116">
        <v>45279</v>
      </c>
      <c r="C964" s="117">
        <v>45341</v>
      </c>
      <c r="D964" s="116">
        <v>112.45</v>
      </c>
      <c r="E964" s="117">
        <v>45350</v>
      </c>
      <c r="F964" s="116">
        <f>COUNTIFS($A$3:A9220,A964,$B$3:B9220,B964)</f>
        <v>1</v>
      </c>
      <c r="G964" s="116"/>
    </row>
    <row r="965" spans="1:7" x14ac:dyDescent="0.2">
      <c r="A965" s="116">
        <f>IF(ISNUMBER(Tabela2[[#This Row],[CT-e/NFS]])=TRUE,(IF(B965&gt;30000,4,IF(B965&lt;1000,"ND",0))),"-")</f>
        <v>0</v>
      </c>
      <c r="B965" s="116">
        <v>20951</v>
      </c>
      <c r="C965" s="117">
        <v>45341</v>
      </c>
      <c r="D965" s="116">
        <v>94.77</v>
      </c>
      <c r="E965" s="117">
        <v>45350</v>
      </c>
      <c r="F965" s="116">
        <f>COUNTIFS($A$3:A9221,A965,$B$3:B9221,B965)</f>
        <v>1</v>
      </c>
      <c r="G965" s="116"/>
    </row>
    <row r="966" spans="1:7" x14ac:dyDescent="0.2">
      <c r="A966" s="116">
        <f>IF(ISNUMBER(Tabela2[[#This Row],[CT-e/NFS]])=TRUE,(IF(B966&gt;30000,4,IF(B966&lt;1000,"ND",0))),"-")</f>
        <v>0</v>
      </c>
      <c r="B966" s="116">
        <v>20976</v>
      </c>
      <c r="C966" s="117">
        <v>45341</v>
      </c>
      <c r="D966" s="116">
        <v>97.06</v>
      </c>
      <c r="E966" s="117">
        <v>45350</v>
      </c>
      <c r="F966" s="116">
        <f>COUNTIFS($A$3:A9222,A966,$B$3:B9222,B966)</f>
        <v>1</v>
      </c>
      <c r="G966" s="116"/>
    </row>
    <row r="967" spans="1:7" x14ac:dyDescent="0.2">
      <c r="A967" s="116">
        <f>IF(ISNUMBER(Tabela2[[#This Row],[CT-e/NFS]])=TRUE,(IF(B967&gt;30000,4,IF(B967&lt;1000,"ND",0))),"-")</f>
        <v>4</v>
      </c>
      <c r="B967" s="116">
        <v>45575</v>
      </c>
      <c r="C967" s="117">
        <v>45336</v>
      </c>
      <c r="D967" s="116">
        <v>798.27</v>
      </c>
      <c r="E967" s="117">
        <v>45350</v>
      </c>
      <c r="F967" s="116">
        <f>COUNTIFS($A$3:A9223,A967,$B$3:B9223,B967)</f>
        <v>1</v>
      </c>
      <c r="G967" s="116"/>
    </row>
    <row r="968" spans="1:7" x14ac:dyDescent="0.2">
      <c r="A968" s="116">
        <f>IF(ISNUMBER(Tabela2[[#This Row],[CT-e/NFS]])=TRUE,(IF(B968&gt;30000,4,IF(B968&lt;1000,"ND",0))),"-")</f>
        <v>4</v>
      </c>
      <c r="B968" s="116">
        <v>45603</v>
      </c>
      <c r="C968" s="117">
        <v>45336</v>
      </c>
      <c r="D968" s="116">
        <v>959.44</v>
      </c>
      <c r="E968" s="117">
        <v>45350</v>
      </c>
      <c r="F968" s="116">
        <f>COUNTIFS($A$3:A9224,A968,$B$3:B9224,B968)</f>
        <v>1</v>
      </c>
      <c r="G968" s="116"/>
    </row>
    <row r="969" spans="1:7" x14ac:dyDescent="0.2">
      <c r="A969" s="116">
        <f>IF(ISNUMBER(Tabela2[[#This Row],[CT-e/NFS]])=TRUE,(IF(B969&gt;30000,4,IF(B969&lt;1000,"ND",0))),"-")</f>
        <v>4</v>
      </c>
      <c r="B969" s="116">
        <v>45580</v>
      </c>
      <c r="C969" s="117">
        <v>45336</v>
      </c>
      <c r="D969" s="116">
        <v>17326</v>
      </c>
      <c r="E969" s="117">
        <v>45350</v>
      </c>
      <c r="F969" s="116">
        <f>COUNTIFS($A$3:A9225,A969,$B$3:B9225,B969)</f>
        <v>1</v>
      </c>
      <c r="G969" s="116"/>
    </row>
    <row r="970" spans="1:7" x14ac:dyDescent="0.2">
      <c r="A970" s="116">
        <f>IF(ISNUMBER(Tabela2[[#This Row],[CT-e/NFS]])=TRUE,(IF(B970&gt;30000,4,IF(B970&lt;1000,"ND",0))),"-")</f>
        <v>4</v>
      </c>
      <c r="B970" s="116">
        <v>45579</v>
      </c>
      <c r="C970" s="117">
        <v>45336</v>
      </c>
      <c r="D970" s="116">
        <v>3187.54</v>
      </c>
      <c r="E970" s="117">
        <v>45350</v>
      </c>
      <c r="F970" s="116">
        <f>COUNTIFS($A$3:A9226,A970,$B$3:B9226,B970)</f>
        <v>1</v>
      </c>
      <c r="G970" s="116"/>
    </row>
    <row r="971" spans="1:7" x14ac:dyDescent="0.2">
      <c r="A971" s="116">
        <f>IF(ISNUMBER(Tabela2[[#This Row],[CT-e/NFS]])=TRUE,(IF(B971&gt;30000,4,IF(B971&lt;1000,"ND",0))),"-")</f>
        <v>0</v>
      </c>
      <c r="B971" s="116">
        <v>20372</v>
      </c>
      <c r="C971" s="117">
        <v>45218</v>
      </c>
      <c r="D971" s="116">
        <v>90.75</v>
      </c>
      <c r="E971" s="117">
        <v>45350</v>
      </c>
      <c r="F971" s="116">
        <f>COUNTIFS($A$3:A9227,A971,$B$3:B9227,B971)</f>
        <v>1</v>
      </c>
      <c r="G971" s="116"/>
    </row>
    <row r="972" spans="1:7" x14ac:dyDescent="0.2">
      <c r="A972" s="116">
        <f>IF(ISNUMBER(Tabela2[[#This Row],[CT-e/NFS]])=TRUE,(IF(B972&gt;30000,4,IF(B972&lt;1000,"ND",0))),"-")</f>
        <v>4</v>
      </c>
      <c r="B972" s="116">
        <v>43777</v>
      </c>
      <c r="C972" s="117">
        <v>45218</v>
      </c>
      <c r="D972" s="116">
        <v>168.98</v>
      </c>
      <c r="E972" s="117">
        <v>45350</v>
      </c>
      <c r="F972" s="116">
        <f>COUNTIFS($A$3:A9228,A972,$B$3:B9228,B972)</f>
        <v>1</v>
      </c>
      <c r="G972" s="116"/>
    </row>
    <row r="973" spans="1:7" x14ac:dyDescent="0.2">
      <c r="A973" s="116">
        <f>IF(ISNUMBER(Tabela2[[#This Row],[CT-e/NFS]])=TRUE,(IF(B973&gt;30000,4,IF(B973&lt;1000,"ND",0))),"-")</f>
        <v>4</v>
      </c>
      <c r="B973" s="116">
        <v>43824</v>
      </c>
      <c r="C973" s="117">
        <v>45218</v>
      </c>
      <c r="D973" s="116">
        <v>162.78</v>
      </c>
      <c r="E973" s="117">
        <v>45350</v>
      </c>
      <c r="F973" s="116">
        <f>COUNTIFS($A$3:A9229,A973,$B$3:B9229,B973)</f>
        <v>1</v>
      </c>
      <c r="G973" s="116"/>
    </row>
    <row r="974" spans="1:7" x14ac:dyDescent="0.2">
      <c r="A974" s="116">
        <f>IF(ISNUMBER(Tabela2[[#This Row],[CT-e/NFS]])=TRUE,(IF(B974&gt;30000,4,IF(B974&lt;1000,"ND",0))),"-")</f>
        <v>4</v>
      </c>
      <c r="B974" s="116">
        <v>44116</v>
      </c>
      <c r="C974" s="117">
        <v>45218</v>
      </c>
      <c r="D974" s="116">
        <v>131.16</v>
      </c>
      <c r="E974" s="117">
        <v>45350</v>
      </c>
      <c r="F974" s="116">
        <f>COUNTIFS($A$3:A9230,A974,$B$3:B9230,B974)</f>
        <v>1</v>
      </c>
      <c r="G974" s="116"/>
    </row>
    <row r="975" spans="1:7" x14ac:dyDescent="0.2">
      <c r="A975" s="116">
        <f>IF(ISNUMBER(Tabela2[[#This Row],[CT-e/NFS]])=TRUE,(IF(B975&gt;30000,4,IF(B975&lt;1000,"ND",0))),"-")</f>
        <v>4</v>
      </c>
      <c r="B975" s="116">
        <v>44095</v>
      </c>
      <c r="C975" s="117">
        <v>45218</v>
      </c>
      <c r="D975" s="116">
        <v>352.14</v>
      </c>
      <c r="E975" s="117">
        <v>45350</v>
      </c>
      <c r="F975" s="116">
        <f>COUNTIFS($A$3:A9231,A975,$B$3:B9231,B975)</f>
        <v>1</v>
      </c>
      <c r="G975" s="116"/>
    </row>
    <row r="976" spans="1:7" x14ac:dyDescent="0.2">
      <c r="A976" s="116">
        <f>IF(ISNUMBER(Tabela2[[#This Row],[CT-e/NFS]])=TRUE,(IF(B976&gt;30000,4,IF(B976&lt;1000,"ND",0))),"-")</f>
        <v>4</v>
      </c>
      <c r="B976" s="116">
        <v>44037</v>
      </c>
      <c r="C976" s="117">
        <v>45218</v>
      </c>
      <c r="D976" s="116">
        <v>135.66999999999999</v>
      </c>
      <c r="E976" s="117">
        <v>45350</v>
      </c>
      <c r="F976" s="116">
        <f>COUNTIFS($A$3:A9232,A976,$B$3:B9232,B976)</f>
        <v>1</v>
      </c>
      <c r="G976" s="116"/>
    </row>
    <row r="977" spans="1:7" x14ac:dyDescent="0.2">
      <c r="A977" s="116">
        <f>IF(ISNUMBER(Tabela2[[#This Row],[CT-e/NFS]])=TRUE,(IF(B977&gt;30000,4,IF(B977&lt;1000,"ND",0))),"-")</f>
        <v>4</v>
      </c>
      <c r="B977" s="116">
        <v>44001</v>
      </c>
      <c r="C977" s="117">
        <v>45218</v>
      </c>
      <c r="D977" s="116">
        <v>127.15</v>
      </c>
      <c r="E977" s="117">
        <v>45350</v>
      </c>
      <c r="F977" s="116">
        <f>COUNTIFS($A$3:A9233,A977,$B$3:B9233,B977)</f>
        <v>1</v>
      </c>
      <c r="G977" s="116"/>
    </row>
    <row r="978" spans="1:7" x14ac:dyDescent="0.2">
      <c r="A978" s="116">
        <f>IF(ISNUMBER(Tabela2[[#This Row],[CT-e/NFS]])=TRUE,(IF(B978&gt;30000,4,IF(B978&lt;1000,"ND",0))),"-")</f>
        <v>4</v>
      </c>
      <c r="B978" s="116">
        <v>44000</v>
      </c>
      <c r="C978" s="117">
        <v>45218</v>
      </c>
      <c r="D978" s="116">
        <v>258.36</v>
      </c>
      <c r="E978" s="117">
        <v>45350</v>
      </c>
      <c r="F978" s="116">
        <f>COUNTIFS($A$3:A9234,A978,$B$3:B9234,B978)</f>
        <v>1</v>
      </c>
      <c r="G978" s="116"/>
    </row>
    <row r="979" spans="1:7" x14ac:dyDescent="0.2">
      <c r="A979" s="116">
        <f>IF(ISNUMBER(Tabela2[[#This Row],[CT-e/NFS]])=TRUE,(IF(B979&gt;30000,4,IF(B979&lt;1000,"ND",0))),"-")</f>
        <v>4</v>
      </c>
      <c r="B979" s="116">
        <v>43979</v>
      </c>
      <c r="C979" s="117">
        <v>45218</v>
      </c>
      <c r="D979" s="116">
        <v>1294.8</v>
      </c>
      <c r="E979" s="117">
        <v>45350</v>
      </c>
      <c r="F979" s="116">
        <f>COUNTIFS($A$3:A9235,A979,$B$3:B9235,B979)</f>
        <v>1</v>
      </c>
      <c r="G979" s="116"/>
    </row>
    <row r="980" spans="1:7" x14ac:dyDescent="0.2">
      <c r="A980" s="116">
        <f>IF(ISNUMBER(Tabela2[[#This Row],[CT-e/NFS]])=TRUE,(IF(B980&gt;30000,4,IF(B980&lt;1000,"ND",0))),"-")</f>
        <v>4</v>
      </c>
      <c r="B980" s="116">
        <v>43927</v>
      </c>
      <c r="C980" s="117">
        <v>45218</v>
      </c>
      <c r="D980" s="116">
        <v>279.91000000000003</v>
      </c>
      <c r="E980" s="117">
        <v>45350</v>
      </c>
      <c r="F980" s="116">
        <f>COUNTIFS($A$3:A9236,A980,$B$3:B9236,B980)</f>
        <v>1</v>
      </c>
      <c r="G980" s="116"/>
    </row>
    <row r="981" spans="1:7" x14ac:dyDescent="0.2">
      <c r="A981" s="116">
        <f>IF(ISNUMBER(Tabela2[[#This Row],[CT-e/NFS]])=TRUE,(IF(B981&gt;30000,4,IF(B981&lt;1000,"ND",0))),"-")</f>
        <v>0</v>
      </c>
      <c r="B981" s="116">
        <v>20426</v>
      </c>
      <c r="C981" s="117">
        <v>45218</v>
      </c>
      <c r="D981" s="116">
        <v>89.01</v>
      </c>
      <c r="E981" s="117">
        <v>45350</v>
      </c>
      <c r="F981" s="116">
        <f>COUNTIFS($A$3:A9237,A981,$B$3:B9237,B981)</f>
        <v>1</v>
      </c>
      <c r="G981" s="116"/>
    </row>
    <row r="982" spans="1:7" x14ac:dyDescent="0.2">
      <c r="A982" s="116">
        <f>IF(ISNUMBER(Tabela2[[#This Row],[CT-e/NFS]])=TRUE,(IF(B982&gt;30000,4,IF(B982&lt;1000,"ND",0))),"-")</f>
        <v>0</v>
      </c>
      <c r="B982" s="116">
        <v>20490</v>
      </c>
      <c r="C982" s="117">
        <v>45218</v>
      </c>
      <c r="D982" s="116">
        <v>522.07000000000005</v>
      </c>
      <c r="E982" s="117">
        <v>45350</v>
      </c>
      <c r="F982" s="116">
        <f>COUNTIFS($A$3:A9238,A982,$B$3:B9238,B982)</f>
        <v>1</v>
      </c>
      <c r="G982" s="116"/>
    </row>
    <row r="983" spans="1:7" x14ac:dyDescent="0.2">
      <c r="A983" s="116">
        <f>IF(ISNUMBER(Tabela2[[#This Row],[CT-e/NFS]])=TRUE,(IF(B983&gt;30000,4,IF(B983&lt;1000,"ND",0))),"-")</f>
        <v>4</v>
      </c>
      <c r="B983" s="116">
        <v>43722</v>
      </c>
      <c r="C983" s="117">
        <v>45204</v>
      </c>
      <c r="D983" s="116">
        <v>442.82</v>
      </c>
      <c r="E983" s="117">
        <v>45350</v>
      </c>
      <c r="F983" s="116">
        <f>COUNTIFS($A$3:A9239,A983,$B$3:B9239,B983)</f>
        <v>1</v>
      </c>
      <c r="G983" s="116"/>
    </row>
    <row r="984" spans="1:7" x14ac:dyDescent="0.2">
      <c r="A984" s="116">
        <f>IF(ISNUMBER(Tabela2[[#This Row],[CT-e/NFS]])=TRUE,(IF(B984&gt;30000,4,IF(B984&lt;1000,"ND",0))),"-")</f>
        <v>4</v>
      </c>
      <c r="B984" s="116">
        <v>43697</v>
      </c>
      <c r="C984" s="117">
        <v>45204</v>
      </c>
      <c r="D984" s="116">
        <v>497.82</v>
      </c>
      <c r="E984" s="117">
        <v>45350</v>
      </c>
      <c r="F984" s="116">
        <f>COUNTIFS($A$3:A9240,A984,$B$3:B9240,B984)</f>
        <v>1</v>
      </c>
      <c r="G984" s="116"/>
    </row>
    <row r="985" spans="1:7" x14ac:dyDescent="0.2">
      <c r="A985" s="116">
        <f>IF(ISNUMBER(Tabela2[[#This Row],[CT-e/NFS]])=TRUE,(IF(B985&gt;30000,4,IF(B985&lt;1000,"ND",0))),"-")</f>
        <v>4</v>
      </c>
      <c r="B985" s="116">
        <v>43621</v>
      </c>
      <c r="C985" s="117">
        <v>45204</v>
      </c>
      <c r="D985" s="116">
        <v>669.42</v>
      </c>
      <c r="E985" s="117">
        <v>45350</v>
      </c>
      <c r="F985" s="116">
        <f>COUNTIFS($A$3:A9241,A985,$B$3:B9241,B985)</f>
        <v>1</v>
      </c>
      <c r="G985" s="116"/>
    </row>
    <row r="986" spans="1:7" x14ac:dyDescent="0.2">
      <c r="A986" s="116">
        <f>IF(ISNUMBER(Tabela2[[#This Row],[CT-e/NFS]])=TRUE,(IF(B986&gt;30000,4,IF(B986&lt;1000,"ND",0))),"-")</f>
        <v>4</v>
      </c>
      <c r="B986" s="116">
        <v>43619</v>
      </c>
      <c r="C986" s="117">
        <v>45204</v>
      </c>
      <c r="D986" s="116">
        <v>140.28</v>
      </c>
      <c r="E986" s="117">
        <v>45350</v>
      </c>
      <c r="F986" s="116">
        <f>COUNTIFS($A$3:A9242,A986,$B$3:B9242,B986)</f>
        <v>1</v>
      </c>
      <c r="G986" s="116"/>
    </row>
    <row r="987" spans="1:7" x14ac:dyDescent="0.2">
      <c r="A987" s="116">
        <f>IF(ISNUMBER(Tabela2[[#This Row],[CT-e/NFS]])=TRUE,(IF(B987&gt;30000,4,IF(B987&lt;1000,"ND",0))),"-")</f>
        <v>4</v>
      </c>
      <c r="B987" s="116">
        <v>43554</v>
      </c>
      <c r="C987" s="117">
        <v>45204</v>
      </c>
      <c r="D987" s="116">
        <v>105.11</v>
      </c>
      <c r="E987" s="117">
        <v>45350</v>
      </c>
      <c r="F987" s="116">
        <f>COUNTIFS($A$3:A9243,A987,$B$3:B9243,B987)</f>
        <v>1</v>
      </c>
      <c r="G987" s="116"/>
    </row>
    <row r="988" spans="1:7" x14ac:dyDescent="0.2">
      <c r="A988" s="116">
        <f>IF(ISNUMBER(Tabela2[[#This Row],[CT-e/NFS]])=TRUE,(IF(B988&gt;30000,4,IF(B988&lt;1000,"ND",0))),"-")</f>
        <v>0</v>
      </c>
      <c r="B988" s="116">
        <v>20356</v>
      </c>
      <c r="C988" s="117">
        <v>45204</v>
      </c>
      <c r="D988" s="116">
        <v>360.41</v>
      </c>
      <c r="E988" s="117">
        <v>45350</v>
      </c>
      <c r="F988" s="116">
        <f>COUNTIFS($A$3:A9244,A988,$B$3:B9244,B988)</f>
        <v>1</v>
      </c>
      <c r="G988" s="116"/>
    </row>
    <row r="989" spans="1:7" x14ac:dyDescent="0.2">
      <c r="A989" s="116">
        <f>IF(ISNUMBER(Tabela2[[#This Row],[CT-e/NFS]])=TRUE,(IF(B989&gt;30000,4,IF(B989&lt;1000,"ND",0))),"-")</f>
        <v>4</v>
      </c>
      <c r="B989" s="116">
        <v>43489</v>
      </c>
      <c r="C989" s="117">
        <v>45204</v>
      </c>
      <c r="D989" s="116">
        <v>703.48</v>
      </c>
      <c r="E989" s="117">
        <v>45350</v>
      </c>
      <c r="F989" s="116">
        <f>COUNTIFS($A$3:A9245,A989,$B$3:B9245,B989)</f>
        <v>1</v>
      </c>
      <c r="G989" s="116"/>
    </row>
    <row r="990" spans="1:7" x14ac:dyDescent="0.2">
      <c r="A990" s="116">
        <f>IF(ISNUMBER(Tabela2[[#This Row],[CT-e/NFS]])=TRUE,(IF(B990&gt;30000,4,IF(B990&lt;1000,"ND",0))),"-")</f>
        <v>4</v>
      </c>
      <c r="B990" s="116">
        <v>43461</v>
      </c>
      <c r="C990" s="117">
        <v>45204</v>
      </c>
      <c r="D990" s="116">
        <v>450.45</v>
      </c>
      <c r="E990" s="117">
        <v>45350</v>
      </c>
      <c r="F990" s="116">
        <f>COUNTIFS($A$3:A9246,A990,$B$3:B9246,B990)</f>
        <v>1</v>
      </c>
      <c r="G990" s="116"/>
    </row>
    <row r="991" spans="1:7" x14ac:dyDescent="0.2">
      <c r="A991" s="116">
        <f>IF(ISNUMBER(Tabela2[[#This Row],[CT-e/NFS]])=TRUE,(IF(B991&gt;30000,4,IF(B991&lt;1000,"ND",0))),"-")</f>
        <v>4</v>
      </c>
      <c r="B991" s="116">
        <v>43458</v>
      </c>
      <c r="C991" s="117">
        <v>45204</v>
      </c>
      <c r="D991" s="116">
        <v>249.3</v>
      </c>
      <c r="E991" s="117">
        <v>45350</v>
      </c>
      <c r="F991" s="116">
        <f>COUNTIFS($A$3:A9247,A991,$B$3:B9247,B991)</f>
        <v>1</v>
      </c>
      <c r="G991" s="116"/>
    </row>
    <row r="992" spans="1:7" x14ac:dyDescent="0.2">
      <c r="A992" s="116">
        <f>IF(ISNUMBER(Tabela2[[#This Row],[CT-e/NFS]])=TRUE,(IF(B992&gt;30000,4,IF(B992&lt;1000,"ND",0))),"-")</f>
        <v>4</v>
      </c>
      <c r="B992" s="116">
        <v>43454</v>
      </c>
      <c r="C992" s="117">
        <v>45204</v>
      </c>
      <c r="D992" s="116">
        <v>532.65</v>
      </c>
      <c r="E992" s="117">
        <v>45350</v>
      </c>
      <c r="F992" s="116">
        <f>COUNTIFS($A$3:A9248,A992,$B$3:B9248,B992)</f>
        <v>1</v>
      </c>
      <c r="G992" s="116"/>
    </row>
    <row r="993" spans="1:7" x14ac:dyDescent="0.2">
      <c r="A993" s="116">
        <f>IF(ISNUMBER(Tabela2[[#This Row],[CT-e/NFS]])=TRUE,(IF(B993&gt;30000,4,IF(B993&lt;1000,"ND",0))),"-")</f>
        <v>4</v>
      </c>
      <c r="B993" s="116">
        <v>43433</v>
      </c>
      <c r="C993" s="117">
        <v>45204</v>
      </c>
      <c r="D993" s="116">
        <v>566.59</v>
      </c>
      <c r="E993" s="117">
        <v>45350</v>
      </c>
      <c r="F993" s="116">
        <f>COUNTIFS($A$3:A9249,A993,$B$3:B9249,B993)</f>
        <v>1</v>
      </c>
      <c r="G993" s="116"/>
    </row>
    <row r="994" spans="1:7" x14ac:dyDescent="0.2">
      <c r="A994" s="116">
        <f>IF(ISNUMBER(Tabela2[[#This Row],[CT-e/NFS]])=TRUE,(IF(B994&gt;30000,4,IF(B994&lt;1000,"ND",0))),"-")</f>
        <v>4</v>
      </c>
      <c r="B994" s="116">
        <v>43414</v>
      </c>
      <c r="C994" s="117">
        <v>45204</v>
      </c>
      <c r="D994" s="116">
        <v>398.1</v>
      </c>
      <c r="E994" s="117">
        <v>45350</v>
      </c>
      <c r="F994" s="116">
        <f>COUNTIFS($A$3:A9250,A994,$B$3:B9250,B994)</f>
        <v>1</v>
      </c>
      <c r="G994" s="116"/>
    </row>
    <row r="995" spans="1:7" x14ac:dyDescent="0.2">
      <c r="A995" s="116">
        <f>IF(ISNUMBER(Tabela2[[#This Row],[CT-e/NFS]])=TRUE,(IF(B995&gt;30000,4,IF(B995&lt;1000,"ND",0))),"-")</f>
        <v>4</v>
      </c>
      <c r="B995" s="116">
        <v>43392</v>
      </c>
      <c r="C995" s="117">
        <v>45204</v>
      </c>
      <c r="D995" s="116">
        <v>362.92</v>
      </c>
      <c r="E995" s="117">
        <v>45350</v>
      </c>
      <c r="F995" s="116">
        <f>COUNTIFS($A$3:A9251,A995,$B$3:B9251,B995)</f>
        <v>1</v>
      </c>
      <c r="G995" s="116"/>
    </row>
    <row r="996" spans="1:7" x14ac:dyDescent="0.2">
      <c r="A996" s="116">
        <f>IF(ISNUMBER(Tabela2[[#This Row],[CT-e/NFS]])=TRUE,(IF(B996&gt;30000,4,IF(B996&lt;1000,"ND",0))),"-")</f>
        <v>4</v>
      </c>
      <c r="B996" s="116">
        <v>43391</v>
      </c>
      <c r="C996" s="117">
        <v>45204</v>
      </c>
      <c r="D996" s="116">
        <v>181.47</v>
      </c>
      <c r="E996" s="117">
        <v>45350</v>
      </c>
      <c r="F996" s="116">
        <f>COUNTIFS($A$3:A9252,A996,$B$3:B9252,B996)</f>
        <v>1</v>
      </c>
      <c r="G996" s="116"/>
    </row>
    <row r="997" spans="1:7" x14ac:dyDescent="0.2">
      <c r="A997" s="116">
        <f>IF(ISNUMBER(Tabela2[[#This Row],[CT-e/NFS]])=TRUE,(IF(B997&gt;30000,4,IF(B997&lt;1000,"ND",0))),"-")</f>
        <v>4</v>
      </c>
      <c r="B997" s="116">
        <v>45737</v>
      </c>
      <c r="C997" s="117">
        <v>45343</v>
      </c>
      <c r="D997" s="116">
        <v>1082.1400000000001</v>
      </c>
      <c r="E997" s="117">
        <v>45350</v>
      </c>
      <c r="F997" s="116">
        <f>COUNTIFS($A$3:A9253,A997,$B$3:B9253,B997)</f>
        <v>1</v>
      </c>
      <c r="G997" s="116"/>
    </row>
    <row r="998" spans="1:7" x14ac:dyDescent="0.2">
      <c r="A998" s="116">
        <f>IF(ISNUMBER(Tabela2[[#This Row],[CT-e/NFS]])=TRUE,(IF(B998&gt;30000,4,IF(B998&lt;1000,"ND",0))),"-")</f>
        <v>4</v>
      </c>
      <c r="B998" s="116">
        <v>45832</v>
      </c>
      <c r="C998" s="117">
        <v>45343</v>
      </c>
      <c r="D998" s="116">
        <v>702.74</v>
      </c>
      <c r="E998" s="117">
        <v>45350</v>
      </c>
      <c r="F998" s="116">
        <f>COUNTIFS($A$3:A9254,A998,$B$3:B9254,B998)</f>
        <v>1</v>
      </c>
      <c r="G998" s="116"/>
    </row>
    <row r="999" spans="1:7" x14ac:dyDescent="0.2">
      <c r="A999" s="116">
        <f>IF(ISNUMBER(Tabela2[[#This Row],[CT-e/NFS]])=TRUE,(IF(B999&gt;30000,4,IF(B999&lt;1000,"ND",0))),"-")</f>
        <v>4</v>
      </c>
      <c r="B999" s="116">
        <v>45891</v>
      </c>
      <c r="C999" s="117">
        <v>45343</v>
      </c>
      <c r="D999" s="116">
        <v>396.45</v>
      </c>
      <c r="E999" s="117">
        <v>45350</v>
      </c>
      <c r="F999" s="116">
        <f>COUNTIFS($A$3:A9255,A999,$B$3:B9255,B999)</f>
        <v>1</v>
      </c>
      <c r="G999" s="116"/>
    </row>
    <row r="1000" spans="1:7" x14ac:dyDescent="0.2">
      <c r="A1000" s="116">
        <f>IF(ISNUMBER(Tabela2[[#This Row],[CT-e/NFS]])=TRUE,(IF(B1000&gt;30000,4,IF(B1000&lt;1000,"ND",0))),"-")</f>
        <v>4</v>
      </c>
      <c r="B1000" s="116">
        <v>45912</v>
      </c>
      <c r="C1000" s="117">
        <v>45343</v>
      </c>
      <c r="D1000" s="116">
        <v>852.84</v>
      </c>
      <c r="E1000" s="117">
        <v>45350</v>
      </c>
      <c r="F1000" s="116">
        <f>COUNTIFS($A$3:A9256,A1000,$B$3:B9256,B1000)</f>
        <v>1</v>
      </c>
      <c r="G1000" s="116"/>
    </row>
    <row r="1001" spans="1:7" x14ac:dyDescent="0.2">
      <c r="A1001" s="116">
        <f>IF(ISNUMBER(Tabela2[[#This Row],[CT-e/NFS]])=TRUE,(IF(B1001&gt;30000,4,IF(B1001&lt;1000,"ND",0))),"-")</f>
        <v>4</v>
      </c>
      <c r="B1001" s="116">
        <v>46258</v>
      </c>
      <c r="C1001" s="117">
        <v>45344</v>
      </c>
      <c r="D1001" s="116">
        <v>243.03</v>
      </c>
      <c r="E1001" s="117">
        <v>45350</v>
      </c>
      <c r="F1001" s="116">
        <f>COUNTIFS($A$3:A9257,A1001,$B$3:B9257,B1001)</f>
        <v>1</v>
      </c>
      <c r="G1001" s="116"/>
    </row>
    <row r="1002" spans="1:7" x14ac:dyDescent="0.2">
      <c r="A1002" s="116">
        <f>IF(ISNUMBER(Tabela2[[#This Row],[CT-e/NFS]])=TRUE,(IF(B1002&gt;30000,4,IF(B1002&lt;1000,"ND",0))),"-")</f>
        <v>4</v>
      </c>
      <c r="B1002" s="116">
        <v>46230</v>
      </c>
      <c r="C1002" s="117">
        <v>45344</v>
      </c>
      <c r="D1002" s="116">
        <v>130.72</v>
      </c>
      <c r="E1002" s="117">
        <v>45350</v>
      </c>
      <c r="F1002" s="116">
        <f>COUNTIFS($A$3:A9258,A1002,$B$3:B9258,B1002)</f>
        <v>1</v>
      </c>
      <c r="G1002" s="116"/>
    </row>
    <row r="1003" spans="1:7" x14ac:dyDescent="0.2">
      <c r="A1003" s="116">
        <f>IF(ISNUMBER(Tabela2[[#This Row],[CT-e/NFS]])=TRUE,(IF(B1003&gt;30000,4,IF(B1003&lt;1000,"ND",0))),"-")</f>
        <v>4</v>
      </c>
      <c r="B1003" s="116">
        <v>46229</v>
      </c>
      <c r="C1003" s="117">
        <v>45344</v>
      </c>
      <c r="D1003" s="116">
        <v>152.80000000000001</v>
      </c>
      <c r="E1003" s="117">
        <v>45350</v>
      </c>
      <c r="F1003" s="116">
        <f>COUNTIFS($A$3:A9259,A1003,$B$3:B9259,B1003)</f>
        <v>1</v>
      </c>
      <c r="G1003" s="116"/>
    </row>
    <row r="1004" spans="1:7" x14ac:dyDescent="0.2">
      <c r="A1004" s="116">
        <f>IF(ISNUMBER(Tabela2[[#This Row],[CT-e/NFS]])=TRUE,(IF(B1004&gt;30000,4,IF(B1004&lt;1000,"ND",0))),"-")</f>
        <v>4</v>
      </c>
      <c r="B1004" s="116">
        <v>46157</v>
      </c>
      <c r="C1004" s="117">
        <v>45344</v>
      </c>
      <c r="D1004" s="116">
        <v>167.72</v>
      </c>
      <c r="E1004" s="117">
        <v>45350</v>
      </c>
      <c r="F1004" s="116">
        <f>COUNTIFS($A$3:A9260,A1004,$B$3:B9260,B1004)</f>
        <v>1</v>
      </c>
      <c r="G1004" s="116"/>
    </row>
    <row r="1005" spans="1:7" x14ac:dyDescent="0.2">
      <c r="A1005" s="116">
        <f>IF(ISNUMBER(Tabela2[[#This Row],[CT-e/NFS]])=TRUE,(IF(B1005&gt;30000,4,IF(B1005&lt;1000,"ND",0))),"-")</f>
        <v>4</v>
      </c>
      <c r="B1005" s="116">
        <v>46153</v>
      </c>
      <c r="C1005" s="117">
        <v>45344</v>
      </c>
      <c r="D1005" s="116">
        <v>396.45</v>
      </c>
      <c r="E1005" s="117">
        <v>45350</v>
      </c>
      <c r="F1005" s="116">
        <f>COUNTIFS($A$3:A9261,A1005,$B$3:B9261,B1005)</f>
        <v>1</v>
      </c>
      <c r="G1005" s="116"/>
    </row>
    <row r="1006" spans="1:7" x14ac:dyDescent="0.2">
      <c r="A1006" s="116">
        <f>IF(ISNUMBER(Tabela2[[#This Row],[CT-e/NFS]])=TRUE,(IF(B1006&gt;30000,4,IF(B1006&lt;1000,"ND",0))),"-")</f>
        <v>4</v>
      </c>
      <c r="B1006" s="116">
        <v>46142</v>
      </c>
      <c r="C1006" s="117">
        <v>45344</v>
      </c>
      <c r="D1006" s="116">
        <v>672.35</v>
      </c>
      <c r="E1006" s="117">
        <v>45350</v>
      </c>
      <c r="F1006" s="116">
        <f>COUNTIFS($A$3:A9262,A1006,$B$3:B9262,B1006)</f>
        <v>1</v>
      </c>
      <c r="G1006" s="116"/>
    </row>
    <row r="1007" spans="1:7" x14ac:dyDescent="0.2">
      <c r="A1007" s="116">
        <f>IF(ISNUMBER(Tabela2[[#This Row],[CT-e/NFS]])=TRUE,(IF(B1007&gt;30000,4,IF(B1007&lt;1000,"ND",0))),"-")</f>
        <v>4</v>
      </c>
      <c r="B1007" s="116">
        <v>46141</v>
      </c>
      <c r="C1007" s="117">
        <v>45344</v>
      </c>
      <c r="D1007" s="116">
        <v>563.76</v>
      </c>
      <c r="E1007" s="117">
        <v>45350</v>
      </c>
      <c r="F1007" s="116">
        <f>COUNTIFS($A$3:A9263,A1007,$B$3:B9263,B1007)</f>
        <v>1</v>
      </c>
      <c r="G1007" s="116"/>
    </row>
    <row r="1008" spans="1:7" x14ac:dyDescent="0.2">
      <c r="A1008" s="116">
        <f>IF(ISNUMBER(Tabela2[[#This Row],[CT-e/NFS]])=TRUE,(IF(B1008&gt;30000,4,IF(B1008&lt;1000,"ND",0))),"-")</f>
        <v>4</v>
      </c>
      <c r="B1008" s="116">
        <v>46094</v>
      </c>
      <c r="C1008" s="117">
        <v>45344</v>
      </c>
      <c r="D1008" s="116">
        <v>532.65</v>
      </c>
      <c r="E1008" s="117">
        <v>45350</v>
      </c>
      <c r="F1008" s="116">
        <f>COUNTIFS($A$3:A9264,A1008,$B$3:B9264,B1008)</f>
        <v>1</v>
      </c>
      <c r="G1008" s="116"/>
    </row>
    <row r="1009" spans="1:7" x14ac:dyDescent="0.2">
      <c r="A1009" s="116">
        <f>IF(ISNUMBER(Tabela2[[#This Row],[CT-e/NFS]])=TRUE,(IF(B1009&gt;30000,4,IF(B1009&lt;1000,"ND",0))),"-")</f>
        <v>0</v>
      </c>
      <c r="B1009" s="116">
        <v>21173</v>
      </c>
      <c r="C1009" s="117">
        <v>45344</v>
      </c>
      <c r="D1009" s="116">
        <v>470.73</v>
      </c>
      <c r="E1009" s="117">
        <v>45350</v>
      </c>
      <c r="F1009" s="116">
        <f>COUNTIFS($A$3:A9265,A1009,$B$3:B9265,B1009)</f>
        <v>1</v>
      </c>
      <c r="G1009" s="116"/>
    </row>
    <row r="1010" spans="1:7" x14ac:dyDescent="0.2">
      <c r="A1010" s="116">
        <f>IF(ISNUMBER(Tabela2[[#This Row],[CT-e/NFS]])=TRUE,(IF(B1010&gt;30000,4,IF(B1010&lt;1000,"ND",0))),"-")</f>
        <v>0</v>
      </c>
      <c r="B1010" s="116">
        <v>21174</v>
      </c>
      <c r="C1010" s="117">
        <v>45344</v>
      </c>
      <c r="D1010" s="116">
        <v>522.34</v>
      </c>
      <c r="E1010" s="117">
        <v>45350</v>
      </c>
      <c r="F1010" s="116">
        <f>COUNTIFS($A$3:A9266,A1010,$B$3:B9266,B1010)</f>
        <v>1</v>
      </c>
      <c r="G1010" s="116"/>
    </row>
    <row r="1011" spans="1:7" x14ac:dyDescent="0.2">
      <c r="A1011" s="116">
        <f>IF(ISNUMBER(Tabela2[[#This Row],[CT-e/NFS]])=TRUE,(IF(B1011&gt;30000,4,IF(B1011&lt;1000,"ND",0))),"-")</f>
        <v>4</v>
      </c>
      <c r="B1011" s="116">
        <v>45961</v>
      </c>
      <c r="C1011" s="117">
        <v>45352</v>
      </c>
      <c r="D1011" s="116">
        <v>721.34</v>
      </c>
      <c r="E1011" s="117">
        <v>45366</v>
      </c>
      <c r="F1011" s="116">
        <f>COUNTIFS($A$3:A9267,A1011,$B$3:B9267,B1011)</f>
        <v>1</v>
      </c>
      <c r="G1011" s="116"/>
    </row>
    <row r="1012" spans="1:7" x14ac:dyDescent="0.2">
      <c r="A1012" s="116">
        <f>IF(ISNUMBER(Tabela2[[#This Row],[CT-e/NFS]])=TRUE,(IF(B1012&gt;30000,4,IF(B1012&lt;1000,"ND",0))),"-")</f>
        <v>4</v>
      </c>
      <c r="B1012" s="116">
        <v>45962</v>
      </c>
      <c r="C1012" s="117">
        <v>45352</v>
      </c>
      <c r="D1012" s="116">
        <v>1302.92</v>
      </c>
      <c r="E1012" s="117">
        <v>45366</v>
      </c>
      <c r="F1012" s="116">
        <f>COUNTIFS($A$3:A9268,A1012,$B$3:B9268,B1012)</f>
        <v>1</v>
      </c>
      <c r="G1012" s="116"/>
    </row>
    <row r="1013" spans="1:7" x14ac:dyDescent="0.2">
      <c r="A1013" s="116">
        <f>IF(ISNUMBER(Tabela2[[#This Row],[CT-e/NFS]])=TRUE,(IF(B1013&gt;30000,4,IF(B1013&lt;1000,"ND",0))),"-")</f>
        <v>4</v>
      </c>
      <c r="B1013" s="116">
        <v>45925</v>
      </c>
      <c r="C1013" s="117">
        <v>45352</v>
      </c>
      <c r="D1013" s="116">
        <v>124.05</v>
      </c>
      <c r="E1013" s="117">
        <v>45366</v>
      </c>
      <c r="F1013" s="116">
        <f>COUNTIFS($A$3:A9269,A1013,$B$3:B9269,B1013)</f>
        <v>1</v>
      </c>
      <c r="G1013" s="116"/>
    </row>
    <row r="1014" spans="1:7" x14ac:dyDescent="0.2">
      <c r="A1014" s="116">
        <f>IF(ISNUMBER(Tabela2[[#This Row],[CT-e/NFS]])=TRUE,(IF(B1014&gt;30000,4,IF(B1014&lt;1000,"ND",0))),"-")</f>
        <v>4</v>
      </c>
      <c r="B1014" s="116">
        <v>45958</v>
      </c>
      <c r="C1014" s="117">
        <v>45352</v>
      </c>
      <c r="D1014" s="116">
        <v>416.14</v>
      </c>
      <c r="E1014" s="117">
        <v>45366</v>
      </c>
      <c r="F1014" s="116">
        <f>COUNTIFS($A$3:A9270,A1014,$B$3:B9270,B1014)</f>
        <v>1</v>
      </c>
      <c r="G1014" s="116"/>
    </row>
    <row r="1015" spans="1:7" x14ac:dyDescent="0.2">
      <c r="A1015" s="116">
        <f>IF(ISNUMBER(Tabela2[[#This Row],[CT-e/NFS]])=TRUE,(IF(B1015&gt;30000,4,IF(B1015&lt;1000,"ND",0))),"-")</f>
        <v>4</v>
      </c>
      <c r="B1015" s="116">
        <v>46321</v>
      </c>
      <c r="C1015" s="117">
        <v>45358</v>
      </c>
      <c r="D1015" s="116">
        <v>152.80000000000001</v>
      </c>
      <c r="E1015" s="117">
        <v>45366</v>
      </c>
      <c r="F1015" s="116">
        <f>COUNTIFS($A$3:A9271,A1015,$B$3:B9271,B1015)</f>
        <v>1</v>
      </c>
      <c r="G1015" s="116"/>
    </row>
    <row r="1016" spans="1:7" x14ac:dyDescent="0.2">
      <c r="A1016" s="116">
        <f>IF(ISNUMBER(Tabela2[[#This Row],[CT-e/NFS]])=TRUE,(IF(B1016&gt;30000,4,IF(B1016&lt;1000,"ND",0))),"-")</f>
        <v>4</v>
      </c>
      <c r="B1016" s="116">
        <v>46322</v>
      </c>
      <c r="C1016" s="117">
        <v>45358</v>
      </c>
      <c r="D1016" s="116">
        <v>125.43</v>
      </c>
      <c r="E1016" s="117">
        <v>45366</v>
      </c>
      <c r="F1016" s="116">
        <f>COUNTIFS($A$3:A9272,A1016,$B$3:B9272,B1016)</f>
        <v>1</v>
      </c>
      <c r="G1016" s="116"/>
    </row>
    <row r="1017" spans="1:7" x14ac:dyDescent="0.2">
      <c r="A1017" s="116">
        <f>IF(ISNUMBER(Tabela2[[#This Row],[CT-e/NFS]])=TRUE,(IF(B1017&gt;30000,4,IF(B1017&lt;1000,"ND",0))),"-")</f>
        <v>4</v>
      </c>
      <c r="B1017" s="116">
        <v>46368</v>
      </c>
      <c r="C1017" s="117">
        <v>45358</v>
      </c>
      <c r="D1017" s="116">
        <v>979.52</v>
      </c>
      <c r="E1017" s="117">
        <v>45366</v>
      </c>
      <c r="F1017" s="116">
        <f>COUNTIFS($A$3:A9273,A1017,$B$3:B9273,B1017)</f>
        <v>1</v>
      </c>
      <c r="G1017" s="116"/>
    </row>
    <row r="1018" spans="1:7" x14ac:dyDescent="0.2">
      <c r="A1018" s="116">
        <f>IF(ISNUMBER(Tabela2[[#This Row],[CT-e/NFS]])=TRUE,(IF(B1018&gt;30000,4,IF(B1018&lt;1000,"ND",0))),"-")</f>
        <v>4</v>
      </c>
      <c r="B1018" s="116">
        <v>46394</v>
      </c>
      <c r="C1018" s="117">
        <v>45358</v>
      </c>
      <c r="D1018" s="116">
        <v>442.82</v>
      </c>
      <c r="E1018" s="117">
        <v>45366</v>
      </c>
      <c r="F1018" s="116">
        <f>COUNTIFS($A$3:A9274,A1018,$B$3:B9274,B1018)</f>
        <v>1</v>
      </c>
      <c r="G1018" s="116"/>
    </row>
    <row r="1019" spans="1:7" x14ac:dyDescent="0.2">
      <c r="A1019" s="116">
        <f>IF(ISNUMBER(Tabela2[[#This Row],[CT-e/NFS]])=TRUE,(IF(B1019&gt;30000,4,IF(B1019&lt;1000,"ND",0))),"-")</f>
        <v>4</v>
      </c>
      <c r="B1019" s="116">
        <v>46395</v>
      </c>
      <c r="C1019" s="117">
        <v>45358</v>
      </c>
      <c r="D1019" s="116">
        <v>450.45</v>
      </c>
      <c r="E1019" s="117">
        <v>45366</v>
      </c>
      <c r="F1019" s="116">
        <f>COUNTIFS($A$3:A9275,A1019,$B$3:B9275,B1019)</f>
        <v>1</v>
      </c>
      <c r="G1019" s="116"/>
    </row>
    <row r="1020" spans="1:7" x14ac:dyDescent="0.2">
      <c r="A1020" s="116">
        <f>IF(ISNUMBER(Tabela2[[#This Row],[CT-e/NFS]])=TRUE,(IF(B1020&gt;30000,4,IF(B1020&lt;1000,"ND",0))),"-")</f>
        <v>4</v>
      </c>
      <c r="B1020" s="116">
        <v>46428</v>
      </c>
      <c r="C1020" s="117">
        <v>45358</v>
      </c>
      <c r="D1020" s="116">
        <v>152.80000000000001</v>
      </c>
      <c r="E1020" s="117">
        <v>45366</v>
      </c>
      <c r="F1020" s="116">
        <f>COUNTIFS($A$3:A9276,A1020,$B$3:B9276,B1020)</f>
        <v>1</v>
      </c>
      <c r="G1020" s="116"/>
    </row>
    <row r="1021" spans="1:7" x14ac:dyDescent="0.2">
      <c r="A1021" s="116">
        <f>IF(ISNUMBER(Tabela2[[#This Row],[CT-e/NFS]])=TRUE,(IF(B1021&gt;30000,4,IF(B1021&lt;1000,"ND",0))),"-")</f>
        <v>4</v>
      </c>
      <c r="B1021" s="116">
        <v>46434</v>
      </c>
      <c r="C1021" s="117">
        <v>45358</v>
      </c>
      <c r="D1021" s="116">
        <v>201.08</v>
      </c>
      <c r="E1021" s="117">
        <v>45366</v>
      </c>
      <c r="F1021" s="116">
        <f>COUNTIFS($A$3:A9277,A1021,$B$3:B9277,B1021)</f>
        <v>1</v>
      </c>
      <c r="G1021" s="116"/>
    </row>
    <row r="1022" spans="1:7" x14ac:dyDescent="0.2">
      <c r="A1022" s="116">
        <f>IF(ISNUMBER(Tabela2[[#This Row],[CT-e/NFS]])=TRUE,(IF(B1022&gt;30000,4,IF(B1022&lt;1000,"ND",0))),"-")</f>
        <v>4</v>
      </c>
      <c r="B1022" s="116">
        <v>46435</v>
      </c>
      <c r="C1022" s="117">
        <v>45358</v>
      </c>
      <c r="D1022" s="116">
        <v>243.03</v>
      </c>
      <c r="E1022" s="117">
        <v>45366</v>
      </c>
      <c r="F1022" s="116">
        <f>COUNTIFS($A$3:A9278,A1022,$B$3:B9278,B1022)</f>
        <v>1</v>
      </c>
      <c r="G1022" s="116"/>
    </row>
    <row r="1023" spans="1:7" x14ac:dyDescent="0.2">
      <c r="A1023" s="116">
        <f>IF(ISNUMBER(Tabela2[[#This Row],[CT-e/NFS]])=TRUE,(IF(B1023&gt;30000,4,IF(B1023&lt;1000,"ND",0))),"-")</f>
        <v>4</v>
      </c>
      <c r="B1023" s="116">
        <v>46441</v>
      </c>
      <c r="C1023" s="117">
        <v>45358</v>
      </c>
      <c r="D1023" s="116">
        <v>135.63</v>
      </c>
      <c r="E1023" s="117">
        <v>45366</v>
      </c>
      <c r="F1023" s="116">
        <f>COUNTIFS($A$3:A9279,A1023,$B$3:B9279,B1023)</f>
        <v>1</v>
      </c>
      <c r="G1023" s="116"/>
    </row>
    <row r="1024" spans="1:7" x14ac:dyDescent="0.2">
      <c r="A1024" s="116">
        <f>IF(ISNUMBER(Tabela2[[#This Row],[CT-e/NFS]])=TRUE,(IF(B1024&gt;30000,4,IF(B1024&lt;1000,"ND",0))),"-")</f>
        <v>4</v>
      </c>
      <c r="B1024" s="116">
        <v>46455</v>
      </c>
      <c r="C1024" s="117">
        <v>45358</v>
      </c>
      <c r="D1024" s="116">
        <v>130.72</v>
      </c>
      <c r="E1024" s="117">
        <v>45366</v>
      </c>
      <c r="F1024" s="116">
        <f>COUNTIFS($A$3:A9280,A1024,$B$3:B9280,B1024)</f>
        <v>1</v>
      </c>
      <c r="G1024" s="116"/>
    </row>
    <row r="1025" spans="1:7" x14ac:dyDescent="0.2">
      <c r="A1025" s="116">
        <f>IF(ISNUMBER(Tabela2[[#This Row],[CT-e/NFS]])=TRUE,(IF(B1025&gt;30000,4,IF(B1025&lt;1000,"ND",0))),"-")</f>
        <v>4</v>
      </c>
      <c r="B1025" s="116">
        <v>45977</v>
      </c>
      <c r="C1025" s="117">
        <v>45362</v>
      </c>
      <c r="D1025" s="116">
        <v>1137.73</v>
      </c>
      <c r="E1025" s="117">
        <v>45366</v>
      </c>
      <c r="F1025" s="116">
        <f>COUNTIFS($A$3:A9281,A1025,$B$3:B9281,B1025)</f>
        <v>1</v>
      </c>
      <c r="G1025" s="116"/>
    </row>
    <row r="1026" spans="1:7" x14ac:dyDescent="0.2">
      <c r="A1026" s="116">
        <f>IF(ISNUMBER(Tabela2[[#This Row],[CT-e/NFS]])=TRUE,(IF(B1026&gt;30000,4,IF(B1026&lt;1000,"ND",0))),"-")</f>
        <v>4</v>
      </c>
      <c r="B1026" s="116">
        <v>45970</v>
      </c>
      <c r="C1026" s="117">
        <v>45362</v>
      </c>
      <c r="D1026" s="116">
        <v>358.26</v>
      </c>
      <c r="E1026" s="117">
        <v>45366</v>
      </c>
      <c r="F1026" s="116">
        <f>COUNTIFS($A$3:A9282,A1026,$B$3:B9282,B1026)</f>
        <v>1</v>
      </c>
      <c r="G1026" s="116"/>
    </row>
    <row r="1027" spans="1:7" x14ac:dyDescent="0.2">
      <c r="A1027" s="116">
        <f>IF(ISNUMBER(Tabela2[[#This Row],[CT-e/NFS]])=TRUE,(IF(B1027&gt;30000,4,IF(B1027&lt;1000,"ND",0))),"-")</f>
        <v>4</v>
      </c>
      <c r="B1027" s="116">
        <v>45968</v>
      </c>
      <c r="C1027" s="117">
        <v>45362</v>
      </c>
      <c r="D1027" s="116">
        <v>125.48</v>
      </c>
      <c r="E1027" s="117">
        <v>45366</v>
      </c>
      <c r="F1027" s="116">
        <f>COUNTIFS($A$3:A9283,A1027,$B$3:B9283,B1027)</f>
        <v>1</v>
      </c>
      <c r="G1027" s="116"/>
    </row>
    <row r="1028" spans="1:7" x14ac:dyDescent="0.2">
      <c r="A1028" s="116">
        <f>IF(ISNUMBER(Tabela2[[#This Row],[CT-e/NFS]])=TRUE,(IF(B1028&gt;30000,4,IF(B1028&lt;1000,"ND",0))),"-")</f>
        <v>4</v>
      </c>
      <c r="B1028" s="116">
        <v>45972</v>
      </c>
      <c r="C1028" s="117">
        <v>45362</v>
      </c>
      <c r="D1028" s="116">
        <v>246.33</v>
      </c>
      <c r="E1028" s="117">
        <v>45366</v>
      </c>
      <c r="F1028" s="116">
        <f>COUNTIFS($A$3:A9284,A1028,$B$3:B9284,B1028)</f>
        <v>1</v>
      </c>
      <c r="G1028" s="116"/>
    </row>
    <row r="1029" spans="1:7" x14ac:dyDescent="0.2">
      <c r="A1029" s="116">
        <f>IF(ISNUMBER(Tabela2[[#This Row],[CT-e/NFS]])=TRUE,(IF(B1029&gt;30000,4,IF(B1029&lt;1000,"ND",0))),"-")</f>
        <v>4</v>
      </c>
      <c r="B1029" s="116">
        <v>45969</v>
      </c>
      <c r="C1029" s="117">
        <v>45362</v>
      </c>
      <c r="D1029" s="116">
        <v>123.28</v>
      </c>
      <c r="E1029" s="117">
        <v>45366</v>
      </c>
      <c r="F1029" s="116">
        <f>COUNTIFS($A$3:A9285,A1029,$B$3:B9285,B1029)</f>
        <v>1</v>
      </c>
      <c r="G1029" s="116"/>
    </row>
    <row r="1030" spans="1:7" x14ac:dyDescent="0.2">
      <c r="A1030" s="116">
        <f>IF(ISNUMBER(Tabela2[[#This Row],[CT-e/NFS]])=TRUE,(IF(B1030&gt;30000,4,IF(B1030&lt;1000,"ND",0))),"-")</f>
        <v>4</v>
      </c>
      <c r="B1030" s="116">
        <v>45975</v>
      </c>
      <c r="C1030" s="117">
        <v>45362</v>
      </c>
      <c r="D1030" s="116">
        <v>389.69</v>
      </c>
      <c r="E1030" s="117">
        <v>45366</v>
      </c>
      <c r="F1030" s="116">
        <f>COUNTIFS($A$3:A9286,A1030,$B$3:B9286,B1030)</f>
        <v>1</v>
      </c>
      <c r="G1030" s="116"/>
    </row>
    <row r="1031" spans="1:7" x14ac:dyDescent="0.2">
      <c r="A1031" s="116">
        <f>IF(ISNUMBER(Tabela2[[#This Row],[CT-e/NFS]])=TRUE,(IF(B1031&gt;30000,4,IF(B1031&lt;1000,"ND",0))),"-")</f>
        <v>4</v>
      </c>
      <c r="B1031" s="116">
        <v>45965</v>
      </c>
      <c r="C1031" s="117">
        <v>45362</v>
      </c>
      <c r="D1031" s="116">
        <v>243.8</v>
      </c>
      <c r="E1031" s="117">
        <v>45366</v>
      </c>
      <c r="F1031" s="116">
        <f>COUNTIFS($A$3:A9287,A1031,$B$3:B9287,B1031)</f>
        <v>1</v>
      </c>
      <c r="G1031" s="116"/>
    </row>
    <row r="1032" spans="1:7" x14ac:dyDescent="0.2">
      <c r="A1032" s="116">
        <f>IF(ISNUMBER(Tabela2[[#This Row],[CT-e/NFS]])=TRUE,(IF(B1032&gt;30000,4,IF(B1032&lt;1000,"ND",0))),"-")</f>
        <v>4</v>
      </c>
      <c r="B1032" s="116">
        <v>45973</v>
      </c>
      <c r="C1032" s="117">
        <v>45362</v>
      </c>
      <c r="D1032" s="116">
        <v>124.65</v>
      </c>
      <c r="E1032" s="117">
        <v>45366</v>
      </c>
      <c r="F1032" s="116">
        <f>COUNTIFS($A$3:A9288,A1032,$B$3:B9288,B1032)</f>
        <v>1</v>
      </c>
      <c r="G1032" s="116"/>
    </row>
    <row r="1033" spans="1:7" x14ac:dyDescent="0.2">
      <c r="A1033" s="116">
        <f>IF(ISNUMBER(Tabela2[[#This Row],[CT-e/NFS]])=TRUE,(IF(B1033&gt;30000,4,IF(B1033&lt;1000,"ND",0))),"-")</f>
        <v>4</v>
      </c>
      <c r="B1033" s="116">
        <v>45967</v>
      </c>
      <c r="C1033" s="117">
        <v>45362</v>
      </c>
      <c r="D1033" s="116">
        <v>242.3</v>
      </c>
      <c r="E1033" s="117">
        <v>45366</v>
      </c>
      <c r="F1033" s="116">
        <f>COUNTIFS($A$3:A9289,A1033,$B$3:B9289,B1033)</f>
        <v>1</v>
      </c>
      <c r="G1033" s="116"/>
    </row>
    <row r="1034" spans="1:7" x14ac:dyDescent="0.2">
      <c r="A1034" s="116">
        <f>IF(ISNUMBER(Tabela2[[#This Row],[CT-e/NFS]])=TRUE,(IF(B1034&gt;30000,4,IF(B1034&lt;1000,"ND",0))),"-")</f>
        <v>4</v>
      </c>
      <c r="B1034" s="116">
        <v>45976</v>
      </c>
      <c r="C1034" s="117">
        <v>45362</v>
      </c>
      <c r="D1034" s="116">
        <v>310.38</v>
      </c>
      <c r="E1034" s="117">
        <v>45366</v>
      </c>
      <c r="F1034" s="116">
        <f>COUNTIFS($A$3:A9290,A1034,$B$3:B9290,B1034)</f>
        <v>1</v>
      </c>
      <c r="G1034" s="116"/>
    </row>
    <row r="1035" spans="1:7" x14ac:dyDescent="0.2">
      <c r="A1035" s="116">
        <f>IF(ISNUMBER(Tabela2[[#This Row],[CT-e/NFS]])=TRUE,(IF(B1035&gt;30000,4,IF(B1035&lt;1000,"ND",0))),"-")</f>
        <v>4</v>
      </c>
      <c r="B1035" s="116">
        <v>45966</v>
      </c>
      <c r="C1035" s="117">
        <v>45362</v>
      </c>
      <c r="D1035" s="116">
        <v>86.76</v>
      </c>
      <c r="E1035" s="117">
        <v>45366</v>
      </c>
      <c r="F1035" s="116">
        <f>COUNTIFS($A$3:A9291,A1035,$B$3:B9291,B1035)</f>
        <v>1</v>
      </c>
      <c r="G1035" s="116"/>
    </row>
    <row r="1036" spans="1:7" x14ac:dyDescent="0.2">
      <c r="A1036" s="116">
        <f>IF(ISNUMBER(Tabela2[[#This Row],[CT-e/NFS]])=TRUE,(IF(B1036&gt;30000,4,IF(B1036&lt;1000,"ND",0))),"-")</f>
        <v>4</v>
      </c>
      <c r="B1036" s="116">
        <v>45971</v>
      </c>
      <c r="C1036" s="117">
        <v>45362</v>
      </c>
      <c r="D1036" s="116">
        <v>124.32</v>
      </c>
      <c r="E1036" s="117">
        <v>45366</v>
      </c>
      <c r="F1036" s="116">
        <f>COUNTIFS($A$3:A9292,A1036,$B$3:B9292,B1036)</f>
        <v>1</v>
      </c>
      <c r="G1036" s="116"/>
    </row>
    <row r="1037" spans="1:7" x14ac:dyDescent="0.2">
      <c r="A1037" s="116">
        <f>IF(ISNUMBER(Tabela2[[#This Row],[CT-e/NFS]])=TRUE,(IF(B1037&gt;30000,4,IF(B1037&lt;1000,"ND",0))),"-")</f>
        <v>4</v>
      </c>
      <c r="B1037" s="116">
        <v>45974</v>
      </c>
      <c r="C1037" s="117">
        <v>45362</v>
      </c>
      <c r="D1037" s="116">
        <v>124.2</v>
      </c>
      <c r="E1037" s="117">
        <v>45366</v>
      </c>
      <c r="F1037" s="116">
        <f>COUNTIFS($A$3:A9293,A1037,$B$3:B9293,B1037)</f>
        <v>1</v>
      </c>
      <c r="G1037" s="116"/>
    </row>
    <row r="1038" spans="1:7" x14ac:dyDescent="0.2">
      <c r="A1038" s="116">
        <f>IF(ISNUMBER(Tabela2[[#This Row],[CT-e/NFS]])=TRUE,(IF(B1038&gt;30000,4,IF(B1038&lt;1000,"ND",0))),"-")</f>
        <v>4</v>
      </c>
      <c r="B1038" s="116">
        <v>45981</v>
      </c>
      <c r="C1038" s="117">
        <v>45362</v>
      </c>
      <c r="D1038" s="116">
        <v>715.91</v>
      </c>
      <c r="E1038" s="117">
        <v>45366</v>
      </c>
      <c r="F1038" s="116">
        <f>COUNTIFS($A$3:A9294,A1038,$B$3:B9294,B1038)</f>
        <v>1</v>
      </c>
      <c r="G1038" s="116"/>
    </row>
    <row r="1039" spans="1:7" x14ac:dyDescent="0.2">
      <c r="A1039" s="116">
        <f>IF(ISNUMBER(Tabela2[[#This Row],[CT-e/NFS]])=TRUE,(IF(B1039&gt;30000,4,IF(B1039&lt;1000,"ND",0))),"-")</f>
        <v>0</v>
      </c>
      <c r="B1039" s="116">
        <v>21119</v>
      </c>
      <c r="C1039" s="117">
        <v>45362</v>
      </c>
      <c r="D1039" s="116">
        <v>76.959999999999994</v>
      </c>
      <c r="E1039" s="117">
        <v>45366</v>
      </c>
      <c r="F1039" s="116">
        <f>COUNTIFS($A$3:A9295,A1039,$B$3:B9295,B1039)</f>
        <v>1</v>
      </c>
      <c r="G1039" s="116"/>
    </row>
    <row r="1040" spans="1:7" x14ac:dyDescent="0.2">
      <c r="A1040" s="116">
        <f>IF(ISNUMBER(Tabela2[[#This Row],[CT-e/NFS]])=TRUE,(IF(B1040&gt;30000,4,IF(B1040&lt;1000,"ND",0))),"-")</f>
        <v>0</v>
      </c>
      <c r="B1040" s="116">
        <v>21120</v>
      </c>
      <c r="C1040" s="117">
        <v>45362</v>
      </c>
      <c r="D1040" s="116">
        <v>76.31</v>
      </c>
      <c r="E1040" s="117">
        <v>45366</v>
      </c>
      <c r="F1040" s="116">
        <f>COUNTIFS($A$3:A9296,A1040,$B$3:B9296,B1040)</f>
        <v>1</v>
      </c>
      <c r="G1040" s="116"/>
    </row>
    <row r="1041" spans="1:7" x14ac:dyDescent="0.2">
      <c r="A1041" s="116">
        <f>IF(ISNUMBER(Tabela2[[#This Row],[CT-e/NFS]])=TRUE,(IF(B1041&gt;30000,4,IF(B1041&lt;1000,"ND",0))),"-")</f>
        <v>0</v>
      </c>
      <c r="B1041" s="116">
        <v>21122</v>
      </c>
      <c r="C1041" s="117">
        <v>45362</v>
      </c>
      <c r="D1041" s="116">
        <v>138.79</v>
      </c>
      <c r="E1041" s="117">
        <v>45366</v>
      </c>
      <c r="F1041" s="116">
        <f>COUNTIFS($A$3:A9297,A1041,$B$3:B9297,B1041)</f>
        <v>1</v>
      </c>
      <c r="G1041" s="116"/>
    </row>
    <row r="1042" spans="1:7" x14ac:dyDescent="0.2">
      <c r="A1042" s="116">
        <f>IF(ISNUMBER(Tabela2[[#This Row],[CT-e/NFS]])=TRUE,(IF(B1042&gt;30000,4,IF(B1042&lt;1000,"ND",0))),"-")</f>
        <v>0</v>
      </c>
      <c r="B1042" s="116">
        <v>21121</v>
      </c>
      <c r="C1042" s="117">
        <v>45362</v>
      </c>
      <c r="D1042" s="116">
        <v>180.75</v>
      </c>
      <c r="E1042" s="117">
        <v>45366</v>
      </c>
      <c r="F1042" s="116">
        <f>COUNTIFS($A$3:A9298,A1042,$B$3:B9298,B1042)</f>
        <v>1</v>
      </c>
      <c r="G1042" s="116"/>
    </row>
    <row r="1043" spans="1:7" x14ac:dyDescent="0.2">
      <c r="A1043" s="116">
        <f>IF(ISNUMBER(Tabela2[[#This Row],[CT-e/NFS]])=TRUE,(IF(B1043&gt;30000,4,IF(B1043&lt;1000,"ND",0))),"-")</f>
        <v>0</v>
      </c>
      <c r="B1043" s="116">
        <v>21123</v>
      </c>
      <c r="C1043" s="117">
        <v>45362</v>
      </c>
      <c r="D1043" s="116">
        <v>348.37</v>
      </c>
      <c r="E1043" s="117">
        <v>45366</v>
      </c>
      <c r="F1043" s="116">
        <f>COUNTIFS($A$3:A9299,A1043,$B$3:B9299,B1043)</f>
        <v>1</v>
      </c>
      <c r="G1043" s="116"/>
    </row>
    <row r="1044" spans="1:7" x14ac:dyDescent="0.2">
      <c r="A1044" s="116">
        <f>IF(ISNUMBER(Tabela2[[#This Row],[CT-e/NFS]])=TRUE,(IF(B1044&gt;30000,4,IF(B1044&lt;1000,"ND",0))),"-")</f>
        <v>4</v>
      </c>
      <c r="B1044" s="116">
        <v>45990</v>
      </c>
      <c r="C1044" s="117">
        <v>45362</v>
      </c>
      <c r="D1044" s="116">
        <v>798.27</v>
      </c>
      <c r="E1044" s="117">
        <v>45366</v>
      </c>
      <c r="F1044" s="116">
        <f>COUNTIFS($A$3:A9300,A1044,$B$3:B9300,B1044)</f>
        <v>1</v>
      </c>
      <c r="G1044" s="116"/>
    </row>
    <row r="1045" spans="1:7" x14ac:dyDescent="0.2">
      <c r="A1045" s="116">
        <f>IF(ISNUMBER(Tabela2[[#This Row],[CT-e/NFS]])=TRUE,(IF(B1045&gt;30000,4,IF(B1045&lt;1000,"ND",0))),"-")</f>
        <v>4</v>
      </c>
      <c r="B1045" s="116">
        <v>45993</v>
      </c>
      <c r="C1045" s="117">
        <v>45362</v>
      </c>
      <c r="D1045" s="116">
        <v>365.09</v>
      </c>
      <c r="E1045" s="117">
        <v>45366</v>
      </c>
      <c r="F1045" s="116">
        <f>COUNTIFS($A$3:A9301,A1045,$B$3:B9301,B1045)</f>
        <v>1</v>
      </c>
      <c r="G1045" s="116"/>
    </row>
    <row r="1046" spans="1:7" x14ac:dyDescent="0.2">
      <c r="A1046" s="116">
        <f>IF(ISNUMBER(Tabela2[[#This Row],[CT-e/NFS]])=TRUE,(IF(B1046&gt;30000,4,IF(B1046&lt;1000,"ND",0))),"-")</f>
        <v>4</v>
      </c>
      <c r="B1046" s="116">
        <v>45994</v>
      </c>
      <c r="C1046" s="117">
        <v>45362</v>
      </c>
      <c r="D1046" s="116">
        <v>124.03</v>
      </c>
      <c r="E1046" s="117">
        <v>45366</v>
      </c>
      <c r="F1046" s="116">
        <f>COUNTIFS($A$3:A9302,A1046,$B$3:B9302,B1046)</f>
        <v>1</v>
      </c>
      <c r="G1046" s="116"/>
    </row>
    <row r="1047" spans="1:7" x14ac:dyDescent="0.2">
      <c r="A1047" s="116">
        <f>IF(ISNUMBER(Tabela2[[#This Row],[CT-e/NFS]])=TRUE,(IF(B1047&gt;30000,4,IF(B1047&lt;1000,"ND",0))),"-")</f>
        <v>4</v>
      </c>
      <c r="B1047" s="116">
        <v>45997</v>
      </c>
      <c r="C1047" s="117">
        <v>45362</v>
      </c>
      <c r="D1047" s="116">
        <v>126.11</v>
      </c>
      <c r="E1047" s="117">
        <v>45366</v>
      </c>
      <c r="F1047" s="116">
        <f>COUNTIFS($A$3:A9303,A1047,$B$3:B9303,B1047)</f>
        <v>1</v>
      </c>
      <c r="G1047" s="116"/>
    </row>
    <row r="1048" spans="1:7" x14ac:dyDescent="0.2">
      <c r="A1048" s="116">
        <f>IF(ISNUMBER(Tabela2[[#This Row],[CT-e/NFS]])=TRUE,(IF(B1048&gt;30000,4,IF(B1048&lt;1000,"ND",0))),"-")</f>
        <v>4</v>
      </c>
      <c r="B1048" s="116">
        <v>45998</v>
      </c>
      <c r="C1048" s="117">
        <v>45362</v>
      </c>
      <c r="D1048" s="116">
        <v>128.24</v>
      </c>
      <c r="E1048" s="117">
        <v>45366</v>
      </c>
      <c r="F1048" s="116">
        <f>COUNTIFS($A$3:A9304,A1048,$B$3:B9304,B1048)</f>
        <v>1</v>
      </c>
      <c r="G1048" s="116"/>
    </row>
    <row r="1049" spans="1:7" x14ac:dyDescent="0.2">
      <c r="A1049" s="116">
        <f>IF(ISNUMBER(Tabela2[[#This Row],[CT-e/NFS]])=TRUE,(IF(B1049&gt;30000,4,IF(B1049&lt;1000,"ND",0))),"-")</f>
        <v>4</v>
      </c>
      <c r="B1049" s="116">
        <v>45999</v>
      </c>
      <c r="C1049" s="117">
        <v>45362</v>
      </c>
      <c r="D1049" s="116">
        <v>125.2</v>
      </c>
      <c r="E1049" s="117">
        <v>45366</v>
      </c>
      <c r="F1049" s="116">
        <f>COUNTIFS($A$3:A9305,A1049,$B$3:B9305,B1049)</f>
        <v>1</v>
      </c>
      <c r="G1049" s="116"/>
    </row>
    <row r="1050" spans="1:7" x14ac:dyDescent="0.2">
      <c r="A1050" s="116">
        <f>IF(ISNUMBER(Tabela2[[#This Row],[CT-e/NFS]])=TRUE,(IF(B1050&gt;30000,4,IF(B1050&lt;1000,"ND",0))),"-")</f>
        <v>4</v>
      </c>
      <c r="B1050" s="116">
        <v>45989</v>
      </c>
      <c r="C1050" s="117">
        <v>45362</v>
      </c>
      <c r="D1050" s="116">
        <v>408.02</v>
      </c>
      <c r="E1050" s="117">
        <v>45366</v>
      </c>
      <c r="F1050" s="116">
        <f>COUNTIFS($A$3:A9306,A1050,$B$3:B9306,B1050)</f>
        <v>1</v>
      </c>
      <c r="G1050" s="116"/>
    </row>
    <row r="1051" spans="1:7" x14ac:dyDescent="0.2">
      <c r="A1051" s="116">
        <f>IF(ISNUMBER(Tabela2[[#This Row],[CT-e/NFS]])=TRUE,(IF(B1051&gt;30000,4,IF(B1051&lt;1000,"ND",0))),"-")</f>
        <v>4</v>
      </c>
      <c r="B1051" s="116">
        <v>46001</v>
      </c>
      <c r="C1051" s="117">
        <v>45362</v>
      </c>
      <c r="D1051" s="116">
        <v>328.51</v>
      </c>
      <c r="E1051" s="117">
        <v>45366</v>
      </c>
      <c r="F1051" s="116">
        <f>COUNTIFS($A$3:A9307,A1051,$B$3:B9307,B1051)</f>
        <v>1</v>
      </c>
      <c r="G1051" s="116"/>
    </row>
    <row r="1052" spans="1:7" x14ac:dyDescent="0.2">
      <c r="A1052" s="116">
        <f>IF(ISNUMBER(Tabela2[[#This Row],[CT-e/NFS]])=TRUE,(IF(B1052&gt;30000,4,IF(B1052&lt;1000,"ND",0))),"-")</f>
        <v>4</v>
      </c>
      <c r="B1052" s="116">
        <v>46000</v>
      </c>
      <c r="C1052" s="117">
        <v>45362</v>
      </c>
      <c r="D1052" s="116">
        <v>225.1</v>
      </c>
      <c r="E1052" s="117">
        <v>45366</v>
      </c>
      <c r="F1052" s="116">
        <f>COUNTIFS($A$3:A9308,A1052,$B$3:B9308,B1052)</f>
        <v>1</v>
      </c>
      <c r="G1052" s="116"/>
    </row>
    <row r="1053" spans="1:7" x14ac:dyDescent="0.2">
      <c r="A1053" s="116">
        <f>IF(ISNUMBER(Tabela2[[#This Row],[CT-e/NFS]])=TRUE,(IF(B1053&gt;30000,4,IF(B1053&lt;1000,"ND",0))),"-")</f>
        <v>4</v>
      </c>
      <c r="B1053" s="116">
        <v>45996</v>
      </c>
      <c r="C1053" s="117">
        <v>45362</v>
      </c>
      <c r="D1053" s="116">
        <v>410.24</v>
      </c>
      <c r="E1053" s="117">
        <v>45366</v>
      </c>
      <c r="F1053" s="116">
        <f>COUNTIFS($A$3:A9309,A1053,$B$3:B9309,B1053)</f>
        <v>1</v>
      </c>
      <c r="G1053" s="116"/>
    </row>
    <row r="1054" spans="1:7" x14ac:dyDescent="0.2">
      <c r="A1054" s="116">
        <f>IF(ISNUMBER(Tabela2[[#This Row],[CT-e/NFS]])=TRUE,(IF(B1054&gt;30000,4,IF(B1054&lt;1000,"ND",0))),"-")</f>
        <v>4</v>
      </c>
      <c r="B1054" s="116">
        <v>45995</v>
      </c>
      <c r="C1054" s="117">
        <v>45362</v>
      </c>
      <c r="D1054" s="116">
        <v>1354.82</v>
      </c>
      <c r="E1054" s="117">
        <v>45366</v>
      </c>
      <c r="F1054" s="116">
        <f>COUNTIFS($A$3:A9310,A1054,$B$3:B9310,B1054)</f>
        <v>1</v>
      </c>
      <c r="G1054" s="116"/>
    </row>
    <row r="1055" spans="1:7" x14ac:dyDescent="0.2">
      <c r="A1055" s="116">
        <f>IF(ISNUMBER(Tabela2[[#This Row],[CT-e/NFS]])=TRUE,(IF(B1055&gt;30000,4,IF(B1055&lt;1000,"ND",0))),"-")</f>
        <v>4</v>
      </c>
      <c r="B1055" s="116">
        <v>46008</v>
      </c>
      <c r="C1055" s="117">
        <v>45362</v>
      </c>
      <c r="D1055" s="116">
        <v>2906.31</v>
      </c>
      <c r="E1055" s="117">
        <v>45366</v>
      </c>
      <c r="F1055" s="116">
        <f>COUNTIFS($A$3:A9311,A1055,$B$3:B9311,B1055)</f>
        <v>1</v>
      </c>
      <c r="G1055" s="116"/>
    </row>
    <row r="1056" spans="1:7" x14ac:dyDescent="0.2">
      <c r="A1056" s="116">
        <f>IF(ISNUMBER(Tabela2[[#This Row],[CT-e/NFS]])=TRUE,(IF(B1056&gt;30000,4,IF(B1056&lt;1000,"ND",0))),"-")</f>
        <v>4</v>
      </c>
      <c r="B1056" s="116">
        <v>46012</v>
      </c>
      <c r="C1056" s="117">
        <v>45362</v>
      </c>
      <c r="D1056" s="116">
        <v>283.85000000000002</v>
      </c>
      <c r="E1056" s="117">
        <v>45366</v>
      </c>
      <c r="F1056" s="116">
        <f>COUNTIFS($A$3:A9312,A1056,$B$3:B9312,B1056)</f>
        <v>1</v>
      </c>
      <c r="G1056" s="116"/>
    </row>
    <row r="1057" spans="1:7" x14ac:dyDescent="0.2">
      <c r="A1057" s="116">
        <f>IF(ISNUMBER(Tabela2[[#This Row],[CT-e/NFS]])=TRUE,(IF(B1057&gt;30000,4,IF(B1057&lt;1000,"ND",0))),"-")</f>
        <v>4</v>
      </c>
      <c r="B1057" s="116">
        <v>46018</v>
      </c>
      <c r="C1057" s="117">
        <v>45362</v>
      </c>
      <c r="D1057" s="116">
        <v>435.4</v>
      </c>
      <c r="E1057" s="117">
        <v>45366</v>
      </c>
      <c r="F1057" s="116">
        <f>COUNTIFS($A$3:A9313,A1057,$B$3:B9313,B1057)</f>
        <v>1</v>
      </c>
      <c r="G1057" s="116"/>
    </row>
    <row r="1058" spans="1:7" x14ac:dyDescent="0.2">
      <c r="A1058" s="116">
        <f>IF(ISNUMBER(Tabela2[[#This Row],[CT-e/NFS]])=TRUE,(IF(B1058&gt;30000,4,IF(B1058&lt;1000,"ND",0))),"-")</f>
        <v>4</v>
      </c>
      <c r="B1058" s="116">
        <v>46017</v>
      </c>
      <c r="C1058" s="117">
        <v>45362</v>
      </c>
      <c r="D1058" s="116">
        <v>125.95</v>
      </c>
      <c r="E1058" s="117">
        <v>45366</v>
      </c>
      <c r="F1058" s="116">
        <f>COUNTIFS($A$3:A9314,A1058,$B$3:B9314,B1058)</f>
        <v>1</v>
      </c>
      <c r="G1058" s="116"/>
    </row>
    <row r="1059" spans="1:7" x14ac:dyDescent="0.2">
      <c r="A1059" s="116">
        <f>IF(ISNUMBER(Tabela2[[#This Row],[CT-e/NFS]])=TRUE,(IF(B1059&gt;30000,4,IF(B1059&lt;1000,"ND",0))),"-")</f>
        <v>4</v>
      </c>
      <c r="B1059" s="116">
        <v>46011</v>
      </c>
      <c r="C1059" s="117">
        <v>45362</v>
      </c>
      <c r="D1059" s="116">
        <v>123.99</v>
      </c>
      <c r="E1059" s="117">
        <v>45366</v>
      </c>
      <c r="F1059" s="116">
        <f>COUNTIFS($A$3:A9315,A1059,$B$3:B9315,B1059)</f>
        <v>1</v>
      </c>
      <c r="G1059" s="116"/>
    </row>
    <row r="1060" spans="1:7" x14ac:dyDescent="0.2">
      <c r="A1060" s="116">
        <f>IF(ISNUMBER(Tabela2[[#This Row],[CT-e/NFS]])=TRUE,(IF(B1060&gt;30000,4,IF(B1060&lt;1000,"ND",0))),"-")</f>
        <v>4</v>
      </c>
      <c r="B1060" s="116">
        <v>46016</v>
      </c>
      <c r="C1060" s="117">
        <v>45362</v>
      </c>
      <c r="D1060" s="116">
        <v>126.26</v>
      </c>
      <c r="E1060" s="117">
        <v>45366</v>
      </c>
      <c r="F1060" s="116">
        <f>COUNTIFS($A$3:A9316,A1060,$B$3:B9316,B1060)</f>
        <v>1</v>
      </c>
      <c r="G1060" s="116"/>
    </row>
    <row r="1061" spans="1:7" x14ac:dyDescent="0.2">
      <c r="A1061" s="116">
        <f>IF(ISNUMBER(Tabela2[[#This Row],[CT-e/NFS]])=TRUE,(IF(B1061&gt;30000,4,IF(B1061&lt;1000,"ND",0))),"-")</f>
        <v>4</v>
      </c>
      <c r="B1061" s="116">
        <v>46009</v>
      </c>
      <c r="C1061" s="117">
        <v>45362</v>
      </c>
      <c r="D1061" s="116">
        <v>238.84</v>
      </c>
      <c r="E1061" s="117">
        <v>45366</v>
      </c>
      <c r="F1061" s="116">
        <f>COUNTIFS($A$3:A9317,A1061,$B$3:B9317,B1061)</f>
        <v>1</v>
      </c>
      <c r="G1061" s="116"/>
    </row>
    <row r="1062" spans="1:7" x14ac:dyDescent="0.2">
      <c r="A1062" s="116">
        <f>IF(ISNUMBER(Tabela2[[#This Row],[CT-e/NFS]])=TRUE,(IF(B1062&gt;30000,4,IF(B1062&lt;1000,"ND",0))),"-")</f>
        <v>4</v>
      </c>
      <c r="B1062" s="116">
        <v>46013</v>
      </c>
      <c r="C1062" s="117">
        <v>45362</v>
      </c>
      <c r="D1062" s="116">
        <v>124.35</v>
      </c>
      <c r="E1062" s="117">
        <v>45366</v>
      </c>
      <c r="F1062" s="116">
        <f>COUNTIFS($A$3:A9318,A1062,$B$3:B9318,B1062)</f>
        <v>1</v>
      </c>
      <c r="G1062" s="116"/>
    </row>
    <row r="1063" spans="1:7" x14ac:dyDescent="0.2">
      <c r="A1063" s="116">
        <f>IF(ISNUMBER(Tabela2[[#This Row],[CT-e/NFS]])=TRUE,(IF(B1063&gt;30000,4,IF(B1063&lt;1000,"ND",0))),"-")</f>
        <v>4</v>
      </c>
      <c r="B1063" s="116">
        <v>46014</v>
      </c>
      <c r="C1063" s="117">
        <v>45362</v>
      </c>
      <c r="D1063" s="116">
        <v>465.57</v>
      </c>
      <c r="E1063" s="117">
        <v>45366</v>
      </c>
      <c r="F1063" s="116">
        <f>COUNTIFS($A$3:A9319,A1063,$B$3:B9319,B1063)</f>
        <v>1</v>
      </c>
      <c r="G1063" s="116"/>
    </row>
    <row r="1064" spans="1:7" x14ac:dyDescent="0.2">
      <c r="A1064" s="116">
        <f>IF(ISNUMBER(Tabela2[[#This Row],[CT-e/NFS]])=TRUE,(IF(B1064&gt;30000,4,IF(B1064&lt;1000,"ND",0))),"-")</f>
        <v>4</v>
      </c>
      <c r="B1064" s="116">
        <v>46020</v>
      </c>
      <c r="C1064" s="117">
        <v>45362</v>
      </c>
      <c r="D1064" s="116">
        <v>122.73</v>
      </c>
      <c r="E1064" s="117">
        <v>45366</v>
      </c>
      <c r="F1064" s="116">
        <f>COUNTIFS($A$3:A9320,A1064,$B$3:B9320,B1064)</f>
        <v>1</v>
      </c>
      <c r="G1064" s="116"/>
    </row>
    <row r="1065" spans="1:7" x14ac:dyDescent="0.2">
      <c r="A1065" s="116">
        <f>IF(ISNUMBER(Tabela2[[#This Row],[CT-e/NFS]])=TRUE,(IF(B1065&gt;30000,4,IF(B1065&lt;1000,"ND",0))),"-")</f>
        <v>4</v>
      </c>
      <c r="B1065" s="116">
        <v>46019</v>
      </c>
      <c r="C1065" s="117">
        <v>45362</v>
      </c>
      <c r="D1065" s="116">
        <v>379.1</v>
      </c>
      <c r="E1065" s="117">
        <v>45366</v>
      </c>
      <c r="F1065" s="116">
        <f>COUNTIFS($A$3:A9321,A1065,$B$3:B9321,B1065)</f>
        <v>1</v>
      </c>
      <c r="G1065" s="116"/>
    </row>
    <row r="1066" spans="1:7" x14ac:dyDescent="0.2">
      <c r="A1066" s="116">
        <f>IF(ISNUMBER(Tabela2[[#This Row],[CT-e/NFS]])=TRUE,(IF(B1066&gt;30000,4,IF(B1066&lt;1000,"ND",0))),"-")</f>
        <v>4</v>
      </c>
      <c r="B1066" s="116">
        <v>46010</v>
      </c>
      <c r="C1066" s="117">
        <v>45362</v>
      </c>
      <c r="D1066" s="116">
        <v>609.98</v>
      </c>
      <c r="E1066" s="117">
        <v>45366</v>
      </c>
      <c r="F1066" s="116">
        <f>COUNTIFS($A$3:A9322,A1066,$B$3:B9322,B1066)</f>
        <v>1</v>
      </c>
      <c r="G1066" s="116"/>
    </row>
    <row r="1067" spans="1:7" x14ac:dyDescent="0.2">
      <c r="A1067" s="116">
        <f>IF(ISNUMBER(Tabela2[[#This Row],[CT-e/NFS]])=TRUE,(IF(B1067&gt;30000,4,IF(B1067&lt;1000,"ND",0))),"-")</f>
        <v>4</v>
      </c>
      <c r="B1067" s="116">
        <v>46015</v>
      </c>
      <c r="C1067" s="117">
        <v>45362</v>
      </c>
      <c r="D1067" s="116">
        <v>124.34</v>
      </c>
      <c r="E1067" s="117">
        <v>45366</v>
      </c>
      <c r="F1067" s="116">
        <f>COUNTIFS($A$3:A9323,A1067,$B$3:B9323,B1067)</f>
        <v>1</v>
      </c>
      <c r="G1067" s="116"/>
    </row>
    <row r="1068" spans="1:7" x14ac:dyDescent="0.2">
      <c r="A1068" s="116">
        <f>IF(ISNUMBER(Tabela2[[#This Row],[CT-e/NFS]])=TRUE,(IF(B1068&gt;30000,4,IF(B1068&lt;1000,"ND",0))),"-")</f>
        <v>4</v>
      </c>
      <c r="B1068" s="116">
        <v>46025</v>
      </c>
      <c r="C1068" s="117">
        <v>45362</v>
      </c>
      <c r="D1068" s="116">
        <v>293.3</v>
      </c>
      <c r="E1068" s="117">
        <v>45366</v>
      </c>
      <c r="F1068" s="116">
        <f>COUNTIFS($A$3:A9324,A1068,$B$3:B9324,B1068)</f>
        <v>1</v>
      </c>
      <c r="G1068" s="116"/>
    </row>
    <row r="1069" spans="1:7" x14ac:dyDescent="0.2">
      <c r="A1069" s="116">
        <f>IF(ISNUMBER(Tabela2[[#This Row],[CT-e/NFS]])=TRUE,(IF(B1069&gt;30000,4,IF(B1069&lt;1000,"ND",0))),"-")</f>
        <v>4</v>
      </c>
      <c r="B1069" s="116">
        <v>46024</v>
      </c>
      <c r="C1069" s="117">
        <v>45362</v>
      </c>
      <c r="D1069" s="116">
        <v>552.91999999999996</v>
      </c>
      <c r="E1069" s="117">
        <v>45366</v>
      </c>
      <c r="F1069" s="116">
        <f>COUNTIFS($A$3:A9325,A1069,$B$3:B9325,B1069)</f>
        <v>1</v>
      </c>
      <c r="G1069" s="116"/>
    </row>
    <row r="1070" spans="1:7" x14ac:dyDescent="0.2">
      <c r="A1070" s="116">
        <f>IF(ISNUMBER(Tabela2[[#This Row],[CT-e/NFS]])=TRUE,(IF(B1070&gt;30000,4,IF(B1070&lt;1000,"ND",0))),"-")</f>
        <v>4</v>
      </c>
      <c r="B1070" s="116">
        <v>46023</v>
      </c>
      <c r="C1070" s="117">
        <v>45362</v>
      </c>
      <c r="D1070" s="116">
        <v>291.51</v>
      </c>
      <c r="E1070" s="117">
        <v>45366</v>
      </c>
      <c r="F1070" s="116">
        <f>COUNTIFS($A$3:A9326,A1070,$B$3:B9326,B1070)</f>
        <v>1</v>
      </c>
      <c r="G1070" s="116"/>
    </row>
    <row r="1071" spans="1:7" x14ac:dyDescent="0.2">
      <c r="A1071" s="116">
        <f>IF(ISNUMBER(Tabela2[[#This Row],[CT-e/NFS]])=TRUE,(IF(B1071&gt;30000,4,IF(B1071&lt;1000,"ND",0))),"-")</f>
        <v>4</v>
      </c>
      <c r="B1071" s="116">
        <v>45988</v>
      </c>
      <c r="C1071" s="117">
        <v>45362</v>
      </c>
      <c r="D1071" s="116">
        <v>1153.5999999999999</v>
      </c>
      <c r="E1071" s="117">
        <v>45366</v>
      </c>
      <c r="F1071" s="116">
        <f>COUNTIFS($A$3:A9327,A1071,$B$3:B9327,B1071)</f>
        <v>1</v>
      </c>
      <c r="G1071" s="116"/>
    </row>
    <row r="1072" spans="1:7" x14ac:dyDescent="0.2">
      <c r="A1072" s="116">
        <f>IF(ISNUMBER(Tabela2[[#This Row],[CT-e/NFS]])=TRUE,(IF(B1072&gt;30000,4,IF(B1072&lt;1000,"ND",0))),"-")</f>
        <v>4</v>
      </c>
      <c r="B1072" s="116">
        <v>45979</v>
      </c>
      <c r="C1072" s="117">
        <v>45362</v>
      </c>
      <c r="D1072" s="116">
        <v>452.32</v>
      </c>
      <c r="E1072" s="117">
        <v>45366</v>
      </c>
      <c r="F1072" s="116">
        <f>COUNTIFS($A$3:A9328,A1072,$B$3:B9328,B1072)</f>
        <v>1</v>
      </c>
      <c r="G1072" s="116"/>
    </row>
    <row r="1073" spans="1:7" x14ac:dyDescent="0.2">
      <c r="A1073" s="116">
        <f>IF(ISNUMBER(Tabela2[[#This Row],[CT-e/NFS]])=TRUE,(IF(B1073&gt;30000,4,IF(B1073&lt;1000,"ND",0))),"-")</f>
        <v>4</v>
      </c>
      <c r="B1073" s="116">
        <v>45978</v>
      </c>
      <c r="C1073" s="117">
        <v>45362</v>
      </c>
      <c r="D1073" s="116">
        <v>464.36</v>
      </c>
      <c r="E1073" s="117">
        <v>45366</v>
      </c>
      <c r="F1073" s="116">
        <f>COUNTIFS($A$3:A9329,A1073,$B$3:B9329,B1073)</f>
        <v>1</v>
      </c>
      <c r="G1073" s="116"/>
    </row>
    <row r="1074" spans="1:7" x14ac:dyDescent="0.2">
      <c r="A1074" s="116">
        <f>IF(ISNUMBER(Tabela2[[#This Row],[CT-e/NFS]])=TRUE,(IF(B1074&gt;30000,4,IF(B1074&lt;1000,"ND",0))),"-")</f>
        <v>4</v>
      </c>
      <c r="B1074" s="116">
        <v>46039</v>
      </c>
      <c r="C1074" s="117">
        <v>45362</v>
      </c>
      <c r="D1074" s="116">
        <v>124.28</v>
      </c>
      <c r="E1074" s="117">
        <v>45366</v>
      </c>
      <c r="F1074" s="116">
        <f>COUNTIFS($A$3:A9330,A1074,$B$3:B9330,B1074)</f>
        <v>1</v>
      </c>
      <c r="G1074" s="116"/>
    </row>
    <row r="1075" spans="1:7" x14ac:dyDescent="0.2">
      <c r="A1075" s="116">
        <f>IF(ISNUMBER(Tabela2[[#This Row],[CT-e/NFS]])=TRUE,(IF(B1075&gt;30000,4,IF(B1075&lt;1000,"ND",0))),"-")</f>
        <v>4</v>
      </c>
      <c r="B1075" s="116">
        <v>46041</v>
      </c>
      <c r="C1075" s="117">
        <v>45362</v>
      </c>
      <c r="D1075" s="116">
        <v>502.51</v>
      </c>
      <c r="E1075" s="117">
        <v>45366</v>
      </c>
      <c r="F1075" s="116">
        <f>COUNTIFS($A$3:A9331,A1075,$B$3:B9331,B1075)</f>
        <v>1</v>
      </c>
      <c r="G1075" s="116"/>
    </row>
    <row r="1076" spans="1:7" x14ac:dyDescent="0.2">
      <c r="A1076" s="116">
        <f>IF(ISNUMBER(Tabela2[[#This Row],[CT-e/NFS]])=TRUE,(IF(B1076&gt;30000,4,IF(B1076&lt;1000,"ND",0))),"-")</f>
        <v>4</v>
      </c>
      <c r="B1076" s="116">
        <v>46040</v>
      </c>
      <c r="C1076" s="117">
        <v>45362</v>
      </c>
      <c r="D1076" s="116">
        <v>223.42</v>
      </c>
      <c r="E1076" s="117">
        <v>45366</v>
      </c>
      <c r="F1076" s="116">
        <f>COUNTIFS($A$3:A9332,A1076,$B$3:B9332,B1076)</f>
        <v>1</v>
      </c>
      <c r="G1076" s="116"/>
    </row>
    <row r="1077" spans="1:7" x14ac:dyDescent="0.2">
      <c r="A1077" s="116">
        <f>IF(ISNUMBER(Tabela2[[#This Row],[CT-e/NFS]])=TRUE,(IF(B1077&gt;30000,4,IF(B1077&lt;1000,"ND",0))),"-")</f>
        <v>4</v>
      </c>
      <c r="B1077" s="116">
        <v>46038</v>
      </c>
      <c r="C1077" s="117">
        <v>45362</v>
      </c>
      <c r="D1077" s="116">
        <v>126.65</v>
      </c>
      <c r="E1077" s="117">
        <v>45366</v>
      </c>
      <c r="F1077" s="116">
        <f>COUNTIFS($A$3:A9333,A1077,$B$3:B9333,B1077)</f>
        <v>1</v>
      </c>
      <c r="G1077" s="116"/>
    </row>
    <row r="1078" spans="1:7" x14ac:dyDescent="0.2">
      <c r="A1078" s="116">
        <f>IF(ISNUMBER(Tabela2[[#This Row],[CT-e/NFS]])=TRUE,(IF(B1078&gt;30000,4,IF(B1078&lt;1000,"ND",0))),"-")</f>
        <v>4</v>
      </c>
      <c r="B1078" s="116">
        <v>46033</v>
      </c>
      <c r="C1078" s="117">
        <v>45362</v>
      </c>
      <c r="D1078" s="116">
        <v>240.47</v>
      </c>
      <c r="E1078" s="117">
        <v>45366</v>
      </c>
      <c r="F1078" s="116">
        <f>COUNTIFS($A$3:A9334,A1078,$B$3:B9334,B1078)</f>
        <v>1</v>
      </c>
      <c r="G1078" s="116"/>
    </row>
    <row r="1079" spans="1:7" x14ac:dyDescent="0.2">
      <c r="A1079" s="116">
        <f>IF(ISNUMBER(Tabela2[[#This Row],[CT-e/NFS]])=TRUE,(IF(B1079&gt;30000,4,IF(B1079&lt;1000,"ND",0))),"-")</f>
        <v>4</v>
      </c>
      <c r="B1079" s="116">
        <v>46035</v>
      </c>
      <c r="C1079" s="117">
        <v>45362</v>
      </c>
      <c r="D1079" s="116">
        <v>123.86</v>
      </c>
      <c r="E1079" s="117">
        <v>45366</v>
      </c>
      <c r="F1079" s="116">
        <f>COUNTIFS($A$3:A9335,A1079,$B$3:B9335,B1079)</f>
        <v>1</v>
      </c>
      <c r="G1079" s="116"/>
    </row>
    <row r="1080" spans="1:7" x14ac:dyDescent="0.2">
      <c r="A1080" s="116">
        <f>IF(ISNUMBER(Tabela2[[#This Row],[CT-e/NFS]])=TRUE,(IF(B1080&gt;30000,4,IF(B1080&lt;1000,"ND",0))),"-")</f>
        <v>4</v>
      </c>
      <c r="B1080" s="116">
        <v>46037</v>
      </c>
      <c r="C1080" s="117">
        <v>45362</v>
      </c>
      <c r="D1080" s="116">
        <v>124.13</v>
      </c>
      <c r="E1080" s="117">
        <v>45366</v>
      </c>
      <c r="F1080" s="116">
        <f>COUNTIFS($A$3:A9336,A1080,$B$3:B9336,B1080)</f>
        <v>1</v>
      </c>
      <c r="G1080" s="116"/>
    </row>
    <row r="1081" spans="1:7" x14ac:dyDescent="0.2">
      <c r="A1081" s="116">
        <f>IF(ISNUMBER(Tabela2[[#This Row],[CT-e/NFS]])=TRUE,(IF(B1081&gt;30000,4,IF(B1081&lt;1000,"ND",0))),"-")</f>
        <v>4</v>
      </c>
      <c r="B1081" s="116">
        <v>46031</v>
      </c>
      <c r="C1081" s="117">
        <v>45362</v>
      </c>
      <c r="D1081" s="116">
        <v>124.05</v>
      </c>
      <c r="E1081" s="117">
        <v>45366</v>
      </c>
      <c r="F1081" s="116">
        <f>COUNTIFS($A$3:A9337,A1081,$B$3:B9337,B1081)</f>
        <v>1</v>
      </c>
      <c r="G1081" s="116"/>
    </row>
    <row r="1082" spans="1:7" x14ac:dyDescent="0.2">
      <c r="A1082" s="116">
        <f>IF(ISNUMBER(Tabela2[[#This Row],[CT-e/NFS]])=TRUE,(IF(B1082&gt;30000,4,IF(B1082&lt;1000,"ND",0))),"-")</f>
        <v>4</v>
      </c>
      <c r="B1082" s="116">
        <v>46036</v>
      </c>
      <c r="C1082" s="117">
        <v>45362</v>
      </c>
      <c r="D1082" s="116">
        <v>124.3</v>
      </c>
      <c r="E1082" s="117">
        <v>45366</v>
      </c>
      <c r="F1082" s="116">
        <f>COUNTIFS($A$3:A9338,A1082,$B$3:B9338,B1082)</f>
        <v>1</v>
      </c>
      <c r="G1082" s="116"/>
    </row>
    <row r="1083" spans="1:7" x14ac:dyDescent="0.2">
      <c r="A1083" s="116">
        <f>IF(ISNUMBER(Tabela2[[#This Row],[CT-e/NFS]])=TRUE,(IF(B1083&gt;30000,4,IF(B1083&lt;1000,"ND",0))),"-")</f>
        <v>4</v>
      </c>
      <c r="B1083" s="116">
        <v>46034</v>
      </c>
      <c r="C1083" s="117">
        <v>45362</v>
      </c>
      <c r="D1083" s="116">
        <v>125.48</v>
      </c>
      <c r="E1083" s="117">
        <v>45366</v>
      </c>
      <c r="F1083" s="116">
        <f>COUNTIFS($A$3:A9339,A1083,$B$3:B9339,B1083)</f>
        <v>1</v>
      </c>
      <c r="G1083" s="116"/>
    </row>
    <row r="1084" spans="1:7" x14ac:dyDescent="0.2">
      <c r="A1084" s="116">
        <f>IF(ISNUMBER(Tabela2[[#This Row],[CT-e/NFS]])=TRUE,(IF(B1084&gt;30000,4,IF(B1084&lt;1000,"ND",0))),"-")</f>
        <v>4</v>
      </c>
      <c r="B1084" s="116">
        <v>46032</v>
      </c>
      <c r="C1084" s="117">
        <v>45362</v>
      </c>
      <c r="D1084" s="116">
        <v>131.9</v>
      </c>
      <c r="E1084" s="117">
        <v>45366</v>
      </c>
      <c r="F1084" s="116">
        <f>COUNTIFS($A$3:A9340,A1084,$B$3:B9340,B1084)</f>
        <v>1</v>
      </c>
      <c r="G1084" s="116"/>
    </row>
    <row r="1085" spans="1:7" x14ac:dyDescent="0.2">
      <c r="A1085" s="116">
        <f>IF(ISNUMBER(Tabela2[[#This Row],[CT-e/NFS]])=TRUE,(IF(B1085&gt;30000,4,IF(B1085&lt;1000,"ND",0))),"-")</f>
        <v>4</v>
      </c>
      <c r="B1085" s="116">
        <v>45964</v>
      </c>
      <c r="C1085" s="117">
        <v>45362</v>
      </c>
      <c r="D1085" s="116">
        <v>1758.3</v>
      </c>
      <c r="E1085" s="117">
        <v>45366</v>
      </c>
      <c r="F1085" s="116">
        <f>COUNTIFS($A$3:A9341,A1085,$B$3:B9341,B1085)</f>
        <v>1</v>
      </c>
      <c r="G1085" s="116"/>
    </row>
    <row r="1086" spans="1:7" x14ac:dyDescent="0.2">
      <c r="A1086" s="116">
        <f>IF(ISNUMBER(Tabela2[[#This Row],[CT-e/NFS]])=TRUE,(IF(B1086&gt;30000,4,IF(B1086&lt;1000,"ND",0))),"-")</f>
        <v>4</v>
      </c>
      <c r="B1086" s="116">
        <v>46003</v>
      </c>
      <c r="C1086" s="117">
        <v>45362</v>
      </c>
      <c r="D1086" s="116">
        <v>1086.24</v>
      </c>
      <c r="E1086" s="117">
        <v>45366</v>
      </c>
      <c r="F1086" s="116">
        <f>COUNTIFS($A$3:A9342,A1086,$B$3:B9342,B1086)</f>
        <v>1</v>
      </c>
      <c r="G1086" s="116"/>
    </row>
    <row r="1087" spans="1:7" x14ac:dyDescent="0.2">
      <c r="A1087" s="116">
        <f>IF(ISNUMBER(Tabela2[[#This Row],[CT-e/NFS]])=TRUE,(IF(B1087&gt;30000,4,IF(B1087&lt;1000,"ND",0))),"-")</f>
        <v>4</v>
      </c>
      <c r="B1087" s="116">
        <v>46059</v>
      </c>
      <c r="C1087" s="117">
        <v>45362</v>
      </c>
      <c r="D1087" s="116">
        <v>135.97999999999999</v>
      </c>
      <c r="E1087" s="117">
        <v>45366</v>
      </c>
      <c r="F1087" s="116">
        <f>COUNTIFS($A$3:A9343,A1087,$B$3:B9343,B1087)</f>
        <v>1</v>
      </c>
      <c r="G1087" s="116"/>
    </row>
    <row r="1088" spans="1:7" x14ac:dyDescent="0.2">
      <c r="A1088" s="116">
        <f>IF(ISNUMBER(Tabela2[[#This Row],[CT-e/NFS]])=TRUE,(IF(B1088&gt;30000,4,IF(B1088&lt;1000,"ND",0))),"-")</f>
        <v>4</v>
      </c>
      <c r="B1088" s="116">
        <v>46054</v>
      </c>
      <c r="C1088" s="117">
        <v>45362</v>
      </c>
      <c r="D1088" s="116">
        <v>125.93</v>
      </c>
      <c r="E1088" s="117">
        <v>45366</v>
      </c>
      <c r="F1088" s="116">
        <f>COUNTIFS($A$3:A9344,A1088,$B$3:B9344,B1088)</f>
        <v>1</v>
      </c>
      <c r="G1088" s="116"/>
    </row>
    <row r="1089" spans="1:7" x14ac:dyDescent="0.2">
      <c r="A1089" s="116">
        <f>IF(ISNUMBER(Tabela2[[#This Row],[CT-e/NFS]])=TRUE,(IF(B1089&gt;30000,4,IF(B1089&lt;1000,"ND",0))),"-")</f>
        <v>4</v>
      </c>
      <c r="B1089" s="116">
        <v>46052</v>
      </c>
      <c r="C1089" s="117">
        <v>45362</v>
      </c>
      <c r="D1089" s="116">
        <v>123.05</v>
      </c>
      <c r="E1089" s="117">
        <v>45366</v>
      </c>
      <c r="F1089" s="116">
        <f>COUNTIFS($A$3:A9345,A1089,$B$3:B9345,B1089)</f>
        <v>1</v>
      </c>
      <c r="G1089" s="116"/>
    </row>
    <row r="1090" spans="1:7" x14ac:dyDescent="0.2">
      <c r="A1090" s="116">
        <f>IF(ISNUMBER(Tabela2[[#This Row],[CT-e/NFS]])=TRUE,(IF(B1090&gt;30000,4,IF(B1090&lt;1000,"ND",0))),"-")</f>
        <v>4</v>
      </c>
      <c r="B1090" s="116">
        <v>46049</v>
      </c>
      <c r="C1090" s="117">
        <v>45362</v>
      </c>
      <c r="D1090" s="116">
        <v>124.52</v>
      </c>
      <c r="E1090" s="117">
        <v>45366</v>
      </c>
      <c r="F1090" s="116">
        <f>COUNTIFS($A$3:A9346,A1090,$B$3:B9346,B1090)</f>
        <v>1</v>
      </c>
      <c r="G1090" s="116"/>
    </row>
    <row r="1091" spans="1:7" x14ac:dyDescent="0.2">
      <c r="A1091" s="116">
        <f>IF(ISNUMBER(Tabela2[[#This Row],[CT-e/NFS]])=TRUE,(IF(B1091&gt;30000,4,IF(B1091&lt;1000,"ND",0))),"-")</f>
        <v>4</v>
      </c>
      <c r="B1091" s="116">
        <v>46004</v>
      </c>
      <c r="C1091" s="117">
        <v>45362</v>
      </c>
      <c r="D1091" s="116">
        <v>176.14</v>
      </c>
      <c r="E1091" s="117">
        <v>45366</v>
      </c>
      <c r="F1091" s="116">
        <f>COUNTIFS($A$3:A9347,A1091,$B$3:B9347,B1091)</f>
        <v>1</v>
      </c>
      <c r="G1091" s="116"/>
    </row>
    <row r="1092" spans="1:7" x14ac:dyDescent="0.2">
      <c r="A1092" s="116">
        <f>IF(ISNUMBER(Tabela2[[#This Row],[CT-e/NFS]])=TRUE,(IF(B1092&gt;30000,4,IF(B1092&lt;1000,"ND",0))),"-")</f>
        <v>4</v>
      </c>
      <c r="B1092" s="116">
        <v>46030</v>
      </c>
      <c r="C1092" s="117">
        <v>45362</v>
      </c>
      <c r="D1092" s="116">
        <v>1086.24</v>
      </c>
      <c r="E1092" s="117">
        <v>45366</v>
      </c>
      <c r="F1092" s="116">
        <f>COUNTIFS($A$3:A9348,A1092,$B$3:B9348,B1092)</f>
        <v>1</v>
      </c>
      <c r="G1092" s="116"/>
    </row>
    <row r="1093" spans="1:7" x14ac:dyDescent="0.2">
      <c r="A1093" s="116">
        <f>IF(ISNUMBER(Tabela2[[#This Row],[CT-e/NFS]])=TRUE,(IF(B1093&gt;30000,4,IF(B1093&lt;1000,"ND",0))),"-")</f>
        <v>4</v>
      </c>
      <c r="B1093" s="116">
        <v>46042</v>
      </c>
      <c r="C1093" s="117">
        <v>45362</v>
      </c>
      <c r="D1093" s="116">
        <v>408.02</v>
      </c>
      <c r="E1093" s="117">
        <v>45366</v>
      </c>
      <c r="F1093" s="116">
        <f>COUNTIFS($A$3:A9349,A1093,$B$3:B9349,B1093)</f>
        <v>1</v>
      </c>
      <c r="G1093" s="116"/>
    </row>
    <row r="1094" spans="1:7" x14ac:dyDescent="0.2">
      <c r="A1094" s="116">
        <f>IF(ISNUMBER(Tabela2[[#This Row],[CT-e/NFS]])=TRUE,(IF(B1094&gt;30000,4,IF(B1094&lt;1000,"ND",0))),"-")</f>
        <v>4</v>
      </c>
      <c r="B1094" s="116">
        <v>46060</v>
      </c>
      <c r="C1094" s="117">
        <v>45362</v>
      </c>
      <c r="D1094" s="116">
        <v>124.63</v>
      </c>
      <c r="E1094" s="117">
        <v>45366</v>
      </c>
      <c r="F1094" s="116">
        <f>COUNTIFS($A$3:A9350,A1094,$B$3:B9350,B1094)</f>
        <v>1</v>
      </c>
      <c r="G1094" s="116"/>
    </row>
    <row r="1095" spans="1:7" x14ac:dyDescent="0.2">
      <c r="A1095" s="116">
        <f>IF(ISNUMBER(Tabela2[[#This Row],[CT-e/NFS]])=TRUE,(IF(B1095&gt;30000,4,IF(B1095&lt;1000,"ND",0))),"-")</f>
        <v>4</v>
      </c>
      <c r="B1095" s="116">
        <v>45980</v>
      </c>
      <c r="C1095" s="117">
        <v>45362</v>
      </c>
      <c r="D1095" s="116">
        <v>841.61</v>
      </c>
      <c r="E1095" s="117">
        <v>45366</v>
      </c>
      <c r="F1095" s="116">
        <f>COUNTIFS($A$3:A9351,A1095,$B$3:B9351,B1095)</f>
        <v>1</v>
      </c>
      <c r="G1095" s="116"/>
    </row>
    <row r="1096" spans="1:7" x14ac:dyDescent="0.2">
      <c r="A1096" s="116">
        <f>IF(ISNUMBER(Tabela2[[#This Row],[CT-e/NFS]])=TRUE,(IF(B1096&gt;30000,4,IF(B1096&lt;1000,"ND",0))),"-")</f>
        <v>4</v>
      </c>
      <c r="B1096" s="116">
        <v>46058</v>
      </c>
      <c r="C1096" s="117">
        <v>45362</v>
      </c>
      <c r="D1096" s="116">
        <v>124.39</v>
      </c>
      <c r="E1096" s="117">
        <v>45366</v>
      </c>
      <c r="F1096" s="116">
        <f>COUNTIFS($A$3:A9352,A1096,$B$3:B9352,B1096)</f>
        <v>1</v>
      </c>
      <c r="G1096" s="116"/>
    </row>
    <row r="1097" spans="1:7" x14ac:dyDescent="0.2">
      <c r="A1097" s="116">
        <f>IF(ISNUMBER(Tabela2[[#This Row],[CT-e/NFS]])=TRUE,(IF(B1097&gt;30000,4,IF(B1097&lt;1000,"ND",0))),"-")</f>
        <v>4</v>
      </c>
      <c r="B1097" s="116">
        <v>46057</v>
      </c>
      <c r="C1097" s="117">
        <v>45362</v>
      </c>
      <c r="D1097" s="116">
        <v>125.7</v>
      </c>
      <c r="E1097" s="117">
        <v>45366</v>
      </c>
      <c r="F1097" s="116">
        <f>COUNTIFS($A$3:A9353,A1097,$B$3:B9353,B1097)</f>
        <v>1</v>
      </c>
      <c r="G1097" s="116"/>
    </row>
    <row r="1098" spans="1:7" x14ac:dyDescent="0.2">
      <c r="A1098" s="116">
        <f>IF(ISNUMBER(Tabela2[[#This Row],[CT-e/NFS]])=TRUE,(IF(B1098&gt;30000,4,IF(B1098&lt;1000,"ND",0))),"-")</f>
        <v>4</v>
      </c>
      <c r="B1098" s="116">
        <v>46056</v>
      </c>
      <c r="C1098" s="117">
        <v>45362</v>
      </c>
      <c r="D1098" s="116">
        <v>143.13</v>
      </c>
      <c r="E1098" s="117">
        <v>45366</v>
      </c>
      <c r="F1098" s="116">
        <f>COUNTIFS($A$3:A9354,A1098,$B$3:B9354,B1098)</f>
        <v>1</v>
      </c>
      <c r="G1098" s="116"/>
    </row>
    <row r="1099" spans="1:7" x14ac:dyDescent="0.2">
      <c r="A1099" s="116">
        <f>IF(ISNUMBER(Tabela2[[#This Row],[CT-e/NFS]])=TRUE,(IF(B1099&gt;30000,4,IF(B1099&lt;1000,"ND",0))),"-")</f>
        <v>4</v>
      </c>
      <c r="B1099" s="116">
        <v>46055</v>
      </c>
      <c r="C1099" s="117">
        <v>45362</v>
      </c>
      <c r="D1099" s="116">
        <v>139.66999999999999</v>
      </c>
      <c r="E1099" s="117">
        <v>45366</v>
      </c>
      <c r="F1099" s="116">
        <f>COUNTIFS($A$3:A9355,A1099,$B$3:B9355,B1099)</f>
        <v>1</v>
      </c>
      <c r="G1099" s="116"/>
    </row>
    <row r="1100" spans="1:7" x14ac:dyDescent="0.2">
      <c r="A1100" s="116">
        <f>IF(ISNUMBER(Tabela2[[#This Row],[CT-e/NFS]])=TRUE,(IF(B1100&gt;30000,4,IF(B1100&lt;1000,"ND",0))),"-")</f>
        <v>4</v>
      </c>
      <c r="B1100" s="116">
        <v>46053</v>
      </c>
      <c r="C1100" s="117">
        <v>45362</v>
      </c>
      <c r="D1100" s="116">
        <v>126.65</v>
      </c>
      <c r="E1100" s="117">
        <v>45366</v>
      </c>
      <c r="F1100" s="116">
        <f>COUNTIFS($A$3:A9356,A1100,$B$3:B9356,B1100)</f>
        <v>1</v>
      </c>
      <c r="G1100" s="116"/>
    </row>
    <row r="1101" spans="1:7" x14ac:dyDescent="0.2">
      <c r="A1101" s="116">
        <f>IF(ISNUMBER(Tabela2[[#This Row],[CT-e/NFS]])=TRUE,(IF(B1101&gt;30000,4,IF(B1101&lt;1000,"ND",0))),"-")</f>
        <v>4</v>
      </c>
      <c r="B1101" s="116">
        <v>46046</v>
      </c>
      <c r="C1101" s="117">
        <v>45362</v>
      </c>
      <c r="D1101" s="116">
        <v>125.25</v>
      </c>
      <c r="E1101" s="117">
        <v>45366</v>
      </c>
      <c r="F1101" s="116">
        <f>COUNTIFS($A$3:A9357,A1101,$B$3:B9357,B1101)</f>
        <v>1</v>
      </c>
      <c r="G1101" s="116"/>
    </row>
    <row r="1102" spans="1:7" x14ac:dyDescent="0.2">
      <c r="A1102" s="116">
        <f>IF(ISNUMBER(Tabela2[[#This Row],[CT-e/NFS]])=TRUE,(IF(B1102&gt;30000,4,IF(B1102&lt;1000,"ND",0))),"-")</f>
        <v>4</v>
      </c>
      <c r="B1102" s="116">
        <v>46062</v>
      </c>
      <c r="C1102" s="117">
        <v>45362</v>
      </c>
      <c r="D1102" s="116">
        <v>125.36</v>
      </c>
      <c r="E1102" s="117">
        <v>45366</v>
      </c>
      <c r="F1102" s="116">
        <f>COUNTIFS($A$3:A9358,A1102,$B$3:B9358,B1102)</f>
        <v>1</v>
      </c>
      <c r="G1102" s="116"/>
    </row>
    <row r="1103" spans="1:7" x14ac:dyDescent="0.2">
      <c r="A1103" s="116">
        <f>IF(ISNUMBER(Tabela2[[#This Row],[CT-e/NFS]])=TRUE,(IF(B1103&gt;30000,4,IF(B1103&lt;1000,"ND",0))),"-")</f>
        <v>4</v>
      </c>
      <c r="B1103" s="116">
        <v>46048</v>
      </c>
      <c r="C1103" s="117">
        <v>45362</v>
      </c>
      <c r="D1103" s="116">
        <v>124.38</v>
      </c>
      <c r="E1103" s="117">
        <v>45366</v>
      </c>
      <c r="F1103" s="116">
        <f>COUNTIFS($A$3:A9359,A1103,$B$3:B9359,B1103)</f>
        <v>1</v>
      </c>
      <c r="G1103" s="116"/>
    </row>
    <row r="1104" spans="1:7" x14ac:dyDescent="0.2">
      <c r="A1104" s="116">
        <f>IF(ISNUMBER(Tabela2[[#This Row],[CT-e/NFS]])=TRUE,(IF(B1104&gt;30000,4,IF(B1104&lt;1000,"ND",0))),"-")</f>
        <v>4</v>
      </c>
      <c r="B1104" s="116">
        <v>46051</v>
      </c>
      <c r="C1104" s="117">
        <v>45362</v>
      </c>
      <c r="D1104" s="116">
        <v>126.65</v>
      </c>
      <c r="E1104" s="117">
        <v>45366</v>
      </c>
      <c r="F1104" s="116">
        <f>COUNTIFS($A$3:A9360,A1104,$B$3:B9360,B1104)</f>
        <v>1</v>
      </c>
      <c r="G1104" s="116"/>
    </row>
    <row r="1105" spans="1:7" x14ac:dyDescent="0.2">
      <c r="A1105" s="116">
        <f>IF(ISNUMBER(Tabela2[[#This Row],[CT-e/NFS]])=TRUE,(IF(B1105&gt;30000,4,IF(B1105&lt;1000,"ND",0))),"-")</f>
        <v>4</v>
      </c>
      <c r="B1105" s="116">
        <v>46047</v>
      </c>
      <c r="C1105" s="117">
        <v>45362</v>
      </c>
      <c r="D1105" s="116">
        <v>124.24</v>
      </c>
      <c r="E1105" s="117">
        <v>45366</v>
      </c>
      <c r="F1105" s="116">
        <f>COUNTIFS($A$3:A9361,A1105,$B$3:B9361,B1105)</f>
        <v>1</v>
      </c>
      <c r="G1105" s="116"/>
    </row>
    <row r="1106" spans="1:7" x14ac:dyDescent="0.2">
      <c r="A1106" s="116">
        <f>IF(ISNUMBER(Tabela2[[#This Row],[CT-e/NFS]])=TRUE,(IF(B1106&gt;30000,4,IF(B1106&lt;1000,"ND",0))),"-")</f>
        <v>4</v>
      </c>
      <c r="B1106" s="116">
        <v>46063</v>
      </c>
      <c r="C1106" s="117">
        <v>45362</v>
      </c>
      <c r="D1106" s="116">
        <v>124.89</v>
      </c>
      <c r="E1106" s="117">
        <v>45366</v>
      </c>
      <c r="F1106" s="116">
        <f>COUNTIFS($A$3:A9362,A1106,$B$3:B9362,B1106)</f>
        <v>1</v>
      </c>
      <c r="G1106" s="116"/>
    </row>
    <row r="1107" spans="1:7" x14ac:dyDescent="0.2">
      <c r="A1107" s="116">
        <f>IF(ISNUMBER(Tabela2[[#This Row],[CT-e/NFS]])=TRUE,(IF(B1107&gt;30000,4,IF(B1107&lt;1000,"ND",0))),"-")</f>
        <v>4</v>
      </c>
      <c r="B1107" s="116">
        <v>46045</v>
      </c>
      <c r="C1107" s="117">
        <v>45362</v>
      </c>
      <c r="D1107" s="116">
        <v>490.1</v>
      </c>
      <c r="E1107" s="117">
        <v>45366</v>
      </c>
      <c r="F1107" s="116">
        <f>COUNTIFS($A$3:A9363,A1107,$B$3:B9363,B1107)</f>
        <v>1</v>
      </c>
      <c r="G1107" s="116"/>
    </row>
    <row r="1108" spans="1:7" x14ac:dyDescent="0.2">
      <c r="A1108" s="116">
        <f>IF(ISNUMBER(Tabela2[[#This Row],[CT-e/NFS]])=TRUE,(IF(B1108&gt;30000,4,IF(B1108&lt;1000,"ND",0))),"-")</f>
        <v>4</v>
      </c>
      <c r="B1108" s="116">
        <v>46043</v>
      </c>
      <c r="C1108" s="117">
        <v>45362</v>
      </c>
      <c r="D1108" s="116">
        <v>126.65</v>
      </c>
      <c r="E1108" s="117">
        <v>45366</v>
      </c>
      <c r="F1108" s="116">
        <f>COUNTIFS($A$3:A9364,A1108,$B$3:B9364,B1108)</f>
        <v>1</v>
      </c>
      <c r="G1108" s="116"/>
    </row>
    <row r="1109" spans="1:7" x14ac:dyDescent="0.2">
      <c r="A1109" s="116">
        <f>IF(ISNUMBER(Tabela2[[#This Row],[CT-e/NFS]])=TRUE,(IF(B1109&gt;30000,4,IF(B1109&lt;1000,"ND",0))),"-")</f>
        <v>4</v>
      </c>
      <c r="B1109" s="116">
        <v>46066</v>
      </c>
      <c r="C1109" s="117">
        <v>45362</v>
      </c>
      <c r="D1109" s="116">
        <v>1137.73</v>
      </c>
      <c r="E1109" s="117">
        <v>45366</v>
      </c>
      <c r="F1109" s="116">
        <f>COUNTIFS($A$3:A9365,A1109,$B$3:B9365,B1109)</f>
        <v>1</v>
      </c>
      <c r="G1109" s="116"/>
    </row>
    <row r="1110" spans="1:7" x14ac:dyDescent="0.2">
      <c r="A1110" s="116">
        <f>IF(ISNUMBER(Tabela2[[#This Row],[CT-e/NFS]])=TRUE,(IF(B1110&gt;30000,4,IF(B1110&lt;1000,"ND",0))),"-")</f>
        <v>4</v>
      </c>
      <c r="B1110" s="116">
        <v>46067</v>
      </c>
      <c r="C1110" s="117">
        <v>45362</v>
      </c>
      <c r="D1110" s="116">
        <v>123.13</v>
      </c>
      <c r="E1110" s="117">
        <v>45366</v>
      </c>
      <c r="F1110" s="116">
        <f>COUNTIFS($A$3:A9366,A1110,$B$3:B9366,B1110)</f>
        <v>1</v>
      </c>
      <c r="G1110" s="116"/>
    </row>
    <row r="1111" spans="1:7" x14ac:dyDescent="0.2">
      <c r="A1111" s="116">
        <f>IF(ISNUMBER(Tabela2[[#This Row],[CT-e/NFS]])=TRUE,(IF(B1111&gt;30000,4,IF(B1111&lt;1000,"ND",0))),"-")</f>
        <v>4</v>
      </c>
      <c r="B1111" s="116">
        <v>46065</v>
      </c>
      <c r="C1111" s="117">
        <v>45362</v>
      </c>
      <c r="D1111" s="116">
        <v>1137.73</v>
      </c>
      <c r="E1111" s="117">
        <v>45366</v>
      </c>
      <c r="F1111" s="116">
        <f>COUNTIFS($A$3:A9367,A1111,$B$3:B9367,B1111)</f>
        <v>1</v>
      </c>
      <c r="G1111" s="116"/>
    </row>
    <row r="1112" spans="1:7" x14ac:dyDescent="0.2">
      <c r="A1112" s="116">
        <f>IF(ISNUMBER(Tabela2[[#This Row],[CT-e/NFS]])=TRUE,(IF(B1112&gt;30000,4,IF(B1112&lt;1000,"ND",0))),"-")</f>
        <v>4</v>
      </c>
      <c r="B1112" s="116">
        <v>46082</v>
      </c>
      <c r="C1112" s="117">
        <v>45362</v>
      </c>
      <c r="D1112" s="116">
        <v>124.34</v>
      </c>
      <c r="E1112" s="117">
        <v>45366</v>
      </c>
      <c r="F1112" s="116">
        <f>COUNTIFS($A$3:A9368,A1112,$B$3:B9368,B1112)</f>
        <v>1</v>
      </c>
      <c r="G1112" s="116"/>
    </row>
    <row r="1113" spans="1:7" x14ac:dyDescent="0.2">
      <c r="A1113" s="116">
        <f>IF(ISNUMBER(Tabela2[[#This Row],[CT-e/NFS]])=TRUE,(IF(B1113&gt;30000,4,IF(B1113&lt;1000,"ND",0))),"-")</f>
        <v>4</v>
      </c>
      <c r="B1113" s="116">
        <v>46081</v>
      </c>
      <c r="C1113" s="117">
        <v>45362</v>
      </c>
      <c r="D1113" s="116">
        <v>87.78</v>
      </c>
      <c r="E1113" s="117">
        <v>45366</v>
      </c>
      <c r="F1113" s="116">
        <f>COUNTIFS($A$3:A9369,A1113,$B$3:B9369,B1113)</f>
        <v>1</v>
      </c>
      <c r="G1113" s="116"/>
    </row>
    <row r="1114" spans="1:7" x14ac:dyDescent="0.2">
      <c r="A1114" s="116">
        <f>IF(ISNUMBER(Tabela2[[#This Row],[CT-e/NFS]])=TRUE,(IF(B1114&gt;30000,4,IF(B1114&lt;1000,"ND",0))),"-")</f>
        <v>4</v>
      </c>
      <c r="B1114" s="116">
        <v>46075</v>
      </c>
      <c r="C1114" s="117">
        <v>45362</v>
      </c>
      <c r="D1114" s="116">
        <v>124.38</v>
      </c>
      <c r="E1114" s="117">
        <v>45366</v>
      </c>
      <c r="F1114" s="116">
        <f>COUNTIFS($A$3:A9370,A1114,$B$3:B9370,B1114)</f>
        <v>1</v>
      </c>
      <c r="G1114" s="116"/>
    </row>
    <row r="1115" spans="1:7" x14ac:dyDescent="0.2">
      <c r="A1115" s="116">
        <f>IF(ISNUMBER(Tabela2[[#This Row],[CT-e/NFS]])=TRUE,(IF(B1115&gt;30000,4,IF(B1115&lt;1000,"ND",0))),"-")</f>
        <v>4</v>
      </c>
      <c r="B1115" s="116">
        <v>46087</v>
      </c>
      <c r="C1115" s="117">
        <v>45362</v>
      </c>
      <c r="D1115" s="116">
        <v>123.31</v>
      </c>
      <c r="E1115" s="117">
        <v>45366</v>
      </c>
      <c r="F1115" s="116">
        <f>COUNTIFS($A$3:A9371,A1115,$B$3:B9371,B1115)</f>
        <v>1</v>
      </c>
      <c r="G1115" s="116"/>
    </row>
    <row r="1116" spans="1:7" x14ac:dyDescent="0.2">
      <c r="A1116" s="116">
        <f>IF(ISNUMBER(Tabela2[[#This Row],[CT-e/NFS]])=TRUE,(IF(B1116&gt;30000,4,IF(B1116&lt;1000,"ND",0))),"-")</f>
        <v>4</v>
      </c>
      <c r="B1116" s="116">
        <v>46090</v>
      </c>
      <c r="C1116" s="117">
        <v>45362</v>
      </c>
      <c r="D1116" s="116">
        <v>297.36</v>
      </c>
      <c r="E1116" s="117">
        <v>45366</v>
      </c>
      <c r="F1116" s="116">
        <f>COUNTIFS($A$3:A9372,A1116,$B$3:B9372,B1116)</f>
        <v>1</v>
      </c>
      <c r="G1116" s="116"/>
    </row>
    <row r="1117" spans="1:7" x14ac:dyDescent="0.2">
      <c r="A1117" s="116">
        <f>IF(ISNUMBER(Tabela2[[#This Row],[CT-e/NFS]])=TRUE,(IF(B1117&gt;30000,4,IF(B1117&lt;1000,"ND",0))),"-")</f>
        <v>4</v>
      </c>
      <c r="B1117" s="116">
        <v>46077</v>
      </c>
      <c r="C1117" s="117">
        <v>45362</v>
      </c>
      <c r="D1117" s="116">
        <v>229.09</v>
      </c>
      <c r="E1117" s="117">
        <v>45366</v>
      </c>
      <c r="F1117" s="116">
        <f>COUNTIFS($A$3:A9373,A1117,$B$3:B9373,B1117)</f>
        <v>1</v>
      </c>
      <c r="G1117" s="116"/>
    </row>
    <row r="1118" spans="1:7" x14ac:dyDescent="0.2">
      <c r="A1118" s="116">
        <f>IF(ISNUMBER(Tabela2[[#This Row],[CT-e/NFS]])=TRUE,(IF(B1118&gt;30000,4,IF(B1118&lt;1000,"ND",0))),"-")</f>
        <v>4</v>
      </c>
      <c r="B1118" s="116">
        <v>46076</v>
      </c>
      <c r="C1118" s="117">
        <v>45362</v>
      </c>
      <c r="D1118" s="116">
        <v>124.38</v>
      </c>
      <c r="E1118" s="117">
        <v>45366</v>
      </c>
      <c r="F1118" s="116">
        <f>COUNTIFS($A$3:A9374,A1118,$B$3:B9374,B1118)</f>
        <v>1</v>
      </c>
      <c r="G1118" s="116"/>
    </row>
    <row r="1119" spans="1:7" x14ac:dyDescent="0.2">
      <c r="A1119" s="116">
        <f>IF(ISNUMBER(Tabela2[[#This Row],[CT-e/NFS]])=TRUE,(IF(B1119&gt;30000,4,IF(B1119&lt;1000,"ND",0))),"-")</f>
        <v>4</v>
      </c>
      <c r="B1119" s="116">
        <v>46083</v>
      </c>
      <c r="C1119" s="117">
        <v>45362</v>
      </c>
      <c r="D1119" s="116">
        <v>124.2</v>
      </c>
      <c r="E1119" s="117">
        <v>45366</v>
      </c>
      <c r="F1119" s="116">
        <f>COUNTIFS($A$3:A9375,A1119,$B$3:B9375,B1119)</f>
        <v>1</v>
      </c>
      <c r="G1119" s="116"/>
    </row>
    <row r="1120" spans="1:7" x14ac:dyDescent="0.2">
      <c r="A1120" s="116">
        <f>IF(ISNUMBER(Tabela2[[#This Row],[CT-e/NFS]])=TRUE,(IF(B1120&gt;30000,4,IF(B1120&lt;1000,"ND",0))),"-")</f>
        <v>4</v>
      </c>
      <c r="B1120" s="116">
        <v>46074</v>
      </c>
      <c r="C1120" s="117">
        <v>45362</v>
      </c>
      <c r="D1120" s="116">
        <v>510.36</v>
      </c>
      <c r="E1120" s="117">
        <v>45366</v>
      </c>
      <c r="F1120" s="116">
        <f>COUNTIFS($A$3:A9376,A1120,$B$3:B9376,B1120)</f>
        <v>1</v>
      </c>
      <c r="G1120" s="116"/>
    </row>
    <row r="1121" spans="1:7" x14ac:dyDescent="0.2">
      <c r="A1121" s="116">
        <f>IF(ISNUMBER(Tabela2[[#This Row],[CT-e/NFS]])=TRUE,(IF(B1121&gt;30000,4,IF(B1121&lt;1000,"ND",0))),"-")</f>
        <v>4</v>
      </c>
      <c r="B1121" s="116">
        <v>46088</v>
      </c>
      <c r="C1121" s="117">
        <v>45362</v>
      </c>
      <c r="D1121" s="116">
        <v>149.59</v>
      </c>
      <c r="E1121" s="117">
        <v>45366</v>
      </c>
      <c r="F1121" s="116">
        <f>COUNTIFS($A$3:A9377,A1121,$B$3:B9377,B1121)</f>
        <v>1</v>
      </c>
      <c r="G1121" s="116"/>
    </row>
    <row r="1122" spans="1:7" x14ac:dyDescent="0.2">
      <c r="A1122" s="116">
        <f>IF(ISNUMBER(Tabela2[[#This Row],[CT-e/NFS]])=TRUE,(IF(B1122&gt;30000,4,IF(B1122&lt;1000,"ND",0))),"-")</f>
        <v>4</v>
      </c>
      <c r="B1122" s="116">
        <v>46080</v>
      </c>
      <c r="C1122" s="117">
        <v>45362</v>
      </c>
      <c r="D1122" s="116">
        <v>532.16999999999996</v>
      </c>
      <c r="E1122" s="117">
        <v>45366</v>
      </c>
      <c r="F1122" s="116">
        <f>COUNTIFS($A$3:A9378,A1122,$B$3:B9378,B1122)</f>
        <v>1</v>
      </c>
      <c r="G1122" s="116"/>
    </row>
    <row r="1123" spans="1:7" x14ac:dyDescent="0.2">
      <c r="A1123" s="116">
        <f>IF(ISNUMBER(Tabela2[[#This Row],[CT-e/NFS]])=TRUE,(IF(B1123&gt;30000,4,IF(B1123&lt;1000,"ND",0))),"-")</f>
        <v>4</v>
      </c>
      <c r="B1123" s="116">
        <v>46084</v>
      </c>
      <c r="C1123" s="117">
        <v>45362</v>
      </c>
      <c r="D1123" s="116">
        <v>124.44</v>
      </c>
      <c r="E1123" s="117">
        <v>45366</v>
      </c>
      <c r="F1123" s="116">
        <f>COUNTIFS($A$3:A9379,A1123,$B$3:B9379,B1123)</f>
        <v>1</v>
      </c>
      <c r="G1123" s="116"/>
    </row>
    <row r="1124" spans="1:7" x14ac:dyDescent="0.2">
      <c r="A1124" s="116">
        <f>IF(ISNUMBER(Tabela2[[#This Row],[CT-e/NFS]])=TRUE,(IF(B1124&gt;30000,4,IF(B1124&lt;1000,"ND",0))),"-")</f>
        <v>4</v>
      </c>
      <c r="B1124" s="116">
        <v>46086</v>
      </c>
      <c r="C1124" s="117">
        <v>45362</v>
      </c>
      <c r="D1124" s="116">
        <v>123.89</v>
      </c>
      <c r="E1124" s="117">
        <v>45366</v>
      </c>
      <c r="F1124" s="116">
        <f>COUNTIFS($A$3:A9380,A1124,$B$3:B9380,B1124)</f>
        <v>1</v>
      </c>
      <c r="G1124" s="116"/>
    </row>
    <row r="1125" spans="1:7" x14ac:dyDescent="0.2">
      <c r="A1125" s="116">
        <f>IF(ISNUMBER(Tabela2[[#This Row],[CT-e/NFS]])=TRUE,(IF(B1125&gt;30000,4,IF(B1125&lt;1000,"ND",0))),"-")</f>
        <v>4</v>
      </c>
      <c r="B1125" s="116">
        <v>46070</v>
      </c>
      <c r="C1125" s="117">
        <v>45362</v>
      </c>
      <c r="D1125" s="116">
        <v>1086.24</v>
      </c>
      <c r="E1125" s="117">
        <v>45366</v>
      </c>
      <c r="F1125" s="116">
        <f>COUNTIFS($A$3:A9381,A1125,$B$3:B9381,B1125)</f>
        <v>1</v>
      </c>
      <c r="G1125" s="116"/>
    </row>
    <row r="1126" spans="1:7" x14ac:dyDescent="0.2">
      <c r="A1126" s="116">
        <f>IF(ISNUMBER(Tabela2[[#This Row],[CT-e/NFS]])=TRUE,(IF(B1126&gt;30000,4,IF(B1126&lt;1000,"ND",0))),"-")</f>
        <v>4</v>
      </c>
      <c r="B1126" s="116">
        <v>46073</v>
      </c>
      <c r="C1126" s="117">
        <v>45362</v>
      </c>
      <c r="D1126" s="116">
        <v>126.51</v>
      </c>
      <c r="E1126" s="117">
        <v>45366</v>
      </c>
      <c r="F1126" s="116">
        <f>COUNTIFS($A$3:A9382,A1126,$B$3:B9382,B1126)</f>
        <v>1</v>
      </c>
      <c r="G1126" s="116"/>
    </row>
    <row r="1127" spans="1:7" x14ac:dyDescent="0.2">
      <c r="A1127" s="116">
        <f>IF(ISNUMBER(Tabela2[[#This Row],[CT-e/NFS]])=TRUE,(IF(B1127&gt;30000,4,IF(B1127&lt;1000,"ND",0))),"-")</f>
        <v>4</v>
      </c>
      <c r="B1127" s="116">
        <v>46071</v>
      </c>
      <c r="C1127" s="117">
        <v>45362</v>
      </c>
      <c r="D1127" s="116">
        <v>408.02</v>
      </c>
      <c r="E1127" s="117">
        <v>45366</v>
      </c>
      <c r="F1127" s="116">
        <f>COUNTIFS($A$3:A9383,A1127,$B$3:B9383,B1127)</f>
        <v>1</v>
      </c>
      <c r="G1127" s="116"/>
    </row>
    <row r="1128" spans="1:7" x14ac:dyDescent="0.2">
      <c r="A1128" s="116">
        <f>IF(ISNUMBER(Tabela2[[#This Row],[CT-e/NFS]])=TRUE,(IF(B1128&gt;30000,4,IF(B1128&lt;1000,"ND",0))),"-")</f>
        <v>4</v>
      </c>
      <c r="B1128" s="116">
        <v>46089</v>
      </c>
      <c r="C1128" s="117">
        <v>45362</v>
      </c>
      <c r="D1128" s="116">
        <v>246.33</v>
      </c>
      <c r="E1128" s="117">
        <v>45366</v>
      </c>
      <c r="F1128" s="116">
        <f>COUNTIFS($A$3:A9384,A1128,$B$3:B9384,B1128)</f>
        <v>1</v>
      </c>
      <c r="G1128" s="116"/>
    </row>
    <row r="1129" spans="1:7" x14ac:dyDescent="0.2">
      <c r="A1129" s="116">
        <f>IF(ISNUMBER(Tabela2[[#This Row],[CT-e/NFS]])=TRUE,(IF(B1129&gt;30000,4,IF(B1129&lt;1000,"ND",0))),"-")</f>
        <v>4</v>
      </c>
      <c r="B1129" s="116">
        <v>46072</v>
      </c>
      <c r="C1129" s="117">
        <v>45362</v>
      </c>
      <c r="D1129" s="116">
        <v>702.74</v>
      </c>
      <c r="E1129" s="117">
        <v>45366</v>
      </c>
      <c r="F1129" s="116">
        <f>COUNTIFS($A$3:A9385,A1129,$B$3:B9385,B1129)</f>
        <v>1</v>
      </c>
      <c r="G1129" s="116"/>
    </row>
    <row r="1130" spans="1:7" x14ac:dyDescent="0.2">
      <c r="A1130" s="116">
        <f>IF(ISNUMBER(Tabela2[[#This Row],[CT-e/NFS]])=TRUE,(IF(B1130&gt;30000,4,IF(B1130&lt;1000,"ND",0))),"-")</f>
        <v>4</v>
      </c>
      <c r="B1130" s="116">
        <v>46069</v>
      </c>
      <c r="C1130" s="117">
        <v>45362</v>
      </c>
      <c r="D1130" s="116">
        <v>1086.24</v>
      </c>
      <c r="E1130" s="117">
        <v>45366</v>
      </c>
      <c r="F1130" s="116">
        <f>COUNTIFS($A$3:A9386,A1130,$B$3:B9386,B1130)</f>
        <v>1</v>
      </c>
      <c r="G1130" s="116"/>
    </row>
    <row r="1131" spans="1:7" x14ac:dyDescent="0.2">
      <c r="A1131" s="116">
        <f>IF(ISNUMBER(Tabela2[[#This Row],[CT-e/NFS]])=TRUE,(IF(B1131&gt;30000,4,IF(B1131&lt;1000,"ND",0))),"-")</f>
        <v>4</v>
      </c>
      <c r="B1131" s="116">
        <v>46085</v>
      </c>
      <c r="C1131" s="117">
        <v>45362</v>
      </c>
      <c r="D1131" s="116">
        <v>124.16</v>
      </c>
      <c r="E1131" s="117">
        <v>45366</v>
      </c>
      <c r="F1131" s="116">
        <f>COUNTIFS($A$3:A9387,A1131,$B$3:B9387,B1131)</f>
        <v>1</v>
      </c>
      <c r="G1131" s="116"/>
    </row>
    <row r="1132" spans="1:7" x14ac:dyDescent="0.2">
      <c r="A1132" s="116">
        <f>IF(ISNUMBER(Tabela2[[#This Row],[CT-e/NFS]])=TRUE,(IF(B1132&gt;30000,4,IF(B1132&lt;1000,"ND",0))),"-")</f>
        <v>4</v>
      </c>
      <c r="B1132" s="116">
        <v>46079</v>
      </c>
      <c r="C1132" s="117">
        <v>45362</v>
      </c>
      <c r="D1132" s="116">
        <v>347.82</v>
      </c>
      <c r="E1132" s="117">
        <v>45366</v>
      </c>
      <c r="F1132" s="116">
        <f>COUNTIFS($A$3:A9388,A1132,$B$3:B9388,B1132)</f>
        <v>1</v>
      </c>
      <c r="G1132" s="116"/>
    </row>
    <row r="1133" spans="1:7" x14ac:dyDescent="0.2">
      <c r="A1133" s="116">
        <f>IF(ISNUMBER(Tabela2[[#This Row],[CT-e/NFS]])=TRUE,(IF(B1133&gt;30000,4,IF(B1133&lt;1000,"ND",0))),"-")</f>
        <v>4</v>
      </c>
      <c r="B1133" s="116">
        <v>46095</v>
      </c>
      <c r="C1133" s="117">
        <v>45362</v>
      </c>
      <c r="D1133" s="116">
        <v>63.32</v>
      </c>
      <c r="E1133" s="117">
        <v>45366</v>
      </c>
      <c r="F1133" s="116">
        <f>COUNTIFS($A$3:A9389,A1133,$B$3:B9389,B1133)</f>
        <v>1</v>
      </c>
      <c r="G1133" s="116"/>
    </row>
    <row r="1134" spans="1:7" x14ac:dyDescent="0.2">
      <c r="A1134" s="116">
        <f>IF(ISNUMBER(Tabela2[[#This Row],[CT-e/NFS]])=TRUE,(IF(B1134&gt;30000,4,IF(B1134&lt;1000,"ND",0))),"-")</f>
        <v>4</v>
      </c>
      <c r="B1134" s="116">
        <v>46100</v>
      </c>
      <c r="C1134" s="117">
        <v>45362</v>
      </c>
      <c r="D1134" s="116">
        <v>182.55</v>
      </c>
      <c r="E1134" s="117">
        <v>45366</v>
      </c>
      <c r="F1134" s="116">
        <f>COUNTIFS($A$3:A9390,A1134,$B$3:B9390,B1134)</f>
        <v>1</v>
      </c>
      <c r="G1134" s="116"/>
    </row>
    <row r="1135" spans="1:7" x14ac:dyDescent="0.2">
      <c r="A1135" s="116">
        <f>IF(ISNUMBER(Tabela2[[#This Row],[CT-e/NFS]])=TRUE,(IF(B1135&gt;30000,4,IF(B1135&lt;1000,"ND",0))),"-")</f>
        <v>4</v>
      </c>
      <c r="B1135" s="116">
        <v>46096</v>
      </c>
      <c r="C1135" s="117">
        <v>45362</v>
      </c>
      <c r="D1135" s="116">
        <v>114.38</v>
      </c>
      <c r="E1135" s="117">
        <v>45366</v>
      </c>
      <c r="F1135" s="116">
        <f>COUNTIFS($A$3:A9391,A1135,$B$3:B9391,B1135)</f>
        <v>1</v>
      </c>
      <c r="G1135" s="116"/>
    </row>
    <row r="1136" spans="1:7" x14ac:dyDescent="0.2">
      <c r="A1136" s="116">
        <f>IF(ISNUMBER(Tabela2[[#This Row],[CT-e/NFS]])=TRUE,(IF(B1136&gt;30000,4,IF(B1136&lt;1000,"ND",0))),"-")</f>
        <v>4</v>
      </c>
      <c r="B1136" s="116">
        <v>46099</v>
      </c>
      <c r="C1136" s="117">
        <v>45362</v>
      </c>
      <c r="D1136" s="116">
        <v>226.72</v>
      </c>
      <c r="E1136" s="117">
        <v>45366</v>
      </c>
      <c r="F1136" s="116">
        <f>COUNTIFS($A$3:A9392,A1136,$B$3:B9392,B1136)</f>
        <v>1</v>
      </c>
      <c r="G1136" s="116"/>
    </row>
    <row r="1137" spans="1:7" x14ac:dyDescent="0.2">
      <c r="A1137" s="116">
        <f>IF(ISNUMBER(Tabela2[[#This Row],[CT-e/NFS]])=TRUE,(IF(B1137&gt;30000,4,IF(B1137&lt;1000,"ND",0))),"-")</f>
        <v>4</v>
      </c>
      <c r="B1137" s="116">
        <v>46098</v>
      </c>
      <c r="C1137" s="117">
        <v>45362</v>
      </c>
      <c r="D1137" s="116">
        <v>125.51</v>
      </c>
      <c r="E1137" s="117">
        <v>45366</v>
      </c>
      <c r="F1137" s="116">
        <f>COUNTIFS($A$3:A9393,A1137,$B$3:B9393,B1137)</f>
        <v>1</v>
      </c>
      <c r="G1137" s="116"/>
    </row>
    <row r="1138" spans="1:7" x14ac:dyDescent="0.2">
      <c r="A1138" s="116">
        <f>IF(ISNUMBER(Tabela2[[#This Row],[CT-e/NFS]])=TRUE,(IF(B1138&gt;30000,4,IF(B1138&lt;1000,"ND",0))),"-")</f>
        <v>4</v>
      </c>
      <c r="B1138" s="116">
        <v>46093</v>
      </c>
      <c r="C1138" s="117">
        <v>45362</v>
      </c>
      <c r="D1138" s="116">
        <v>655.99</v>
      </c>
      <c r="E1138" s="117">
        <v>45366</v>
      </c>
      <c r="F1138" s="116">
        <f>COUNTIFS($A$3:A9394,A1138,$B$3:B9394,B1138)</f>
        <v>1</v>
      </c>
      <c r="G1138" s="116"/>
    </row>
    <row r="1139" spans="1:7" x14ac:dyDescent="0.2">
      <c r="A1139" s="116">
        <f>IF(ISNUMBER(Tabela2[[#This Row],[CT-e/NFS]])=TRUE,(IF(B1139&gt;30000,4,IF(B1139&lt;1000,"ND",0))),"-")</f>
        <v>4</v>
      </c>
      <c r="B1139" s="116">
        <v>46068</v>
      </c>
      <c r="C1139" s="117">
        <v>45362</v>
      </c>
      <c r="D1139" s="116">
        <v>122.73</v>
      </c>
      <c r="E1139" s="117">
        <v>45366</v>
      </c>
      <c r="F1139" s="116">
        <f>COUNTIFS($A$3:A9395,A1139,$B$3:B9395,B1139)</f>
        <v>1</v>
      </c>
      <c r="G1139" s="116"/>
    </row>
    <row r="1140" spans="1:7" x14ac:dyDescent="0.2">
      <c r="A1140" s="116">
        <f>IF(ISNUMBER(Tabela2[[#This Row],[CT-e/NFS]])=TRUE,(IF(B1140&gt;30000,4,IF(B1140&lt;1000,"ND",0))),"-")</f>
        <v>4</v>
      </c>
      <c r="B1140" s="116">
        <v>45992</v>
      </c>
      <c r="C1140" s="117">
        <v>45362</v>
      </c>
      <c r="D1140" s="116">
        <v>293.89</v>
      </c>
      <c r="E1140" s="117">
        <v>45366</v>
      </c>
      <c r="F1140" s="116">
        <f>COUNTIFS($A$3:A9396,A1140,$B$3:B9396,B1140)</f>
        <v>1</v>
      </c>
      <c r="G1140" s="116"/>
    </row>
    <row r="1141" spans="1:7" x14ac:dyDescent="0.2">
      <c r="A1141" s="116">
        <f>IF(ISNUMBER(Tabela2[[#This Row],[CT-e/NFS]])=TRUE,(IF(B1141&gt;30000,4,IF(B1141&lt;1000,"ND",0))),"-")</f>
        <v>4</v>
      </c>
      <c r="B1141" s="116">
        <v>46061</v>
      </c>
      <c r="C1141" s="117">
        <v>45362</v>
      </c>
      <c r="D1141" s="116">
        <v>180.36</v>
      </c>
      <c r="E1141" s="117">
        <v>45366</v>
      </c>
      <c r="F1141" s="116">
        <f>COUNTIFS($A$3:A9397,A1141,$B$3:B9397,B1141)</f>
        <v>1</v>
      </c>
      <c r="G1141" s="116"/>
    </row>
    <row r="1142" spans="1:7" x14ac:dyDescent="0.2">
      <c r="A1142" s="116">
        <f>IF(ISNUMBER(Tabela2[[#This Row],[CT-e/NFS]])=TRUE,(IF(B1142&gt;30000,4,IF(B1142&lt;1000,"ND",0))),"-")</f>
        <v>4</v>
      </c>
      <c r="B1142" s="116">
        <v>46101</v>
      </c>
      <c r="C1142" s="117">
        <v>45362</v>
      </c>
      <c r="D1142" s="116">
        <v>329.61</v>
      </c>
      <c r="E1142" s="117">
        <v>45366</v>
      </c>
      <c r="F1142" s="116">
        <f>COUNTIFS($A$3:A9398,A1142,$B$3:B9398,B1142)</f>
        <v>1</v>
      </c>
      <c r="G1142" s="116"/>
    </row>
    <row r="1143" spans="1:7" x14ac:dyDescent="0.2">
      <c r="A1143" s="116">
        <f>IF(ISNUMBER(Tabela2[[#This Row],[CT-e/NFS]])=TRUE,(IF(B1143&gt;30000,4,IF(B1143&lt;1000,"ND",0))),"-")</f>
        <v>4</v>
      </c>
      <c r="B1143" s="116">
        <v>45984</v>
      </c>
      <c r="C1143" s="117">
        <v>45362</v>
      </c>
      <c r="D1143" s="116">
        <v>1796.03</v>
      </c>
      <c r="E1143" s="117">
        <v>45366</v>
      </c>
      <c r="F1143" s="116">
        <f>COUNTIFS($A$3:A9399,A1143,$B$3:B9399,B1143)</f>
        <v>1</v>
      </c>
      <c r="G1143" s="116"/>
    </row>
    <row r="1144" spans="1:7" x14ac:dyDescent="0.2">
      <c r="A1144" s="116">
        <f>IF(ISNUMBER(Tabela2[[#This Row],[CT-e/NFS]])=TRUE,(IF(B1144&gt;30000,4,IF(B1144&lt;1000,"ND",0))),"-")</f>
        <v>4</v>
      </c>
      <c r="B1144" s="116">
        <v>45987</v>
      </c>
      <c r="C1144" s="117">
        <v>45362</v>
      </c>
      <c r="D1144" s="116">
        <v>8170.55</v>
      </c>
      <c r="E1144" s="117">
        <v>45366</v>
      </c>
      <c r="F1144" s="116">
        <f>COUNTIFS($A$3:A9400,A1144,$B$3:B9400,B1144)</f>
        <v>1</v>
      </c>
      <c r="G1144" s="116"/>
    </row>
    <row r="1145" spans="1:7" x14ac:dyDescent="0.2">
      <c r="A1145" s="116">
        <f>IF(ISNUMBER(Tabela2[[#This Row],[CT-e/NFS]])=TRUE,(IF(B1145&gt;30000,4,IF(B1145&lt;1000,"ND",0))),"-")</f>
        <v>4</v>
      </c>
      <c r="B1145" s="116">
        <v>45986</v>
      </c>
      <c r="C1145" s="117">
        <v>45362</v>
      </c>
      <c r="D1145" s="116">
        <v>8170.55</v>
      </c>
      <c r="E1145" s="117">
        <v>45366</v>
      </c>
      <c r="F1145" s="116">
        <f>COUNTIFS($A$3:A9401,A1145,$B$3:B9401,B1145)</f>
        <v>1</v>
      </c>
      <c r="G1145" s="116"/>
    </row>
    <row r="1146" spans="1:7" x14ac:dyDescent="0.2">
      <c r="A1146" s="116">
        <f>IF(ISNUMBER(Tabela2[[#This Row],[CT-e/NFS]])=TRUE,(IF(B1146&gt;30000,4,IF(B1146&lt;1000,"ND",0))),"-")</f>
        <v>4</v>
      </c>
      <c r="B1146" s="116">
        <v>46029</v>
      </c>
      <c r="C1146" s="117">
        <v>45362</v>
      </c>
      <c r="D1146" s="116">
        <v>319.74</v>
      </c>
      <c r="E1146" s="117">
        <v>45366</v>
      </c>
      <c r="F1146" s="116">
        <f>COUNTIFS($A$3:A9402,A1146,$B$3:B9402,B1146)</f>
        <v>1</v>
      </c>
      <c r="G1146" s="116"/>
    </row>
    <row r="1147" spans="1:7" x14ac:dyDescent="0.2">
      <c r="A1147" s="116">
        <f>IF(ISNUMBER(Tabela2[[#This Row],[CT-e/NFS]])=TRUE,(IF(B1147&gt;30000,4,IF(B1147&lt;1000,"ND",0))),"-")</f>
        <v>4</v>
      </c>
      <c r="B1147" s="116">
        <v>46026</v>
      </c>
      <c r="C1147" s="117">
        <v>45362</v>
      </c>
      <c r="D1147" s="116">
        <v>283.01</v>
      </c>
      <c r="E1147" s="117">
        <v>45366</v>
      </c>
      <c r="F1147" s="116">
        <f>COUNTIFS($A$3:A9403,A1147,$B$3:B9403,B1147)</f>
        <v>1</v>
      </c>
      <c r="G1147" s="116"/>
    </row>
    <row r="1148" spans="1:7" x14ac:dyDescent="0.2">
      <c r="A1148" s="116">
        <f>IF(ISNUMBER(Tabela2[[#This Row],[CT-e/NFS]])=TRUE,(IF(B1148&gt;30000,4,IF(B1148&lt;1000,"ND",0))),"-")</f>
        <v>4</v>
      </c>
      <c r="B1148" s="116">
        <v>46027</v>
      </c>
      <c r="C1148" s="117">
        <v>45362</v>
      </c>
      <c r="D1148" s="116">
        <v>514.47</v>
      </c>
      <c r="E1148" s="117">
        <v>45366</v>
      </c>
      <c r="F1148" s="116">
        <f>COUNTIFS($A$3:A9404,A1148,$B$3:B9404,B1148)</f>
        <v>1</v>
      </c>
      <c r="G1148" s="116"/>
    </row>
    <row r="1149" spans="1:7" x14ac:dyDescent="0.2">
      <c r="A1149" s="116">
        <f>IF(ISNUMBER(Tabela2[[#This Row],[CT-e/NFS]])=TRUE,(IF(B1149&gt;30000,4,IF(B1149&lt;1000,"ND",0))),"-")</f>
        <v>4</v>
      </c>
      <c r="B1149" s="116">
        <v>46028</v>
      </c>
      <c r="C1149" s="117">
        <v>45362</v>
      </c>
      <c r="D1149" s="116">
        <v>641.08000000000004</v>
      </c>
      <c r="E1149" s="117">
        <v>45366</v>
      </c>
      <c r="F1149" s="116">
        <f>COUNTIFS($A$3:A9405,A1149,$B$3:B9405,B1149)</f>
        <v>1</v>
      </c>
      <c r="G1149" s="116"/>
    </row>
    <row r="1150" spans="1:7" x14ac:dyDescent="0.2">
      <c r="A1150" s="116">
        <f>IF(ISNUMBER(Tabela2[[#This Row],[CT-e/NFS]])=TRUE,(IF(B1150&gt;30000,4,IF(B1150&lt;1000,"ND",0))),"-")</f>
        <v>4</v>
      </c>
      <c r="B1150" s="116">
        <v>46007</v>
      </c>
      <c r="C1150" s="117">
        <v>45362</v>
      </c>
      <c r="D1150" s="116">
        <v>959.44</v>
      </c>
      <c r="E1150" s="117">
        <v>45366</v>
      </c>
      <c r="F1150" s="116">
        <f>COUNTIFS($A$3:A9406,A1150,$B$3:B9406,B1150)</f>
        <v>1</v>
      </c>
      <c r="G1150" s="116"/>
    </row>
    <row r="1151" spans="1:7" x14ac:dyDescent="0.2">
      <c r="A1151" s="116">
        <f>IF(ISNUMBER(Tabela2[[#This Row],[CT-e/NFS]])=TRUE,(IF(B1151&gt;30000,4,IF(B1151&lt;1000,"ND",0))),"-")</f>
        <v>4</v>
      </c>
      <c r="B1151" s="116">
        <v>46022</v>
      </c>
      <c r="C1151" s="117">
        <v>45362</v>
      </c>
      <c r="D1151" s="116">
        <v>227.27</v>
      </c>
      <c r="E1151" s="117">
        <v>45366</v>
      </c>
      <c r="F1151" s="116">
        <f>COUNTIFS($A$3:A9407,A1151,$B$3:B9407,B1151)</f>
        <v>1</v>
      </c>
      <c r="G1151" s="116"/>
    </row>
    <row r="1152" spans="1:7" x14ac:dyDescent="0.2">
      <c r="A1152" s="116">
        <f>IF(ISNUMBER(Tabela2[[#This Row],[CT-e/NFS]])=TRUE,(IF(B1152&gt;30000,4,IF(B1152&lt;1000,"ND",0))),"-")</f>
        <v>4</v>
      </c>
      <c r="B1152" s="116">
        <v>46050</v>
      </c>
      <c r="C1152" s="117">
        <v>45362</v>
      </c>
      <c r="D1152" s="116">
        <v>609.98</v>
      </c>
      <c r="E1152" s="117">
        <v>45366</v>
      </c>
      <c r="F1152" s="116">
        <f>COUNTIFS($A$3:A9408,A1152,$B$3:B9408,B1152)</f>
        <v>1</v>
      </c>
      <c r="G1152" s="116"/>
    </row>
    <row r="1153" spans="1:7" x14ac:dyDescent="0.2">
      <c r="A1153" s="116">
        <f>IF(ISNUMBER(Tabela2[[#This Row],[CT-e/NFS]])=TRUE,(IF(B1153&gt;30000,4,IF(B1153&lt;1000,"ND",0))),"-")</f>
        <v>4</v>
      </c>
      <c r="B1153" s="116">
        <v>46097</v>
      </c>
      <c r="C1153" s="117">
        <v>45362</v>
      </c>
      <c r="D1153" s="116">
        <v>408.02</v>
      </c>
      <c r="E1153" s="117">
        <v>45366</v>
      </c>
      <c r="F1153" s="116">
        <f>COUNTIFS($A$3:A9409,A1153,$B$3:B9409,B1153)</f>
        <v>1</v>
      </c>
      <c r="G1153" s="116"/>
    </row>
    <row r="1154" spans="1:7" x14ac:dyDescent="0.2">
      <c r="A1154" s="116">
        <f>IF(ISNUMBER(Tabela2[[#This Row],[CT-e/NFS]])=TRUE,(IF(B1154&gt;30000,4,IF(B1154&lt;1000,"ND",0))),"-")</f>
        <v>4</v>
      </c>
      <c r="B1154" s="116">
        <v>45705</v>
      </c>
      <c r="C1154" s="117">
        <v>45362</v>
      </c>
      <c r="D1154" s="116">
        <v>408.02</v>
      </c>
      <c r="E1154" s="117">
        <v>45366</v>
      </c>
      <c r="F1154" s="116">
        <f>COUNTIFS($A$3:A9410,A1154,$B$3:B9410,B1154)</f>
        <v>1</v>
      </c>
      <c r="G1154" s="116"/>
    </row>
    <row r="1155" spans="1:7" x14ac:dyDescent="0.2">
      <c r="A1155" s="116">
        <f>IF(ISNUMBER(Tabela2[[#This Row],[CT-e/NFS]])=TRUE,(IF(B1155&gt;30000,4,IF(B1155&lt;1000,"ND",0))),"-")</f>
        <v>4</v>
      </c>
      <c r="B1155" s="116">
        <v>46078</v>
      </c>
      <c r="C1155" s="117">
        <v>45362</v>
      </c>
      <c r="D1155" s="116">
        <v>713.13</v>
      </c>
      <c r="E1155" s="117">
        <v>45366</v>
      </c>
      <c r="F1155" s="116">
        <f>COUNTIFS($A$3:A9411,A1155,$B$3:B9411,B1155)</f>
        <v>1</v>
      </c>
      <c r="G1155" s="116"/>
    </row>
    <row r="1156" spans="1:7" x14ac:dyDescent="0.2">
      <c r="A1156" s="116">
        <f>IF(ISNUMBER(Tabela2[[#This Row],[CT-e/NFS]])=TRUE,(IF(B1156&gt;30000,4,IF(B1156&lt;1000,"ND",0))),"-")</f>
        <v>4</v>
      </c>
      <c r="B1156" s="116">
        <v>46107</v>
      </c>
      <c r="C1156" s="117">
        <v>45372</v>
      </c>
      <c r="D1156" s="116">
        <v>254.4</v>
      </c>
      <c r="E1156" s="117">
        <v>45381</v>
      </c>
      <c r="F1156" s="116">
        <f>COUNTIFS($A$3:A9412,A1156,$B$3:B9412,B1156)</f>
        <v>1</v>
      </c>
      <c r="G1156" s="116"/>
    </row>
    <row r="1157" spans="1:7" x14ac:dyDescent="0.2">
      <c r="A1157" s="116">
        <f>IF(ISNUMBER(Tabela2[[#This Row],[CT-e/NFS]])=TRUE,(IF(B1157&gt;30000,4,IF(B1157&lt;1000,"ND",0))),"-")</f>
        <v>4</v>
      </c>
      <c r="B1157" s="116">
        <v>46106</v>
      </c>
      <c r="C1157" s="117">
        <v>45372</v>
      </c>
      <c r="D1157" s="116">
        <v>560.53</v>
      </c>
      <c r="E1157" s="117">
        <v>45381</v>
      </c>
      <c r="F1157" s="116">
        <f>COUNTIFS($A$3:A9413,A1157,$B$3:B9413,B1157)</f>
        <v>1</v>
      </c>
      <c r="G1157" s="116"/>
    </row>
    <row r="1158" spans="1:7" x14ac:dyDescent="0.2">
      <c r="A1158" s="116">
        <f>IF(ISNUMBER(Tabela2[[#This Row],[CT-e/NFS]])=TRUE,(IF(B1158&gt;30000,4,IF(B1158&lt;1000,"ND",0))),"-")</f>
        <v>4</v>
      </c>
      <c r="B1158" s="116">
        <v>46108</v>
      </c>
      <c r="C1158" s="117">
        <v>45372</v>
      </c>
      <c r="D1158" s="116">
        <v>322.8</v>
      </c>
      <c r="E1158" s="117">
        <v>45381</v>
      </c>
      <c r="F1158" s="116">
        <f>COUNTIFS($A$3:A9414,A1158,$B$3:B9414,B1158)</f>
        <v>1</v>
      </c>
      <c r="G1158" s="116"/>
    </row>
    <row r="1159" spans="1:7" x14ac:dyDescent="0.2">
      <c r="A1159" s="116">
        <f>IF(ISNUMBER(Tabela2[[#This Row],[CT-e/NFS]])=TRUE,(IF(B1159&gt;30000,4,IF(B1159&lt;1000,"ND",0))),"-")</f>
        <v>4</v>
      </c>
      <c r="B1159" s="116">
        <v>46103</v>
      </c>
      <c r="C1159" s="117">
        <v>45372</v>
      </c>
      <c r="D1159" s="116">
        <v>301.38</v>
      </c>
      <c r="E1159" s="117">
        <v>45381</v>
      </c>
      <c r="F1159" s="116">
        <f>COUNTIFS($A$3:A9415,A1159,$B$3:B9415,B1159)</f>
        <v>1</v>
      </c>
      <c r="G1159" s="116"/>
    </row>
    <row r="1160" spans="1:7" x14ac:dyDescent="0.2">
      <c r="A1160" s="116">
        <f>IF(ISNUMBER(Tabela2[[#This Row],[CT-e/NFS]])=TRUE,(IF(B1160&gt;30000,4,IF(B1160&lt;1000,"ND",0))),"-")</f>
        <v>4</v>
      </c>
      <c r="B1160" s="116">
        <v>46104</v>
      </c>
      <c r="C1160" s="117">
        <v>45372</v>
      </c>
      <c r="D1160" s="116">
        <v>289.8</v>
      </c>
      <c r="E1160" s="117">
        <v>45381</v>
      </c>
      <c r="F1160" s="116">
        <f>COUNTIFS($A$3:A9416,A1160,$B$3:B9416,B1160)</f>
        <v>1</v>
      </c>
      <c r="G1160" s="116"/>
    </row>
    <row r="1161" spans="1:7" x14ac:dyDescent="0.2">
      <c r="A1161" s="116">
        <f>IF(ISNUMBER(Tabela2[[#This Row],[CT-e/NFS]])=TRUE,(IF(B1161&gt;30000,4,IF(B1161&lt;1000,"ND",0))),"-")</f>
        <v>4</v>
      </c>
      <c r="B1161" s="116">
        <v>46102</v>
      </c>
      <c r="C1161" s="117">
        <v>45372</v>
      </c>
      <c r="D1161" s="116">
        <v>583.55999999999995</v>
      </c>
      <c r="E1161" s="117">
        <v>45381</v>
      </c>
      <c r="F1161" s="116">
        <f>COUNTIFS($A$3:A9417,A1161,$B$3:B9417,B1161)</f>
        <v>1</v>
      </c>
      <c r="G1161" s="116"/>
    </row>
    <row r="1162" spans="1:7" x14ac:dyDescent="0.2">
      <c r="A1162" s="116">
        <f>IF(ISNUMBER(Tabela2[[#This Row],[CT-e/NFS]])=TRUE,(IF(B1162&gt;30000,4,IF(B1162&lt;1000,"ND",0))),"-")</f>
        <v>4</v>
      </c>
      <c r="B1162" s="116">
        <v>46105</v>
      </c>
      <c r="C1162" s="117">
        <v>45372</v>
      </c>
      <c r="D1162" s="116">
        <v>583.55999999999995</v>
      </c>
      <c r="E1162" s="117">
        <v>45381</v>
      </c>
      <c r="F1162" s="116">
        <f>COUNTIFS($A$3:A9418,A1162,$B$3:B9418,B1162)</f>
        <v>1</v>
      </c>
      <c r="G1162" s="116"/>
    </row>
    <row r="1163" spans="1:7" x14ac:dyDescent="0.2">
      <c r="A1163" s="116">
        <f>IF(ISNUMBER(Tabela2[[#This Row],[CT-e/NFS]])=TRUE,(IF(B1163&gt;30000,4,IF(B1163&lt;1000,"ND",0))),"-")</f>
        <v>4</v>
      </c>
      <c r="B1163" s="116">
        <v>46109</v>
      </c>
      <c r="C1163" s="117">
        <v>45372</v>
      </c>
      <c r="D1163" s="116">
        <v>86.38</v>
      </c>
      <c r="E1163" s="117">
        <v>45381</v>
      </c>
      <c r="F1163" s="116">
        <f>COUNTIFS($A$3:A9419,A1163,$B$3:B9419,B1163)</f>
        <v>1</v>
      </c>
      <c r="G1163" s="116"/>
    </row>
    <row r="1164" spans="1:7" x14ac:dyDescent="0.2">
      <c r="A1164" s="116">
        <f>IF(ISNUMBER(Tabela2[[#This Row],[CT-e/NFS]])=TRUE,(IF(B1164&gt;30000,4,IF(B1164&lt;1000,"ND",0))),"-")</f>
        <v>4</v>
      </c>
      <c r="B1164" s="116">
        <v>46113</v>
      </c>
      <c r="C1164" s="117">
        <v>45372</v>
      </c>
      <c r="D1164" s="116">
        <v>168.09</v>
      </c>
      <c r="E1164" s="117">
        <v>45381</v>
      </c>
      <c r="F1164" s="116">
        <f>COUNTIFS($A$3:A9420,A1164,$B$3:B9420,B1164)</f>
        <v>1</v>
      </c>
      <c r="G1164" s="116"/>
    </row>
    <row r="1165" spans="1:7" x14ac:dyDescent="0.2">
      <c r="A1165" s="116">
        <f>IF(ISNUMBER(Tabela2[[#This Row],[CT-e/NFS]])=TRUE,(IF(B1165&gt;30000,4,IF(B1165&lt;1000,"ND",0))),"-")</f>
        <v>4</v>
      </c>
      <c r="B1165" s="116">
        <v>46112</v>
      </c>
      <c r="C1165" s="117">
        <v>45372</v>
      </c>
      <c r="D1165" s="116">
        <v>238.13</v>
      </c>
      <c r="E1165" s="117">
        <v>45381</v>
      </c>
      <c r="F1165" s="116">
        <f>COUNTIFS($A$3:A9421,A1165,$B$3:B9421,B1165)</f>
        <v>1</v>
      </c>
      <c r="G1165" s="116"/>
    </row>
    <row r="1166" spans="1:7" x14ac:dyDescent="0.2">
      <c r="A1166" s="116">
        <f>IF(ISNUMBER(Tabela2[[#This Row],[CT-e/NFS]])=TRUE,(IF(B1166&gt;30000,4,IF(B1166&lt;1000,"ND",0))),"-")</f>
        <v>4</v>
      </c>
      <c r="B1166" s="116">
        <v>46117</v>
      </c>
      <c r="C1166" s="117">
        <v>45372</v>
      </c>
      <c r="D1166" s="116">
        <v>124.47</v>
      </c>
      <c r="E1166" s="117">
        <v>45381</v>
      </c>
      <c r="F1166" s="116">
        <f>COUNTIFS($A$3:A9422,A1166,$B$3:B9422,B1166)</f>
        <v>1</v>
      </c>
      <c r="G1166" s="116"/>
    </row>
    <row r="1167" spans="1:7" x14ac:dyDescent="0.2">
      <c r="A1167" s="116">
        <f>IF(ISNUMBER(Tabela2[[#This Row],[CT-e/NFS]])=TRUE,(IF(B1167&gt;30000,4,IF(B1167&lt;1000,"ND",0))),"-")</f>
        <v>4</v>
      </c>
      <c r="B1167" s="116">
        <v>46114</v>
      </c>
      <c r="C1167" s="117">
        <v>45372</v>
      </c>
      <c r="D1167" s="116">
        <v>124.03</v>
      </c>
      <c r="E1167" s="117">
        <v>45381</v>
      </c>
      <c r="F1167" s="116">
        <f>COUNTIFS($A$3:A9423,A1167,$B$3:B9423,B1167)</f>
        <v>1</v>
      </c>
      <c r="G1167" s="116"/>
    </row>
    <row r="1168" spans="1:7" x14ac:dyDescent="0.2">
      <c r="A1168" s="116">
        <f>IF(ISNUMBER(Tabela2[[#This Row],[CT-e/NFS]])=TRUE,(IF(B1168&gt;30000,4,IF(B1168&lt;1000,"ND",0))),"-")</f>
        <v>4</v>
      </c>
      <c r="B1168" s="116">
        <v>46116</v>
      </c>
      <c r="C1168" s="117">
        <v>45372</v>
      </c>
      <c r="D1168" s="116">
        <v>124.05</v>
      </c>
      <c r="E1168" s="117">
        <v>45381</v>
      </c>
      <c r="F1168" s="116">
        <f>COUNTIFS($A$3:A9424,A1168,$B$3:B9424,B1168)</f>
        <v>1</v>
      </c>
      <c r="G1168" s="116"/>
    </row>
    <row r="1169" spans="1:7" x14ac:dyDescent="0.2">
      <c r="A1169" s="116">
        <f>IF(ISNUMBER(Tabela2[[#This Row],[CT-e/NFS]])=TRUE,(IF(B1169&gt;30000,4,IF(B1169&lt;1000,"ND",0))),"-")</f>
        <v>4</v>
      </c>
      <c r="B1169" s="116">
        <v>46115</v>
      </c>
      <c r="C1169" s="117">
        <v>45372</v>
      </c>
      <c r="D1169" s="116">
        <v>126.11</v>
      </c>
      <c r="E1169" s="117">
        <v>45381</v>
      </c>
      <c r="F1169" s="116">
        <f>COUNTIFS($A$3:A9425,A1169,$B$3:B9425,B1169)</f>
        <v>1</v>
      </c>
      <c r="G1169" s="116"/>
    </row>
    <row r="1170" spans="1:7" x14ac:dyDescent="0.2">
      <c r="A1170" s="116">
        <f>IF(ISNUMBER(Tabela2[[#This Row],[CT-e/NFS]])=TRUE,(IF(B1170&gt;30000,4,IF(B1170&lt;1000,"ND",0))),"-")</f>
        <v>4</v>
      </c>
      <c r="B1170" s="116">
        <v>46118</v>
      </c>
      <c r="C1170" s="117">
        <v>45372</v>
      </c>
      <c r="D1170" s="116">
        <v>123.9</v>
      </c>
      <c r="E1170" s="117">
        <v>45381</v>
      </c>
      <c r="F1170" s="116">
        <f>COUNTIFS($A$3:A9426,A1170,$B$3:B9426,B1170)</f>
        <v>1</v>
      </c>
      <c r="G1170" s="116"/>
    </row>
    <row r="1171" spans="1:7" x14ac:dyDescent="0.2">
      <c r="A1171" s="116">
        <f>IF(ISNUMBER(Tabela2[[#This Row],[CT-e/NFS]])=TRUE,(IF(B1171&gt;30000,4,IF(B1171&lt;1000,"ND",0))),"-")</f>
        <v>4</v>
      </c>
      <c r="B1171" s="116">
        <v>46119</v>
      </c>
      <c r="C1171" s="117">
        <v>45372</v>
      </c>
      <c r="D1171" s="116">
        <v>125.93</v>
      </c>
      <c r="E1171" s="117">
        <v>45381</v>
      </c>
      <c r="F1171" s="116">
        <f>COUNTIFS($A$3:A9427,A1171,$B$3:B9427,B1171)</f>
        <v>1</v>
      </c>
      <c r="G1171" s="116"/>
    </row>
    <row r="1172" spans="1:7" x14ac:dyDescent="0.2">
      <c r="A1172" s="116">
        <f>IF(ISNUMBER(Tabela2[[#This Row],[CT-e/NFS]])=TRUE,(IF(B1172&gt;30000,4,IF(B1172&lt;1000,"ND",0))),"-")</f>
        <v>4</v>
      </c>
      <c r="B1172" s="116">
        <v>46120</v>
      </c>
      <c r="C1172" s="117">
        <v>45372</v>
      </c>
      <c r="D1172" s="116">
        <v>126.27</v>
      </c>
      <c r="E1172" s="117">
        <v>45381</v>
      </c>
      <c r="F1172" s="116">
        <f>COUNTIFS($A$3:A9428,A1172,$B$3:B9428,B1172)</f>
        <v>1</v>
      </c>
      <c r="G1172" s="116"/>
    </row>
    <row r="1173" spans="1:7" x14ac:dyDescent="0.2">
      <c r="A1173" s="116">
        <f>IF(ISNUMBER(Tabela2[[#This Row],[CT-e/NFS]])=TRUE,(IF(B1173&gt;30000,4,IF(B1173&lt;1000,"ND",0))),"-")</f>
        <v>4</v>
      </c>
      <c r="B1173" s="116">
        <v>46121</v>
      </c>
      <c r="C1173" s="117">
        <v>45372</v>
      </c>
      <c r="D1173" s="116">
        <v>224.16</v>
      </c>
      <c r="E1173" s="117">
        <v>45381</v>
      </c>
      <c r="F1173" s="116">
        <f>COUNTIFS($A$3:A9429,A1173,$B$3:B9429,B1173)</f>
        <v>1</v>
      </c>
      <c r="G1173" s="116"/>
    </row>
    <row r="1174" spans="1:7" x14ac:dyDescent="0.2">
      <c r="A1174" s="116">
        <f>IF(ISNUMBER(Tabela2[[#This Row],[CT-e/NFS]])=TRUE,(IF(B1174&gt;30000,4,IF(B1174&lt;1000,"ND",0))),"-")</f>
        <v>4</v>
      </c>
      <c r="B1174" s="116">
        <v>46143</v>
      </c>
      <c r="C1174" s="117">
        <v>45372</v>
      </c>
      <c r="D1174" s="116">
        <v>122.73</v>
      </c>
      <c r="E1174" s="117">
        <v>45381</v>
      </c>
      <c r="F1174" s="116">
        <f>COUNTIFS($A$3:A9430,A1174,$B$3:B9430,B1174)</f>
        <v>1</v>
      </c>
      <c r="G1174" s="116"/>
    </row>
    <row r="1175" spans="1:7" x14ac:dyDescent="0.2">
      <c r="A1175" s="116">
        <f>IF(ISNUMBER(Tabela2[[#This Row],[CT-e/NFS]])=TRUE,(IF(B1175&gt;30000,4,IF(B1175&lt;1000,"ND",0))),"-")</f>
        <v>0</v>
      </c>
      <c r="B1175" s="116">
        <v>21125</v>
      </c>
      <c r="C1175" s="117">
        <v>45372</v>
      </c>
      <c r="D1175" s="116">
        <v>515.41</v>
      </c>
      <c r="E1175" s="117">
        <v>45381</v>
      </c>
      <c r="F1175" s="116">
        <f>COUNTIFS($A$3:A9431,A1175,$B$3:B9431,B1175)</f>
        <v>1</v>
      </c>
      <c r="G1175" s="116"/>
    </row>
    <row r="1176" spans="1:7" x14ac:dyDescent="0.2">
      <c r="A1176" s="116">
        <f>IF(ISNUMBER(Tabela2[[#This Row],[CT-e/NFS]])=TRUE,(IF(B1176&gt;30000,4,IF(B1176&lt;1000,"ND",0))),"-")</f>
        <v>0</v>
      </c>
      <c r="B1176" s="116">
        <v>21126</v>
      </c>
      <c r="C1176" s="117">
        <v>45372</v>
      </c>
      <c r="D1176" s="116">
        <v>76.44</v>
      </c>
      <c r="E1176" s="117">
        <v>45381</v>
      </c>
      <c r="F1176" s="116">
        <f>COUNTIFS($A$3:A9432,A1176,$B$3:B9432,B1176)</f>
        <v>1</v>
      </c>
      <c r="G1176" s="116"/>
    </row>
    <row r="1177" spans="1:7" x14ac:dyDescent="0.2">
      <c r="A1177" s="116">
        <f>IF(ISNUMBER(Tabela2[[#This Row],[CT-e/NFS]])=TRUE,(IF(B1177&gt;30000,4,IF(B1177&lt;1000,"ND",0))),"-")</f>
        <v>0</v>
      </c>
      <c r="B1177" s="116">
        <v>21128</v>
      </c>
      <c r="C1177" s="117">
        <v>45372</v>
      </c>
      <c r="D1177" s="116">
        <v>76.5</v>
      </c>
      <c r="E1177" s="117">
        <v>45381</v>
      </c>
      <c r="F1177" s="116">
        <f>COUNTIFS($A$3:A9433,A1177,$B$3:B9433,B1177)</f>
        <v>1</v>
      </c>
      <c r="G1177" s="116"/>
    </row>
    <row r="1178" spans="1:7" x14ac:dyDescent="0.2">
      <c r="A1178" s="116">
        <f>IF(ISNUMBER(Tabela2[[#This Row],[CT-e/NFS]])=TRUE,(IF(B1178&gt;30000,4,IF(B1178&lt;1000,"ND",0))),"-")</f>
        <v>0</v>
      </c>
      <c r="B1178" s="116">
        <v>21127</v>
      </c>
      <c r="C1178" s="117">
        <v>45372</v>
      </c>
      <c r="D1178" s="116">
        <v>527.15</v>
      </c>
      <c r="E1178" s="117">
        <v>45381</v>
      </c>
      <c r="F1178" s="116">
        <f>COUNTIFS($A$3:A9434,A1178,$B$3:B9434,B1178)</f>
        <v>1</v>
      </c>
      <c r="G1178" s="116"/>
    </row>
    <row r="1179" spans="1:7" x14ac:dyDescent="0.2">
      <c r="A1179" s="116">
        <f>IF(ISNUMBER(Tabela2[[#This Row],[CT-e/NFS]])=TRUE,(IF(B1179&gt;30000,4,IF(B1179&lt;1000,"ND",0))),"-")</f>
        <v>0</v>
      </c>
      <c r="B1179" s="116">
        <v>21129</v>
      </c>
      <c r="C1179" s="117">
        <v>45372</v>
      </c>
      <c r="D1179" s="116">
        <v>75.599999999999994</v>
      </c>
      <c r="E1179" s="117">
        <v>45381</v>
      </c>
      <c r="F1179" s="116">
        <f>COUNTIFS($A$3:A9435,A1179,$B$3:B9435,B1179)</f>
        <v>1</v>
      </c>
      <c r="G1179" s="116"/>
    </row>
    <row r="1180" spans="1:7" x14ac:dyDescent="0.2">
      <c r="A1180" s="116">
        <f>IF(ISNUMBER(Tabela2[[#This Row],[CT-e/NFS]])=TRUE,(IF(B1180&gt;30000,4,IF(B1180&lt;1000,"ND",0))),"-")</f>
        <v>0</v>
      </c>
      <c r="B1180" s="116">
        <v>21130</v>
      </c>
      <c r="C1180" s="117">
        <v>45372</v>
      </c>
      <c r="D1180" s="116">
        <v>77.63</v>
      </c>
      <c r="E1180" s="117">
        <v>45381</v>
      </c>
      <c r="F1180" s="116">
        <f>COUNTIFS($A$3:A9436,A1180,$B$3:B9436,B1180)</f>
        <v>1</v>
      </c>
      <c r="G1180" s="116"/>
    </row>
    <row r="1181" spans="1:7" x14ac:dyDescent="0.2">
      <c r="A1181" s="116">
        <f>IF(ISNUMBER(Tabela2[[#This Row],[CT-e/NFS]])=TRUE,(IF(B1181&gt;30000,4,IF(B1181&lt;1000,"ND",0))),"-")</f>
        <v>0</v>
      </c>
      <c r="B1181" s="116">
        <v>21131</v>
      </c>
      <c r="C1181" s="117">
        <v>45372</v>
      </c>
      <c r="D1181" s="116">
        <v>76.27</v>
      </c>
      <c r="E1181" s="117">
        <v>45381</v>
      </c>
      <c r="F1181" s="116">
        <f>COUNTIFS($A$3:A9437,A1181,$B$3:B9437,B1181)</f>
        <v>1</v>
      </c>
      <c r="G1181" s="116"/>
    </row>
    <row r="1182" spans="1:7" x14ac:dyDescent="0.2">
      <c r="A1182" s="116">
        <f>IF(ISNUMBER(Tabela2[[#This Row],[CT-e/NFS]])=TRUE,(IF(B1182&gt;30000,4,IF(B1182&lt;1000,"ND",0))),"-")</f>
        <v>0</v>
      </c>
      <c r="B1182" s="116">
        <v>21132</v>
      </c>
      <c r="C1182" s="117">
        <v>45372</v>
      </c>
      <c r="D1182" s="116">
        <v>76.41</v>
      </c>
      <c r="E1182" s="117">
        <v>45381</v>
      </c>
      <c r="F1182" s="116">
        <f>COUNTIFS($A$3:A9438,A1182,$B$3:B9438,B1182)</f>
        <v>1</v>
      </c>
      <c r="G1182" s="116"/>
    </row>
    <row r="1183" spans="1:7" x14ac:dyDescent="0.2">
      <c r="A1183" s="116">
        <f>IF(ISNUMBER(Tabela2[[#This Row],[CT-e/NFS]])=TRUE,(IF(B1183&gt;30000,4,IF(B1183&lt;1000,"ND",0))),"-")</f>
        <v>0</v>
      </c>
      <c r="B1183" s="116">
        <v>21133</v>
      </c>
      <c r="C1183" s="117">
        <v>45372</v>
      </c>
      <c r="D1183" s="116">
        <v>77.36</v>
      </c>
      <c r="E1183" s="117">
        <v>45381</v>
      </c>
      <c r="F1183" s="116">
        <f>COUNTIFS($A$3:A9439,A1183,$B$3:B9439,B1183)</f>
        <v>1</v>
      </c>
      <c r="G1183" s="116"/>
    </row>
    <row r="1184" spans="1:7" x14ac:dyDescent="0.2">
      <c r="A1184" s="116">
        <f>IF(ISNUMBER(Tabela2[[#This Row],[CT-e/NFS]])=TRUE,(IF(B1184&gt;30000,4,IF(B1184&lt;1000,"ND",0))),"-")</f>
        <v>0</v>
      </c>
      <c r="B1184" s="116">
        <v>21134</v>
      </c>
      <c r="C1184" s="117">
        <v>45372</v>
      </c>
      <c r="D1184" s="116">
        <v>292.86</v>
      </c>
      <c r="E1184" s="117">
        <v>45381</v>
      </c>
      <c r="F1184" s="116">
        <f>COUNTIFS($A$3:A9440,A1184,$B$3:B9440,B1184)</f>
        <v>1</v>
      </c>
      <c r="G1184" s="116"/>
    </row>
    <row r="1185" spans="1:7" x14ac:dyDescent="0.2">
      <c r="A1185" s="116">
        <f>IF(ISNUMBER(Tabela2[[#This Row],[CT-e/NFS]])=TRUE,(IF(B1185&gt;30000,4,IF(B1185&lt;1000,"ND",0))),"-")</f>
        <v>0</v>
      </c>
      <c r="B1185" s="116">
        <v>21137</v>
      </c>
      <c r="C1185" s="117">
        <v>45372</v>
      </c>
      <c r="D1185" s="116">
        <v>76.400000000000006</v>
      </c>
      <c r="E1185" s="117">
        <v>45381</v>
      </c>
      <c r="F1185" s="116">
        <f>COUNTIFS($A$3:A9441,A1185,$B$3:B9441,B1185)</f>
        <v>1</v>
      </c>
      <c r="G1185" s="116"/>
    </row>
    <row r="1186" spans="1:7" x14ac:dyDescent="0.2">
      <c r="A1186" s="116">
        <f>IF(ISNUMBER(Tabela2[[#This Row],[CT-e/NFS]])=TRUE,(IF(B1186&gt;30000,4,IF(B1186&lt;1000,"ND",0))),"-")</f>
        <v>0</v>
      </c>
      <c r="B1186" s="116">
        <v>21138</v>
      </c>
      <c r="C1186" s="117">
        <v>45372</v>
      </c>
      <c r="D1186" s="116">
        <v>76.31</v>
      </c>
      <c r="E1186" s="117">
        <v>45381</v>
      </c>
      <c r="F1186" s="116">
        <f>COUNTIFS($A$3:A9442,A1186,$B$3:B9442,B1186)</f>
        <v>1</v>
      </c>
      <c r="G1186" s="116"/>
    </row>
    <row r="1187" spans="1:7" x14ac:dyDescent="0.2">
      <c r="A1187" s="116">
        <f>IF(ISNUMBER(Tabela2[[#This Row],[CT-e/NFS]])=TRUE,(IF(B1187&gt;30000,4,IF(B1187&lt;1000,"ND",0))),"-")</f>
        <v>0</v>
      </c>
      <c r="B1187" s="116">
        <v>21135</v>
      </c>
      <c r="C1187" s="117">
        <v>45372</v>
      </c>
      <c r="D1187" s="116">
        <v>76.2</v>
      </c>
      <c r="E1187" s="117">
        <v>45381</v>
      </c>
      <c r="F1187" s="116">
        <f>COUNTIFS($A$3:A9443,A1187,$B$3:B9443,B1187)</f>
        <v>1</v>
      </c>
      <c r="G1187" s="116"/>
    </row>
    <row r="1188" spans="1:7" x14ac:dyDescent="0.2">
      <c r="A1188" s="116">
        <f>IF(ISNUMBER(Tabela2[[#This Row],[CT-e/NFS]])=TRUE,(IF(B1188&gt;30000,4,IF(B1188&lt;1000,"ND",0))),"-")</f>
        <v>0</v>
      </c>
      <c r="B1188" s="116">
        <v>21153</v>
      </c>
      <c r="C1188" s="117">
        <v>45372</v>
      </c>
      <c r="D1188" s="116">
        <v>122.46</v>
      </c>
      <c r="E1188" s="117">
        <v>45381</v>
      </c>
      <c r="F1188" s="116">
        <f>COUNTIFS($A$3:A9444,A1188,$B$3:B9444,B1188)</f>
        <v>1</v>
      </c>
      <c r="G1188" s="116"/>
    </row>
    <row r="1189" spans="1:7" x14ac:dyDescent="0.2">
      <c r="A1189" s="116">
        <f>IF(ISNUMBER(Tabela2[[#This Row],[CT-e/NFS]])=TRUE,(IF(B1189&gt;30000,4,IF(B1189&lt;1000,"ND",0))),"-")</f>
        <v>0</v>
      </c>
      <c r="B1189" s="116">
        <v>21155</v>
      </c>
      <c r="C1189" s="117">
        <v>45372</v>
      </c>
      <c r="D1189" s="116">
        <v>77.180000000000007</v>
      </c>
      <c r="E1189" s="117">
        <v>45381</v>
      </c>
      <c r="F1189" s="116">
        <f>COUNTIFS($A$3:A9445,A1189,$B$3:B9445,B1189)</f>
        <v>1</v>
      </c>
      <c r="G1189" s="116"/>
    </row>
    <row r="1190" spans="1:7" x14ac:dyDescent="0.2">
      <c r="A1190" s="116">
        <f>IF(ISNUMBER(Tabela2[[#This Row],[CT-e/NFS]])=TRUE,(IF(B1190&gt;30000,4,IF(B1190&lt;1000,"ND",0))),"-")</f>
        <v>0</v>
      </c>
      <c r="B1190" s="116">
        <v>21157</v>
      </c>
      <c r="C1190" s="117">
        <v>45372</v>
      </c>
      <c r="D1190" s="116">
        <v>171.41</v>
      </c>
      <c r="E1190" s="117">
        <v>45381</v>
      </c>
      <c r="F1190" s="116">
        <f>COUNTIFS($A$3:A9446,A1190,$B$3:B9446,B1190)</f>
        <v>1</v>
      </c>
      <c r="G1190" s="116"/>
    </row>
    <row r="1191" spans="1:7" x14ac:dyDescent="0.2">
      <c r="A1191" s="116">
        <f>IF(ISNUMBER(Tabela2[[#This Row],[CT-e/NFS]])=TRUE,(IF(B1191&gt;30000,4,IF(B1191&lt;1000,"ND",0))),"-")</f>
        <v>0</v>
      </c>
      <c r="B1191" s="116">
        <v>21164</v>
      </c>
      <c r="C1191" s="117">
        <v>45372</v>
      </c>
      <c r="D1191" s="116">
        <v>76.34</v>
      </c>
      <c r="E1191" s="117">
        <v>45381</v>
      </c>
      <c r="F1191" s="116">
        <f>COUNTIFS($A$3:A9447,A1191,$B$3:B9447,B1191)</f>
        <v>1</v>
      </c>
      <c r="G1191" s="116"/>
    </row>
    <row r="1192" spans="1:7" x14ac:dyDescent="0.2">
      <c r="A1192" s="116">
        <f>IF(ISNUMBER(Tabela2[[#This Row],[CT-e/NFS]])=TRUE,(IF(B1192&gt;30000,4,IF(B1192&lt;1000,"ND",0))),"-")</f>
        <v>0</v>
      </c>
      <c r="B1192" s="116">
        <v>21159</v>
      </c>
      <c r="C1192" s="117">
        <v>45372</v>
      </c>
      <c r="D1192" s="116">
        <v>77.13</v>
      </c>
      <c r="E1192" s="117">
        <v>45381</v>
      </c>
      <c r="F1192" s="116">
        <f>COUNTIFS($A$3:A9448,A1192,$B$3:B9448,B1192)</f>
        <v>1</v>
      </c>
      <c r="G1192" s="116"/>
    </row>
    <row r="1193" spans="1:7" x14ac:dyDescent="0.2">
      <c r="A1193" s="116">
        <f>IF(ISNUMBER(Tabela2[[#This Row],[CT-e/NFS]])=TRUE,(IF(B1193&gt;30000,4,IF(B1193&lt;1000,"ND",0))),"-")</f>
        <v>0</v>
      </c>
      <c r="B1193" s="116">
        <v>21160</v>
      </c>
      <c r="C1193" s="117">
        <v>45372</v>
      </c>
      <c r="D1193" s="116">
        <v>76.28</v>
      </c>
      <c r="E1193" s="117">
        <v>45381</v>
      </c>
      <c r="F1193" s="116">
        <f>COUNTIFS($A$3:A9449,A1193,$B$3:B9449,B1193)</f>
        <v>1</v>
      </c>
      <c r="G1193" s="116"/>
    </row>
    <row r="1194" spans="1:7" x14ac:dyDescent="0.2">
      <c r="A1194" s="116">
        <f>IF(ISNUMBER(Tabela2[[#This Row],[CT-e/NFS]])=TRUE,(IF(B1194&gt;30000,4,IF(B1194&lt;1000,"ND",0))),"-")</f>
        <v>0</v>
      </c>
      <c r="B1194" s="116">
        <v>21158</v>
      </c>
      <c r="C1194" s="117">
        <v>45372</v>
      </c>
      <c r="D1194" s="116">
        <v>348.37</v>
      </c>
      <c r="E1194" s="117">
        <v>45381</v>
      </c>
      <c r="F1194" s="116">
        <f>COUNTIFS($A$3:A9450,A1194,$B$3:B9450,B1194)</f>
        <v>1</v>
      </c>
      <c r="G1194" s="116"/>
    </row>
    <row r="1195" spans="1:7" x14ac:dyDescent="0.2">
      <c r="A1195" s="116">
        <f>IF(ISNUMBER(Tabela2[[#This Row],[CT-e/NFS]])=TRUE,(IF(B1195&gt;30000,4,IF(B1195&lt;1000,"ND",0))),"-")</f>
        <v>0</v>
      </c>
      <c r="B1195" s="116">
        <v>21161</v>
      </c>
      <c r="C1195" s="117">
        <v>45372</v>
      </c>
      <c r="D1195" s="116">
        <v>348.37</v>
      </c>
      <c r="E1195" s="117">
        <v>45381</v>
      </c>
      <c r="F1195" s="116">
        <f>COUNTIFS($A$3:A9451,A1195,$B$3:B9451,B1195)</f>
        <v>1</v>
      </c>
      <c r="G1195" s="116"/>
    </row>
    <row r="1196" spans="1:7" x14ac:dyDescent="0.2">
      <c r="A1196" s="116">
        <f>IF(ISNUMBER(Tabela2[[#This Row],[CT-e/NFS]])=TRUE,(IF(B1196&gt;30000,4,IF(B1196&lt;1000,"ND",0))),"-")</f>
        <v>0</v>
      </c>
      <c r="B1196" s="116">
        <v>21136</v>
      </c>
      <c r="C1196" s="117">
        <v>45372</v>
      </c>
      <c r="D1196" s="116">
        <v>77.680000000000007</v>
      </c>
      <c r="E1196" s="117">
        <v>45381</v>
      </c>
      <c r="F1196" s="116">
        <f>COUNTIFS($A$3:A9452,A1196,$B$3:B9452,B1196)</f>
        <v>1</v>
      </c>
      <c r="G1196" s="116"/>
    </row>
    <row r="1197" spans="1:7" x14ac:dyDescent="0.2">
      <c r="A1197" s="116">
        <f>IF(ISNUMBER(Tabela2[[#This Row],[CT-e/NFS]])=TRUE,(IF(B1197&gt;30000,4,IF(B1197&lt;1000,"ND",0))),"-")</f>
        <v>0</v>
      </c>
      <c r="B1197" s="116">
        <v>21139</v>
      </c>
      <c r="C1197" s="117">
        <v>45372</v>
      </c>
      <c r="D1197" s="116">
        <v>195.93</v>
      </c>
      <c r="E1197" s="117">
        <v>45381</v>
      </c>
      <c r="F1197" s="116">
        <f>COUNTIFS($A$3:A9453,A1197,$B$3:B9453,B1197)</f>
        <v>1</v>
      </c>
      <c r="G1197" s="116"/>
    </row>
    <row r="1198" spans="1:7" x14ac:dyDescent="0.2">
      <c r="A1198" s="116">
        <f>IF(ISNUMBER(Tabela2[[#This Row],[CT-e/NFS]])=TRUE,(IF(B1198&gt;30000,4,IF(B1198&lt;1000,"ND",0))),"-")</f>
        <v>0</v>
      </c>
      <c r="B1198" s="116">
        <v>21140</v>
      </c>
      <c r="C1198" s="117">
        <v>45372</v>
      </c>
      <c r="D1198" s="116">
        <v>76.59</v>
      </c>
      <c r="E1198" s="117">
        <v>45381</v>
      </c>
      <c r="F1198" s="116">
        <f>COUNTIFS($A$3:A9454,A1198,$B$3:B9454,B1198)</f>
        <v>1</v>
      </c>
      <c r="G1198" s="116"/>
    </row>
    <row r="1199" spans="1:7" x14ac:dyDescent="0.2">
      <c r="A1199" s="116">
        <f>IF(ISNUMBER(Tabela2[[#This Row],[CT-e/NFS]])=TRUE,(IF(B1199&gt;30000,4,IF(B1199&lt;1000,"ND",0))),"-")</f>
        <v>0</v>
      </c>
      <c r="B1199" s="116">
        <v>21141</v>
      </c>
      <c r="C1199" s="117">
        <v>45372</v>
      </c>
      <c r="D1199" s="116">
        <v>505.32</v>
      </c>
      <c r="E1199" s="117">
        <v>45381</v>
      </c>
      <c r="F1199" s="116">
        <f>COUNTIFS($A$3:A9455,A1199,$B$3:B9455,B1199)</f>
        <v>1</v>
      </c>
      <c r="G1199" s="116"/>
    </row>
    <row r="1200" spans="1:7" x14ac:dyDescent="0.2">
      <c r="A1200" s="116">
        <f>IF(ISNUMBER(Tabela2[[#This Row],[CT-e/NFS]])=TRUE,(IF(B1200&gt;30000,4,IF(B1200&lt;1000,"ND",0))),"-")</f>
        <v>0</v>
      </c>
      <c r="B1200" s="116">
        <v>21142</v>
      </c>
      <c r="C1200" s="117">
        <v>45372</v>
      </c>
      <c r="D1200" s="116">
        <v>77.069999999999993</v>
      </c>
      <c r="E1200" s="117">
        <v>45381</v>
      </c>
      <c r="F1200" s="116">
        <f>COUNTIFS($A$3:A9456,A1200,$B$3:B9456,B1200)</f>
        <v>1</v>
      </c>
      <c r="G1200" s="116"/>
    </row>
    <row r="1201" spans="1:7" x14ac:dyDescent="0.2">
      <c r="A1201" s="116">
        <f>IF(ISNUMBER(Tabela2[[#This Row],[CT-e/NFS]])=TRUE,(IF(B1201&gt;30000,4,IF(B1201&lt;1000,"ND",0))),"-")</f>
        <v>0</v>
      </c>
      <c r="B1201" s="116">
        <v>21146</v>
      </c>
      <c r="C1201" s="117">
        <v>45372</v>
      </c>
      <c r="D1201" s="116">
        <v>76.349999999999994</v>
      </c>
      <c r="E1201" s="117">
        <v>45381</v>
      </c>
      <c r="F1201" s="116">
        <f>COUNTIFS($A$3:A9457,A1201,$B$3:B9457,B1201)</f>
        <v>1</v>
      </c>
      <c r="G1201" s="116"/>
    </row>
    <row r="1202" spans="1:7" x14ac:dyDescent="0.2">
      <c r="A1202" s="116">
        <f>IF(ISNUMBER(Tabela2[[#This Row],[CT-e/NFS]])=TRUE,(IF(B1202&gt;30000,4,IF(B1202&lt;1000,"ND",0))),"-")</f>
        <v>0</v>
      </c>
      <c r="B1202" s="116">
        <v>21147</v>
      </c>
      <c r="C1202" s="117">
        <v>45372</v>
      </c>
      <c r="D1202" s="116">
        <v>76.8</v>
      </c>
      <c r="E1202" s="117">
        <v>45381</v>
      </c>
      <c r="F1202" s="116">
        <f>COUNTIFS($A$3:A9458,A1202,$B$3:B9458,B1202)</f>
        <v>1</v>
      </c>
      <c r="G1202" s="116"/>
    </row>
    <row r="1203" spans="1:7" x14ac:dyDescent="0.2">
      <c r="A1203" s="116">
        <f>IF(ISNUMBER(Tabela2[[#This Row],[CT-e/NFS]])=TRUE,(IF(B1203&gt;30000,4,IF(B1203&lt;1000,"ND",0))),"-")</f>
        <v>0</v>
      </c>
      <c r="B1203" s="116">
        <v>21143</v>
      </c>
      <c r="C1203" s="117">
        <v>45372</v>
      </c>
      <c r="D1203" s="116">
        <v>76.33</v>
      </c>
      <c r="E1203" s="117">
        <v>45381</v>
      </c>
      <c r="F1203" s="116">
        <f>COUNTIFS($A$3:A9459,A1203,$B$3:B9459,B1203)</f>
        <v>1</v>
      </c>
      <c r="G1203" s="116"/>
    </row>
    <row r="1204" spans="1:7" x14ac:dyDescent="0.2">
      <c r="A1204" s="116">
        <f>IF(ISNUMBER(Tabela2[[#This Row],[CT-e/NFS]])=TRUE,(IF(B1204&gt;30000,4,IF(B1204&lt;1000,"ND",0))),"-")</f>
        <v>0</v>
      </c>
      <c r="B1204" s="116">
        <v>21144</v>
      </c>
      <c r="C1204" s="117">
        <v>45372</v>
      </c>
      <c r="D1204" s="116">
        <v>213.85</v>
      </c>
      <c r="E1204" s="117">
        <v>45381</v>
      </c>
      <c r="F1204" s="116">
        <f>COUNTIFS($A$3:A9460,A1204,$B$3:B9460,B1204)</f>
        <v>1</v>
      </c>
      <c r="G1204" s="116"/>
    </row>
    <row r="1205" spans="1:7" x14ac:dyDescent="0.2">
      <c r="A1205" s="116">
        <f>IF(ISNUMBER(Tabela2[[#This Row],[CT-e/NFS]])=TRUE,(IF(B1205&gt;30000,4,IF(B1205&lt;1000,"ND",0))),"-")</f>
        <v>0</v>
      </c>
      <c r="B1205" s="116">
        <v>21145</v>
      </c>
      <c r="C1205" s="117">
        <v>45372</v>
      </c>
      <c r="D1205" s="116">
        <v>77.09</v>
      </c>
      <c r="E1205" s="117">
        <v>45381</v>
      </c>
      <c r="F1205" s="116">
        <f>COUNTIFS($A$3:A9461,A1205,$B$3:B9461,B1205)</f>
        <v>1</v>
      </c>
      <c r="G1205" s="116"/>
    </row>
    <row r="1206" spans="1:7" x14ac:dyDescent="0.2">
      <c r="A1206" s="116">
        <f>IF(ISNUMBER(Tabela2[[#This Row],[CT-e/NFS]])=TRUE,(IF(B1206&gt;30000,4,IF(B1206&lt;1000,"ND",0))),"-")</f>
        <v>0</v>
      </c>
      <c r="B1206" s="116">
        <v>21148</v>
      </c>
      <c r="C1206" s="117">
        <v>45372</v>
      </c>
      <c r="D1206" s="116">
        <v>348.37</v>
      </c>
      <c r="E1206" s="117">
        <v>45381</v>
      </c>
      <c r="F1206" s="116">
        <f>COUNTIFS($A$3:A9462,A1206,$B$3:B9462,B1206)</f>
        <v>1</v>
      </c>
      <c r="G1206" s="116"/>
    </row>
    <row r="1207" spans="1:7" x14ac:dyDescent="0.2">
      <c r="A1207" s="116">
        <f>IF(ISNUMBER(Tabela2[[#This Row],[CT-e/NFS]])=TRUE,(IF(B1207&gt;30000,4,IF(B1207&lt;1000,"ND",0))),"-")</f>
        <v>0</v>
      </c>
      <c r="B1207" s="116">
        <v>21149</v>
      </c>
      <c r="C1207" s="117">
        <v>45372</v>
      </c>
      <c r="D1207" s="116">
        <v>77.400000000000006</v>
      </c>
      <c r="E1207" s="117">
        <v>45381</v>
      </c>
      <c r="F1207" s="116">
        <f>COUNTIFS($A$3:A9463,A1207,$B$3:B9463,B1207)</f>
        <v>1</v>
      </c>
      <c r="G1207" s="116"/>
    </row>
    <row r="1208" spans="1:7" x14ac:dyDescent="0.2">
      <c r="A1208" s="116">
        <f>IF(ISNUMBER(Tabela2[[#This Row],[CT-e/NFS]])=TRUE,(IF(B1208&gt;30000,4,IF(B1208&lt;1000,"ND",0))),"-")</f>
        <v>0</v>
      </c>
      <c r="B1208" s="116">
        <v>21150</v>
      </c>
      <c r="C1208" s="117">
        <v>45372</v>
      </c>
      <c r="D1208" s="116">
        <v>348.37</v>
      </c>
      <c r="E1208" s="117">
        <v>45381</v>
      </c>
      <c r="F1208" s="116">
        <f>COUNTIFS($A$3:A9464,A1208,$B$3:B9464,B1208)</f>
        <v>1</v>
      </c>
      <c r="G1208" s="116"/>
    </row>
    <row r="1209" spans="1:7" x14ac:dyDescent="0.2">
      <c r="A1209" s="116">
        <f>IF(ISNUMBER(Tabela2[[#This Row],[CT-e/NFS]])=TRUE,(IF(B1209&gt;30000,4,IF(B1209&lt;1000,"ND",0))),"-")</f>
        <v>0</v>
      </c>
      <c r="B1209" s="116">
        <v>21151</v>
      </c>
      <c r="C1209" s="117">
        <v>45372</v>
      </c>
      <c r="D1209" s="116">
        <v>139.25</v>
      </c>
      <c r="E1209" s="117">
        <v>45381</v>
      </c>
      <c r="F1209" s="116">
        <f>COUNTIFS($A$3:A9465,A1209,$B$3:B9465,B1209)</f>
        <v>1</v>
      </c>
      <c r="G1209" s="116"/>
    </row>
    <row r="1210" spans="1:7" x14ac:dyDescent="0.2">
      <c r="A1210" s="116">
        <f>IF(ISNUMBER(Tabela2[[#This Row],[CT-e/NFS]])=TRUE,(IF(B1210&gt;30000,4,IF(B1210&lt;1000,"ND",0))),"-")</f>
        <v>0</v>
      </c>
      <c r="B1210" s="116">
        <v>21152</v>
      </c>
      <c r="C1210" s="117">
        <v>45372</v>
      </c>
      <c r="D1210" s="116">
        <v>146.94</v>
      </c>
      <c r="E1210" s="117">
        <v>45381</v>
      </c>
      <c r="F1210" s="116">
        <f>COUNTIFS($A$3:A9466,A1210,$B$3:B9466,B1210)</f>
        <v>1</v>
      </c>
      <c r="G1210" s="116"/>
    </row>
    <row r="1211" spans="1:7" x14ac:dyDescent="0.2">
      <c r="A1211" s="116">
        <f>IF(ISNUMBER(Tabela2[[#This Row],[CT-e/NFS]])=TRUE,(IF(B1211&gt;30000,4,IF(B1211&lt;1000,"ND",0))),"-")</f>
        <v>4</v>
      </c>
      <c r="B1211" s="116">
        <v>46124</v>
      </c>
      <c r="C1211" s="117">
        <v>45372</v>
      </c>
      <c r="D1211" s="116">
        <v>1137.73</v>
      </c>
      <c r="E1211" s="117">
        <v>45381</v>
      </c>
      <c r="F1211" s="116">
        <f>COUNTIFS($A$3:A9467,A1211,$B$3:B9467,B1211)</f>
        <v>1</v>
      </c>
      <c r="G1211" s="116"/>
    </row>
    <row r="1212" spans="1:7" x14ac:dyDescent="0.2">
      <c r="A1212" s="116">
        <f>IF(ISNUMBER(Tabela2[[#This Row],[CT-e/NFS]])=TRUE,(IF(B1212&gt;30000,4,IF(B1212&lt;1000,"ND",0))),"-")</f>
        <v>4</v>
      </c>
      <c r="B1212" s="116">
        <v>46137</v>
      </c>
      <c r="C1212" s="117">
        <v>45372</v>
      </c>
      <c r="D1212" s="116">
        <v>355.11</v>
      </c>
      <c r="E1212" s="117">
        <v>45381</v>
      </c>
      <c r="F1212" s="116">
        <f>COUNTIFS($A$3:A9468,A1212,$B$3:B9468,B1212)</f>
        <v>1</v>
      </c>
      <c r="G1212" s="116"/>
    </row>
    <row r="1213" spans="1:7" x14ac:dyDescent="0.2">
      <c r="A1213" s="116">
        <f>IF(ISNUMBER(Tabela2[[#This Row],[CT-e/NFS]])=TRUE,(IF(B1213&gt;30000,4,IF(B1213&lt;1000,"ND",0))),"-")</f>
        <v>4</v>
      </c>
      <c r="B1213" s="116">
        <v>46126</v>
      </c>
      <c r="C1213" s="117">
        <v>45372</v>
      </c>
      <c r="D1213" s="116">
        <v>405.5</v>
      </c>
      <c r="E1213" s="117">
        <v>45381</v>
      </c>
      <c r="F1213" s="116">
        <f>COUNTIFS($A$3:A9469,A1213,$B$3:B9469,B1213)</f>
        <v>1</v>
      </c>
      <c r="G1213" s="116"/>
    </row>
    <row r="1214" spans="1:7" x14ac:dyDescent="0.2">
      <c r="A1214" s="116">
        <f>IF(ISNUMBER(Tabela2[[#This Row],[CT-e/NFS]])=TRUE,(IF(B1214&gt;30000,4,IF(B1214&lt;1000,"ND",0))),"-")</f>
        <v>4</v>
      </c>
      <c r="B1214" s="116">
        <v>46144</v>
      </c>
      <c r="C1214" s="117">
        <v>45372</v>
      </c>
      <c r="D1214" s="116">
        <v>1137.73</v>
      </c>
      <c r="E1214" s="117">
        <v>45381</v>
      </c>
      <c r="F1214" s="116">
        <f>COUNTIFS($A$3:A9470,A1214,$B$3:B9470,B1214)</f>
        <v>1</v>
      </c>
      <c r="G1214" s="116"/>
    </row>
    <row r="1215" spans="1:7" x14ac:dyDescent="0.2">
      <c r="A1215" s="116">
        <f>IF(ISNUMBER(Tabela2[[#This Row],[CT-e/NFS]])=TRUE,(IF(B1215&gt;30000,4,IF(B1215&lt;1000,"ND",0))),"-")</f>
        <v>4</v>
      </c>
      <c r="B1215" s="116">
        <v>46145</v>
      </c>
      <c r="C1215" s="117">
        <v>45372</v>
      </c>
      <c r="D1215" s="116">
        <v>753.77</v>
      </c>
      <c r="E1215" s="117">
        <v>45381</v>
      </c>
      <c r="F1215" s="116">
        <f>COUNTIFS($A$3:A9471,A1215,$B$3:B9471,B1215)</f>
        <v>1</v>
      </c>
      <c r="G1215" s="116"/>
    </row>
    <row r="1216" spans="1:7" x14ac:dyDescent="0.2">
      <c r="A1216" s="116">
        <f>IF(ISNUMBER(Tabela2[[#This Row],[CT-e/NFS]])=TRUE,(IF(B1216&gt;30000,4,IF(B1216&lt;1000,"ND",0))),"-")</f>
        <v>4</v>
      </c>
      <c r="B1216" s="116">
        <v>46150</v>
      </c>
      <c r="C1216" s="117">
        <v>45372</v>
      </c>
      <c r="D1216" s="116">
        <v>124.16</v>
      </c>
      <c r="E1216" s="117">
        <v>45381</v>
      </c>
      <c r="F1216" s="116">
        <f>COUNTIFS($A$3:A9472,A1216,$B$3:B9472,B1216)</f>
        <v>1</v>
      </c>
      <c r="G1216" s="116"/>
    </row>
    <row r="1217" spans="1:7" x14ac:dyDescent="0.2">
      <c r="A1217" s="116">
        <f>IF(ISNUMBER(Tabela2[[#This Row],[CT-e/NFS]])=TRUE,(IF(B1217&gt;30000,4,IF(B1217&lt;1000,"ND",0))),"-")</f>
        <v>4</v>
      </c>
      <c r="B1217" s="116">
        <v>46146</v>
      </c>
      <c r="C1217" s="117">
        <v>45372</v>
      </c>
      <c r="D1217" s="116">
        <v>246.33</v>
      </c>
      <c r="E1217" s="117">
        <v>45381</v>
      </c>
      <c r="F1217" s="116">
        <f>COUNTIFS($A$3:A9473,A1217,$B$3:B9473,B1217)</f>
        <v>1</v>
      </c>
      <c r="G1217" s="116"/>
    </row>
    <row r="1218" spans="1:7" x14ac:dyDescent="0.2">
      <c r="A1218" s="116">
        <f>IF(ISNUMBER(Tabela2[[#This Row],[CT-e/NFS]])=TRUE,(IF(B1218&gt;30000,4,IF(B1218&lt;1000,"ND",0))),"-")</f>
        <v>4</v>
      </c>
      <c r="B1218" s="116">
        <v>46148</v>
      </c>
      <c r="C1218" s="117">
        <v>45372</v>
      </c>
      <c r="D1218" s="116">
        <v>122.91</v>
      </c>
      <c r="E1218" s="117">
        <v>45381</v>
      </c>
      <c r="F1218" s="116">
        <f>COUNTIFS($A$3:A9474,A1218,$B$3:B9474,B1218)</f>
        <v>1</v>
      </c>
      <c r="G1218" s="116"/>
    </row>
    <row r="1219" spans="1:7" x14ac:dyDescent="0.2">
      <c r="A1219" s="116">
        <f>IF(ISNUMBER(Tabela2[[#This Row],[CT-e/NFS]])=TRUE,(IF(B1219&gt;30000,4,IF(B1219&lt;1000,"ND",0))),"-")</f>
        <v>4</v>
      </c>
      <c r="B1219" s="116">
        <v>46149</v>
      </c>
      <c r="C1219" s="117">
        <v>45372</v>
      </c>
      <c r="D1219" s="116">
        <v>125.52</v>
      </c>
      <c r="E1219" s="117">
        <v>45381</v>
      </c>
      <c r="F1219" s="116">
        <f>COUNTIFS($A$3:A9475,A1219,$B$3:B9475,B1219)</f>
        <v>1</v>
      </c>
      <c r="G1219" s="116"/>
    </row>
    <row r="1220" spans="1:7" x14ac:dyDescent="0.2">
      <c r="A1220" s="116">
        <f>IF(ISNUMBER(Tabela2[[#This Row],[CT-e/NFS]])=TRUE,(IF(B1220&gt;30000,4,IF(B1220&lt;1000,"ND",0))),"-")</f>
        <v>4</v>
      </c>
      <c r="B1220" s="116">
        <v>46154</v>
      </c>
      <c r="C1220" s="117">
        <v>45372</v>
      </c>
      <c r="D1220" s="116">
        <v>124.7</v>
      </c>
      <c r="E1220" s="117">
        <v>45381</v>
      </c>
      <c r="F1220" s="116">
        <f>COUNTIFS($A$3:A9476,A1220,$B$3:B9476,B1220)</f>
        <v>1</v>
      </c>
      <c r="G1220" s="116"/>
    </row>
    <row r="1221" spans="1:7" x14ac:dyDescent="0.2">
      <c r="A1221" s="116">
        <f>IF(ISNUMBER(Tabela2[[#This Row],[CT-e/NFS]])=TRUE,(IF(B1221&gt;30000,4,IF(B1221&lt;1000,"ND",0))),"-")</f>
        <v>4</v>
      </c>
      <c r="B1221" s="116">
        <v>46155</v>
      </c>
      <c r="C1221" s="117">
        <v>45372</v>
      </c>
      <c r="D1221" s="116">
        <v>609.98</v>
      </c>
      <c r="E1221" s="117">
        <v>45381</v>
      </c>
      <c r="F1221" s="116">
        <f>COUNTIFS($A$3:A9477,A1221,$B$3:B9477,B1221)</f>
        <v>1</v>
      </c>
      <c r="G1221" s="116"/>
    </row>
    <row r="1222" spans="1:7" x14ac:dyDescent="0.2">
      <c r="A1222" s="116">
        <f>IF(ISNUMBER(Tabela2[[#This Row],[CT-e/NFS]])=TRUE,(IF(B1222&gt;30000,4,IF(B1222&lt;1000,"ND",0))),"-")</f>
        <v>4</v>
      </c>
      <c r="B1222" s="116">
        <v>46147</v>
      </c>
      <c r="C1222" s="117">
        <v>45372</v>
      </c>
      <c r="D1222" s="116">
        <v>124.68</v>
      </c>
      <c r="E1222" s="117">
        <v>45381</v>
      </c>
      <c r="F1222" s="116">
        <f>COUNTIFS($A$3:A9478,A1222,$B$3:B9478,B1222)</f>
        <v>1</v>
      </c>
      <c r="G1222" s="116"/>
    </row>
    <row r="1223" spans="1:7" x14ac:dyDescent="0.2">
      <c r="A1223" s="116">
        <f>IF(ISNUMBER(Tabela2[[#This Row],[CT-e/NFS]])=TRUE,(IF(B1223&gt;30000,4,IF(B1223&lt;1000,"ND",0))),"-")</f>
        <v>4</v>
      </c>
      <c r="B1223" s="116">
        <v>46156</v>
      </c>
      <c r="C1223" s="117">
        <v>45372</v>
      </c>
      <c r="D1223" s="116">
        <v>122.73</v>
      </c>
      <c r="E1223" s="117">
        <v>45381</v>
      </c>
      <c r="F1223" s="116">
        <f>COUNTIFS($A$3:A9479,A1223,$B$3:B9479,B1223)</f>
        <v>1</v>
      </c>
      <c r="G1223" s="116"/>
    </row>
    <row r="1224" spans="1:7" x14ac:dyDescent="0.2">
      <c r="A1224" s="116">
        <f>IF(ISNUMBER(Tabela2[[#This Row],[CT-e/NFS]])=TRUE,(IF(B1224&gt;30000,4,IF(B1224&lt;1000,"ND",0))),"-")</f>
        <v>4</v>
      </c>
      <c r="B1224" s="116">
        <v>46134</v>
      </c>
      <c r="C1224" s="117">
        <v>45372</v>
      </c>
      <c r="D1224" s="116">
        <v>159.22999999999999</v>
      </c>
      <c r="E1224" s="117">
        <v>45381</v>
      </c>
      <c r="F1224" s="116">
        <f>COUNTIFS($A$3:A9480,A1224,$B$3:B9480,B1224)</f>
        <v>1</v>
      </c>
      <c r="G1224" s="116"/>
    </row>
    <row r="1225" spans="1:7" x14ac:dyDescent="0.2">
      <c r="A1225" s="116">
        <f>IF(ISNUMBER(Tabela2[[#This Row],[CT-e/NFS]])=TRUE,(IF(B1225&gt;30000,4,IF(B1225&lt;1000,"ND",0))),"-")</f>
        <v>4</v>
      </c>
      <c r="B1225" s="116">
        <v>46133</v>
      </c>
      <c r="C1225" s="117">
        <v>45372</v>
      </c>
      <c r="D1225" s="116">
        <v>125.64</v>
      </c>
      <c r="E1225" s="117">
        <v>45381</v>
      </c>
      <c r="F1225" s="116">
        <f>COUNTIFS($A$3:A9481,A1225,$B$3:B9481,B1225)</f>
        <v>1</v>
      </c>
      <c r="G1225" s="116"/>
    </row>
    <row r="1226" spans="1:7" x14ac:dyDescent="0.2">
      <c r="A1226" s="116">
        <f>IF(ISNUMBER(Tabela2[[#This Row],[CT-e/NFS]])=TRUE,(IF(B1226&gt;30000,4,IF(B1226&lt;1000,"ND",0))),"-")</f>
        <v>4</v>
      </c>
      <c r="B1226" s="116">
        <v>46135</v>
      </c>
      <c r="C1226" s="117">
        <v>45372</v>
      </c>
      <c r="D1226" s="116">
        <v>240.2</v>
      </c>
      <c r="E1226" s="117">
        <v>45381</v>
      </c>
      <c r="F1226" s="116">
        <f>COUNTIFS($A$3:A9482,A1226,$B$3:B9482,B1226)</f>
        <v>1</v>
      </c>
      <c r="G1226" s="116"/>
    </row>
    <row r="1227" spans="1:7" x14ac:dyDescent="0.2">
      <c r="A1227" s="116">
        <f>IF(ISNUMBER(Tabela2[[#This Row],[CT-e/NFS]])=TRUE,(IF(B1227&gt;30000,4,IF(B1227&lt;1000,"ND",0))),"-")</f>
        <v>4</v>
      </c>
      <c r="B1227" s="116">
        <v>46130</v>
      </c>
      <c r="C1227" s="117">
        <v>45372</v>
      </c>
      <c r="D1227" s="116">
        <v>124.1</v>
      </c>
      <c r="E1227" s="117">
        <v>45381</v>
      </c>
      <c r="F1227" s="116">
        <f>COUNTIFS($A$3:A9483,A1227,$B$3:B9483,B1227)</f>
        <v>1</v>
      </c>
      <c r="G1227" s="116"/>
    </row>
    <row r="1228" spans="1:7" x14ac:dyDescent="0.2">
      <c r="A1228" s="116">
        <f>IF(ISNUMBER(Tabela2[[#This Row],[CT-e/NFS]])=TRUE,(IF(B1228&gt;30000,4,IF(B1228&lt;1000,"ND",0))),"-")</f>
        <v>4</v>
      </c>
      <c r="B1228" s="116">
        <v>46131</v>
      </c>
      <c r="C1228" s="117">
        <v>45372</v>
      </c>
      <c r="D1228" s="116">
        <v>123.05</v>
      </c>
      <c r="E1228" s="117">
        <v>45381</v>
      </c>
      <c r="F1228" s="116">
        <f>COUNTIFS($A$3:A9484,A1228,$B$3:B9484,B1228)</f>
        <v>1</v>
      </c>
      <c r="G1228" s="116"/>
    </row>
    <row r="1229" spans="1:7" x14ac:dyDescent="0.2">
      <c r="A1229" s="116">
        <f>IF(ISNUMBER(Tabela2[[#This Row],[CT-e/NFS]])=TRUE,(IF(B1229&gt;30000,4,IF(B1229&lt;1000,"ND",0))),"-")</f>
        <v>4</v>
      </c>
      <c r="B1229" s="116">
        <v>46138</v>
      </c>
      <c r="C1229" s="117">
        <v>45372</v>
      </c>
      <c r="D1229" s="116">
        <v>123.99</v>
      </c>
      <c r="E1229" s="117">
        <v>45381</v>
      </c>
      <c r="F1229" s="116">
        <f>COUNTIFS($A$3:A9485,A1229,$B$3:B9485,B1229)</f>
        <v>1</v>
      </c>
      <c r="G1229" s="116"/>
    </row>
    <row r="1230" spans="1:7" x14ac:dyDescent="0.2">
      <c r="A1230" s="116">
        <f>IF(ISNUMBER(Tabela2[[#This Row],[CT-e/NFS]])=TRUE,(IF(B1230&gt;30000,4,IF(B1230&lt;1000,"ND",0))),"-")</f>
        <v>4</v>
      </c>
      <c r="B1230" s="116">
        <v>46136</v>
      </c>
      <c r="C1230" s="117">
        <v>45372</v>
      </c>
      <c r="D1230" s="116">
        <v>838.76</v>
      </c>
      <c r="E1230" s="117">
        <v>45381</v>
      </c>
      <c r="F1230" s="116">
        <f>COUNTIFS($A$3:A9486,A1230,$B$3:B9486,B1230)</f>
        <v>1</v>
      </c>
      <c r="G1230" s="116"/>
    </row>
    <row r="1231" spans="1:7" x14ac:dyDescent="0.2">
      <c r="A1231" s="116">
        <f>IF(ISNUMBER(Tabela2[[#This Row],[CT-e/NFS]])=TRUE,(IF(B1231&gt;30000,4,IF(B1231&lt;1000,"ND",0))),"-")</f>
        <v>4</v>
      </c>
      <c r="B1231" s="116">
        <v>46125</v>
      </c>
      <c r="C1231" s="117">
        <v>45372</v>
      </c>
      <c r="D1231" s="116">
        <v>124.92</v>
      </c>
      <c r="E1231" s="117">
        <v>45381</v>
      </c>
      <c r="F1231" s="116">
        <f>COUNTIFS($A$3:A9487,A1231,$B$3:B9487,B1231)</f>
        <v>1</v>
      </c>
      <c r="G1231" s="116"/>
    </row>
    <row r="1232" spans="1:7" x14ac:dyDescent="0.2">
      <c r="A1232" s="116">
        <f>IF(ISNUMBER(Tabela2[[#This Row],[CT-e/NFS]])=TRUE,(IF(B1232&gt;30000,4,IF(B1232&lt;1000,"ND",0))),"-")</f>
        <v>4</v>
      </c>
      <c r="B1232" s="116">
        <v>46139</v>
      </c>
      <c r="C1232" s="117">
        <v>45372</v>
      </c>
      <c r="D1232" s="116">
        <v>126.03</v>
      </c>
      <c r="E1232" s="117">
        <v>45381</v>
      </c>
      <c r="F1232" s="116">
        <f>COUNTIFS($A$3:A9488,A1232,$B$3:B9488,B1232)</f>
        <v>1</v>
      </c>
      <c r="G1232" s="116"/>
    </row>
    <row r="1233" spans="1:7" x14ac:dyDescent="0.2">
      <c r="A1233" s="116">
        <f>IF(ISNUMBER(Tabela2[[#This Row],[CT-e/NFS]])=TRUE,(IF(B1233&gt;30000,4,IF(B1233&lt;1000,"ND",0))),"-")</f>
        <v>4</v>
      </c>
      <c r="B1233" s="116">
        <v>46129</v>
      </c>
      <c r="C1233" s="117">
        <v>45372</v>
      </c>
      <c r="D1233" s="116">
        <v>123.05</v>
      </c>
      <c r="E1233" s="117">
        <v>45381</v>
      </c>
      <c r="F1233" s="116">
        <f>COUNTIFS($A$3:A9489,A1233,$B$3:B9489,B1233)</f>
        <v>1</v>
      </c>
      <c r="G1233" s="116"/>
    </row>
    <row r="1234" spans="1:7" x14ac:dyDescent="0.2">
      <c r="A1234" s="116">
        <f>IF(ISNUMBER(Tabela2[[#This Row],[CT-e/NFS]])=TRUE,(IF(B1234&gt;30000,4,IF(B1234&lt;1000,"ND",0))),"-")</f>
        <v>4</v>
      </c>
      <c r="B1234" s="116">
        <v>46128</v>
      </c>
      <c r="C1234" s="117">
        <v>45372</v>
      </c>
      <c r="D1234" s="116">
        <v>123.01</v>
      </c>
      <c r="E1234" s="117">
        <v>45381</v>
      </c>
      <c r="F1234" s="116">
        <f>COUNTIFS($A$3:A9490,A1234,$B$3:B9490,B1234)</f>
        <v>1</v>
      </c>
      <c r="G1234" s="116"/>
    </row>
    <row r="1235" spans="1:7" x14ac:dyDescent="0.2">
      <c r="A1235" s="116">
        <f>IF(ISNUMBER(Tabela2[[#This Row],[CT-e/NFS]])=TRUE,(IF(B1235&gt;30000,4,IF(B1235&lt;1000,"ND",0))),"-")</f>
        <v>4</v>
      </c>
      <c r="B1235" s="116">
        <v>46127</v>
      </c>
      <c r="C1235" s="117">
        <v>45372</v>
      </c>
      <c r="D1235" s="116">
        <v>532.16999999999996</v>
      </c>
      <c r="E1235" s="117">
        <v>45381</v>
      </c>
      <c r="F1235" s="116">
        <f>COUNTIFS($A$3:A9491,A1235,$B$3:B9491,B1235)</f>
        <v>1</v>
      </c>
      <c r="G1235" s="116"/>
    </row>
    <row r="1236" spans="1:7" x14ac:dyDescent="0.2">
      <c r="A1236" s="116">
        <f>IF(ISNUMBER(Tabela2[[#This Row],[CT-e/NFS]])=TRUE,(IF(B1236&gt;30000,4,IF(B1236&lt;1000,"ND",0))),"-")</f>
        <v>4</v>
      </c>
      <c r="B1236" s="116">
        <v>46132</v>
      </c>
      <c r="C1236" s="117">
        <v>45372</v>
      </c>
      <c r="D1236" s="116">
        <v>128.09</v>
      </c>
      <c r="E1236" s="117">
        <v>45381</v>
      </c>
      <c r="F1236" s="116">
        <f>COUNTIFS($A$3:A9492,A1236,$B$3:B9492,B1236)</f>
        <v>1</v>
      </c>
      <c r="G1236" s="116"/>
    </row>
    <row r="1237" spans="1:7" x14ac:dyDescent="0.2">
      <c r="A1237" s="116">
        <f>IF(ISNUMBER(Tabela2[[#This Row],[CT-e/NFS]])=TRUE,(IF(B1237&gt;30000,4,IF(B1237&lt;1000,"ND",0))),"-")</f>
        <v>0</v>
      </c>
      <c r="B1237" s="116">
        <v>21166</v>
      </c>
      <c r="C1237" s="117">
        <v>45372</v>
      </c>
      <c r="D1237" s="116">
        <v>76.28</v>
      </c>
      <c r="E1237" s="117">
        <v>45381</v>
      </c>
      <c r="F1237" s="116">
        <f>COUNTIFS($A$3:A9493,A1237,$B$3:B9493,B1237)</f>
        <v>1</v>
      </c>
      <c r="G1237" s="116"/>
    </row>
    <row r="1238" spans="1:7" x14ac:dyDescent="0.2">
      <c r="A1238" s="116">
        <f>IF(ISNUMBER(Tabela2[[#This Row],[CT-e/NFS]])=TRUE,(IF(B1238&gt;30000,4,IF(B1238&lt;1000,"ND",0))),"-")</f>
        <v>0</v>
      </c>
      <c r="B1238" s="116">
        <v>21167</v>
      </c>
      <c r="C1238" s="117">
        <v>45372</v>
      </c>
      <c r="D1238" s="116">
        <v>102.45</v>
      </c>
      <c r="E1238" s="117">
        <v>45381</v>
      </c>
      <c r="F1238" s="116">
        <f>COUNTIFS($A$3:A9494,A1238,$B$3:B9494,B1238)</f>
        <v>1</v>
      </c>
      <c r="G1238" s="116"/>
    </row>
    <row r="1239" spans="1:7" x14ac:dyDescent="0.2">
      <c r="A1239" s="116">
        <f>IF(ISNUMBER(Tabela2[[#This Row],[CT-e/NFS]])=TRUE,(IF(B1239&gt;30000,4,IF(B1239&lt;1000,"ND",0))),"-")</f>
        <v>0</v>
      </c>
      <c r="B1239" s="116">
        <v>21168</v>
      </c>
      <c r="C1239" s="117">
        <v>45372</v>
      </c>
      <c r="D1239" s="116">
        <v>162.80000000000001</v>
      </c>
      <c r="E1239" s="117">
        <v>45381</v>
      </c>
      <c r="F1239" s="116">
        <f>COUNTIFS($A$3:A9495,A1239,$B$3:B9495,B1239)</f>
        <v>1</v>
      </c>
      <c r="G1239" s="116"/>
    </row>
    <row r="1240" spans="1:7" x14ac:dyDescent="0.2">
      <c r="A1240" s="116">
        <f>IF(ISNUMBER(Tabela2[[#This Row],[CT-e/NFS]])=TRUE,(IF(B1240&gt;30000,4,IF(B1240&lt;1000,"ND",0))),"-")</f>
        <v>0</v>
      </c>
      <c r="B1240" s="116">
        <v>21165</v>
      </c>
      <c r="C1240" s="117">
        <v>45372</v>
      </c>
      <c r="D1240" s="116">
        <v>77.69</v>
      </c>
      <c r="E1240" s="117">
        <v>45381</v>
      </c>
      <c r="F1240" s="116">
        <f>COUNTIFS($A$3:A9496,A1240,$B$3:B9496,B1240)</f>
        <v>1</v>
      </c>
      <c r="G1240" s="116"/>
    </row>
    <row r="1241" spans="1:7" x14ac:dyDescent="0.2">
      <c r="A1241" s="116">
        <f>IF(ISNUMBER(Tabela2[[#This Row],[CT-e/NFS]])=TRUE,(IF(B1241&gt;30000,4,IF(B1241&lt;1000,"ND",0))),"-")</f>
        <v>0</v>
      </c>
      <c r="B1241" s="116">
        <v>21169</v>
      </c>
      <c r="C1241" s="117">
        <v>45372</v>
      </c>
      <c r="D1241" s="116">
        <v>76.34</v>
      </c>
      <c r="E1241" s="117">
        <v>45381</v>
      </c>
      <c r="F1241" s="116">
        <f>COUNTIFS($A$3:A9497,A1241,$B$3:B9497,B1241)</f>
        <v>1</v>
      </c>
      <c r="G1241" s="116"/>
    </row>
    <row r="1242" spans="1:7" x14ac:dyDescent="0.2">
      <c r="A1242" s="116">
        <f>IF(ISNUMBER(Tabela2[[#This Row],[CT-e/NFS]])=TRUE,(IF(B1242&gt;30000,4,IF(B1242&lt;1000,"ND",0))),"-")</f>
        <v>0</v>
      </c>
      <c r="B1242" s="116">
        <v>21170</v>
      </c>
      <c r="C1242" s="117">
        <v>45372</v>
      </c>
      <c r="D1242" s="116">
        <v>76.13</v>
      </c>
      <c r="E1242" s="117">
        <v>45381</v>
      </c>
      <c r="F1242" s="116">
        <f>COUNTIFS($A$3:A9498,A1242,$B$3:B9498,B1242)</f>
        <v>1</v>
      </c>
      <c r="G1242" s="116"/>
    </row>
    <row r="1243" spans="1:7" x14ac:dyDescent="0.2">
      <c r="A1243" s="116">
        <f>IF(ISNUMBER(Tabela2[[#This Row],[CT-e/NFS]])=TRUE,(IF(B1243&gt;30000,4,IF(B1243&lt;1000,"ND",0))),"-")</f>
        <v>0</v>
      </c>
      <c r="B1243" s="116">
        <v>21172</v>
      </c>
      <c r="C1243" s="117">
        <v>45372</v>
      </c>
      <c r="D1243" s="116">
        <v>75.72</v>
      </c>
      <c r="E1243" s="117">
        <v>45381</v>
      </c>
      <c r="F1243" s="116">
        <f>COUNTIFS($A$3:A9499,A1243,$B$3:B9499,B1243)</f>
        <v>1</v>
      </c>
      <c r="G1243" s="116"/>
    </row>
    <row r="1244" spans="1:7" x14ac:dyDescent="0.2">
      <c r="A1244" s="116">
        <f>IF(ISNUMBER(Tabela2[[#This Row],[CT-e/NFS]])=TRUE,(IF(B1244&gt;30000,4,IF(B1244&lt;1000,"ND",0))),"-")</f>
        <v>0</v>
      </c>
      <c r="B1244" s="116">
        <v>21171</v>
      </c>
      <c r="C1244" s="117">
        <v>45372</v>
      </c>
      <c r="D1244" s="116">
        <v>76.41</v>
      </c>
      <c r="E1244" s="117">
        <v>45381</v>
      </c>
      <c r="F1244" s="116">
        <f>COUNTIFS($A$3:A9500,A1244,$B$3:B9500,B1244)</f>
        <v>1</v>
      </c>
      <c r="G1244" s="116"/>
    </row>
    <row r="1245" spans="1:7" x14ac:dyDescent="0.2">
      <c r="A1245" s="116">
        <f>IF(ISNUMBER(Tabela2[[#This Row],[CT-e/NFS]])=TRUE,(IF(B1245&gt;30000,4,IF(B1245&lt;1000,"ND",0))),"-")</f>
        <v>4</v>
      </c>
      <c r="B1245" s="116">
        <v>46162</v>
      </c>
      <c r="C1245" s="117">
        <v>45372</v>
      </c>
      <c r="D1245" s="116">
        <v>518.59</v>
      </c>
      <c r="E1245" s="117">
        <v>45381</v>
      </c>
      <c r="F1245" s="116">
        <f>COUNTIFS($A$3:A9501,A1245,$B$3:B9501,B1245)</f>
        <v>1</v>
      </c>
      <c r="G1245" s="116"/>
    </row>
    <row r="1246" spans="1:7" x14ac:dyDescent="0.2">
      <c r="A1246" s="116">
        <f>IF(ISNUMBER(Tabela2[[#This Row],[CT-e/NFS]])=TRUE,(IF(B1246&gt;30000,4,IF(B1246&lt;1000,"ND",0))),"-")</f>
        <v>4</v>
      </c>
      <c r="B1246" s="116">
        <v>46161</v>
      </c>
      <c r="C1246" s="117">
        <v>45372</v>
      </c>
      <c r="D1246" s="116">
        <v>318.27</v>
      </c>
      <c r="E1246" s="117">
        <v>45381</v>
      </c>
      <c r="F1246" s="116">
        <f>COUNTIFS($A$3:A9502,A1246,$B$3:B9502,B1246)</f>
        <v>1</v>
      </c>
      <c r="G1246" s="116"/>
    </row>
    <row r="1247" spans="1:7" x14ac:dyDescent="0.2">
      <c r="A1247" s="116">
        <f>IF(ISNUMBER(Tabela2[[#This Row],[CT-e/NFS]])=TRUE,(IF(B1247&gt;30000,4,IF(B1247&lt;1000,"ND",0))),"-")</f>
        <v>4</v>
      </c>
      <c r="B1247" s="116">
        <v>46160</v>
      </c>
      <c r="C1247" s="117">
        <v>45372</v>
      </c>
      <c r="D1247" s="116">
        <v>597.11</v>
      </c>
      <c r="E1247" s="117">
        <v>45381</v>
      </c>
      <c r="F1247" s="116">
        <f>COUNTIFS($A$3:A9503,A1247,$B$3:B9503,B1247)</f>
        <v>1</v>
      </c>
      <c r="G1247" s="116"/>
    </row>
    <row r="1248" spans="1:7" x14ac:dyDescent="0.2">
      <c r="A1248" s="116">
        <f>IF(ISNUMBER(Tabela2[[#This Row],[CT-e/NFS]])=TRUE,(IF(B1248&gt;30000,4,IF(B1248&lt;1000,"ND",0))),"-")</f>
        <v>4</v>
      </c>
      <c r="B1248" s="116">
        <v>46159</v>
      </c>
      <c r="C1248" s="117">
        <v>45372</v>
      </c>
      <c r="D1248" s="116">
        <v>324.32</v>
      </c>
      <c r="E1248" s="117">
        <v>45381</v>
      </c>
      <c r="F1248" s="116">
        <f>COUNTIFS($A$3:A9504,A1248,$B$3:B9504,B1248)</f>
        <v>1</v>
      </c>
      <c r="G1248" s="116"/>
    </row>
    <row r="1249" spans="1:7" x14ac:dyDescent="0.2">
      <c r="A1249" s="116">
        <f>IF(ISNUMBER(Tabela2[[#This Row],[CT-e/NFS]])=TRUE,(IF(B1249&gt;30000,4,IF(B1249&lt;1000,"ND",0))),"-")</f>
        <v>4</v>
      </c>
      <c r="B1249" s="116">
        <v>46178</v>
      </c>
      <c r="C1249" s="117">
        <v>45372</v>
      </c>
      <c r="D1249" s="116">
        <v>124.16</v>
      </c>
      <c r="E1249" s="117">
        <v>45381</v>
      </c>
      <c r="F1249" s="116">
        <f>COUNTIFS($A$3:A9505,A1249,$B$3:B9505,B1249)</f>
        <v>1</v>
      </c>
      <c r="G1249" s="116"/>
    </row>
    <row r="1250" spans="1:7" x14ac:dyDescent="0.2">
      <c r="A1250" s="116">
        <f>IF(ISNUMBER(Tabela2[[#This Row],[CT-e/NFS]])=TRUE,(IF(B1250&gt;30000,4,IF(B1250&lt;1000,"ND",0))),"-")</f>
        <v>4</v>
      </c>
      <c r="B1250" s="116">
        <v>46176</v>
      </c>
      <c r="C1250" s="117">
        <v>45372</v>
      </c>
      <c r="D1250" s="116">
        <v>124.03</v>
      </c>
      <c r="E1250" s="117">
        <v>45381</v>
      </c>
      <c r="F1250" s="116">
        <f>COUNTIFS($A$3:A9506,A1250,$B$3:B9506,B1250)</f>
        <v>1</v>
      </c>
      <c r="G1250" s="116"/>
    </row>
    <row r="1251" spans="1:7" x14ac:dyDescent="0.2">
      <c r="A1251" s="116">
        <f>IF(ISNUMBER(Tabela2[[#This Row],[CT-e/NFS]])=TRUE,(IF(B1251&gt;30000,4,IF(B1251&lt;1000,"ND",0))),"-")</f>
        <v>4</v>
      </c>
      <c r="B1251" s="116">
        <v>46171</v>
      </c>
      <c r="C1251" s="117">
        <v>45372</v>
      </c>
      <c r="D1251" s="116">
        <v>125.57</v>
      </c>
      <c r="E1251" s="117">
        <v>45381</v>
      </c>
      <c r="F1251" s="116">
        <f>COUNTIFS($A$3:A9507,A1251,$B$3:B9507,B1251)</f>
        <v>1</v>
      </c>
      <c r="G1251" s="116"/>
    </row>
    <row r="1252" spans="1:7" x14ac:dyDescent="0.2">
      <c r="A1252" s="116">
        <f>IF(ISNUMBER(Tabela2[[#This Row],[CT-e/NFS]])=TRUE,(IF(B1252&gt;30000,4,IF(B1252&lt;1000,"ND",0))),"-")</f>
        <v>4</v>
      </c>
      <c r="B1252" s="116">
        <v>46173</v>
      </c>
      <c r="C1252" s="117">
        <v>45372</v>
      </c>
      <c r="D1252" s="116">
        <v>125.48</v>
      </c>
      <c r="E1252" s="117">
        <v>45381</v>
      </c>
      <c r="F1252" s="116">
        <f>COUNTIFS($A$3:A9508,A1252,$B$3:B9508,B1252)</f>
        <v>1</v>
      </c>
      <c r="G1252" s="116"/>
    </row>
    <row r="1253" spans="1:7" x14ac:dyDescent="0.2">
      <c r="A1253" s="116">
        <f>IF(ISNUMBER(Tabela2[[#This Row],[CT-e/NFS]])=TRUE,(IF(B1253&gt;30000,4,IF(B1253&lt;1000,"ND",0))),"-")</f>
        <v>4</v>
      </c>
      <c r="B1253" s="116">
        <v>46172</v>
      </c>
      <c r="C1253" s="117">
        <v>45372</v>
      </c>
      <c r="D1253" s="116">
        <v>126.66</v>
      </c>
      <c r="E1253" s="117">
        <v>45381</v>
      </c>
      <c r="F1253" s="116">
        <f>COUNTIFS($A$3:A9509,A1253,$B$3:B9509,B1253)</f>
        <v>1</v>
      </c>
      <c r="G1253" s="116"/>
    </row>
    <row r="1254" spans="1:7" x14ac:dyDescent="0.2">
      <c r="A1254" s="116">
        <f>IF(ISNUMBER(Tabela2[[#This Row],[CT-e/NFS]])=TRUE,(IF(B1254&gt;30000,4,IF(B1254&lt;1000,"ND",0))),"-")</f>
        <v>4</v>
      </c>
      <c r="B1254" s="116">
        <v>46174</v>
      </c>
      <c r="C1254" s="117">
        <v>45372</v>
      </c>
      <c r="D1254" s="116">
        <v>122.78</v>
      </c>
      <c r="E1254" s="117">
        <v>45381</v>
      </c>
      <c r="F1254" s="116">
        <f>COUNTIFS($A$3:A9510,A1254,$B$3:B9510,B1254)</f>
        <v>1</v>
      </c>
      <c r="G1254" s="116"/>
    </row>
    <row r="1255" spans="1:7" x14ac:dyDescent="0.2">
      <c r="A1255" s="116">
        <f>IF(ISNUMBER(Tabela2[[#This Row],[CT-e/NFS]])=TRUE,(IF(B1255&gt;30000,4,IF(B1255&lt;1000,"ND",0))),"-")</f>
        <v>4</v>
      </c>
      <c r="B1255" s="116">
        <v>46151</v>
      </c>
      <c r="C1255" s="117">
        <v>45372</v>
      </c>
      <c r="D1255" s="116">
        <v>609.98</v>
      </c>
      <c r="E1255" s="117">
        <v>45381</v>
      </c>
      <c r="F1255" s="116">
        <f>COUNTIFS($A$3:A9511,A1255,$B$3:B9511,B1255)</f>
        <v>1</v>
      </c>
      <c r="G1255" s="116"/>
    </row>
    <row r="1256" spans="1:7" x14ac:dyDescent="0.2">
      <c r="A1256" s="116">
        <f>IF(ISNUMBER(Tabela2[[#This Row],[CT-e/NFS]])=TRUE,(IF(B1256&gt;30000,4,IF(B1256&lt;1000,"ND",0))),"-")</f>
        <v>4</v>
      </c>
      <c r="B1256" s="116">
        <v>46111</v>
      </c>
      <c r="C1256" s="117">
        <v>45372</v>
      </c>
      <c r="D1256" s="116">
        <v>786.09</v>
      </c>
      <c r="E1256" s="117">
        <v>45381</v>
      </c>
      <c r="F1256" s="116">
        <f>COUNTIFS($A$3:A9512,A1256,$B$3:B9512,B1256)</f>
        <v>1</v>
      </c>
      <c r="G1256" s="116"/>
    </row>
    <row r="1257" spans="1:7" x14ac:dyDescent="0.2">
      <c r="A1257" s="116">
        <f>IF(ISNUMBER(Tabela2[[#This Row],[CT-e/NFS]])=TRUE,(IF(B1257&gt;30000,4,IF(B1257&lt;1000,"ND",0))),"-")</f>
        <v>4</v>
      </c>
      <c r="B1257" s="116">
        <v>46164</v>
      </c>
      <c r="C1257" s="117">
        <v>45372</v>
      </c>
      <c r="D1257" s="116">
        <v>522.20000000000005</v>
      </c>
      <c r="E1257" s="117">
        <v>45381</v>
      </c>
      <c r="F1257" s="116">
        <f>COUNTIFS($A$3:A9513,A1257,$B$3:B9513,B1257)</f>
        <v>1</v>
      </c>
      <c r="G1257" s="116"/>
    </row>
    <row r="1258" spans="1:7" x14ac:dyDescent="0.2">
      <c r="A1258" s="116">
        <f>IF(ISNUMBER(Tabela2[[#This Row],[CT-e/NFS]])=TRUE,(IF(B1258&gt;30000,4,IF(B1258&lt;1000,"ND",0))),"-")</f>
        <v>4</v>
      </c>
      <c r="B1258" s="116">
        <v>46179</v>
      </c>
      <c r="C1258" s="117">
        <v>45372</v>
      </c>
      <c r="D1258" s="116">
        <v>125.89</v>
      </c>
      <c r="E1258" s="117">
        <v>45381</v>
      </c>
      <c r="F1258" s="116">
        <f>COUNTIFS($A$3:A9514,A1258,$B$3:B9514,B1258)</f>
        <v>1</v>
      </c>
      <c r="G1258" s="116"/>
    </row>
    <row r="1259" spans="1:7" x14ac:dyDescent="0.2">
      <c r="A1259" s="116">
        <f>IF(ISNUMBER(Tabela2[[#This Row],[CT-e/NFS]])=TRUE,(IF(B1259&gt;30000,4,IF(B1259&lt;1000,"ND",0))),"-")</f>
        <v>4</v>
      </c>
      <c r="B1259" s="116">
        <v>46163</v>
      </c>
      <c r="C1259" s="117">
        <v>45372</v>
      </c>
      <c r="D1259" s="116">
        <v>242.09</v>
      </c>
      <c r="E1259" s="117">
        <v>45381</v>
      </c>
      <c r="F1259" s="116">
        <f>COUNTIFS($A$3:A9515,A1259,$B$3:B9515,B1259)</f>
        <v>1</v>
      </c>
      <c r="G1259" s="116"/>
    </row>
    <row r="1260" spans="1:7" x14ac:dyDescent="0.2">
      <c r="A1260" s="116">
        <f>IF(ISNUMBER(Tabela2[[#This Row],[CT-e/NFS]])=TRUE,(IF(B1260&gt;30000,4,IF(B1260&lt;1000,"ND",0))),"-")</f>
        <v>4</v>
      </c>
      <c r="B1260" s="116">
        <v>46180</v>
      </c>
      <c r="C1260" s="117">
        <v>45372</v>
      </c>
      <c r="D1260" s="116">
        <v>1.1399999999999999</v>
      </c>
      <c r="E1260" s="117">
        <v>45381</v>
      </c>
      <c r="F1260" s="116">
        <f>COUNTIFS($A$3:A9516,A1260,$B$3:B9516,B1260)</f>
        <v>1</v>
      </c>
      <c r="G1260" s="116"/>
    </row>
    <row r="1261" spans="1:7" x14ac:dyDescent="0.2">
      <c r="A1261" s="116">
        <f>IF(ISNUMBER(Tabela2[[#This Row],[CT-e/NFS]])=TRUE,(IF(B1261&gt;30000,4,IF(B1261&lt;1000,"ND",0))),"-")</f>
        <v>4</v>
      </c>
      <c r="B1261" s="116">
        <v>46175</v>
      </c>
      <c r="C1261" s="117">
        <v>45372</v>
      </c>
      <c r="D1261" s="116">
        <v>125.78</v>
      </c>
      <c r="E1261" s="117">
        <v>45381</v>
      </c>
      <c r="F1261" s="116">
        <f>COUNTIFS($A$3:A9517,A1261,$B$3:B9517,B1261)</f>
        <v>1</v>
      </c>
      <c r="G1261" s="116"/>
    </row>
    <row r="1262" spans="1:7" x14ac:dyDescent="0.2">
      <c r="A1262" s="116">
        <f>IF(ISNUMBER(Tabela2[[#This Row],[CT-e/NFS]])=TRUE,(IF(B1262&gt;30000,4,IF(B1262&lt;1000,"ND",0))),"-")</f>
        <v>4</v>
      </c>
      <c r="B1262" s="116">
        <v>46165</v>
      </c>
      <c r="C1262" s="117">
        <v>45372</v>
      </c>
      <c r="D1262" s="116">
        <v>229.01</v>
      </c>
      <c r="E1262" s="117">
        <v>45381</v>
      </c>
      <c r="F1262" s="116">
        <f>COUNTIFS($A$3:A9518,A1262,$B$3:B9518,B1262)</f>
        <v>1</v>
      </c>
      <c r="G1262" s="116"/>
    </row>
    <row r="1263" spans="1:7" x14ac:dyDescent="0.2">
      <c r="A1263" s="116">
        <f>IF(ISNUMBER(Tabela2[[#This Row],[CT-e/NFS]])=TRUE,(IF(B1263&gt;30000,4,IF(B1263&lt;1000,"ND",0))),"-")</f>
        <v>4</v>
      </c>
      <c r="B1263" s="116">
        <v>46177</v>
      </c>
      <c r="C1263" s="117">
        <v>45372</v>
      </c>
      <c r="D1263" s="116">
        <v>408.02</v>
      </c>
      <c r="E1263" s="117">
        <v>45381</v>
      </c>
      <c r="F1263" s="116">
        <f>COUNTIFS($A$3:A9519,A1263,$B$3:B9519,B1263)</f>
        <v>1</v>
      </c>
      <c r="G1263" s="116"/>
    </row>
    <row r="1264" spans="1:7" x14ac:dyDescent="0.2">
      <c r="A1264" s="116">
        <f>IF(ISNUMBER(Tabela2[[#This Row],[CT-e/NFS]])=TRUE,(IF(B1264&gt;30000,4,IF(B1264&lt;1000,"ND",0))),"-")</f>
        <v>4</v>
      </c>
      <c r="B1264" s="116">
        <v>46170</v>
      </c>
      <c r="C1264" s="117">
        <v>45372</v>
      </c>
      <c r="D1264" s="116">
        <v>532.16999999999996</v>
      </c>
      <c r="E1264" s="117">
        <v>45381</v>
      </c>
      <c r="F1264" s="116">
        <f>COUNTIFS($A$3:A9520,A1264,$B$3:B9520,B1264)</f>
        <v>1</v>
      </c>
      <c r="G1264" s="116"/>
    </row>
    <row r="1265" spans="1:7" x14ac:dyDescent="0.2">
      <c r="A1265" s="116">
        <f>IF(ISNUMBER(Tabela2[[#This Row],[CT-e/NFS]])=TRUE,(IF(B1265&gt;30000,4,IF(B1265&lt;1000,"ND",0))),"-")</f>
        <v>4</v>
      </c>
      <c r="B1265" s="116">
        <v>46167</v>
      </c>
      <c r="C1265" s="117">
        <v>45372</v>
      </c>
      <c r="D1265" s="116">
        <v>124.09</v>
      </c>
      <c r="E1265" s="117">
        <v>45381</v>
      </c>
      <c r="F1265" s="116">
        <f>COUNTIFS($A$3:A9521,A1265,$B$3:B9521,B1265)</f>
        <v>1</v>
      </c>
      <c r="G1265" s="116"/>
    </row>
    <row r="1266" spans="1:7" x14ac:dyDescent="0.2">
      <c r="A1266" s="116">
        <f>IF(ISNUMBER(Tabela2[[#This Row],[CT-e/NFS]])=TRUE,(IF(B1266&gt;30000,4,IF(B1266&lt;1000,"ND",0))),"-")</f>
        <v>4</v>
      </c>
      <c r="B1266" s="116">
        <v>46166</v>
      </c>
      <c r="C1266" s="117">
        <v>45372</v>
      </c>
      <c r="D1266" s="116">
        <v>151.41999999999999</v>
      </c>
      <c r="E1266" s="117">
        <v>45381</v>
      </c>
      <c r="F1266" s="116">
        <f>COUNTIFS($A$3:A9522,A1266,$B$3:B9522,B1266)</f>
        <v>1</v>
      </c>
      <c r="G1266" s="116"/>
    </row>
    <row r="1267" spans="1:7" x14ac:dyDescent="0.2">
      <c r="A1267" s="116">
        <f>IF(ISNUMBER(Tabela2[[#This Row],[CT-e/NFS]])=TRUE,(IF(B1267&gt;30000,4,IF(B1267&lt;1000,"ND",0))),"-")</f>
        <v>4</v>
      </c>
      <c r="B1267" s="116">
        <v>46181</v>
      </c>
      <c r="C1267" s="117">
        <v>45372</v>
      </c>
      <c r="D1267" s="116">
        <v>122.73</v>
      </c>
      <c r="E1267" s="117">
        <v>45381</v>
      </c>
      <c r="F1267" s="116">
        <f>COUNTIFS($A$3:A9523,A1267,$B$3:B9523,B1267)</f>
        <v>1</v>
      </c>
      <c r="G1267" s="116"/>
    </row>
    <row r="1268" spans="1:7" x14ac:dyDescent="0.2">
      <c r="A1268" s="116">
        <f>IF(ISNUMBER(Tabela2[[#This Row],[CT-e/NFS]])=TRUE,(IF(B1268&gt;30000,4,IF(B1268&lt;1000,"ND",0))),"-")</f>
        <v>4</v>
      </c>
      <c r="B1268" s="116">
        <v>46169</v>
      </c>
      <c r="C1268" s="117">
        <v>45372</v>
      </c>
      <c r="D1268" s="116">
        <v>251.26</v>
      </c>
      <c r="E1268" s="117">
        <v>45381</v>
      </c>
      <c r="F1268" s="116">
        <f>COUNTIFS($A$3:A9524,A1268,$B$3:B9524,B1268)</f>
        <v>1</v>
      </c>
      <c r="G1268" s="116"/>
    </row>
    <row r="1269" spans="1:7" x14ac:dyDescent="0.2">
      <c r="A1269" s="116">
        <f>IF(ISNUMBER(Tabela2[[#This Row],[CT-e/NFS]])=TRUE,(IF(B1269&gt;30000,4,IF(B1269&lt;1000,"ND",0))),"-")</f>
        <v>4</v>
      </c>
      <c r="B1269" s="116">
        <v>46168</v>
      </c>
      <c r="C1269" s="117">
        <v>45372</v>
      </c>
      <c r="D1269" s="116">
        <v>124.35</v>
      </c>
      <c r="E1269" s="117">
        <v>45381</v>
      </c>
      <c r="F1269" s="116">
        <f>COUNTIFS($A$3:A9525,A1269,$B$3:B9525,B1269)</f>
        <v>1</v>
      </c>
      <c r="G1269" s="116"/>
    </row>
    <row r="1270" spans="1:7" x14ac:dyDescent="0.2">
      <c r="A1270" s="116">
        <f>IF(ISNUMBER(Tabela2[[#This Row],[CT-e/NFS]])=TRUE,(IF(B1270&gt;30000,4,IF(B1270&lt;1000,"ND",0))),"-")</f>
        <v>4</v>
      </c>
      <c r="B1270" s="116">
        <v>46190</v>
      </c>
      <c r="C1270" s="117">
        <v>45372</v>
      </c>
      <c r="D1270" s="116">
        <v>63.14</v>
      </c>
      <c r="E1270" s="117">
        <v>45381</v>
      </c>
      <c r="F1270" s="116">
        <f>COUNTIFS($A$3:A9526,A1270,$B$3:B9526,B1270)</f>
        <v>1</v>
      </c>
      <c r="G1270" s="116"/>
    </row>
    <row r="1271" spans="1:7" x14ac:dyDescent="0.2">
      <c r="A1271" s="116">
        <f>IF(ISNUMBER(Tabela2[[#This Row],[CT-e/NFS]])=TRUE,(IF(B1271&gt;30000,4,IF(B1271&lt;1000,"ND",0))),"-")</f>
        <v>4</v>
      </c>
      <c r="B1271" s="116">
        <v>46191</v>
      </c>
      <c r="C1271" s="117">
        <v>45372</v>
      </c>
      <c r="D1271" s="116">
        <v>114</v>
      </c>
      <c r="E1271" s="117">
        <v>45381</v>
      </c>
      <c r="F1271" s="116">
        <f>COUNTIFS($A$3:A9527,A1271,$B$3:B9527,B1271)</f>
        <v>1</v>
      </c>
      <c r="G1271" s="116"/>
    </row>
    <row r="1272" spans="1:7" x14ac:dyDescent="0.2">
      <c r="A1272" s="116">
        <f>IF(ISNUMBER(Tabela2[[#This Row],[CT-e/NFS]])=TRUE,(IF(B1272&gt;30000,4,IF(B1272&lt;1000,"ND",0))),"-")</f>
        <v>4</v>
      </c>
      <c r="B1272" s="116">
        <v>46187</v>
      </c>
      <c r="C1272" s="117">
        <v>45372</v>
      </c>
      <c r="D1272" s="116">
        <v>62.23</v>
      </c>
      <c r="E1272" s="117">
        <v>45381</v>
      </c>
      <c r="F1272" s="116">
        <f>COUNTIFS($A$3:A9528,A1272,$B$3:B9528,B1272)</f>
        <v>1</v>
      </c>
      <c r="G1272" s="116"/>
    </row>
    <row r="1273" spans="1:7" x14ac:dyDescent="0.2">
      <c r="A1273" s="116">
        <f>IF(ISNUMBER(Tabela2[[#This Row],[CT-e/NFS]])=TRUE,(IF(B1273&gt;30000,4,IF(B1273&lt;1000,"ND",0))),"-")</f>
        <v>4</v>
      </c>
      <c r="B1273" s="116">
        <v>46184</v>
      </c>
      <c r="C1273" s="117">
        <v>45372</v>
      </c>
      <c r="D1273" s="116">
        <v>61.94</v>
      </c>
      <c r="E1273" s="117">
        <v>45381</v>
      </c>
      <c r="F1273" s="116">
        <f>COUNTIFS($A$3:A9529,A1273,$B$3:B9529,B1273)</f>
        <v>1</v>
      </c>
      <c r="G1273" s="116"/>
    </row>
    <row r="1274" spans="1:7" x14ac:dyDescent="0.2">
      <c r="A1274" s="116">
        <f>IF(ISNUMBER(Tabela2[[#This Row],[CT-e/NFS]])=TRUE,(IF(B1274&gt;30000,4,IF(B1274&lt;1000,"ND",0))),"-")</f>
        <v>4</v>
      </c>
      <c r="B1274" s="116">
        <v>46185</v>
      </c>
      <c r="C1274" s="117">
        <v>45372</v>
      </c>
      <c r="D1274" s="116">
        <v>111.63</v>
      </c>
      <c r="E1274" s="117">
        <v>45381</v>
      </c>
      <c r="F1274" s="116">
        <f>COUNTIFS($A$3:A9530,A1274,$B$3:B9530,B1274)</f>
        <v>1</v>
      </c>
      <c r="G1274" s="116"/>
    </row>
    <row r="1275" spans="1:7" x14ac:dyDescent="0.2">
      <c r="A1275" s="116">
        <f>IF(ISNUMBER(Tabela2[[#This Row],[CT-e/NFS]])=TRUE,(IF(B1275&gt;30000,4,IF(B1275&lt;1000,"ND",0))),"-")</f>
        <v>4</v>
      </c>
      <c r="B1275" s="116">
        <v>46182</v>
      </c>
      <c r="C1275" s="117">
        <v>45372</v>
      </c>
      <c r="D1275" s="116">
        <v>62.97</v>
      </c>
      <c r="E1275" s="117">
        <v>45381</v>
      </c>
      <c r="F1275" s="116">
        <f>COUNTIFS($A$3:A9531,A1275,$B$3:B9531,B1275)</f>
        <v>1</v>
      </c>
      <c r="G1275" s="116"/>
    </row>
    <row r="1276" spans="1:7" x14ac:dyDescent="0.2">
      <c r="A1276" s="116">
        <f>IF(ISNUMBER(Tabela2[[#This Row],[CT-e/NFS]])=TRUE,(IF(B1276&gt;30000,4,IF(B1276&lt;1000,"ND",0))),"-")</f>
        <v>4</v>
      </c>
      <c r="B1276" s="116">
        <v>46183</v>
      </c>
      <c r="C1276" s="117">
        <v>45372</v>
      </c>
      <c r="D1276" s="116">
        <v>113.66</v>
      </c>
      <c r="E1276" s="117">
        <v>45381</v>
      </c>
      <c r="F1276" s="116">
        <f>COUNTIFS($A$3:A9532,A1276,$B$3:B9532,B1276)</f>
        <v>1</v>
      </c>
      <c r="G1276" s="116"/>
    </row>
    <row r="1277" spans="1:7" x14ac:dyDescent="0.2">
      <c r="A1277" s="116">
        <f>IF(ISNUMBER(Tabela2[[#This Row],[CT-e/NFS]])=TRUE,(IF(B1277&gt;30000,4,IF(B1277&lt;1000,"ND",0))),"-")</f>
        <v>4</v>
      </c>
      <c r="B1277" s="116">
        <v>46188</v>
      </c>
      <c r="C1277" s="117">
        <v>45372</v>
      </c>
      <c r="D1277" s="116">
        <v>62.02</v>
      </c>
      <c r="E1277" s="117">
        <v>45381</v>
      </c>
      <c r="F1277" s="116">
        <f>COUNTIFS($A$3:A9533,A1277,$B$3:B9533,B1277)</f>
        <v>1</v>
      </c>
      <c r="G1277" s="116"/>
    </row>
    <row r="1278" spans="1:7" x14ac:dyDescent="0.2">
      <c r="A1278" s="116">
        <f>IF(ISNUMBER(Tabela2[[#This Row],[CT-e/NFS]])=TRUE,(IF(B1278&gt;30000,4,IF(B1278&lt;1000,"ND",0))),"-")</f>
        <v>4</v>
      </c>
      <c r="B1278" s="116">
        <v>46189</v>
      </c>
      <c r="C1278" s="117">
        <v>45372</v>
      </c>
      <c r="D1278" s="116">
        <v>111.77</v>
      </c>
      <c r="E1278" s="117">
        <v>45381</v>
      </c>
      <c r="F1278" s="116">
        <f>COUNTIFS($A$3:A9534,A1278,$B$3:B9534,B1278)</f>
        <v>1</v>
      </c>
      <c r="G1278" s="116"/>
    </row>
    <row r="1279" spans="1:7" x14ac:dyDescent="0.2">
      <c r="A1279" s="116">
        <f>IF(ISNUMBER(Tabela2[[#This Row],[CT-e/NFS]])=TRUE,(IF(B1279&gt;30000,4,IF(B1279&lt;1000,"ND",0))),"-")</f>
        <v>4</v>
      </c>
      <c r="B1279" s="116">
        <v>46186</v>
      </c>
      <c r="C1279" s="117">
        <v>45372</v>
      </c>
      <c r="D1279" s="116">
        <v>112.19</v>
      </c>
      <c r="E1279" s="117">
        <v>45381</v>
      </c>
      <c r="F1279" s="116">
        <f>COUNTIFS($A$3:A9535,A1279,$B$3:B9535,B1279)</f>
        <v>1</v>
      </c>
      <c r="G1279" s="116"/>
    </row>
    <row r="1280" spans="1:7" x14ac:dyDescent="0.2">
      <c r="A1280" s="116">
        <f>IF(ISNUMBER(Tabela2[[#This Row],[CT-e/NFS]])=TRUE,(IF(B1280&gt;30000,4,IF(B1280&lt;1000,"ND",0))),"-")</f>
        <v>4</v>
      </c>
      <c r="B1280" s="116">
        <v>46192</v>
      </c>
      <c r="C1280" s="117">
        <v>45372</v>
      </c>
      <c r="D1280" s="116">
        <v>671.99</v>
      </c>
      <c r="E1280" s="117">
        <v>45381</v>
      </c>
      <c r="F1280" s="116">
        <f>COUNTIFS($A$3:A9536,A1280,$B$3:B9536,B1280)</f>
        <v>1</v>
      </c>
      <c r="G1280" s="116"/>
    </row>
    <row r="1281" spans="1:7" x14ac:dyDescent="0.2">
      <c r="A1281" s="116">
        <f>IF(ISNUMBER(Tabela2[[#This Row],[CT-e/NFS]])=TRUE,(IF(B1281&gt;30000,4,IF(B1281&lt;1000,"ND",0))),"-")</f>
        <v>4</v>
      </c>
      <c r="B1281" s="116">
        <v>46193</v>
      </c>
      <c r="C1281" s="117">
        <v>45372</v>
      </c>
      <c r="D1281" s="116">
        <v>743.75</v>
      </c>
      <c r="E1281" s="117">
        <v>45381</v>
      </c>
      <c r="F1281" s="116">
        <f>COUNTIFS($A$3:A9537,A1281,$B$3:B9537,B1281)</f>
        <v>1</v>
      </c>
      <c r="G1281" s="116"/>
    </row>
    <row r="1282" spans="1:7" x14ac:dyDescent="0.2">
      <c r="A1282" s="116">
        <f>IF(ISNUMBER(Tabela2[[#This Row],[CT-e/NFS]])=TRUE,(IF(B1282&gt;30000,4,IF(B1282&lt;1000,"ND",0))),"-")</f>
        <v>4</v>
      </c>
      <c r="B1282" s="116">
        <v>46195</v>
      </c>
      <c r="C1282" s="117">
        <v>45372</v>
      </c>
      <c r="D1282" s="116">
        <v>439.94</v>
      </c>
      <c r="E1282" s="117">
        <v>45381</v>
      </c>
      <c r="F1282" s="116">
        <f>COUNTIFS($A$3:A9538,A1282,$B$3:B9538,B1282)</f>
        <v>1</v>
      </c>
      <c r="G1282" s="116"/>
    </row>
    <row r="1283" spans="1:7" x14ac:dyDescent="0.2">
      <c r="A1283" s="116">
        <f>IF(ISNUMBER(Tabela2[[#This Row],[CT-e/NFS]])=TRUE,(IF(B1283&gt;30000,4,IF(B1283&lt;1000,"ND",0))),"-")</f>
        <v>4</v>
      </c>
      <c r="B1283" s="116">
        <v>46196</v>
      </c>
      <c r="C1283" s="117">
        <v>45372</v>
      </c>
      <c r="D1283" s="116">
        <v>277.31</v>
      </c>
      <c r="E1283" s="117">
        <v>45381</v>
      </c>
      <c r="F1283" s="116">
        <f>COUNTIFS($A$3:A9539,A1283,$B$3:B9539,B1283)</f>
        <v>1</v>
      </c>
      <c r="G1283" s="116"/>
    </row>
    <row r="1284" spans="1:7" x14ac:dyDescent="0.2">
      <c r="A1284" s="116">
        <f>IF(ISNUMBER(Tabela2[[#This Row],[CT-e/NFS]])=TRUE,(IF(B1284&gt;30000,4,IF(B1284&lt;1000,"ND",0))),"-")</f>
        <v>4</v>
      </c>
      <c r="B1284" s="116">
        <v>46198</v>
      </c>
      <c r="C1284" s="117">
        <v>45372</v>
      </c>
      <c r="D1284" s="116">
        <v>190.35</v>
      </c>
      <c r="E1284" s="117">
        <v>45381</v>
      </c>
      <c r="F1284" s="116">
        <f>COUNTIFS($A$3:A9540,A1284,$B$3:B9540,B1284)</f>
        <v>1</v>
      </c>
      <c r="G1284" s="116"/>
    </row>
    <row r="1285" spans="1:7" x14ac:dyDescent="0.2">
      <c r="A1285" s="116">
        <f>IF(ISNUMBER(Tabela2[[#This Row],[CT-e/NFS]])=TRUE,(IF(B1285&gt;30000,4,IF(B1285&lt;1000,"ND",0))),"-")</f>
        <v>4</v>
      </c>
      <c r="B1285" s="116">
        <v>46202</v>
      </c>
      <c r="C1285" s="117">
        <v>45372</v>
      </c>
      <c r="D1285" s="116">
        <v>125.3</v>
      </c>
      <c r="E1285" s="117">
        <v>45381</v>
      </c>
      <c r="F1285" s="116">
        <f>COUNTIFS($A$3:A9541,A1285,$B$3:B9541,B1285)</f>
        <v>1</v>
      </c>
      <c r="G1285" s="116"/>
    </row>
    <row r="1286" spans="1:7" x14ac:dyDescent="0.2">
      <c r="A1286" s="116">
        <f>IF(ISNUMBER(Tabela2[[#This Row],[CT-e/NFS]])=TRUE,(IF(B1286&gt;30000,4,IF(B1286&lt;1000,"ND",0))),"-")</f>
        <v>4</v>
      </c>
      <c r="B1286" s="116">
        <v>46208</v>
      </c>
      <c r="C1286" s="117">
        <v>45372</v>
      </c>
      <c r="D1286" s="116">
        <v>246.33</v>
      </c>
      <c r="E1286" s="117">
        <v>45381</v>
      </c>
      <c r="F1286" s="116">
        <f>COUNTIFS($A$3:A9542,A1286,$B$3:B9542,B1286)</f>
        <v>1</v>
      </c>
      <c r="G1286" s="116"/>
    </row>
    <row r="1287" spans="1:7" x14ac:dyDescent="0.2">
      <c r="A1287" s="116">
        <f>IF(ISNUMBER(Tabela2[[#This Row],[CT-e/NFS]])=TRUE,(IF(B1287&gt;30000,4,IF(B1287&lt;1000,"ND",0))),"-")</f>
        <v>4</v>
      </c>
      <c r="B1287" s="116">
        <v>46209</v>
      </c>
      <c r="C1287" s="117">
        <v>45372</v>
      </c>
      <c r="D1287" s="116">
        <v>124.24</v>
      </c>
      <c r="E1287" s="117">
        <v>45381</v>
      </c>
      <c r="F1287" s="116">
        <f>COUNTIFS($A$3:A9543,A1287,$B$3:B9543,B1287)</f>
        <v>1</v>
      </c>
      <c r="G1287" s="116"/>
    </row>
    <row r="1288" spans="1:7" x14ac:dyDescent="0.2">
      <c r="A1288" s="116">
        <f>IF(ISNUMBER(Tabela2[[#This Row],[CT-e/NFS]])=TRUE,(IF(B1288&gt;30000,4,IF(B1288&lt;1000,"ND",0))),"-")</f>
        <v>4</v>
      </c>
      <c r="B1288" s="116">
        <v>46203</v>
      </c>
      <c r="C1288" s="117">
        <v>45372</v>
      </c>
      <c r="D1288" s="116">
        <v>124.15</v>
      </c>
      <c r="E1288" s="117">
        <v>45381</v>
      </c>
      <c r="F1288" s="116">
        <f>COUNTIFS($A$3:A9544,A1288,$B$3:B9544,B1288)</f>
        <v>1</v>
      </c>
      <c r="G1288" s="116"/>
    </row>
    <row r="1289" spans="1:7" x14ac:dyDescent="0.2">
      <c r="A1289" s="116">
        <f>IF(ISNUMBER(Tabela2[[#This Row],[CT-e/NFS]])=TRUE,(IF(B1289&gt;30000,4,IF(B1289&lt;1000,"ND",0))),"-")</f>
        <v>4</v>
      </c>
      <c r="B1289" s="116">
        <v>46205</v>
      </c>
      <c r="C1289" s="117">
        <v>45372</v>
      </c>
      <c r="D1289" s="116">
        <v>123.13</v>
      </c>
      <c r="E1289" s="117">
        <v>45381</v>
      </c>
      <c r="F1289" s="116">
        <f>COUNTIFS($A$3:A9545,A1289,$B$3:B9545,B1289)</f>
        <v>1</v>
      </c>
      <c r="G1289" s="116"/>
    </row>
    <row r="1290" spans="1:7" x14ac:dyDescent="0.2">
      <c r="A1290" s="116">
        <f>IF(ISNUMBER(Tabela2[[#This Row],[CT-e/NFS]])=TRUE,(IF(B1290&gt;30000,4,IF(B1290&lt;1000,"ND",0))),"-")</f>
        <v>4</v>
      </c>
      <c r="B1290" s="116">
        <v>46206</v>
      </c>
      <c r="C1290" s="117">
        <v>45372</v>
      </c>
      <c r="D1290" s="116">
        <v>124.34</v>
      </c>
      <c r="E1290" s="117">
        <v>45381</v>
      </c>
      <c r="F1290" s="116">
        <f>COUNTIFS($A$3:A9546,A1290,$B$3:B9546,B1290)</f>
        <v>1</v>
      </c>
      <c r="G1290" s="116"/>
    </row>
    <row r="1291" spans="1:7" x14ac:dyDescent="0.2">
      <c r="A1291" s="116">
        <f>IF(ISNUMBER(Tabela2[[#This Row],[CT-e/NFS]])=TRUE,(IF(B1291&gt;30000,4,IF(B1291&lt;1000,"ND",0))),"-")</f>
        <v>4</v>
      </c>
      <c r="B1291" s="116">
        <v>46200</v>
      </c>
      <c r="C1291" s="117">
        <v>45372</v>
      </c>
      <c r="D1291" s="116">
        <v>124.36</v>
      </c>
      <c r="E1291" s="117">
        <v>45381</v>
      </c>
      <c r="F1291" s="116">
        <f>COUNTIFS($A$3:A9547,A1291,$B$3:B9547,B1291)</f>
        <v>1</v>
      </c>
      <c r="G1291" s="116"/>
    </row>
    <row r="1292" spans="1:7" x14ac:dyDescent="0.2">
      <c r="A1292" s="116">
        <f>IF(ISNUMBER(Tabela2[[#This Row],[CT-e/NFS]])=TRUE,(IF(B1292&gt;30000,4,IF(B1292&lt;1000,"ND",0))),"-")</f>
        <v>4</v>
      </c>
      <c r="B1292" s="116">
        <v>46204</v>
      </c>
      <c r="C1292" s="117">
        <v>45372</v>
      </c>
      <c r="D1292" s="116">
        <v>126.65</v>
      </c>
      <c r="E1292" s="117">
        <v>45381</v>
      </c>
      <c r="F1292" s="116">
        <f>COUNTIFS($A$3:A9548,A1292,$B$3:B9548,B1292)</f>
        <v>1</v>
      </c>
      <c r="G1292" s="116"/>
    </row>
    <row r="1293" spans="1:7" x14ac:dyDescent="0.2">
      <c r="A1293" s="116">
        <f>IF(ISNUMBER(Tabela2[[#This Row],[CT-e/NFS]])=TRUE,(IF(B1293&gt;30000,4,IF(B1293&lt;1000,"ND",0))),"-")</f>
        <v>4</v>
      </c>
      <c r="B1293" s="116">
        <v>46197</v>
      </c>
      <c r="C1293" s="117">
        <v>45372</v>
      </c>
      <c r="D1293" s="116">
        <v>123.89</v>
      </c>
      <c r="E1293" s="117">
        <v>45381</v>
      </c>
      <c r="F1293" s="116">
        <f>COUNTIFS($A$3:A9549,A1293,$B$3:B9549,B1293)</f>
        <v>1</v>
      </c>
      <c r="G1293" s="116"/>
    </row>
    <row r="1294" spans="1:7" x14ac:dyDescent="0.2">
      <c r="A1294" s="116">
        <f>IF(ISNUMBER(Tabela2[[#This Row],[CT-e/NFS]])=TRUE,(IF(B1294&gt;30000,4,IF(B1294&lt;1000,"ND",0))),"-")</f>
        <v>4</v>
      </c>
      <c r="B1294" s="116">
        <v>46207</v>
      </c>
      <c r="C1294" s="117">
        <v>45372</v>
      </c>
      <c r="D1294" s="116">
        <v>433.55</v>
      </c>
      <c r="E1294" s="117">
        <v>45381</v>
      </c>
      <c r="F1294" s="116">
        <f>COUNTIFS($A$3:A9550,A1294,$B$3:B9550,B1294)</f>
        <v>1</v>
      </c>
      <c r="G1294" s="116"/>
    </row>
    <row r="1295" spans="1:7" x14ac:dyDescent="0.2">
      <c r="A1295" s="116">
        <f>IF(ISNUMBER(Tabela2[[#This Row],[CT-e/NFS]])=TRUE,(IF(B1295&gt;30000,4,IF(B1295&lt;1000,"ND",0))),"-")</f>
        <v>4</v>
      </c>
      <c r="B1295" s="116">
        <v>46210</v>
      </c>
      <c r="C1295" s="117">
        <v>45372</v>
      </c>
      <c r="D1295" s="116">
        <v>125.34</v>
      </c>
      <c r="E1295" s="117">
        <v>45381</v>
      </c>
      <c r="F1295" s="116">
        <f>COUNTIFS($A$3:A9551,A1295,$B$3:B9551,B1295)</f>
        <v>1</v>
      </c>
      <c r="G1295" s="116"/>
    </row>
    <row r="1296" spans="1:7" x14ac:dyDescent="0.2">
      <c r="A1296" s="116">
        <f>IF(ISNUMBER(Tabela2[[#This Row],[CT-e/NFS]])=TRUE,(IF(B1296&gt;30000,4,IF(B1296&lt;1000,"ND",0))),"-")</f>
        <v>4</v>
      </c>
      <c r="B1296" s="116">
        <v>46201</v>
      </c>
      <c r="C1296" s="117">
        <v>45372</v>
      </c>
      <c r="D1296" s="116">
        <v>182.53</v>
      </c>
      <c r="E1296" s="117">
        <v>45381</v>
      </c>
      <c r="F1296" s="116">
        <f>COUNTIFS($A$3:A9552,A1296,$B$3:B9552,B1296)</f>
        <v>1</v>
      </c>
      <c r="G1296" s="116"/>
    </row>
    <row r="1297" spans="1:7" x14ac:dyDescent="0.2">
      <c r="A1297" s="116">
        <f>IF(ISNUMBER(Tabela2[[#This Row],[CT-e/NFS]])=TRUE,(IF(B1297&gt;30000,4,IF(B1297&lt;1000,"ND",0))),"-")</f>
        <v>4</v>
      </c>
      <c r="B1297" s="116">
        <v>46199</v>
      </c>
      <c r="C1297" s="117">
        <v>45372</v>
      </c>
      <c r="D1297" s="116">
        <v>241.03</v>
      </c>
      <c r="E1297" s="117">
        <v>45381</v>
      </c>
      <c r="F1297" s="116">
        <f>COUNTIFS($A$3:A9553,A1297,$B$3:B9553,B1297)</f>
        <v>1</v>
      </c>
      <c r="G1297" s="116"/>
    </row>
    <row r="1298" spans="1:7" x14ac:dyDescent="0.2">
      <c r="A1298" s="116">
        <f>IF(ISNUMBER(Tabela2[[#This Row],[CT-e/NFS]])=TRUE,(IF(B1298&gt;30000,4,IF(B1298&lt;1000,"ND",0))),"-")</f>
        <v>4</v>
      </c>
      <c r="B1298" s="116">
        <v>46212</v>
      </c>
      <c r="C1298" s="117">
        <v>45372</v>
      </c>
      <c r="D1298" s="116">
        <v>217.35</v>
      </c>
      <c r="E1298" s="117">
        <v>45381</v>
      </c>
      <c r="F1298" s="116">
        <f>COUNTIFS($A$3:A9554,A1298,$B$3:B9554,B1298)</f>
        <v>1</v>
      </c>
      <c r="G1298" s="116"/>
    </row>
    <row r="1299" spans="1:7" x14ac:dyDescent="0.2">
      <c r="A1299" s="116">
        <f>IF(ISNUMBER(Tabela2[[#This Row],[CT-e/NFS]])=TRUE,(IF(B1299&gt;30000,4,IF(B1299&lt;1000,"ND",0))),"-")</f>
        <v>4</v>
      </c>
      <c r="B1299" s="116">
        <v>46213</v>
      </c>
      <c r="C1299" s="117">
        <v>45372</v>
      </c>
      <c r="D1299" s="116">
        <v>920.38</v>
      </c>
      <c r="E1299" s="117">
        <v>45381</v>
      </c>
      <c r="F1299" s="116">
        <f>COUNTIFS($A$3:A9555,A1299,$B$3:B9555,B1299)</f>
        <v>1</v>
      </c>
      <c r="G1299" s="116"/>
    </row>
    <row r="1300" spans="1:7" x14ac:dyDescent="0.2">
      <c r="A1300" s="116">
        <f>IF(ISNUMBER(Tabela2[[#This Row],[CT-e/NFS]])=TRUE,(IF(B1300&gt;30000,4,IF(B1300&lt;1000,"ND",0))),"-")</f>
        <v>4</v>
      </c>
      <c r="B1300" s="116">
        <v>46227</v>
      </c>
      <c r="C1300" s="117">
        <v>45372</v>
      </c>
      <c r="D1300" s="116">
        <v>122.9</v>
      </c>
      <c r="E1300" s="117">
        <v>45381</v>
      </c>
      <c r="F1300" s="116">
        <f>COUNTIFS($A$3:A9556,A1300,$B$3:B9556,B1300)</f>
        <v>1</v>
      </c>
      <c r="G1300" s="116"/>
    </row>
    <row r="1301" spans="1:7" x14ac:dyDescent="0.2">
      <c r="A1301" s="116">
        <f>IF(ISNUMBER(Tabela2[[#This Row],[CT-e/NFS]])=TRUE,(IF(B1301&gt;30000,4,IF(B1301&lt;1000,"ND",0))),"-")</f>
        <v>4</v>
      </c>
      <c r="B1301" s="116">
        <v>46219</v>
      </c>
      <c r="C1301" s="117">
        <v>45372</v>
      </c>
      <c r="D1301" s="116">
        <v>240.63</v>
      </c>
      <c r="E1301" s="117">
        <v>45381</v>
      </c>
      <c r="F1301" s="116">
        <f>COUNTIFS($A$3:A9557,A1301,$B$3:B9557,B1301)</f>
        <v>1</v>
      </c>
      <c r="G1301" s="116"/>
    </row>
    <row r="1302" spans="1:7" x14ac:dyDescent="0.2">
      <c r="A1302" s="116">
        <f>IF(ISNUMBER(Tabela2[[#This Row],[CT-e/NFS]])=TRUE,(IF(B1302&gt;30000,4,IF(B1302&lt;1000,"ND",0))),"-")</f>
        <v>4</v>
      </c>
      <c r="B1302" s="116">
        <v>46214</v>
      </c>
      <c r="C1302" s="117">
        <v>45372</v>
      </c>
      <c r="D1302" s="116">
        <v>124.15</v>
      </c>
      <c r="E1302" s="117">
        <v>45381</v>
      </c>
      <c r="F1302" s="116">
        <f>COUNTIFS($A$3:A9558,A1302,$B$3:B9558,B1302)</f>
        <v>1</v>
      </c>
      <c r="G1302" s="116"/>
    </row>
    <row r="1303" spans="1:7" x14ac:dyDescent="0.2">
      <c r="A1303" s="116">
        <f>IF(ISNUMBER(Tabela2[[#This Row],[CT-e/NFS]])=TRUE,(IF(B1303&gt;30000,4,IF(B1303&lt;1000,"ND",0))),"-")</f>
        <v>4</v>
      </c>
      <c r="B1303" s="116">
        <v>46223</v>
      </c>
      <c r="C1303" s="117">
        <v>45372</v>
      </c>
      <c r="D1303" s="116">
        <v>123.99</v>
      </c>
      <c r="E1303" s="117">
        <v>45381</v>
      </c>
      <c r="F1303" s="116">
        <f>COUNTIFS($A$3:A9559,A1303,$B$3:B9559,B1303)</f>
        <v>1</v>
      </c>
      <c r="G1303" s="116"/>
    </row>
    <row r="1304" spans="1:7" x14ac:dyDescent="0.2">
      <c r="A1304" s="116">
        <f>IF(ISNUMBER(Tabela2[[#This Row],[CT-e/NFS]])=TRUE,(IF(B1304&gt;30000,4,IF(B1304&lt;1000,"ND",0))),"-")</f>
        <v>4</v>
      </c>
      <c r="B1304" s="116">
        <v>46224</v>
      </c>
      <c r="C1304" s="117">
        <v>45372</v>
      </c>
      <c r="D1304" s="116">
        <v>242.14</v>
      </c>
      <c r="E1304" s="117">
        <v>45381</v>
      </c>
      <c r="F1304" s="116">
        <f>COUNTIFS($A$3:A9560,A1304,$B$3:B9560,B1304)</f>
        <v>1</v>
      </c>
      <c r="G1304" s="116"/>
    </row>
    <row r="1305" spans="1:7" x14ac:dyDescent="0.2">
      <c r="A1305" s="116">
        <f>IF(ISNUMBER(Tabela2[[#This Row],[CT-e/NFS]])=TRUE,(IF(B1305&gt;30000,4,IF(B1305&lt;1000,"ND",0))),"-")</f>
        <v>4</v>
      </c>
      <c r="B1305" s="116">
        <v>46217</v>
      </c>
      <c r="C1305" s="117">
        <v>45372</v>
      </c>
      <c r="D1305" s="116">
        <v>124.06</v>
      </c>
      <c r="E1305" s="117">
        <v>45381</v>
      </c>
      <c r="F1305" s="116">
        <f>COUNTIFS($A$3:A9561,A1305,$B$3:B9561,B1305)</f>
        <v>1</v>
      </c>
      <c r="G1305" s="116"/>
    </row>
    <row r="1306" spans="1:7" x14ac:dyDescent="0.2">
      <c r="A1306" s="116">
        <f>IF(ISNUMBER(Tabela2[[#This Row],[CT-e/NFS]])=TRUE,(IF(B1306&gt;30000,4,IF(B1306&lt;1000,"ND",0))),"-")</f>
        <v>4</v>
      </c>
      <c r="B1306" s="116">
        <v>46231</v>
      </c>
      <c r="C1306" s="117">
        <v>45372</v>
      </c>
      <c r="D1306" s="116">
        <v>255.58</v>
      </c>
      <c r="E1306" s="117">
        <v>45381</v>
      </c>
      <c r="F1306" s="116">
        <f>COUNTIFS($A$3:A9562,A1306,$B$3:B9562,B1306)</f>
        <v>1</v>
      </c>
      <c r="G1306" s="116"/>
    </row>
    <row r="1307" spans="1:7" x14ac:dyDescent="0.2">
      <c r="A1307" s="116">
        <f>IF(ISNUMBER(Tabela2[[#This Row],[CT-e/NFS]])=TRUE,(IF(B1307&gt;30000,4,IF(B1307&lt;1000,"ND",0))),"-")</f>
        <v>4</v>
      </c>
      <c r="B1307" s="116">
        <v>46225</v>
      </c>
      <c r="C1307" s="117">
        <v>45372</v>
      </c>
      <c r="D1307" s="116">
        <v>122.88</v>
      </c>
      <c r="E1307" s="117">
        <v>45381</v>
      </c>
      <c r="F1307" s="116">
        <f>COUNTIFS($A$3:A9563,A1307,$B$3:B9563,B1307)</f>
        <v>1</v>
      </c>
      <c r="G1307" s="116"/>
    </row>
    <row r="1308" spans="1:7" x14ac:dyDescent="0.2">
      <c r="A1308" s="116">
        <f>IF(ISNUMBER(Tabela2[[#This Row],[CT-e/NFS]])=TRUE,(IF(B1308&gt;30000,4,IF(B1308&lt;1000,"ND",0))),"-")</f>
        <v>4</v>
      </c>
      <c r="B1308" s="116">
        <v>46222</v>
      </c>
      <c r="C1308" s="117">
        <v>45372</v>
      </c>
      <c r="D1308" s="116">
        <v>125.25</v>
      </c>
      <c r="E1308" s="117">
        <v>45381</v>
      </c>
      <c r="F1308" s="116">
        <f>COUNTIFS($A$3:A9564,A1308,$B$3:B9564,B1308)</f>
        <v>1</v>
      </c>
      <c r="G1308" s="116"/>
    </row>
    <row r="1309" spans="1:7" x14ac:dyDescent="0.2">
      <c r="A1309" s="116">
        <f>IF(ISNUMBER(Tabela2[[#This Row],[CT-e/NFS]])=TRUE,(IF(B1309&gt;30000,4,IF(B1309&lt;1000,"ND",0))),"-")</f>
        <v>4</v>
      </c>
      <c r="B1309" s="116">
        <v>46221</v>
      </c>
      <c r="C1309" s="117">
        <v>45372</v>
      </c>
      <c r="D1309" s="116">
        <v>146.41</v>
      </c>
      <c r="E1309" s="117">
        <v>45381</v>
      </c>
      <c r="F1309" s="116">
        <f>COUNTIFS($A$3:A9565,A1309,$B$3:B9565,B1309)</f>
        <v>1</v>
      </c>
      <c r="G1309" s="116"/>
    </row>
    <row r="1310" spans="1:7" x14ac:dyDescent="0.2">
      <c r="A1310" s="116">
        <f>IF(ISNUMBER(Tabela2[[#This Row],[CT-e/NFS]])=TRUE,(IF(B1310&gt;30000,4,IF(B1310&lt;1000,"ND",0))),"-")</f>
        <v>4</v>
      </c>
      <c r="B1310" s="116">
        <v>46220</v>
      </c>
      <c r="C1310" s="117">
        <v>45372</v>
      </c>
      <c r="D1310" s="116">
        <v>125.16</v>
      </c>
      <c r="E1310" s="117">
        <v>45381</v>
      </c>
      <c r="F1310" s="116">
        <f>COUNTIFS($A$3:A9566,A1310,$B$3:B9566,B1310)</f>
        <v>1</v>
      </c>
      <c r="G1310" s="116"/>
    </row>
    <row r="1311" spans="1:7" x14ac:dyDescent="0.2">
      <c r="A1311" s="116">
        <f>IF(ISNUMBER(Tabela2[[#This Row],[CT-e/NFS]])=TRUE,(IF(B1311&gt;30000,4,IF(B1311&lt;1000,"ND",0))),"-")</f>
        <v>4</v>
      </c>
      <c r="B1311" s="116">
        <v>46216</v>
      </c>
      <c r="C1311" s="117">
        <v>45372</v>
      </c>
      <c r="D1311" s="116">
        <v>123.13</v>
      </c>
      <c r="E1311" s="117">
        <v>45381</v>
      </c>
      <c r="F1311" s="116">
        <f>COUNTIFS($A$3:A9567,A1311,$B$3:B9567,B1311)</f>
        <v>1</v>
      </c>
      <c r="G1311" s="116"/>
    </row>
    <row r="1312" spans="1:7" x14ac:dyDescent="0.2">
      <c r="A1312" s="116">
        <f>IF(ISNUMBER(Tabela2[[#This Row],[CT-e/NFS]])=TRUE,(IF(B1312&gt;30000,4,IF(B1312&lt;1000,"ND",0))),"-")</f>
        <v>4</v>
      </c>
      <c r="B1312" s="116">
        <v>46215</v>
      </c>
      <c r="C1312" s="117">
        <v>45372</v>
      </c>
      <c r="D1312" s="116">
        <v>290.51</v>
      </c>
      <c r="E1312" s="117">
        <v>45381</v>
      </c>
      <c r="F1312" s="116">
        <f>COUNTIFS($A$3:A9568,A1312,$B$3:B9568,B1312)</f>
        <v>1</v>
      </c>
      <c r="G1312" s="116"/>
    </row>
    <row r="1313" spans="1:7" x14ac:dyDescent="0.2">
      <c r="A1313" s="116">
        <f>IF(ISNUMBER(Tabela2[[#This Row],[CT-e/NFS]])=TRUE,(IF(B1313&gt;30000,4,IF(B1313&lt;1000,"ND",0))),"-")</f>
        <v>4</v>
      </c>
      <c r="B1313" s="116">
        <v>46218</v>
      </c>
      <c r="C1313" s="117">
        <v>45372</v>
      </c>
      <c r="D1313" s="116">
        <v>86.84</v>
      </c>
      <c r="E1313" s="117">
        <v>45381</v>
      </c>
      <c r="F1313" s="116">
        <f>COUNTIFS($A$3:A9569,A1313,$B$3:B9569,B1313)</f>
        <v>1</v>
      </c>
      <c r="G1313" s="116"/>
    </row>
    <row r="1314" spans="1:7" x14ac:dyDescent="0.2">
      <c r="A1314" s="116">
        <f>IF(ISNUMBER(Tabela2[[#This Row],[CT-e/NFS]])=TRUE,(IF(B1314&gt;30000,4,IF(B1314&lt;1000,"ND",0))),"-")</f>
        <v>4</v>
      </c>
      <c r="B1314" s="116">
        <v>46233</v>
      </c>
      <c r="C1314" s="117">
        <v>45372</v>
      </c>
      <c r="D1314" s="116">
        <v>467.33</v>
      </c>
      <c r="E1314" s="117">
        <v>45381</v>
      </c>
      <c r="F1314" s="116">
        <f>COUNTIFS($A$3:A9570,A1314,$B$3:B9570,B1314)</f>
        <v>1</v>
      </c>
      <c r="G1314" s="116"/>
    </row>
    <row r="1315" spans="1:7" x14ac:dyDescent="0.2">
      <c r="A1315" s="116">
        <f>IF(ISNUMBER(Tabela2[[#This Row],[CT-e/NFS]])=TRUE,(IF(B1315&gt;30000,4,IF(B1315&lt;1000,"ND",0))),"-")</f>
        <v>4</v>
      </c>
      <c r="B1315" s="116">
        <v>46241</v>
      </c>
      <c r="C1315" s="117">
        <v>45372</v>
      </c>
      <c r="D1315" s="116">
        <v>618.41999999999996</v>
      </c>
      <c r="E1315" s="117">
        <v>45381</v>
      </c>
      <c r="F1315" s="116">
        <f>COUNTIFS($A$3:A9571,A1315,$B$3:B9571,B1315)</f>
        <v>1</v>
      </c>
      <c r="G1315" s="116"/>
    </row>
    <row r="1316" spans="1:7" x14ac:dyDescent="0.2">
      <c r="A1316" s="116">
        <f>IF(ISNUMBER(Tabela2[[#This Row],[CT-e/NFS]])=TRUE,(IF(B1316&gt;30000,4,IF(B1316&lt;1000,"ND",0))),"-")</f>
        <v>4</v>
      </c>
      <c r="B1316" s="116">
        <v>46240</v>
      </c>
      <c r="C1316" s="117">
        <v>45372</v>
      </c>
      <c r="D1316" s="116">
        <v>1139.8800000000001</v>
      </c>
      <c r="E1316" s="117">
        <v>45381</v>
      </c>
      <c r="F1316" s="116">
        <f>COUNTIFS($A$3:A9572,A1316,$B$3:B9572,B1316)</f>
        <v>1</v>
      </c>
      <c r="G1316" s="116"/>
    </row>
    <row r="1317" spans="1:7" x14ac:dyDescent="0.2">
      <c r="A1317" s="116">
        <f>IF(ISNUMBER(Tabela2[[#This Row],[CT-e/NFS]])=TRUE,(IF(B1317&gt;30000,4,IF(B1317&lt;1000,"ND",0))),"-")</f>
        <v>4</v>
      </c>
      <c r="B1317" s="116">
        <v>46232</v>
      </c>
      <c r="C1317" s="117">
        <v>45372</v>
      </c>
      <c r="D1317" s="116">
        <v>687.22</v>
      </c>
      <c r="E1317" s="117">
        <v>45381</v>
      </c>
      <c r="F1317" s="116">
        <f>COUNTIFS($A$3:A9573,A1317,$B$3:B9573,B1317)</f>
        <v>1</v>
      </c>
      <c r="G1317" s="116"/>
    </row>
    <row r="1318" spans="1:7" x14ac:dyDescent="0.2">
      <c r="A1318" s="116">
        <f>IF(ISNUMBER(Tabela2[[#This Row],[CT-e/NFS]])=TRUE,(IF(B1318&gt;30000,4,IF(B1318&lt;1000,"ND",0))),"-")</f>
        <v>4</v>
      </c>
      <c r="B1318" s="116">
        <v>46254</v>
      </c>
      <c r="C1318" s="117">
        <v>45372</v>
      </c>
      <c r="D1318" s="116">
        <v>122.92</v>
      </c>
      <c r="E1318" s="117">
        <v>45381</v>
      </c>
      <c r="F1318" s="116">
        <f>COUNTIFS($A$3:A9574,A1318,$B$3:B9574,B1318)</f>
        <v>1</v>
      </c>
      <c r="G1318" s="116"/>
    </row>
    <row r="1319" spans="1:7" x14ac:dyDescent="0.2">
      <c r="A1319" s="116">
        <f>IF(ISNUMBER(Tabela2[[#This Row],[CT-e/NFS]])=TRUE,(IF(B1319&gt;30000,4,IF(B1319&lt;1000,"ND",0))),"-")</f>
        <v>4</v>
      </c>
      <c r="B1319" s="116">
        <v>46246</v>
      </c>
      <c r="C1319" s="117">
        <v>45372</v>
      </c>
      <c r="D1319" s="116">
        <v>125.03</v>
      </c>
      <c r="E1319" s="117">
        <v>45381</v>
      </c>
      <c r="F1319" s="116">
        <f>COUNTIFS($A$3:A9575,A1319,$B$3:B9575,B1319)</f>
        <v>1</v>
      </c>
      <c r="G1319" s="116"/>
    </row>
    <row r="1320" spans="1:7" x14ac:dyDescent="0.2">
      <c r="A1320" s="116">
        <f>IF(ISNUMBER(Tabela2[[#This Row],[CT-e/NFS]])=TRUE,(IF(B1320&gt;30000,4,IF(B1320&lt;1000,"ND",0))),"-")</f>
        <v>4</v>
      </c>
      <c r="B1320" s="116">
        <v>46249</v>
      </c>
      <c r="C1320" s="117">
        <v>45372</v>
      </c>
      <c r="D1320" s="116">
        <v>265.77999999999997</v>
      </c>
      <c r="E1320" s="117">
        <v>45381</v>
      </c>
      <c r="F1320" s="116">
        <f>COUNTIFS($A$3:A9576,A1320,$B$3:B9576,B1320)</f>
        <v>1</v>
      </c>
      <c r="G1320" s="116"/>
    </row>
    <row r="1321" spans="1:7" x14ac:dyDescent="0.2">
      <c r="A1321" s="116">
        <f>IF(ISNUMBER(Tabela2[[#This Row],[CT-e/NFS]])=TRUE,(IF(B1321&gt;30000,4,IF(B1321&lt;1000,"ND",0))),"-")</f>
        <v>4</v>
      </c>
      <c r="B1321" s="116">
        <v>46255</v>
      </c>
      <c r="C1321" s="117">
        <v>45372</v>
      </c>
      <c r="D1321" s="116">
        <v>125.94</v>
      </c>
      <c r="E1321" s="117">
        <v>45381</v>
      </c>
      <c r="F1321" s="116">
        <f>COUNTIFS($A$3:A9577,A1321,$B$3:B9577,B1321)</f>
        <v>1</v>
      </c>
      <c r="G1321" s="116"/>
    </row>
    <row r="1322" spans="1:7" x14ac:dyDescent="0.2">
      <c r="A1322" s="116">
        <f>IF(ISNUMBER(Tabela2[[#This Row],[CT-e/NFS]])=TRUE,(IF(B1322&gt;30000,4,IF(B1322&lt;1000,"ND",0))),"-")</f>
        <v>4</v>
      </c>
      <c r="B1322" s="116">
        <v>46251</v>
      </c>
      <c r="C1322" s="117">
        <v>45372</v>
      </c>
      <c r="D1322" s="116">
        <v>125.16</v>
      </c>
      <c r="E1322" s="117">
        <v>45381</v>
      </c>
      <c r="F1322" s="116">
        <f>COUNTIFS($A$3:A9578,A1322,$B$3:B9578,B1322)</f>
        <v>1</v>
      </c>
      <c r="G1322" s="116"/>
    </row>
    <row r="1323" spans="1:7" x14ac:dyDescent="0.2">
      <c r="A1323" s="116">
        <f>IF(ISNUMBER(Tabela2[[#This Row],[CT-e/NFS]])=TRUE,(IF(B1323&gt;30000,4,IF(B1323&lt;1000,"ND",0))),"-")</f>
        <v>4</v>
      </c>
      <c r="B1323" s="116">
        <v>46245</v>
      </c>
      <c r="C1323" s="117">
        <v>45372</v>
      </c>
      <c r="D1323" s="116">
        <v>124.92</v>
      </c>
      <c r="E1323" s="117">
        <v>45381</v>
      </c>
      <c r="F1323" s="116">
        <f>COUNTIFS($A$3:A9579,A1323,$B$3:B9579,B1323)</f>
        <v>1</v>
      </c>
      <c r="G1323" s="116"/>
    </row>
    <row r="1324" spans="1:7" x14ac:dyDescent="0.2">
      <c r="A1324" s="116">
        <f>IF(ISNUMBER(Tabela2[[#This Row],[CT-e/NFS]])=TRUE,(IF(B1324&gt;30000,4,IF(B1324&lt;1000,"ND",0))),"-")</f>
        <v>4</v>
      </c>
      <c r="B1324" s="116">
        <v>46252</v>
      </c>
      <c r="C1324" s="117">
        <v>45372</v>
      </c>
      <c r="D1324" s="116">
        <v>124.44</v>
      </c>
      <c r="E1324" s="117">
        <v>45381</v>
      </c>
      <c r="F1324" s="116">
        <f>COUNTIFS($A$3:A9580,A1324,$B$3:B9580,B1324)</f>
        <v>1</v>
      </c>
      <c r="G1324" s="116"/>
    </row>
    <row r="1325" spans="1:7" x14ac:dyDescent="0.2">
      <c r="A1325" s="116">
        <f>IF(ISNUMBER(Tabela2[[#This Row],[CT-e/NFS]])=TRUE,(IF(B1325&gt;30000,4,IF(B1325&lt;1000,"ND",0))),"-")</f>
        <v>4</v>
      </c>
      <c r="B1325" s="116">
        <v>46253</v>
      </c>
      <c r="C1325" s="117">
        <v>45372</v>
      </c>
      <c r="D1325" s="116">
        <v>124.36</v>
      </c>
      <c r="E1325" s="117">
        <v>45381</v>
      </c>
      <c r="F1325" s="116">
        <f>COUNTIFS($A$3:A9581,A1325,$B$3:B9581,B1325)</f>
        <v>1</v>
      </c>
      <c r="G1325" s="116"/>
    </row>
    <row r="1326" spans="1:7" x14ac:dyDescent="0.2">
      <c r="A1326" s="116">
        <f>IF(ISNUMBER(Tabela2[[#This Row],[CT-e/NFS]])=TRUE,(IF(B1326&gt;30000,4,IF(B1326&lt;1000,"ND",0))),"-")</f>
        <v>4</v>
      </c>
      <c r="B1326" s="116">
        <v>46257</v>
      </c>
      <c r="C1326" s="117">
        <v>45372</v>
      </c>
      <c r="D1326" s="116">
        <v>124.52</v>
      </c>
      <c r="E1326" s="117">
        <v>45381</v>
      </c>
      <c r="F1326" s="116">
        <f>COUNTIFS($A$3:A9582,A1326,$B$3:B9582,B1326)</f>
        <v>1</v>
      </c>
      <c r="G1326" s="116"/>
    </row>
    <row r="1327" spans="1:7" x14ac:dyDescent="0.2">
      <c r="A1327" s="116">
        <f>IF(ISNUMBER(Tabela2[[#This Row],[CT-e/NFS]])=TRUE,(IF(B1327&gt;30000,4,IF(B1327&lt;1000,"ND",0))),"-")</f>
        <v>4</v>
      </c>
      <c r="B1327" s="116">
        <v>46256</v>
      </c>
      <c r="C1327" s="117">
        <v>45372</v>
      </c>
      <c r="D1327" s="116">
        <v>124.03</v>
      </c>
      <c r="E1327" s="117">
        <v>45381</v>
      </c>
      <c r="F1327" s="116">
        <f>COUNTIFS($A$3:A9583,A1327,$B$3:B9583,B1327)</f>
        <v>1</v>
      </c>
      <c r="G1327" s="116"/>
    </row>
    <row r="1328" spans="1:7" x14ac:dyDescent="0.2">
      <c r="A1328" s="116">
        <f>IF(ISNUMBER(Tabela2[[#This Row],[CT-e/NFS]])=TRUE,(IF(B1328&gt;30000,4,IF(B1328&lt;1000,"ND",0))),"-")</f>
        <v>4</v>
      </c>
      <c r="B1328" s="116">
        <v>46248</v>
      </c>
      <c r="C1328" s="117">
        <v>45372</v>
      </c>
      <c r="D1328" s="116">
        <v>183.26</v>
      </c>
      <c r="E1328" s="117">
        <v>45381</v>
      </c>
      <c r="F1328" s="116">
        <f>COUNTIFS($A$3:A9584,A1328,$B$3:B9584,B1328)</f>
        <v>1</v>
      </c>
      <c r="G1328" s="116"/>
    </row>
    <row r="1329" spans="1:7" x14ac:dyDescent="0.2">
      <c r="A1329" s="116">
        <f>IF(ISNUMBER(Tabela2[[#This Row],[CT-e/NFS]])=TRUE,(IF(B1329&gt;30000,4,IF(B1329&lt;1000,"ND",0))),"-")</f>
        <v>4</v>
      </c>
      <c r="B1329" s="116">
        <v>46250</v>
      </c>
      <c r="C1329" s="117">
        <v>45372</v>
      </c>
      <c r="D1329" s="116">
        <v>126.08</v>
      </c>
      <c r="E1329" s="117">
        <v>45381</v>
      </c>
      <c r="F1329" s="116">
        <f>COUNTIFS($A$3:A9585,A1329,$B$3:B9585,B1329)</f>
        <v>1</v>
      </c>
      <c r="G1329" s="116"/>
    </row>
    <row r="1330" spans="1:7" x14ac:dyDescent="0.2">
      <c r="A1330" s="116">
        <f>IF(ISNUMBER(Tabela2[[#This Row],[CT-e/NFS]])=TRUE,(IF(B1330&gt;30000,4,IF(B1330&lt;1000,"ND",0))),"-")</f>
        <v>4</v>
      </c>
      <c r="B1330" s="116">
        <v>46247</v>
      </c>
      <c r="C1330" s="117">
        <v>45372</v>
      </c>
      <c r="D1330" s="116">
        <v>210.11</v>
      </c>
      <c r="E1330" s="117">
        <v>45381</v>
      </c>
      <c r="F1330" s="116">
        <f>COUNTIFS($A$3:A9586,A1330,$B$3:B9586,B1330)</f>
        <v>1</v>
      </c>
      <c r="G1330" s="116"/>
    </row>
    <row r="1331" spans="1:7" x14ac:dyDescent="0.2">
      <c r="A1331" s="116">
        <f>IF(ISNUMBER(Tabela2[[#This Row],[CT-e/NFS]])=TRUE,(IF(B1331&gt;30000,4,IF(B1331&lt;1000,"ND",0))),"-")</f>
        <v>4</v>
      </c>
      <c r="B1331" s="116">
        <v>46261</v>
      </c>
      <c r="C1331" s="117">
        <v>45372</v>
      </c>
      <c r="D1331" s="116">
        <v>3191.16</v>
      </c>
      <c r="E1331" s="117">
        <v>45381</v>
      </c>
      <c r="F1331" s="116">
        <f>COUNTIFS($A$3:A9587,A1331,$B$3:B9587,B1331)</f>
        <v>1</v>
      </c>
      <c r="G1331" s="116"/>
    </row>
    <row r="1332" spans="1:7" x14ac:dyDescent="0.2">
      <c r="A1332" s="116">
        <f>IF(ISNUMBER(Tabela2[[#This Row],[CT-e/NFS]])=TRUE,(IF(B1332&gt;30000,4,IF(B1332&lt;1000,"ND",0))),"-")</f>
        <v>0</v>
      </c>
      <c r="B1332" s="116">
        <v>21124</v>
      </c>
      <c r="C1332" s="117">
        <v>45372</v>
      </c>
      <c r="D1332" s="116">
        <v>75.599999999999994</v>
      </c>
      <c r="E1332" s="117">
        <v>45381</v>
      </c>
      <c r="F1332" s="116">
        <f>COUNTIFS($A$3:A9588,A1332,$B$3:B9588,B1332)</f>
        <v>1</v>
      </c>
      <c r="G1332" s="116"/>
    </row>
    <row r="1333" spans="1:7" x14ac:dyDescent="0.2">
      <c r="A1333" s="116">
        <f>IF(ISNUMBER(Tabela2[[#This Row],[CT-e/NFS]])=TRUE,(IF(B1333&gt;30000,4,IF(B1333&lt;1000,"ND",0))),"-")</f>
        <v>0</v>
      </c>
      <c r="B1333" s="116">
        <v>21162</v>
      </c>
      <c r="C1333" s="117">
        <v>45372</v>
      </c>
      <c r="D1333" s="116">
        <v>75.62</v>
      </c>
      <c r="E1333" s="117">
        <v>45381</v>
      </c>
      <c r="F1333" s="116">
        <f>COUNTIFS($A$3:A9589,A1333,$B$3:B9589,B1333)</f>
        <v>1</v>
      </c>
      <c r="G1333" s="116"/>
    </row>
    <row r="1334" spans="1:7" x14ac:dyDescent="0.2">
      <c r="A1334" s="116">
        <f>IF(ISNUMBER(Tabela2[[#This Row],[CT-e/NFS]])=TRUE,(IF(B1334&gt;30000,4,IF(B1334&lt;1000,"ND",0))),"-")</f>
        <v>4</v>
      </c>
      <c r="B1334" s="116">
        <v>46158</v>
      </c>
      <c r="C1334" s="117">
        <v>45372</v>
      </c>
      <c r="D1334" s="116">
        <v>408.02</v>
      </c>
      <c r="E1334" s="117">
        <v>45381</v>
      </c>
      <c r="F1334" s="116">
        <f>COUNTIFS($A$3:A9590,A1334,$B$3:B9590,B1334)</f>
        <v>1</v>
      </c>
      <c r="G1334" s="116"/>
    </row>
    <row r="1335" spans="1:7" x14ac:dyDescent="0.2">
      <c r="A1335" s="116">
        <f>IF(ISNUMBER(Tabela2[[#This Row],[CT-e/NFS]])=TRUE,(IF(B1335&gt;30000,4,IF(B1335&lt;1000,"ND",0))),"-")</f>
        <v>4</v>
      </c>
      <c r="B1335" s="116">
        <v>46194</v>
      </c>
      <c r="C1335" s="117">
        <v>45372</v>
      </c>
      <c r="D1335" s="116">
        <v>1102.27</v>
      </c>
      <c r="E1335" s="117">
        <v>45381</v>
      </c>
      <c r="F1335" s="116">
        <f>COUNTIFS($A$3:A9591,A1335,$B$3:B9591,B1335)</f>
        <v>1</v>
      </c>
      <c r="G1335" s="116"/>
    </row>
    <row r="1336" spans="1:7" x14ac:dyDescent="0.2">
      <c r="A1336" s="116">
        <f>IF(ISNUMBER(Tabela2[[#This Row],[CT-e/NFS]])=TRUE,(IF(B1336&gt;30000,4,IF(B1336&lt;1000,"ND",0))),"-")</f>
        <v>4</v>
      </c>
      <c r="B1336" s="116">
        <v>46243</v>
      </c>
      <c r="C1336" s="117">
        <v>45372</v>
      </c>
      <c r="D1336" s="116">
        <v>1149.7</v>
      </c>
      <c r="E1336" s="117">
        <v>45381</v>
      </c>
      <c r="F1336" s="116">
        <f>COUNTIFS($A$3:A9592,A1336,$B$3:B9592,B1336)</f>
        <v>1</v>
      </c>
      <c r="G1336" s="116"/>
    </row>
    <row r="1337" spans="1:7" x14ac:dyDescent="0.2">
      <c r="A1337" s="116">
        <f>IF(ISNUMBER(Tabela2[[#This Row],[CT-e/NFS]])=TRUE,(IF(B1337&gt;30000,4,IF(B1337&lt;1000,"ND",0))),"-")</f>
        <v>4</v>
      </c>
      <c r="B1337" s="116">
        <v>46262</v>
      </c>
      <c r="C1337" s="117">
        <v>45372</v>
      </c>
      <c r="D1337" s="116">
        <v>122.73</v>
      </c>
      <c r="E1337" s="117">
        <v>45381</v>
      </c>
      <c r="F1337" s="116">
        <f>COUNTIFS($A$3:A9593,A1337,$B$3:B9593,B1337)</f>
        <v>1</v>
      </c>
      <c r="G1337" s="116"/>
    </row>
    <row r="1338" spans="1:7" x14ac:dyDescent="0.2">
      <c r="A1338" s="116">
        <f>IF(ISNUMBER(Tabela2[[#This Row],[CT-e/NFS]])=TRUE,(IF(B1338&gt;30000,4,IF(B1338&lt;1000,"ND",0))),"-")</f>
        <v>0</v>
      </c>
      <c r="B1338" s="116">
        <v>21190</v>
      </c>
      <c r="C1338" s="117">
        <v>45372</v>
      </c>
      <c r="D1338" s="116">
        <v>287.12</v>
      </c>
      <c r="E1338" s="117">
        <v>45381</v>
      </c>
      <c r="F1338" s="116">
        <f>COUNTIFS($A$3:A9594,A1338,$B$3:B9594,B1338)</f>
        <v>1</v>
      </c>
      <c r="G1338" s="116"/>
    </row>
    <row r="1339" spans="1:7" x14ac:dyDescent="0.2">
      <c r="A1339" s="116">
        <f>IF(ISNUMBER(Tabela2[[#This Row],[CT-e/NFS]])=TRUE,(IF(B1339&gt;30000,4,IF(B1339&lt;1000,"ND",0))),"-")</f>
        <v>0</v>
      </c>
      <c r="B1339" s="116">
        <v>21191</v>
      </c>
      <c r="C1339" s="117">
        <v>45372</v>
      </c>
      <c r="D1339" s="116">
        <v>76.95</v>
      </c>
      <c r="E1339" s="117">
        <v>45381</v>
      </c>
      <c r="F1339" s="116">
        <f>COUNTIFS($A$3:A9595,A1339,$B$3:B9595,B1339)</f>
        <v>1</v>
      </c>
      <c r="G1339" s="116"/>
    </row>
    <row r="1340" spans="1:7" x14ac:dyDescent="0.2">
      <c r="A1340" s="116">
        <f>IF(ISNUMBER(Tabela2[[#This Row],[CT-e/NFS]])=TRUE,(IF(B1340&gt;30000,4,IF(B1340&lt;1000,"ND",0))),"-")</f>
        <v>0</v>
      </c>
      <c r="B1340" s="116">
        <v>21192</v>
      </c>
      <c r="C1340" s="117">
        <v>45372</v>
      </c>
      <c r="D1340" s="116">
        <v>76.36</v>
      </c>
      <c r="E1340" s="117">
        <v>45381</v>
      </c>
      <c r="F1340" s="116">
        <f>COUNTIFS($A$3:A9596,A1340,$B$3:B9596,B1340)</f>
        <v>1</v>
      </c>
      <c r="G1340" s="116"/>
    </row>
    <row r="1341" spans="1:7" x14ac:dyDescent="0.2">
      <c r="A1341" s="116">
        <f>IF(ISNUMBER(Tabela2[[#This Row],[CT-e/NFS]])=TRUE,(IF(B1341&gt;30000,4,IF(B1341&lt;1000,"ND",0))),"-")</f>
        <v>0</v>
      </c>
      <c r="B1341" s="116">
        <v>21193</v>
      </c>
      <c r="C1341" s="117">
        <v>45372</v>
      </c>
      <c r="D1341" s="116">
        <v>76.84</v>
      </c>
      <c r="E1341" s="117">
        <v>45381</v>
      </c>
      <c r="F1341" s="116">
        <f>COUNTIFS($A$3:A9597,A1341,$B$3:B9597,B1341)</f>
        <v>1</v>
      </c>
      <c r="G1341" s="116"/>
    </row>
    <row r="1342" spans="1:7" x14ac:dyDescent="0.2">
      <c r="A1342" s="116">
        <f>IF(ISNUMBER(Tabela2[[#This Row],[CT-e/NFS]])=TRUE,(IF(B1342&gt;30000,4,IF(B1342&lt;1000,"ND",0))),"-")</f>
        <v>0</v>
      </c>
      <c r="B1342" s="116">
        <v>21196</v>
      </c>
      <c r="C1342" s="117">
        <v>45372</v>
      </c>
      <c r="D1342" s="116">
        <v>76.959999999999994</v>
      </c>
      <c r="E1342" s="117">
        <v>45381</v>
      </c>
      <c r="F1342" s="116">
        <f>COUNTIFS($A$3:A9598,A1342,$B$3:B9598,B1342)</f>
        <v>1</v>
      </c>
      <c r="G1342" s="116"/>
    </row>
    <row r="1343" spans="1:7" x14ac:dyDescent="0.2">
      <c r="A1343" s="116">
        <f>IF(ISNUMBER(Tabela2[[#This Row],[CT-e/NFS]])=TRUE,(IF(B1343&gt;30000,4,IF(B1343&lt;1000,"ND",0))),"-")</f>
        <v>0</v>
      </c>
      <c r="B1343" s="116">
        <v>21195</v>
      </c>
      <c r="C1343" s="117">
        <v>45372</v>
      </c>
      <c r="D1343" s="116">
        <v>102.84</v>
      </c>
      <c r="E1343" s="117">
        <v>45381</v>
      </c>
      <c r="F1343" s="116">
        <f>COUNTIFS($A$3:A9599,A1343,$B$3:B9599,B1343)</f>
        <v>1</v>
      </c>
      <c r="G1343" s="116"/>
    </row>
    <row r="1344" spans="1:7" x14ac:dyDescent="0.2">
      <c r="A1344" s="116">
        <f>IF(ISNUMBER(Tabela2[[#This Row],[CT-e/NFS]])=TRUE,(IF(B1344&gt;30000,4,IF(B1344&lt;1000,"ND",0))),"-")</f>
        <v>0</v>
      </c>
      <c r="B1344" s="116">
        <v>21194</v>
      </c>
      <c r="C1344" s="117">
        <v>45372</v>
      </c>
      <c r="D1344" s="116">
        <v>280.54000000000002</v>
      </c>
      <c r="E1344" s="117">
        <v>45381</v>
      </c>
      <c r="F1344" s="116">
        <f>COUNTIFS($A$3:A9600,A1344,$B$3:B9600,B1344)</f>
        <v>1</v>
      </c>
      <c r="G1344" s="116"/>
    </row>
    <row r="1345" spans="1:7" x14ac:dyDescent="0.2">
      <c r="A1345" s="116">
        <f>IF(ISNUMBER(Tabela2[[#This Row],[CT-e/NFS]])=TRUE,(IF(B1345&gt;30000,4,IF(B1345&lt;1000,"ND",0))),"-")</f>
        <v>0</v>
      </c>
      <c r="B1345" s="116">
        <v>21197</v>
      </c>
      <c r="C1345" s="117">
        <v>45372</v>
      </c>
      <c r="D1345" s="116">
        <v>348.37</v>
      </c>
      <c r="E1345" s="117">
        <v>45381</v>
      </c>
      <c r="F1345" s="116">
        <f>COUNTIFS($A$3:A9601,A1345,$B$3:B9601,B1345)</f>
        <v>1</v>
      </c>
      <c r="G1345" s="116"/>
    </row>
    <row r="1346" spans="1:7" x14ac:dyDescent="0.2">
      <c r="A1346" s="116">
        <f>IF(ISNUMBER(Tabela2[[#This Row],[CT-e/NFS]])=TRUE,(IF(B1346&gt;30000,4,IF(B1346&lt;1000,"ND",0))),"-")</f>
        <v>0</v>
      </c>
      <c r="B1346" s="116">
        <v>21199</v>
      </c>
      <c r="C1346" s="117">
        <v>45372</v>
      </c>
      <c r="D1346" s="116">
        <v>171.44</v>
      </c>
      <c r="E1346" s="117">
        <v>45381</v>
      </c>
      <c r="F1346" s="116">
        <f>COUNTIFS($A$3:A9602,A1346,$B$3:B9602,B1346)</f>
        <v>1</v>
      </c>
      <c r="G1346" s="116"/>
    </row>
    <row r="1347" spans="1:7" x14ac:dyDescent="0.2">
      <c r="A1347" s="116">
        <f>IF(ISNUMBER(Tabela2[[#This Row],[CT-e/NFS]])=TRUE,(IF(B1347&gt;30000,4,IF(B1347&lt;1000,"ND",0))),"-")</f>
        <v>0</v>
      </c>
      <c r="B1347" s="116">
        <v>21200</v>
      </c>
      <c r="C1347" s="117">
        <v>45372</v>
      </c>
      <c r="D1347" s="116">
        <v>77.58</v>
      </c>
      <c r="E1347" s="117">
        <v>45381</v>
      </c>
      <c r="F1347" s="116">
        <f>COUNTIFS($A$3:A9603,A1347,$B$3:B9603,B1347)</f>
        <v>1</v>
      </c>
      <c r="G1347" s="116"/>
    </row>
    <row r="1348" spans="1:7" x14ac:dyDescent="0.2">
      <c r="A1348" s="116">
        <f>IF(ISNUMBER(Tabela2[[#This Row],[CT-e/NFS]])=TRUE,(IF(B1348&gt;30000,4,IF(B1348&lt;1000,"ND",0))),"-")</f>
        <v>0</v>
      </c>
      <c r="B1348" s="116">
        <v>21201</v>
      </c>
      <c r="C1348" s="117">
        <v>45372</v>
      </c>
      <c r="D1348" s="116">
        <v>53.86</v>
      </c>
      <c r="E1348" s="117">
        <v>45381</v>
      </c>
      <c r="F1348" s="116">
        <f>COUNTIFS($A$3:A9604,A1348,$B$3:B9604,B1348)</f>
        <v>1</v>
      </c>
      <c r="G1348" s="116"/>
    </row>
    <row r="1349" spans="1:7" x14ac:dyDescent="0.2">
      <c r="A1349" s="116">
        <f>IF(ISNUMBER(Tabela2[[#This Row],[CT-e/NFS]])=TRUE,(IF(B1349&gt;30000,4,IF(B1349&lt;1000,"ND",0))),"-")</f>
        <v>0</v>
      </c>
      <c r="B1349" s="116">
        <v>21198</v>
      </c>
      <c r="C1349" s="117">
        <v>45372</v>
      </c>
      <c r="D1349" s="116">
        <v>110.54</v>
      </c>
      <c r="E1349" s="117">
        <v>45381</v>
      </c>
      <c r="F1349" s="116">
        <f>COUNTIFS($A$3:A9605,A1349,$B$3:B9605,B1349)</f>
        <v>1</v>
      </c>
      <c r="G1349" s="116"/>
    </row>
    <row r="1350" spans="1:7" x14ac:dyDescent="0.2">
      <c r="A1350" s="116">
        <f>IF(ISNUMBER(Tabela2[[#This Row],[CT-e/NFS]])=TRUE,(IF(B1350&gt;30000,4,IF(B1350&lt;1000,"ND",0))),"-")</f>
        <v>0</v>
      </c>
      <c r="B1350" s="116">
        <v>21205</v>
      </c>
      <c r="C1350" s="117">
        <v>45372</v>
      </c>
      <c r="D1350" s="116">
        <v>77.08</v>
      </c>
      <c r="E1350" s="117">
        <v>45381</v>
      </c>
      <c r="F1350" s="116">
        <f>COUNTIFS($A$3:A9606,A1350,$B$3:B9606,B1350)</f>
        <v>1</v>
      </c>
      <c r="G1350" s="116"/>
    </row>
    <row r="1351" spans="1:7" x14ac:dyDescent="0.2">
      <c r="A1351" s="116">
        <f>IF(ISNUMBER(Tabela2[[#This Row],[CT-e/NFS]])=TRUE,(IF(B1351&gt;30000,4,IF(B1351&lt;1000,"ND",0))),"-")</f>
        <v>0</v>
      </c>
      <c r="B1351" s="116">
        <v>21208</v>
      </c>
      <c r="C1351" s="117">
        <v>45372</v>
      </c>
      <c r="D1351" s="116">
        <v>76.33</v>
      </c>
      <c r="E1351" s="117">
        <v>45381</v>
      </c>
      <c r="F1351" s="116">
        <f>COUNTIFS($A$3:A9607,A1351,$B$3:B9607,B1351)</f>
        <v>1</v>
      </c>
      <c r="G1351" s="116"/>
    </row>
    <row r="1352" spans="1:7" x14ac:dyDescent="0.2">
      <c r="A1352" s="116">
        <f>IF(ISNUMBER(Tabela2[[#This Row],[CT-e/NFS]])=TRUE,(IF(B1352&gt;30000,4,IF(B1352&lt;1000,"ND",0))),"-")</f>
        <v>0</v>
      </c>
      <c r="B1352" s="116">
        <v>21206</v>
      </c>
      <c r="C1352" s="117">
        <v>45372</v>
      </c>
      <c r="D1352" s="116">
        <v>77.53</v>
      </c>
      <c r="E1352" s="117">
        <v>45381</v>
      </c>
      <c r="F1352" s="116">
        <f>COUNTIFS($A$3:A9608,A1352,$B$3:B9608,B1352)</f>
        <v>1</v>
      </c>
      <c r="G1352" s="116"/>
    </row>
    <row r="1353" spans="1:7" x14ac:dyDescent="0.2">
      <c r="A1353" s="116">
        <f>IF(ISNUMBER(Tabela2[[#This Row],[CT-e/NFS]])=TRUE,(IF(B1353&gt;30000,4,IF(B1353&lt;1000,"ND",0))),"-")</f>
        <v>0</v>
      </c>
      <c r="B1353" s="116">
        <v>21207</v>
      </c>
      <c r="C1353" s="117">
        <v>45372</v>
      </c>
      <c r="D1353" s="116">
        <v>77.53</v>
      </c>
      <c r="E1353" s="117">
        <v>45381</v>
      </c>
      <c r="F1353" s="116">
        <f>COUNTIFS($A$3:A9609,A1353,$B$3:B9609,B1353)</f>
        <v>1</v>
      </c>
      <c r="G1353" s="116"/>
    </row>
    <row r="1354" spans="1:7" x14ac:dyDescent="0.2">
      <c r="A1354" s="116">
        <f>IF(ISNUMBER(Tabela2[[#This Row],[CT-e/NFS]])=TRUE,(IF(B1354&gt;30000,4,IF(B1354&lt;1000,"ND",0))),"-")</f>
        <v>0</v>
      </c>
      <c r="B1354" s="116">
        <v>21209</v>
      </c>
      <c r="C1354" s="117">
        <v>45372</v>
      </c>
      <c r="D1354" s="116">
        <v>128.04</v>
      </c>
      <c r="E1354" s="117">
        <v>45381</v>
      </c>
      <c r="F1354" s="116">
        <f>COUNTIFS($A$3:A9610,A1354,$B$3:B9610,B1354)</f>
        <v>1</v>
      </c>
      <c r="G1354" s="116"/>
    </row>
    <row r="1355" spans="1:7" x14ac:dyDescent="0.2">
      <c r="A1355" s="116">
        <f>IF(ISNUMBER(Tabela2[[#This Row],[CT-e/NFS]])=TRUE,(IF(B1355&gt;30000,4,IF(B1355&lt;1000,"ND",0))),"-")</f>
        <v>0</v>
      </c>
      <c r="B1355" s="116">
        <v>21175</v>
      </c>
      <c r="C1355" s="117">
        <v>45372</v>
      </c>
      <c r="D1355" s="116">
        <v>75.680000000000007</v>
      </c>
      <c r="E1355" s="117">
        <v>45381</v>
      </c>
      <c r="F1355" s="116">
        <f>COUNTIFS($A$3:A9611,A1355,$B$3:B9611,B1355)</f>
        <v>1</v>
      </c>
      <c r="G1355" s="116"/>
    </row>
    <row r="1356" spans="1:7" x14ac:dyDescent="0.2">
      <c r="A1356" s="116">
        <f>IF(ISNUMBER(Tabela2[[#This Row],[CT-e/NFS]])=TRUE,(IF(B1356&gt;30000,4,IF(B1356&lt;1000,"ND",0))),"-")</f>
        <v>0</v>
      </c>
      <c r="B1356" s="116">
        <v>21176</v>
      </c>
      <c r="C1356" s="117">
        <v>45372</v>
      </c>
      <c r="D1356" s="116">
        <v>76.28</v>
      </c>
      <c r="E1356" s="117">
        <v>45381</v>
      </c>
      <c r="F1356" s="116">
        <f>COUNTIFS($A$3:A9612,A1356,$B$3:B9612,B1356)</f>
        <v>1</v>
      </c>
      <c r="G1356" s="116"/>
    </row>
    <row r="1357" spans="1:7" x14ac:dyDescent="0.2">
      <c r="A1357" s="116">
        <f>IF(ISNUMBER(Tabela2[[#This Row],[CT-e/NFS]])=TRUE,(IF(B1357&gt;30000,4,IF(B1357&lt;1000,"ND",0))),"-")</f>
        <v>0</v>
      </c>
      <c r="B1357" s="116">
        <v>21178</v>
      </c>
      <c r="C1357" s="117">
        <v>45372</v>
      </c>
      <c r="D1357" s="116">
        <v>144.84</v>
      </c>
      <c r="E1357" s="117">
        <v>45381</v>
      </c>
      <c r="F1357" s="116">
        <f>COUNTIFS($A$3:A9613,A1357,$B$3:B9613,B1357)</f>
        <v>1</v>
      </c>
      <c r="G1357" s="116"/>
    </row>
    <row r="1358" spans="1:7" x14ac:dyDescent="0.2">
      <c r="A1358" s="116">
        <f>IF(ISNUMBER(Tabela2[[#This Row],[CT-e/NFS]])=TRUE,(IF(B1358&gt;30000,4,IF(B1358&lt;1000,"ND",0))),"-")</f>
        <v>0</v>
      </c>
      <c r="B1358" s="116">
        <v>21182</v>
      </c>
      <c r="C1358" s="117">
        <v>45372</v>
      </c>
      <c r="D1358" s="116">
        <v>213.85</v>
      </c>
      <c r="E1358" s="117">
        <v>45381</v>
      </c>
      <c r="F1358" s="116">
        <f>COUNTIFS($A$3:A9614,A1358,$B$3:B9614,B1358)</f>
        <v>1</v>
      </c>
      <c r="G1358" s="116"/>
    </row>
    <row r="1359" spans="1:7" x14ac:dyDescent="0.2">
      <c r="A1359" s="116">
        <f>IF(ISNUMBER(Tabela2[[#This Row],[CT-e/NFS]])=TRUE,(IF(B1359&gt;30000,4,IF(B1359&lt;1000,"ND",0))),"-")</f>
        <v>0</v>
      </c>
      <c r="B1359" s="116">
        <v>21183</v>
      </c>
      <c r="C1359" s="117">
        <v>45372</v>
      </c>
      <c r="D1359" s="116">
        <v>76.44</v>
      </c>
      <c r="E1359" s="117">
        <v>45381</v>
      </c>
      <c r="F1359" s="116">
        <f>COUNTIFS($A$3:A9615,A1359,$B$3:B9615,B1359)</f>
        <v>1</v>
      </c>
      <c r="G1359" s="116"/>
    </row>
    <row r="1360" spans="1:7" x14ac:dyDescent="0.2">
      <c r="A1360" s="116">
        <f>IF(ISNUMBER(Tabela2[[#This Row],[CT-e/NFS]])=TRUE,(IF(B1360&gt;30000,4,IF(B1360&lt;1000,"ND",0))),"-")</f>
        <v>0</v>
      </c>
      <c r="B1360" s="116">
        <v>21179</v>
      </c>
      <c r="C1360" s="117">
        <v>45372</v>
      </c>
      <c r="D1360" s="116">
        <v>76.5</v>
      </c>
      <c r="E1360" s="117">
        <v>45381</v>
      </c>
      <c r="F1360" s="116">
        <f>COUNTIFS($A$3:A9616,A1360,$B$3:B9616,B1360)</f>
        <v>1</v>
      </c>
      <c r="G1360" s="116"/>
    </row>
    <row r="1361" spans="1:7" x14ac:dyDescent="0.2">
      <c r="A1361" s="116">
        <f>IF(ISNUMBER(Tabela2[[#This Row],[CT-e/NFS]])=TRUE,(IF(B1361&gt;30000,4,IF(B1361&lt;1000,"ND",0))),"-")</f>
        <v>0</v>
      </c>
      <c r="B1361" s="116">
        <v>21180</v>
      </c>
      <c r="C1361" s="117">
        <v>45372</v>
      </c>
      <c r="D1361" s="116">
        <v>75.81</v>
      </c>
      <c r="E1361" s="117">
        <v>45381</v>
      </c>
      <c r="F1361" s="116">
        <f>COUNTIFS($A$3:A9617,A1361,$B$3:B9617,B1361)</f>
        <v>1</v>
      </c>
      <c r="G1361" s="116"/>
    </row>
    <row r="1362" spans="1:7" x14ac:dyDescent="0.2">
      <c r="A1362" s="116">
        <f>IF(ISNUMBER(Tabela2[[#This Row],[CT-e/NFS]])=TRUE,(IF(B1362&gt;30000,4,IF(B1362&lt;1000,"ND",0))),"-")</f>
        <v>0</v>
      </c>
      <c r="B1362" s="116">
        <v>21184</v>
      </c>
      <c r="C1362" s="117">
        <v>45372</v>
      </c>
      <c r="D1362" s="116">
        <v>76.06</v>
      </c>
      <c r="E1362" s="117">
        <v>45381</v>
      </c>
      <c r="F1362" s="116">
        <f>COUNTIFS($A$3:A9618,A1362,$B$3:B9618,B1362)</f>
        <v>1</v>
      </c>
      <c r="G1362" s="116"/>
    </row>
    <row r="1363" spans="1:7" x14ac:dyDescent="0.2">
      <c r="A1363" s="116">
        <f>IF(ISNUMBER(Tabela2[[#This Row],[CT-e/NFS]])=TRUE,(IF(B1363&gt;30000,4,IF(B1363&lt;1000,"ND",0))),"-")</f>
        <v>0</v>
      </c>
      <c r="B1363" s="116">
        <v>21185</v>
      </c>
      <c r="C1363" s="117">
        <v>45372</v>
      </c>
      <c r="D1363" s="116">
        <v>734.74</v>
      </c>
      <c r="E1363" s="117">
        <v>45381</v>
      </c>
      <c r="F1363" s="116">
        <f>COUNTIFS($A$3:A9619,A1363,$B$3:B9619,B1363)</f>
        <v>1</v>
      </c>
      <c r="G1363" s="116"/>
    </row>
    <row r="1364" spans="1:7" x14ac:dyDescent="0.2">
      <c r="A1364" s="116">
        <f>IF(ISNUMBER(Tabela2[[#This Row],[CT-e/NFS]])=TRUE,(IF(B1364&gt;30000,4,IF(B1364&lt;1000,"ND",0))),"-")</f>
        <v>0</v>
      </c>
      <c r="B1364" s="116">
        <v>21186</v>
      </c>
      <c r="C1364" s="117">
        <v>45372</v>
      </c>
      <c r="D1364" s="116">
        <v>77</v>
      </c>
      <c r="E1364" s="117">
        <v>45381</v>
      </c>
      <c r="F1364" s="116">
        <f>COUNTIFS($A$3:A9620,A1364,$B$3:B9620,B1364)</f>
        <v>1</v>
      </c>
      <c r="G1364" s="116"/>
    </row>
    <row r="1365" spans="1:7" x14ac:dyDescent="0.2">
      <c r="A1365" s="116">
        <f>IF(ISNUMBER(Tabela2[[#This Row],[CT-e/NFS]])=TRUE,(IF(B1365&gt;30000,4,IF(B1365&lt;1000,"ND",0))),"-")</f>
        <v>0</v>
      </c>
      <c r="B1365" s="116">
        <v>21187</v>
      </c>
      <c r="C1365" s="117">
        <v>45372</v>
      </c>
      <c r="D1365" s="116">
        <v>92.94</v>
      </c>
      <c r="E1365" s="117">
        <v>45381</v>
      </c>
      <c r="F1365" s="116">
        <f>COUNTIFS($A$3:A9621,A1365,$B$3:B9621,B1365)</f>
        <v>1</v>
      </c>
      <c r="G1365" s="116"/>
    </row>
    <row r="1366" spans="1:7" x14ac:dyDescent="0.2">
      <c r="A1366" s="116">
        <f>IF(ISNUMBER(Tabela2[[#This Row],[CT-e/NFS]])=TRUE,(IF(B1366&gt;30000,4,IF(B1366&lt;1000,"ND",0))),"-")</f>
        <v>0</v>
      </c>
      <c r="B1366" s="116">
        <v>21189</v>
      </c>
      <c r="C1366" s="117">
        <v>45372</v>
      </c>
      <c r="D1366" s="116">
        <v>303.2</v>
      </c>
      <c r="E1366" s="117">
        <v>45381</v>
      </c>
      <c r="F1366" s="116">
        <f>COUNTIFS($A$3:A9622,A1366,$B$3:B9622,B1366)</f>
        <v>1</v>
      </c>
      <c r="G1366" s="116"/>
    </row>
    <row r="1367" spans="1:7" x14ac:dyDescent="0.2">
      <c r="A1367" s="116">
        <f>IF(ISNUMBER(Tabela2[[#This Row],[CT-e/NFS]])=TRUE,(IF(B1367&gt;30000,4,IF(B1367&lt;1000,"ND",0))),"-")</f>
        <v>0</v>
      </c>
      <c r="B1367" s="116">
        <v>21188</v>
      </c>
      <c r="C1367" s="117">
        <v>45372</v>
      </c>
      <c r="D1367" s="116">
        <v>348.37</v>
      </c>
      <c r="E1367" s="117">
        <v>45381</v>
      </c>
      <c r="F1367" s="116">
        <f>COUNTIFS($A$3:A9623,A1367,$B$3:B9623,B1367)</f>
        <v>1</v>
      </c>
      <c r="G1367" s="116"/>
    </row>
    <row r="1368" spans="1:7" x14ac:dyDescent="0.2">
      <c r="A1368" s="116">
        <f>IF(ISNUMBER(Tabela2[[#This Row],[CT-e/NFS]])=TRUE,(IF(B1368&gt;30000,4,IF(B1368&lt;1000,"ND",0))),"-")</f>
        <v>4</v>
      </c>
      <c r="B1368" s="116">
        <v>46235</v>
      </c>
      <c r="C1368" s="117">
        <v>45372</v>
      </c>
      <c r="D1368" s="116">
        <v>419.38</v>
      </c>
      <c r="E1368" s="117">
        <v>45381</v>
      </c>
      <c r="F1368" s="116">
        <f>COUNTIFS($A$3:A9624,A1368,$B$3:B9624,B1368)</f>
        <v>1</v>
      </c>
      <c r="G1368" s="116"/>
    </row>
    <row r="1369" spans="1:7" x14ac:dyDescent="0.2">
      <c r="A1369" s="116">
        <f>IF(ISNUMBER(Tabela2[[#This Row],[CT-e/NFS]])=TRUE,(IF(B1369&gt;30000,4,IF(B1369&lt;1000,"ND",0))),"-")</f>
        <v>4</v>
      </c>
      <c r="B1369" s="116">
        <v>46236</v>
      </c>
      <c r="C1369" s="117">
        <v>45372</v>
      </c>
      <c r="D1369" s="116">
        <v>756.8</v>
      </c>
      <c r="E1369" s="117">
        <v>45381</v>
      </c>
      <c r="F1369" s="116">
        <f>COUNTIFS($A$3:A9625,A1369,$B$3:B9625,B1369)</f>
        <v>1</v>
      </c>
      <c r="G1369" s="116"/>
    </row>
    <row r="1370" spans="1:7" x14ac:dyDescent="0.2">
      <c r="A1370" s="116">
        <f>IF(ISNUMBER(Tabela2[[#This Row],[CT-e/NFS]])=TRUE,(IF(B1370&gt;30000,4,IF(B1370&lt;1000,"ND",0))),"-")</f>
        <v>4</v>
      </c>
      <c r="B1370" s="116">
        <v>46122</v>
      </c>
      <c r="C1370" s="117">
        <v>45372</v>
      </c>
      <c r="D1370" s="116">
        <v>959.44</v>
      </c>
      <c r="E1370" s="117">
        <v>45381</v>
      </c>
      <c r="F1370" s="116">
        <f>COUNTIFS($A$3:A9626,A1370,$B$3:B9626,B1370)</f>
        <v>1</v>
      </c>
      <c r="G1370" s="116"/>
    </row>
    <row r="1371" spans="1:7" x14ac:dyDescent="0.2">
      <c r="A1371" s="116">
        <f>IF(ISNUMBER(Tabela2[[#This Row],[CT-e/NFS]])=TRUE,(IF(B1371&gt;30000,4,IF(B1371&lt;1000,"ND",0))),"-")</f>
        <v>4</v>
      </c>
      <c r="B1371" s="116">
        <v>46238</v>
      </c>
      <c r="C1371" s="117">
        <v>45372</v>
      </c>
      <c r="D1371" s="116">
        <v>419.38</v>
      </c>
      <c r="E1371" s="117">
        <v>45381</v>
      </c>
      <c r="F1371" s="116">
        <f>COUNTIFS($A$3:A9627,A1371,$B$3:B9627,B1371)</f>
        <v>1</v>
      </c>
      <c r="G1371" s="116"/>
    </row>
    <row r="1372" spans="1:7" x14ac:dyDescent="0.2">
      <c r="A1372" s="116">
        <f>IF(ISNUMBER(Tabela2[[#This Row],[CT-e/NFS]])=TRUE,(IF(B1372&gt;30000,4,IF(B1372&lt;1000,"ND",0))),"-")</f>
        <v>4</v>
      </c>
      <c r="B1372" s="116">
        <v>46239</v>
      </c>
      <c r="C1372" s="117">
        <v>45372</v>
      </c>
      <c r="D1372" s="116">
        <v>756.8</v>
      </c>
      <c r="E1372" s="117">
        <v>45381</v>
      </c>
      <c r="F1372" s="116">
        <f>COUNTIFS($A$3:A9628,A1372,$B$3:B9628,B1372)</f>
        <v>1</v>
      </c>
      <c r="G1372" s="116"/>
    </row>
    <row r="1373" spans="1:7" x14ac:dyDescent="0.2">
      <c r="A1373" s="116">
        <f>IF(ISNUMBER(Tabela2[[#This Row],[CT-e/NFS]])=TRUE,(IF(B1373&gt;30000,4,IF(B1373&lt;1000,"ND",0))),"-")</f>
        <v>0</v>
      </c>
      <c r="B1373" s="116">
        <v>21202</v>
      </c>
      <c r="C1373" s="117">
        <v>45372</v>
      </c>
      <c r="D1373" s="116">
        <v>97.25</v>
      </c>
      <c r="E1373" s="117">
        <v>45381</v>
      </c>
      <c r="F1373" s="116">
        <f>COUNTIFS($A$3:A9629,A1373,$B$3:B9629,B1373)</f>
        <v>1</v>
      </c>
      <c r="G1373" s="116"/>
    </row>
    <row r="1374" spans="1:7" x14ac:dyDescent="0.2">
      <c r="A1374" s="116">
        <f>IF(ISNUMBER(Tabela2[[#This Row],[CT-e/NFS]])=TRUE,(IF(B1374&gt;30000,4,IF(B1374&lt;1000,"ND",0))),"-")</f>
        <v>0</v>
      </c>
      <c r="B1374" s="116">
        <v>21210</v>
      </c>
      <c r="C1374" s="117">
        <v>45372</v>
      </c>
      <c r="D1374" s="116">
        <v>75.599999999999994</v>
      </c>
      <c r="E1374" s="117">
        <v>45381</v>
      </c>
      <c r="F1374" s="116">
        <f>COUNTIFS($A$3:A9630,A1374,$B$3:B9630,B1374)</f>
        <v>1</v>
      </c>
      <c r="G1374" s="116"/>
    </row>
    <row r="1375" spans="1:7" x14ac:dyDescent="0.2">
      <c r="A1375" s="116">
        <f>IF(ISNUMBER(Tabela2[[#This Row],[CT-e/NFS]])=TRUE,(IF(B1375&gt;30000,4,IF(B1375&lt;1000,"ND",0))),"-")</f>
        <v>0</v>
      </c>
      <c r="B1375" s="116">
        <v>21181</v>
      </c>
      <c r="C1375" s="117">
        <v>45372</v>
      </c>
      <c r="D1375" s="116">
        <v>107.73</v>
      </c>
      <c r="E1375" s="117">
        <v>45381</v>
      </c>
      <c r="F1375" s="116">
        <f>COUNTIFS($A$3:A9631,A1375,$B$3:B9631,B1375)</f>
        <v>1</v>
      </c>
      <c r="G1375" s="116"/>
    </row>
    <row r="1376" spans="1:7" x14ac:dyDescent="0.2">
      <c r="A1376" s="116">
        <f>IF(ISNUMBER(Tabela2[[#This Row],[CT-e/NFS]])=TRUE,(IF(B1376&gt;30000,4,IF(B1376&lt;1000,"ND",0))),"-")</f>
        <v>0</v>
      </c>
      <c r="B1376" s="116">
        <v>21177</v>
      </c>
      <c r="C1376" s="117">
        <v>45372</v>
      </c>
      <c r="D1376" s="116">
        <v>38.06</v>
      </c>
      <c r="E1376" s="117">
        <v>45381</v>
      </c>
      <c r="F1376" s="116">
        <f>COUNTIFS($A$3:A9632,A1376,$B$3:B9632,B1376)</f>
        <v>1</v>
      </c>
      <c r="G1376" s="116"/>
    </row>
    <row r="1377" spans="1:7" x14ac:dyDescent="0.2">
      <c r="A1377" s="116">
        <f>IF(ISNUMBER(Tabela2[[#This Row],[CT-e/NFS]])=TRUE,(IF(B1377&gt;30000,4,IF(B1377&lt;1000,"ND",0))),"-")</f>
        <v>0</v>
      </c>
      <c r="B1377" s="116">
        <v>21203</v>
      </c>
      <c r="C1377" s="117">
        <v>45372</v>
      </c>
      <c r="D1377" s="116">
        <v>38.51</v>
      </c>
      <c r="E1377" s="117">
        <v>45381</v>
      </c>
      <c r="F1377" s="116">
        <f>COUNTIFS($A$3:A9633,A1377,$B$3:B9633,B1377)</f>
        <v>1</v>
      </c>
      <c r="G1377" s="116"/>
    </row>
    <row r="1378" spans="1:7" x14ac:dyDescent="0.2">
      <c r="A1378" s="116">
        <f>IF(ISNUMBER(Tabela2[[#This Row],[CT-e/NFS]])=TRUE,(IF(B1378&gt;30000,4,IF(B1378&lt;1000,"ND",0))),"-")</f>
        <v>0</v>
      </c>
      <c r="B1378" s="116">
        <v>21204</v>
      </c>
      <c r="C1378" s="117">
        <v>45372</v>
      </c>
      <c r="D1378" s="116">
        <v>70.069999999999993</v>
      </c>
      <c r="E1378" s="117">
        <v>45381</v>
      </c>
      <c r="F1378" s="116">
        <f>COUNTIFS($A$3:A9634,A1378,$B$3:B9634,B1378)</f>
        <v>1</v>
      </c>
      <c r="G1378" s="116"/>
    </row>
    <row r="1379" spans="1:7" x14ac:dyDescent="0.2">
      <c r="A1379" s="116">
        <f>IF(ISNUMBER(Tabela2[[#This Row],[CT-e/NFS]])=TRUE,(IF(B1379&gt;30000,4,IF(B1379&lt;1000,"ND",0))),"-")</f>
        <v>0</v>
      </c>
      <c r="B1379" s="116">
        <v>21163</v>
      </c>
      <c r="C1379" s="117">
        <v>45372</v>
      </c>
      <c r="D1379" s="116">
        <v>348.37</v>
      </c>
      <c r="E1379" s="117">
        <v>45381</v>
      </c>
      <c r="F1379" s="116">
        <f>COUNTIFS($A$3:A9635,A1379,$B$3:B9635,B1379)</f>
        <v>1</v>
      </c>
      <c r="G1379" s="116"/>
    </row>
    <row r="1380" spans="1:7" x14ac:dyDescent="0.2">
      <c r="A1380" s="116">
        <f>IF(ISNUMBER(Tabela2[[#This Row],[CT-e/NFS]])=TRUE,(IF(B1380&gt;30000,4,IF(B1380&lt;1000,"ND",0))),"-")</f>
        <v>4</v>
      </c>
      <c r="B1380" s="116">
        <v>46242</v>
      </c>
      <c r="C1380" s="117">
        <v>45372</v>
      </c>
      <c r="D1380" s="116">
        <v>876.68</v>
      </c>
      <c r="E1380" s="117">
        <v>45381</v>
      </c>
      <c r="F1380" s="116">
        <f>COUNTIFS($A$3:A9636,A1380,$B$3:B9636,B1380)</f>
        <v>1</v>
      </c>
      <c r="G1380" s="116"/>
    </row>
    <row r="1381" spans="1:7" x14ac:dyDescent="0.2">
      <c r="A1381" s="116">
        <f>IF(ISNUMBER(Tabela2[[#This Row],[CT-e/NFS]])=TRUE,(IF(B1381&gt;30000,4,IF(B1381&lt;1000,"ND",0))),"-")</f>
        <v>4</v>
      </c>
      <c r="B1381" s="116">
        <v>46260</v>
      </c>
      <c r="C1381" s="117">
        <v>45372</v>
      </c>
      <c r="D1381" s="116">
        <v>304.60000000000002</v>
      </c>
      <c r="E1381" s="117">
        <v>45381</v>
      </c>
      <c r="F1381" s="116">
        <f>COUNTIFS($A$3:A9637,A1381,$B$3:B9637,B1381)</f>
        <v>1</v>
      </c>
      <c r="G1381" s="116"/>
    </row>
    <row r="1382" spans="1:7" x14ac:dyDescent="0.2">
      <c r="A1382" s="116">
        <f>IF(ISNUMBER(Tabela2[[#This Row],[CT-e/NFS]])=TRUE,(IF(B1382&gt;30000,4,IF(B1382&lt;1000,"ND",0))),"-")</f>
        <v>4</v>
      </c>
      <c r="B1382" s="116">
        <v>46234</v>
      </c>
      <c r="C1382" s="117">
        <v>45372</v>
      </c>
      <c r="D1382" s="116">
        <v>702.11</v>
      </c>
      <c r="E1382" s="117">
        <v>45381</v>
      </c>
      <c r="F1382" s="116">
        <f>COUNTIFS($A$3:A9638,A1382,$B$3:B9638,B1382)</f>
        <v>1</v>
      </c>
      <c r="G1382" s="116"/>
    </row>
    <row r="1383" spans="1:7" x14ac:dyDescent="0.2">
      <c r="A1383" s="116">
        <f>IF(ISNUMBER(Tabela2[[#This Row],[CT-e/NFS]])=TRUE,(IF(B1383&gt;30000,4,IF(B1383&lt;1000,"ND",0))),"-")</f>
        <v>0</v>
      </c>
      <c r="B1383" s="116">
        <v>21225</v>
      </c>
      <c r="C1383" s="117">
        <v>45372</v>
      </c>
      <c r="D1383" s="116">
        <v>101.45</v>
      </c>
      <c r="E1383" s="117">
        <v>45381</v>
      </c>
      <c r="F1383" s="116">
        <f>COUNTIFS($A$3:A9639,A1383,$B$3:B9639,B1383)</f>
        <v>1</v>
      </c>
      <c r="G1383" s="116"/>
    </row>
    <row r="1384" spans="1:7" x14ac:dyDescent="0.2">
      <c r="A1384" s="116">
        <f>IF(ISNUMBER(Tabela2[[#This Row],[CT-e/NFS]])=TRUE,(IF(B1384&gt;30000,4,IF(B1384&lt;1000,"ND",0))),"-")</f>
        <v>0</v>
      </c>
      <c r="B1384" s="116">
        <v>21228</v>
      </c>
      <c r="C1384" s="117">
        <v>45372</v>
      </c>
      <c r="D1384" s="116">
        <v>97.06</v>
      </c>
      <c r="E1384" s="117">
        <v>45381</v>
      </c>
      <c r="F1384" s="116">
        <f>COUNTIFS($A$3:A9640,A1384,$B$3:B9640,B1384)</f>
        <v>1</v>
      </c>
      <c r="G1384" s="116"/>
    </row>
    <row r="1385" spans="1:7" x14ac:dyDescent="0.2">
      <c r="A1385" s="116">
        <f>IF(ISNUMBER(Tabela2[[#This Row],[CT-e/NFS]])=TRUE,(IF(B1385&gt;30000,4,IF(B1385&lt;1000,"ND",0))),"-")</f>
        <v>0</v>
      </c>
      <c r="B1385" s="116">
        <v>21226</v>
      </c>
      <c r="C1385" s="117">
        <v>45372</v>
      </c>
      <c r="D1385" s="116">
        <v>97.58</v>
      </c>
      <c r="E1385" s="117">
        <v>45381</v>
      </c>
      <c r="F1385" s="116">
        <f>COUNTIFS($A$3:A9641,A1385,$B$3:B9641,B1385)</f>
        <v>1</v>
      </c>
      <c r="G1385" s="116"/>
    </row>
    <row r="1386" spans="1:7" x14ac:dyDescent="0.2">
      <c r="A1386" s="116">
        <f>IF(ISNUMBER(Tabela2[[#This Row],[CT-e/NFS]])=TRUE,(IF(B1386&gt;30000,4,IF(B1386&lt;1000,"ND",0))),"-")</f>
        <v>0</v>
      </c>
      <c r="B1386" s="116">
        <v>21234</v>
      </c>
      <c r="C1386" s="117">
        <v>45372</v>
      </c>
      <c r="D1386" s="116">
        <v>128.71</v>
      </c>
      <c r="E1386" s="117">
        <v>45381</v>
      </c>
      <c r="F1386" s="116">
        <f>COUNTIFS($A$3:A9642,A1386,$B$3:B9642,B1386)</f>
        <v>1</v>
      </c>
      <c r="G1386" s="116"/>
    </row>
    <row r="1387" spans="1:7" x14ac:dyDescent="0.2">
      <c r="A1387" s="116">
        <f>IF(ISNUMBER(Tabela2[[#This Row],[CT-e/NFS]])=TRUE,(IF(B1387&gt;30000,4,IF(B1387&lt;1000,"ND",0))),"-")</f>
        <v>0</v>
      </c>
      <c r="B1387" s="116">
        <v>21259</v>
      </c>
      <c r="C1387" s="117">
        <v>45355</v>
      </c>
      <c r="D1387" s="116">
        <v>112.25</v>
      </c>
      <c r="E1387" s="117">
        <v>45381</v>
      </c>
      <c r="F1387" s="116">
        <f>COUNTIFS($A$3:A9643,A1387,$B$3:B9643,B1387)</f>
        <v>1</v>
      </c>
      <c r="G1387" s="116"/>
    </row>
    <row r="1388" spans="1:7" x14ac:dyDescent="0.2">
      <c r="A1388" s="116">
        <f>IF(ISNUMBER(Tabela2[[#This Row],[CT-e/NFS]])=TRUE,(IF(B1388&gt;30000,4,IF(B1388&lt;1000,"ND",0))),"-")</f>
        <v>0</v>
      </c>
      <c r="B1388" s="116">
        <v>21258</v>
      </c>
      <c r="C1388" s="117">
        <v>45355</v>
      </c>
      <c r="D1388" s="116">
        <v>97.58</v>
      </c>
      <c r="E1388" s="117">
        <v>45381</v>
      </c>
      <c r="F1388" s="116">
        <f>COUNTIFS($A$3:A9644,A1388,$B$3:B9644,B1388)</f>
        <v>1</v>
      </c>
      <c r="G1388" s="116"/>
    </row>
    <row r="1389" spans="1:7" x14ac:dyDescent="0.2">
      <c r="A1389" s="116">
        <f>IF(ISNUMBER(Tabela2[[#This Row],[CT-e/NFS]])=TRUE,(IF(B1389&gt;30000,4,IF(B1389&lt;1000,"ND",0))),"-")</f>
        <v>4</v>
      </c>
      <c r="B1389" s="116">
        <v>46211</v>
      </c>
      <c r="C1389" s="117">
        <v>45355</v>
      </c>
      <c r="D1389" s="116">
        <v>113.86</v>
      </c>
      <c r="E1389" s="117">
        <v>45381</v>
      </c>
      <c r="F1389" s="116">
        <f>COUNTIFS($A$3:A9645,A1389,$B$3:B9645,B1389)</f>
        <v>1</v>
      </c>
      <c r="G1389" s="116"/>
    </row>
    <row r="1390" spans="1:7" x14ac:dyDescent="0.2">
      <c r="A1390" s="116">
        <f>IF(ISNUMBER(Tabela2[[#This Row],[CT-e/NFS]])=TRUE,(IF(B1390&gt;30000,4,IF(B1390&lt;1000,"ND",0))),"-")</f>
        <v>4</v>
      </c>
      <c r="B1390" s="116">
        <v>46228</v>
      </c>
      <c r="C1390" s="117">
        <v>45355</v>
      </c>
      <c r="D1390" s="116">
        <v>112.4</v>
      </c>
      <c r="E1390" s="117">
        <v>45381</v>
      </c>
      <c r="F1390" s="116">
        <f>COUNTIFS($A$3:A9646,A1390,$B$3:B9646,B1390)</f>
        <v>1</v>
      </c>
      <c r="G1390" s="116"/>
    </row>
    <row r="1391" spans="1:7" x14ac:dyDescent="0.2">
      <c r="A1391" s="116">
        <f>IF(ISNUMBER(Tabela2[[#This Row],[CT-e/NFS]])=TRUE,(IF(B1391&gt;30000,4,IF(B1391&lt;1000,"ND",0))),"-")</f>
        <v>4</v>
      </c>
      <c r="B1391" s="116">
        <v>46237</v>
      </c>
      <c r="C1391" s="117">
        <v>45355</v>
      </c>
      <c r="D1391" s="116">
        <v>115.01</v>
      </c>
      <c r="E1391" s="117">
        <v>45381</v>
      </c>
      <c r="F1391" s="116">
        <f>COUNTIFS($A$3:A9647,A1391,$B$3:B9647,B1391)</f>
        <v>1</v>
      </c>
      <c r="G1391" s="116"/>
    </row>
    <row r="1392" spans="1:7" x14ac:dyDescent="0.2">
      <c r="A1392" s="116">
        <f>IF(ISNUMBER(Tabela2[[#This Row],[CT-e/NFS]])=TRUE,(IF(B1392&gt;30000,4,IF(B1392&lt;1000,"ND",0))),"-")</f>
        <v>4</v>
      </c>
      <c r="B1392" s="116">
        <v>46259</v>
      </c>
      <c r="C1392" s="117">
        <v>45355</v>
      </c>
      <c r="D1392" s="116">
        <v>598.04999999999995</v>
      </c>
      <c r="E1392" s="117">
        <v>45381</v>
      </c>
      <c r="F1392" s="116">
        <f>COUNTIFS($A$3:A9648,A1392,$B$3:B9648,B1392)</f>
        <v>1</v>
      </c>
      <c r="G1392" s="116"/>
    </row>
    <row r="1393" spans="1:7" x14ac:dyDescent="0.2">
      <c r="A1393" s="116">
        <f>IF(ISNUMBER(Tabela2[[#This Row],[CT-e/NFS]])=TRUE,(IF(B1393&gt;30000,4,IF(B1393&lt;1000,"ND",0))),"-")</f>
        <v>4</v>
      </c>
      <c r="B1393" s="116">
        <v>46279</v>
      </c>
      <c r="C1393" s="117">
        <v>45355</v>
      </c>
      <c r="D1393" s="116">
        <v>108.67</v>
      </c>
      <c r="E1393" s="117">
        <v>45381</v>
      </c>
      <c r="F1393" s="116">
        <f>COUNTIFS($A$3:A9649,A1393,$B$3:B9649,B1393)</f>
        <v>1</v>
      </c>
      <c r="G1393" s="116"/>
    </row>
    <row r="1394" spans="1:7" x14ac:dyDescent="0.2">
      <c r="A1394" s="116">
        <f>IF(ISNUMBER(Tabela2[[#This Row],[CT-e/NFS]])=TRUE,(IF(B1394&gt;30000,4,IF(B1394&lt;1000,"ND",0))),"-")</f>
        <v>4</v>
      </c>
      <c r="B1394" s="116">
        <v>46290</v>
      </c>
      <c r="C1394" s="117">
        <v>45355</v>
      </c>
      <c r="D1394" s="116">
        <v>567.76</v>
      </c>
      <c r="E1394" s="117">
        <v>45381</v>
      </c>
      <c r="F1394" s="116">
        <f>COUNTIFS($A$3:A9650,A1394,$B$3:B9650,B1394)</f>
        <v>1</v>
      </c>
      <c r="G1394" s="116"/>
    </row>
    <row r="1395" spans="1:7" x14ac:dyDescent="0.2">
      <c r="A1395" s="116">
        <f>IF(ISNUMBER(Tabela2[[#This Row],[CT-e/NFS]])=TRUE,(IF(B1395&gt;30000,4,IF(B1395&lt;1000,"ND",0))),"-")</f>
        <v>4</v>
      </c>
      <c r="B1395" s="116">
        <v>46304</v>
      </c>
      <c r="C1395" s="117">
        <v>45355</v>
      </c>
      <c r="D1395" s="116">
        <v>202.11</v>
      </c>
      <c r="E1395" s="117">
        <v>45381</v>
      </c>
      <c r="F1395" s="116">
        <f>COUNTIFS($A$3:A9651,A1395,$B$3:B9651,B1395)</f>
        <v>1</v>
      </c>
      <c r="G1395" s="116"/>
    </row>
    <row r="1396" spans="1:7" x14ac:dyDescent="0.2">
      <c r="A1396" s="116">
        <f>IF(ISNUMBER(Tabela2[[#This Row],[CT-e/NFS]])=TRUE,(IF(B1396&gt;30000,4,IF(B1396&lt;1000,"ND",0))),"-")</f>
        <v>4</v>
      </c>
      <c r="B1396" s="116">
        <v>46312</v>
      </c>
      <c r="C1396" s="117">
        <v>45355</v>
      </c>
      <c r="D1396" s="116">
        <v>130.91999999999999</v>
      </c>
      <c r="E1396" s="117">
        <v>45381</v>
      </c>
      <c r="F1396" s="116">
        <f>COUNTIFS($A$3:A9652,A1396,$B$3:B9652,B1396)</f>
        <v>1</v>
      </c>
      <c r="G1396" s="116"/>
    </row>
    <row r="1397" spans="1:7" x14ac:dyDescent="0.2">
      <c r="A1397" s="116">
        <f>IF(ISNUMBER(Tabela2[[#This Row],[CT-e/NFS]])=TRUE,(IF(B1397&gt;30000,4,IF(B1397&lt;1000,"ND",0))),"-")</f>
        <v>4</v>
      </c>
      <c r="B1397" s="116">
        <v>46332</v>
      </c>
      <c r="C1397" s="117">
        <v>45355</v>
      </c>
      <c r="D1397" s="116">
        <v>111.03</v>
      </c>
      <c r="E1397" s="117">
        <v>45381</v>
      </c>
      <c r="F1397" s="116">
        <f>COUNTIFS($A$3:A9653,A1397,$B$3:B9653,B1397)</f>
        <v>1</v>
      </c>
      <c r="G1397" s="116"/>
    </row>
    <row r="1398" spans="1:7" x14ac:dyDescent="0.2">
      <c r="A1398" s="116">
        <f>IF(ISNUMBER(Tabela2[[#This Row],[CT-e/NFS]])=TRUE,(IF(B1398&gt;30000,4,IF(B1398&lt;1000,"ND",0))),"-")</f>
        <v>4</v>
      </c>
      <c r="B1398" s="116">
        <v>46336</v>
      </c>
      <c r="C1398" s="117">
        <v>45355</v>
      </c>
      <c r="D1398" s="116">
        <v>616.28</v>
      </c>
      <c r="E1398" s="117">
        <v>45381</v>
      </c>
      <c r="F1398" s="116">
        <f>COUNTIFS($A$3:A9654,A1398,$B$3:B9654,B1398)</f>
        <v>1</v>
      </c>
      <c r="G1398" s="116"/>
    </row>
    <row r="1399" spans="1:7" x14ac:dyDescent="0.2">
      <c r="A1399" s="116">
        <f>IF(ISNUMBER(Tabela2[[#This Row],[CT-e/NFS]])=TRUE,(IF(B1399&gt;30000,4,IF(B1399&lt;1000,"ND",0))),"-")</f>
        <v>4</v>
      </c>
      <c r="B1399" s="116">
        <v>46393</v>
      </c>
      <c r="C1399" s="117">
        <v>45355</v>
      </c>
      <c r="D1399" s="116">
        <v>130.91999999999999</v>
      </c>
      <c r="E1399" s="117">
        <v>45381</v>
      </c>
      <c r="F1399" s="116">
        <f>COUNTIFS($A$3:A9655,A1399,$B$3:B9655,B1399)</f>
        <v>1</v>
      </c>
      <c r="G1399" s="116"/>
    </row>
    <row r="1400" spans="1:7" x14ac:dyDescent="0.2">
      <c r="A1400" s="116">
        <f>IF(ISNUMBER(Tabela2[[#This Row],[CT-e/NFS]])=TRUE,(IF(B1400&gt;30000,4,IF(B1400&lt;1000,"ND",0))),"-")</f>
        <v>4</v>
      </c>
      <c r="B1400" s="116">
        <v>46396</v>
      </c>
      <c r="C1400" s="117">
        <v>45355</v>
      </c>
      <c r="D1400" s="116">
        <v>112.45</v>
      </c>
      <c r="E1400" s="117">
        <v>45381</v>
      </c>
      <c r="F1400" s="116">
        <f>COUNTIFS($A$3:A9656,A1400,$B$3:B9656,B1400)</f>
        <v>1</v>
      </c>
      <c r="G1400" s="116"/>
    </row>
    <row r="1401" spans="1:7" x14ac:dyDescent="0.2">
      <c r="A1401" s="116">
        <f>IF(ISNUMBER(Tabela2[[#This Row],[CT-e/NFS]])=TRUE,(IF(B1401&gt;30000,4,IF(B1401&lt;1000,"ND",0))),"-")</f>
        <v>0</v>
      </c>
      <c r="B1401" s="116">
        <v>21257</v>
      </c>
      <c r="C1401" s="117">
        <v>45362</v>
      </c>
      <c r="D1401" s="116">
        <v>97.06</v>
      </c>
      <c r="E1401" s="117">
        <v>45381</v>
      </c>
      <c r="F1401" s="116">
        <f>COUNTIFS($A$3:A9657,A1401,$B$3:B9657,B1401)</f>
        <v>1</v>
      </c>
      <c r="G1401" s="116"/>
    </row>
    <row r="1402" spans="1:7" x14ac:dyDescent="0.2">
      <c r="A1402" s="116">
        <f>IF(ISNUMBER(Tabela2[[#This Row],[CT-e/NFS]])=TRUE,(IF(B1402&gt;30000,4,IF(B1402&lt;1000,"ND",0))),"-")</f>
        <v>0</v>
      </c>
      <c r="B1402" s="116">
        <v>21254</v>
      </c>
      <c r="C1402" s="117">
        <v>45362</v>
      </c>
      <c r="D1402" s="116">
        <v>95.61</v>
      </c>
      <c r="E1402" s="117">
        <v>45381</v>
      </c>
      <c r="F1402" s="116">
        <f>COUNTIFS($A$3:A9658,A1402,$B$3:B9658,B1402)</f>
        <v>1</v>
      </c>
      <c r="G1402" s="116"/>
    </row>
    <row r="1403" spans="1:7" x14ac:dyDescent="0.2">
      <c r="A1403" s="116">
        <f>IF(ISNUMBER(Tabela2[[#This Row],[CT-e/NFS]])=TRUE,(IF(B1403&gt;30000,4,IF(B1403&lt;1000,"ND",0))),"-")</f>
        <v>0</v>
      </c>
      <c r="B1403" s="116">
        <v>21256</v>
      </c>
      <c r="C1403" s="117">
        <v>45362</v>
      </c>
      <c r="D1403" s="116">
        <v>137.55000000000001</v>
      </c>
      <c r="E1403" s="117">
        <v>45381</v>
      </c>
      <c r="F1403" s="116">
        <f>COUNTIFS($A$3:A9659,A1403,$B$3:B9659,B1403)</f>
        <v>1</v>
      </c>
      <c r="G1403" s="116"/>
    </row>
    <row r="1404" spans="1:7" x14ac:dyDescent="0.2">
      <c r="A1404" s="116">
        <f>IF(ISNUMBER(Tabela2[[#This Row],[CT-e/NFS]])=TRUE,(IF(B1404&gt;30000,4,IF(B1404&lt;1000,"ND",0))),"-")</f>
        <v>0</v>
      </c>
      <c r="B1404" s="116">
        <v>21279</v>
      </c>
      <c r="C1404" s="117">
        <v>45362</v>
      </c>
      <c r="D1404" s="116">
        <v>122.21</v>
      </c>
      <c r="E1404" s="117">
        <v>45381</v>
      </c>
      <c r="F1404" s="116">
        <f>COUNTIFS($A$3:A9660,A1404,$B$3:B9660,B1404)</f>
        <v>1</v>
      </c>
      <c r="G1404" s="116"/>
    </row>
    <row r="1405" spans="1:7" x14ac:dyDescent="0.2">
      <c r="A1405" s="116">
        <f>IF(ISNUMBER(Tabela2[[#This Row],[CT-e/NFS]])=TRUE,(IF(B1405&gt;30000,4,IF(B1405&lt;1000,"ND",0))),"-")</f>
        <v>0</v>
      </c>
      <c r="B1405" s="116">
        <v>21274</v>
      </c>
      <c r="C1405" s="117">
        <v>45362</v>
      </c>
      <c r="D1405" s="116">
        <v>98.96</v>
      </c>
      <c r="E1405" s="117">
        <v>45381</v>
      </c>
      <c r="F1405" s="116">
        <f>COUNTIFS($A$3:A9661,A1405,$B$3:B9661,B1405)</f>
        <v>1</v>
      </c>
      <c r="G1405" s="116"/>
    </row>
    <row r="1406" spans="1:7" x14ac:dyDescent="0.2">
      <c r="A1406" s="116">
        <f>IF(ISNUMBER(Tabela2[[#This Row],[CT-e/NFS]])=TRUE,(IF(B1406&gt;30000,4,IF(B1406&lt;1000,"ND",0))),"-")</f>
        <v>0</v>
      </c>
      <c r="B1406" s="116">
        <v>21280</v>
      </c>
      <c r="C1406" s="117">
        <v>45362</v>
      </c>
      <c r="D1406" s="116">
        <v>599.17999999999995</v>
      </c>
      <c r="E1406" s="117">
        <v>45381</v>
      </c>
      <c r="F1406" s="116">
        <f>COUNTIFS($A$3:A9662,A1406,$B$3:B9662,B1406)</f>
        <v>1</v>
      </c>
      <c r="G1406" s="116"/>
    </row>
    <row r="1407" spans="1:7" x14ac:dyDescent="0.2">
      <c r="A1407" s="116">
        <f>IF(ISNUMBER(Tabela2[[#This Row],[CT-e/NFS]])=TRUE,(IF(B1407&gt;30000,4,IF(B1407&lt;1000,"ND",0))),"-")</f>
        <v>0</v>
      </c>
      <c r="B1407" s="116">
        <v>21292</v>
      </c>
      <c r="C1407" s="117">
        <v>45362</v>
      </c>
      <c r="D1407" s="116">
        <v>43.4</v>
      </c>
      <c r="E1407" s="117">
        <v>45381</v>
      </c>
      <c r="F1407" s="116">
        <f>COUNTIFS($A$3:A9663,A1407,$B$3:B9663,B1407)</f>
        <v>1</v>
      </c>
      <c r="G1407" s="116"/>
    </row>
    <row r="1408" spans="1:7" x14ac:dyDescent="0.2">
      <c r="A1408" s="116">
        <f>IF(ISNUMBER(Tabela2[[#This Row],[CT-e/NFS]])=TRUE,(IF(B1408&gt;30000,4,IF(B1408&lt;1000,"ND",0))),"-")</f>
        <v>0</v>
      </c>
      <c r="B1408" s="116">
        <v>21315</v>
      </c>
      <c r="C1408" s="117">
        <v>45362</v>
      </c>
      <c r="D1408" s="116">
        <v>98.96</v>
      </c>
      <c r="E1408" s="117">
        <v>45381</v>
      </c>
      <c r="F1408" s="116">
        <f>COUNTIFS($A$3:A9664,A1408,$B$3:B9664,B1408)</f>
        <v>1</v>
      </c>
      <c r="G1408" s="116"/>
    </row>
    <row r="1409" spans="1:7" x14ac:dyDescent="0.2">
      <c r="A1409" s="116">
        <f>IF(ISNUMBER(Tabela2[[#This Row],[CT-e/NFS]])=TRUE,(IF(B1409&gt;30000,4,IF(B1409&lt;1000,"ND",0))),"-")</f>
        <v>0</v>
      </c>
      <c r="B1409" s="116">
        <v>21291</v>
      </c>
      <c r="C1409" s="117">
        <v>45362</v>
      </c>
      <c r="D1409" s="116">
        <v>101.45</v>
      </c>
      <c r="E1409" s="117">
        <v>45381</v>
      </c>
      <c r="F1409" s="116">
        <f>COUNTIFS($A$3:A9665,A1409,$B$3:B9665,B1409)</f>
        <v>1</v>
      </c>
      <c r="G1409" s="116"/>
    </row>
    <row r="1410" spans="1:7" x14ac:dyDescent="0.2">
      <c r="A1410" s="116">
        <f>IF(ISNUMBER(Tabela2[[#This Row],[CT-e/NFS]])=TRUE,(IF(B1410&gt;30000,4,IF(B1410&lt;1000,"ND",0))),"-")</f>
        <v>0</v>
      </c>
      <c r="B1410" s="116">
        <v>21294</v>
      </c>
      <c r="C1410" s="117">
        <v>45362</v>
      </c>
      <c r="D1410" s="116">
        <v>97.58</v>
      </c>
      <c r="E1410" s="117">
        <v>45381</v>
      </c>
      <c r="F1410" s="116">
        <f>COUNTIFS($A$3:A9666,A1410,$B$3:B9666,B1410)</f>
        <v>1</v>
      </c>
      <c r="G1410" s="116"/>
    </row>
    <row r="1411" spans="1:7" x14ac:dyDescent="0.2">
      <c r="A1411" s="116">
        <f>IF(ISNUMBER(Tabela2[[#This Row],[CT-e/NFS]])=TRUE,(IF(B1411&gt;30000,4,IF(B1411&lt;1000,"ND",0))),"-")</f>
        <v>0</v>
      </c>
      <c r="B1411" s="116">
        <v>21295</v>
      </c>
      <c r="C1411" s="117">
        <v>45362</v>
      </c>
      <c r="D1411" s="116">
        <v>98.95</v>
      </c>
      <c r="E1411" s="117">
        <v>45381</v>
      </c>
      <c r="F1411" s="116">
        <f>COUNTIFS($A$3:A9667,A1411,$B$3:B9667,B1411)</f>
        <v>1</v>
      </c>
      <c r="G1411" s="116"/>
    </row>
    <row r="1412" spans="1:7" x14ac:dyDescent="0.2">
      <c r="A1412" s="116">
        <f>IF(ISNUMBER(Tabela2[[#This Row],[CT-e/NFS]])=TRUE,(IF(B1412&gt;30000,4,IF(B1412&lt;1000,"ND",0))),"-")</f>
        <v>4</v>
      </c>
      <c r="B1412" s="116">
        <v>46424</v>
      </c>
      <c r="C1412" s="117">
        <v>45362</v>
      </c>
      <c r="D1412" s="116">
        <v>110.92</v>
      </c>
      <c r="E1412" s="117">
        <v>45381</v>
      </c>
      <c r="F1412" s="116">
        <f>COUNTIFS($A$3:A9668,A1412,$B$3:B9668,B1412)</f>
        <v>1</v>
      </c>
      <c r="G1412" s="116"/>
    </row>
    <row r="1413" spans="1:7" x14ac:dyDescent="0.2">
      <c r="A1413" s="116">
        <f>IF(ISNUMBER(Tabela2[[#This Row],[CT-e/NFS]])=TRUE,(IF(B1413&gt;30000,4,IF(B1413&lt;1000,"ND",0))),"-")</f>
        <v>4</v>
      </c>
      <c r="B1413" s="116">
        <v>46440</v>
      </c>
      <c r="C1413" s="117">
        <v>45362</v>
      </c>
      <c r="D1413" s="116">
        <v>527.83000000000004</v>
      </c>
      <c r="E1413" s="117">
        <v>45381</v>
      </c>
      <c r="F1413" s="116">
        <f>COUNTIFS($A$3:A9669,A1413,$B$3:B9669,B1413)</f>
        <v>1</v>
      </c>
      <c r="G1413" s="116"/>
    </row>
    <row r="1414" spans="1:7" x14ac:dyDescent="0.2">
      <c r="A1414" s="116">
        <f>IF(ISNUMBER(Tabela2[[#This Row],[CT-e/NFS]])=TRUE,(IF(B1414&gt;30000,4,IF(B1414&lt;1000,"ND",0))),"-")</f>
        <v>4</v>
      </c>
      <c r="B1414" s="116">
        <v>46462</v>
      </c>
      <c r="C1414" s="117">
        <v>45362</v>
      </c>
      <c r="D1414" s="116">
        <v>114.08</v>
      </c>
      <c r="E1414" s="117">
        <v>45381</v>
      </c>
      <c r="F1414" s="116">
        <f>COUNTIFS($A$3:A9670,A1414,$B$3:B9670,B1414)</f>
        <v>1</v>
      </c>
      <c r="G1414" s="116"/>
    </row>
    <row r="1415" spans="1:7" x14ac:dyDescent="0.2">
      <c r="A1415" s="116">
        <f>IF(ISNUMBER(Tabela2[[#This Row],[CT-e/NFS]])=TRUE,(IF(B1415&gt;30000,4,IF(B1415&lt;1000,"ND",0))),"-")</f>
        <v>4</v>
      </c>
      <c r="B1415" s="116">
        <v>46463</v>
      </c>
      <c r="C1415" s="117">
        <v>45362</v>
      </c>
      <c r="D1415" s="116">
        <v>598.26</v>
      </c>
      <c r="E1415" s="117">
        <v>45381</v>
      </c>
      <c r="F1415" s="116">
        <f>COUNTIFS($A$3:A9671,A1415,$B$3:B9671,B1415)</f>
        <v>1</v>
      </c>
      <c r="G1415" s="116"/>
    </row>
    <row r="1416" spans="1:7" x14ac:dyDescent="0.2">
      <c r="A1416" s="116">
        <f>IF(ISNUMBER(Tabela2[[#This Row],[CT-e/NFS]])=TRUE,(IF(B1416&gt;30000,4,IF(B1416&lt;1000,"ND",0))),"-")</f>
        <v>4</v>
      </c>
      <c r="B1416" s="116">
        <v>46503</v>
      </c>
      <c r="C1416" s="117">
        <v>45362</v>
      </c>
      <c r="D1416" s="116">
        <v>112.4</v>
      </c>
      <c r="E1416" s="117">
        <v>45381</v>
      </c>
      <c r="F1416" s="116">
        <f>COUNTIFS($A$3:A9672,A1416,$B$3:B9672,B1416)</f>
        <v>1</v>
      </c>
      <c r="G1416" s="116"/>
    </row>
    <row r="1417" spans="1:7" x14ac:dyDescent="0.2">
      <c r="A1417" s="116">
        <f>IF(ISNUMBER(Tabela2[[#This Row],[CT-e/NFS]])=TRUE,(IF(B1417&gt;30000,4,IF(B1417&lt;1000,"ND",0))),"-")</f>
        <v>4</v>
      </c>
      <c r="B1417" s="116">
        <v>46516</v>
      </c>
      <c r="C1417" s="117">
        <v>45362</v>
      </c>
      <c r="D1417" s="116">
        <v>150.18</v>
      </c>
      <c r="E1417" s="117">
        <v>45381</v>
      </c>
      <c r="F1417" s="116">
        <f>COUNTIFS($A$3:A9673,A1417,$B$3:B9673,B1417)</f>
        <v>1</v>
      </c>
      <c r="G1417" s="116"/>
    </row>
    <row r="1418" spans="1:7" x14ac:dyDescent="0.2">
      <c r="A1418" s="116">
        <f>IF(ISNUMBER(Tabela2[[#This Row],[CT-e/NFS]])=TRUE,(IF(B1418&gt;30000,4,IF(B1418&lt;1000,"ND",0))),"-")</f>
        <v>4</v>
      </c>
      <c r="B1418" s="116">
        <v>46569</v>
      </c>
      <c r="C1418" s="117">
        <v>45362</v>
      </c>
      <c r="D1418" s="116">
        <v>151.93</v>
      </c>
      <c r="E1418" s="117">
        <v>45381</v>
      </c>
      <c r="F1418" s="116">
        <f>COUNTIFS($A$3:A9674,A1418,$B$3:B9674,B1418)</f>
        <v>1</v>
      </c>
      <c r="G1418" s="116"/>
    </row>
    <row r="1419" spans="1:7" x14ac:dyDescent="0.2">
      <c r="A1419" s="116">
        <f>IF(ISNUMBER(Tabela2[[#This Row],[CT-e/NFS]])=TRUE,(IF(B1419&gt;30000,4,IF(B1419&lt;1000,"ND",0))),"-")</f>
        <v>4</v>
      </c>
      <c r="B1419" s="116">
        <v>46517</v>
      </c>
      <c r="C1419" s="117">
        <v>45362</v>
      </c>
      <c r="D1419" s="116">
        <v>185.69</v>
      </c>
      <c r="E1419" s="117">
        <v>45381</v>
      </c>
      <c r="F1419" s="116">
        <f>COUNTIFS($A$3:A9675,A1419,$B$3:B9675,B1419)</f>
        <v>1</v>
      </c>
      <c r="G1419" s="116"/>
    </row>
    <row r="1420" spans="1:7" x14ac:dyDescent="0.2">
      <c r="A1420" s="116">
        <f>IF(ISNUMBER(Tabela2[[#This Row],[CT-e/NFS]])=TRUE,(IF(B1420&gt;30000,4,IF(B1420&lt;1000,"ND",0))),"-")</f>
        <v>4</v>
      </c>
      <c r="B1420" s="116">
        <v>46570</v>
      </c>
      <c r="C1420" s="117">
        <v>45362</v>
      </c>
      <c r="D1420" s="116">
        <v>264.3</v>
      </c>
      <c r="E1420" s="117">
        <v>45381</v>
      </c>
      <c r="F1420" s="116">
        <f>COUNTIFS($A$3:A9676,A1420,$B$3:B9676,B1420)</f>
        <v>1</v>
      </c>
      <c r="G1420" s="116"/>
    </row>
    <row r="1421" spans="1:7" x14ac:dyDescent="0.2">
      <c r="A1421" s="116">
        <f>IF(ISNUMBER(Tabela2[[#This Row],[CT-e/NFS]])=TRUE,(IF(B1421&gt;30000,4,IF(B1421&lt;1000,"ND",0))),"-")</f>
        <v>0</v>
      </c>
      <c r="B1421" s="116">
        <v>21312</v>
      </c>
      <c r="C1421" s="117">
        <v>45376</v>
      </c>
      <c r="D1421" s="116">
        <v>92.21</v>
      </c>
      <c r="E1421" s="117">
        <v>45381</v>
      </c>
      <c r="F1421" s="116">
        <f>COUNTIFS($A$3:A9677,A1421,$B$3:B9677,B1421)</f>
        <v>1</v>
      </c>
      <c r="G1421" s="116"/>
    </row>
    <row r="1422" spans="1:7" x14ac:dyDescent="0.2">
      <c r="A1422" s="116">
        <f>IF(ISNUMBER(Tabela2[[#This Row],[CT-e/NFS]])=TRUE,(IF(B1422&gt;30000,4,IF(B1422&lt;1000,"ND",0))),"-")</f>
        <v>0</v>
      </c>
      <c r="B1422" s="116">
        <v>21314</v>
      </c>
      <c r="C1422" s="117">
        <v>45376</v>
      </c>
      <c r="D1422" s="116">
        <v>136.11000000000001</v>
      </c>
      <c r="E1422" s="117">
        <v>45381</v>
      </c>
      <c r="F1422" s="116">
        <f>COUNTIFS($A$3:A9678,A1422,$B$3:B9678,B1422)</f>
        <v>1</v>
      </c>
      <c r="G1422" s="116"/>
    </row>
    <row r="1423" spans="1:7" x14ac:dyDescent="0.2">
      <c r="A1423" s="116">
        <f>IF(ISNUMBER(Tabela2[[#This Row],[CT-e/NFS]])=TRUE,(IF(B1423&gt;30000,4,IF(B1423&lt;1000,"ND",0))),"-")</f>
        <v>0</v>
      </c>
      <c r="B1423" s="116">
        <v>21347</v>
      </c>
      <c r="C1423" s="117">
        <v>45376</v>
      </c>
      <c r="D1423" s="116">
        <v>96.38</v>
      </c>
      <c r="E1423" s="117">
        <v>45381</v>
      </c>
      <c r="F1423" s="116">
        <f>COUNTIFS($A$3:A9679,A1423,$B$3:B9679,B1423)</f>
        <v>1</v>
      </c>
      <c r="G1423" s="116"/>
    </row>
    <row r="1424" spans="1:7" x14ac:dyDescent="0.2">
      <c r="A1424" s="116">
        <f>IF(ISNUMBER(Tabela2[[#This Row],[CT-e/NFS]])=TRUE,(IF(B1424&gt;30000,4,IF(B1424&lt;1000,"ND",0))),"-")</f>
        <v>0</v>
      </c>
      <c r="B1424" s="116">
        <v>21374</v>
      </c>
      <c r="C1424" s="117">
        <v>45376</v>
      </c>
      <c r="D1424" s="116">
        <v>93.33</v>
      </c>
      <c r="E1424" s="117">
        <v>45381</v>
      </c>
      <c r="F1424" s="116">
        <f>COUNTIFS($A$3:A9680,A1424,$B$3:B9680,B1424)</f>
        <v>1</v>
      </c>
      <c r="G1424" s="116"/>
    </row>
    <row r="1425" spans="1:7" x14ac:dyDescent="0.2">
      <c r="A1425" s="116">
        <f>IF(ISNUMBER(Tabela2[[#This Row],[CT-e/NFS]])=TRUE,(IF(B1425&gt;30000,4,IF(B1425&lt;1000,"ND",0))),"-")</f>
        <v>0</v>
      </c>
      <c r="B1425" s="116">
        <v>21375</v>
      </c>
      <c r="C1425" s="117">
        <v>45376</v>
      </c>
      <c r="D1425" s="116">
        <v>106.21</v>
      </c>
      <c r="E1425" s="117">
        <v>45381</v>
      </c>
      <c r="F1425" s="116">
        <f>COUNTIFS($A$3:A9681,A1425,$B$3:B9681,B1425)</f>
        <v>1</v>
      </c>
      <c r="G1425" s="116"/>
    </row>
    <row r="1426" spans="1:7" x14ac:dyDescent="0.2">
      <c r="A1426" s="116">
        <f>IF(ISNUMBER(Tabela2[[#This Row],[CT-e/NFS]])=TRUE,(IF(B1426&gt;30000,4,IF(B1426&lt;1000,"ND",0))),"-")</f>
        <v>4</v>
      </c>
      <c r="B1426" s="116">
        <v>46658</v>
      </c>
      <c r="C1426" s="117">
        <v>45376</v>
      </c>
      <c r="D1426" s="116">
        <v>105.56</v>
      </c>
      <c r="E1426" s="117">
        <v>45381</v>
      </c>
      <c r="F1426" s="116">
        <f>COUNTIFS($A$3:A9682,A1426,$B$3:B9682,B1426)</f>
        <v>1</v>
      </c>
      <c r="G1426" s="116"/>
    </row>
    <row r="1427" spans="1:7" x14ac:dyDescent="0.2">
      <c r="A1427" s="116">
        <f>IF(ISNUMBER(Tabela2[[#This Row],[CT-e/NFS]])=TRUE,(IF(B1427&gt;30000,4,IF(B1427&lt;1000,"ND",0))),"-")</f>
        <v>4</v>
      </c>
      <c r="B1427" s="116">
        <v>46670</v>
      </c>
      <c r="C1427" s="117">
        <v>45376</v>
      </c>
      <c r="D1427" s="116">
        <v>202.11</v>
      </c>
      <c r="E1427" s="117">
        <v>45381</v>
      </c>
      <c r="F1427" s="116">
        <f>COUNTIFS($A$3:A9683,A1427,$B$3:B9683,B1427)</f>
        <v>1</v>
      </c>
      <c r="G1427" s="116"/>
    </row>
    <row r="1428" spans="1:7" x14ac:dyDescent="0.2">
      <c r="A1428" s="116">
        <f>IF(ISNUMBER(Tabela2[[#This Row],[CT-e/NFS]])=TRUE,(IF(B1428&gt;30000,4,IF(B1428&lt;1000,"ND",0))),"-")</f>
        <v>4</v>
      </c>
      <c r="B1428" s="116">
        <v>46736</v>
      </c>
      <c r="C1428" s="117">
        <v>45376</v>
      </c>
      <c r="D1428" s="116">
        <v>143.47</v>
      </c>
      <c r="E1428" s="117">
        <v>45381</v>
      </c>
      <c r="F1428" s="116">
        <f>COUNTIFS($A$3:A9684,A1428,$B$3:B9684,B1428)</f>
        <v>1</v>
      </c>
      <c r="G1428" s="116"/>
    </row>
    <row r="1429" spans="1:7" x14ac:dyDescent="0.2">
      <c r="A1429" s="116">
        <f>IF(ISNUMBER(Tabela2[[#This Row],[CT-e/NFS]])=TRUE,(IF(B1429&gt;30000,4,IF(B1429&lt;1000,"ND",0))),"-")</f>
        <v>4</v>
      </c>
      <c r="B1429" s="116">
        <v>46762</v>
      </c>
      <c r="C1429" s="117">
        <v>45376</v>
      </c>
      <c r="D1429" s="116">
        <v>112.5</v>
      </c>
      <c r="E1429" s="117">
        <v>45381</v>
      </c>
      <c r="F1429" s="116">
        <f>COUNTIFS($A$3:A9685,A1429,$B$3:B9685,B1429)</f>
        <v>1</v>
      </c>
      <c r="G1429" s="116"/>
    </row>
    <row r="1430" spans="1:7" x14ac:dyDescent="0.2">
      <c r="A1430" s="116">
        <f>IF(ISNUMBER(Tabela2[[#This Row],[CT-e/NFS]])=TRUE,(IF(B1430&gt;30000,4,IF(B1430&lt;1000,"ND",0))),"-")</f>
        <v>4</v>
      </c>
      <c r="B1430" s="116">
        <v>46802</v>
      </c>
      <c r="C1430" s="117">
        <v>45376</v>
      </c>
      <c r="D1430" s="116">
        <v>111.03</v>
      </c>
      <c r="E1430" s="117">
        <v>45381</v>
      </c>
      <c r="F1430" s="116">
        <f>COUNTIFS($A$3:A9686,A1430,$B$3:B9686,B1430)</f>
        <v>1</v>
      </c>
      <c r="G1430" s="116"/>
    </row>
    <row r="1431" spans="1:7" x14ac:dyDescent="0.2">
      <c r="A1431" s="116">
        <f>IF(ISNUMBER(Tabela2[[#This Row],[CT-e/NFS]])=TRUE,(IF(B1431&gt;30000,4,IF(B1431&lt;1000,"ND",0))),"-")</f>
        <v>4</v>
      </c>
      <c r="B1431" s="116">
        <v>46856</v>
      </c>
      <c r="C1431" s="117">
        <v>45376</v>
      </c>
      <c r="D1431" s="116">
        <v>542.03</v>
      </c>
      <c r="E1431" s="117">
        <v>45381</v>
      </c>
      <c r="F1431" s="116">
        <f>COUNTIFS($A$3:A9687,A1431,$B$3:B9687,B1431)</f>
        <v>1</v>
      </c>
      <c r="G1431" s="116"/>
    </row>
    <row r="1432" spans="1:7" x14ac:dyDescent="0.2">
      <c r="A1432" s="116">
        <f>IF(ISNUMBER(Tabela2[[#This Row],[CT-e/NFS]])=TRUE,(IF(B1432&gt;30000,4,IF(B1432&lt;1000,"ND",0))),"-")</f>
        <v>4</v>
      </c>
      <c r="B1432" s="116">
        <v>46862</v>
      </c>
      <c r="C1432" s="117">
        <v>45376</v>
      </c>
      <c r="D1432" s="116">
        <v>697.18</v>
      </c>
      <c r="E1432" s="117">
        <v>45381</v>
      </c>
      <c r="F1432" s="116">
        <f>COUNTIFS($A$3:A9688,A1432,$B$3:B9688,B1432)</f>
        <v>1</v>
      </c>
      <c r="G1432" s="116"/>
    </row>
    <row r="1433" spans="1:7" x14ac:dyDescent="0.2">
      <c r="A1433" s="116">
        <f>IF(ISNUMBER(Tabela2[[#This Row],[CT-e/NFS]])=TRUE,(IF(B1433&gt;30000,4,IF(B1433&lt;1000,"ND",0))),"-")</f>
        <v>4</v>
      </c>
      <c r="B1433" s="116">
        <v>46863</v>
      </c>
      <c r="C1433" s="117">
        <v>45376</v>
      </c>
      <c r="D1433" s="116">
        <v>700.75</v>
      </c>
      <c r="E1433" s="117">
        <v>45381</v>
      </c>
      <c r="F1433" s="116">
        <f>COUNTIFS($A$3:A9689,A1433,$B$3:B9689,B1433)</f>
        <v>1</v>
      </c>
      <c r="G1433" s="116"/>
    </row>
    <row r="1434" spans="1:7" x14ac:dyDescent="0.2">
      <c r="A1434" s="116">
        <f>IF(ISNUMBER(Tabela2[[#This Row],[CT-e/NFS]])=TRUE,(IF(B1434&gt;30000,4,IF(B1434&lt;1000,"ND",0))),"-")</f>
        <v>4</v>
      </c>
      <c r="B1434" s="116">
        <v>46661</v>
      </c>
      <c r="C1434" s="117">
        <v>45372</v>
      </c>
      <c r="D1434" s="116">
        <v>350.36</v>
      </c>
      <c r="E1434" s="117">
        <v>45381</v>
      </c>
      <c r="F1434" s="116">
        <f>COUNTIFS($A$3:A9690,A1434,$B$3:B9690,B1434)</f>
        <v>1</v>
      </c>
      <c r="G1434" s="116"/>
    </row>
    <row r="1435" spans="1:7" x14ac:dyDescent="0.2">
      <c r="A1435" s="116">
        <f>IF(ISNUMBER(Tabela2[[#This Row],[CT-e/NFS]])=TRUE,(IF(B1435&gt;30000,4,IF(B1435&lt;1000,"ND",0))),"-")</f>
        <v>4</v>
      </c>
      <c r="B1435" s="116">
        <v>46665</v>
      </c>
      <c r="C1435" s="117">
        <v>45372</v>
      </c>
      <c r="D1435" s="116">
        <v>564.91</v>
      </c>
      <c r="E1435" s="117">
        <v>45381</v>
      </c>
      <c r="F1435" s="116">
        <f>COUNTIFS($A$3:A9691,A1435,$B$3:B9691,B1435)</f>
        <v>1</v>
      </c>
      <c r="G1435" s="116"/>
    </row>
    <row r="1436" spans="1:7" x14ac:dyDescent="0.2">
      <c r="A1436" s="116">
        <f>IF(ISNUMBER(Tabela2[[#This Row],[CT-e/NFS]])=TRUE,(IF(B1436&gt;30000,4,IF(B1436&lt;1000,"ND",0))),"-")</f>
        <v>4</v>
      </c>
      <c r="B1436" s="116">
        <v>46735</v>
      </c>
      <c r="C1436" s="117">
        <v>45372</v>
      </c>
      <c r="D1436" s="116">
        <v>411.2</v>
      </c>
      <c r="E1436" s="117">
        <v>45381</v>
      </c>
      <c r="F1436" s="116">
        <f>COUNTIFS($A$3:A9692,A1436,$B$3:B9692,B1436)</f>
        <v>1</v>
      </c>
      <c r="G1436" s="116"/>
    </row>
    <row r="1437" spans="1:7" x14ac:dyDescent="0.2">
      <c r="A1437" s="116">
        <f>IF(ISNUMBER(Tabela2[[#This Row],[CT-e/NFS]])=TRUE,(IF(B1437&gt;30000,4,IF(B1437&lt;1000,"ND",0))),"-")</f>
        <v>4</v>
      </c>
      <c r="B1437" s="116">
        <v>46737</v>
      </c>
      <c r="C1437" s="117">
        <v>45372</v>
      </c>
      <c r="D1437" s="116">
        <v>504.26</v>
      </c>
      <c r="E1437" s="117">
        <v>45381</v>
      </c>
      <c r="F1437" s="116">
        <f>COUNTIFS($A$3:A9693,A1437,$B$3:B9693,B1437)</f>
        <v>1</v>
      </c>
      <c r="G1437" s="116"/>
    </row>
    <row r="1438" spans="1:7" x14ac:dyDescent="0.2">
      <c r="A1438" s="116">
        <f>IF(ISNUMBER(Tabela2[[#This Row],[CT-e/NFS]])=TRUE,(IF(B1438&gt;30000,4,IF(B1438&lt;1000,"ND",0))),"-")</f>
        <v>4</v>
      </c>
      <c r="B1438" s="116">
        <v>46740</v>
      </c>
      <c r="C1438" s="117">
        <v>45372</v>
      </c>
      <c r="D1438" s="116">
        <v>244.24</v>
      </c>
      <c r="E1438" s="117">
        <v>45381</v>
      </c>
      <c r="F1438" s="116">
        <f>COUNTIFS($A$3:A9694,A1438,$B$3:B9694,B1438)</f>
        <v>1</v>
      </c>
      <c r="G1438" s="116"/>
    </row>
    <row r="1439" spans="1:7" x14ac:dyDescent="0.2">
      <c r="A1439" s="116">
        <f>IF(ISNUMBER(Tabela2[[#This Row],[CT-e/NFS]])=TRUE,(IF(B1439&gt;30000,4,IF(B1439&lt;1000,"ND",0))),"-")</f>
        <v>4</v>
      </c>
      <c r="B1439" s="116">
        <v>46788</v>
      </c>
      <c r="C1439" s="117">
        <v>45376</v>
      </c>
      <c r="D1439" s="116">
        <v>212.86</v>
      </c>
      <c r="E1439" s="117">
        <v>45381</v>
      </c>
      <c r="F1439" s="116">
        <f>COUNTIFS($A$3:A9695,A1439,$B$3:B9695,B1439)</f>
        <v>1</v>
      </c>
      <c r="G1439" s="116"/>
    </row>
    <row r="1440" spans="1:7" x14ac:dyDescent="0.2">
      <c r="A1440" s="116">
        <f>IF(ISNUMBER(Tabela2[[#This Row],[CT-e/NFS]])=TRUE,(IF(B1440&gt;30000,4,IF(B1440&lt;1000,"ND",0))),"-")</f>
        <v>4</v>
      </c>
      <c r="B1440" s="116">
        <v>46819</v>
      </c>
      <c r="C1440" s="117">
        <v>45376</v>
      </c>
      <c r="D1440" s="116">
        <v>1792.41</v>
      </c>
      <c r="E1440" s="117">
        <v>45381</v>
      </c>
      <c r="F1440" s="116">
        <f>COUNTIFS($A$3:A9696,A1440,$B$3:B9696,B1440)</f>
        <v>1</v>
      </c>
      <c r="G1440" s="116"/>
    </row>
    <row r="1441" spans="1:7" x14ac:dyDescent="0.2">
      <c r="A1441" s="116">
        <f>IF(ISNUMBER(Tabela2[[#This Row],[CT-e/NFS]])=TRUE,(IF(B1441&gt;30000,4,IF(B1441&lt;1000,"ND",0))),"-")</f>
        <v>4</v>
      </c>
      <c r="B1441" s="116">
        <v>46820</v>
      </c>
      <c r="C1441" s="117">
        <v>45376</v>
      </c>
      <c r="D1441" s="116">
        <v>1117.53</v>
      </c>
      <c r="E1441" s="117">
        <v>45381</v>
      </c>
      <c r="F1441" s="116">
        <f>COUNTIFS($A$3:A9697,A1441,$B$3:B9697,B1441)</f>
        <v>1</v>
      </c>
      <c r="G1441" s="116"/>
    </row>
    <row r="1442" spans="1:7" x14ac:dyDescent="0.2">
      <c r="A1442" s="116">
        <f>IF(ISNUMBER(Tabela2[[#This Row],[CT-e/NFS]])=TRUE,(IF(B1442&gt;30000,4,IF(B1442&lt;1000,"ND",0))),"-")</f>
        <v>4</v>
      </c>
      <c r="B1442" s="116">
        <v>46840</v>
      </c>
      <c r="C1442" s="117">
        <v>45376</v>
      </c>
      <c r="D1442" s="116">
        <v>450.45</v>
      </c>
      <c r="E1442" s="117">
        <v>45381</v>
      </c>
      <c r="F1442" s="116">
        <f>COUNTIFS($A$3:A9698,A1442,$B$3:B9698,B1442)</f>
        <v>1</v>
      </c>
      <c r="G1442" s="116"/>
    </row>
    <row r="1443" spans="1:7" x14ac:dyDescent="0.2">
      <c r="A1443" s="116">
        <f>IF(ISNUMBER(Tabela2[[#This Row],[CT-e/NFS]])=TRUE,(IF(B1443&gt;30000,4,IF(B1443&lt;1000,"ND",0))),"-")</f>
        <v>4</v>
      </c>
      <c r="B1443" s="116">
        <v>46857</v>
      </c>
      <c r="C1443" s="117">
        <v>45376</v>
      </c>
      <c r="D1443" s="116">
        <v>103.52</v>
      </c>
      <c r="E1443" s="117">
        <v>45381</v>
      </c>
      <c r="F1443" s="116">
        <f>COUNTIFS($A$3:A9699,A1443,$B$3:B9699,B1443)</f>
        <v>1</v>
      </c>
      <c r="G1443" s="116"/>
    </row>
    <row r="1444" spans="1:7" x14ac:dyDescent="0.2">
      <c r="A1444" s="116">
        <f>IF(ISNUMBER(Tabela2[[#This Row],[CT-e/NFS]])=TRUE,(IF(B1444&gt;30000,4,IF(B1444&lt;1000,"ND",0))),"-")</f>
        <v>4</v>
      </c>
      <c r="B1444" s="116">
        <v>46860</v>
      </c>
      <c r="C1444" s="117">
        <v>45376</v>
      </c>
      <c r="D1444" s="116">
        <v>536.16999999999996</v>
      </c>
      <c r="E1444" s="117">
        <v>45381</v>
      </c>
      <c r="F1444" s="116">
        <f>COUNTIFS($A$3:A9700,A1444,$B$3:B9700,B1444)</f>
        <v>1</v>
      </c>
      <c r="G1444" s="116"/>
    </row>
    <row r="1445" spans="1:7" x14ac:dyDescent="0.2">
      <c r="A1445" s="116">
        <f>IF(ISNUMBER(Tabela2[[#This Row],[CT-e/NFS]])=TRUE,(IF(B1445&gt;30000,4,IF(B1445&lt;1000,"ND",0))),"-")</f>
        <v>0</v>
      </c>
      <c r="B1445" s="116">
        <v>21389</v>
      </c>
      <c r="C1445" s="117">
        <v>45379</v>
      </c>
      <c r="D1445" s="116">
        <v>127.38</v>
      </c>
      <c r="E1445" s="117">
        <v>45381</v>
      </c>
      <c r="F1445" s="116">
        <f>COUNTIFS($A$3:A9701,A1445,$B$3:B9701,B1445)</f>
        <v>1</v>
      </c>
      <c r="G1445" s="116"/>
    </row>
    <row r="1446" spans="1:7" x14ac:dyDescent="0.2">
      <c r="A1446" s="116">
        <f>IF(ISNUMBER(Tabela2[[#This Row],[CT-e/NFS]])=TRUE,(IF(B1446&gt;30000,4,IF(B1446&lt;1000,"ND",0))),"-")</f>
        <v>0</v>
      </c>
      <c r="B1446" s="116">
        <v>21388</v>
      </c>
      <c r="C1446" s="117">
        <v>45379</v>
      </c>
      <c r="D1446" s="116">
        <v>92.21</v>
      </c>
      <c r="E1446" s="117">
        <v>45381</v>
      </c>
      <c r="F1446" s="116">
        <f>COUNTIFS($A$3:A9702,A1446,$B$3:B9702,B1446)</f>
        <v>1</v>
      </c>
      <c r="G1446" s="116"/>
    </row>
    <row r="1447" spans="1:7" x14ac:dyDescent="0.2">
      <c r="A1447" s="116">
        <f>IF(ISNUMBER(Tabela2[[#This Row],[CT-e/NFS]])=TRUE,(IF(B1447&gt;30000,4,IF(B1447&lt;1000,"ND",0))),"-")</f>
        <v>0</v>
      </c>
      <c r="B1447" s="116">
        <v>21404</v>
      </c>
      <c r="C1447" s="117">
        <v>45379</v>
      </c>
      <c r="D1447" s="116">
        <v>268.05</v>
      </c>
      <c r="E1447" s="117">
        <v>45381</v>
      </c>
      <c r="F1447" s="116">
        <f>COUNTIFS($A$3:A9703,A1447,$B$3:B9703,B1447)</f>
        <v>1</v>
      </c>
      <c r="G1447" s="116"/>
    </row>
    <row r="1448" spans="1:7" x14ac:dyDescent="0.2">
      <c r="A1448" s="116">
        <f>IF(ISNUMBER(Tabela2[[#This Row],[CT-e/NFS]])=TRUE,(IF(B1448&gt;30000,4,IF(B1448&lt;1000,"ND",0))),"-")</f>
        <v>0</v>
      </c>
      <c r="B1448" s="116">
        <v>21418</v>
      </c>
      <c r="C1448" s="117">
        <v>45379</v>
      </c>
      <c r="D1448" s="116">
        <v>98.96</v>
      </c>
      <c r="E1448" s="117">
        <v>45381</v>
      </c>
      <c r="F1448" s="116">
        <f>COUNTIFS($A$3:A9704,A1448,$B$3:B9704,B1448)</f>
        <v>1</v>
      </c>
      <c r="G1448" s="116"/>
    </row>
    <row r="1449" spans="1:7" x14ac:dyDescent="0.2">
      <c r="A1449" s="116">
        <f>IF(ISNUMBER(Tabela2[[#This Row],[CT-e/NFS]])=TRUE,(IF(B1449&gt;30000,4,IF(B1449&lt;1000,"ND",0))),"-")</f>
        <v>0</v>
      </c>
      <c r="B1449" s="116">
        <v>21420</v>
      </c>
      <c r="C1449" s="117">
        <v>45379</v>
      </c>
      <c r="D1449" s="116">
        <v>112.25</v>
      </c>
      <c r="E1449" s="117">
        <v>45381</v>
      </c>
      <c r="F1449" s="116">
        <f>COUNTIFS($A$3:A9705,A1449,$B$3:B9705,B1449)</f>
        <v>1</v>
      </c>
      <c r="G1449" s="116"/>
    </row>
    <row r="1450" spans="1:7" x14ac:dyDescent="0.2">
      <c r="A1450" s="116">
        <f>IF(ISNUMBER(Tabela2[[#This Row],[CT-e/NFS]])=TRUE,(IF(B1450&gt;30000,4,IF(B1450&lt;1000,"ND",0))),"-")</f>
        <v>0</v>
      </c>
      <c r="B1450" s="116">
        <v>21440</v>
      </c>
      <c r="C1450" s="117">
        <v>45379</v>
      </c>
      <c r="D1450" s="116">
        <v>97.06</v>
      </c>
      <c r="E1450" s="117">
        <v>45381</v>
      </c>
      <c r="F1450" s="116">
        <f>COUNTIFS($A$3:A9706,A1450,$B$3:B9706,B1450)</f>
        <v>1</v>
      </c>
      <c r="G1450" s="116"/>
    </row>
    <row r="1451" spans="1:7" x14ac:dyDescent="0.2">
      <c r="A1451" s="116">
        <f>IF(ISNUMBER(Tabela2[[#This Row],[CT-e/NFS]])=TRUE,(IF(B1451&gt;30000,4,IF(B1451&lt;1000,"ND",0))),"-")</f>
        <v>4</v>
      </c>
      <c r="B1451" s="116">
        <v>46881</v>
      </c>
      <c r="C1451" s="117">
        <v>45379</v>
      </c>
      <c r="D1451" s="116">
        <v>306.01</v>
      </c>
      <c r="E1451" s="117">
        <v>45381</v>
      </c>
      <c r="F1451" s="116">
        <f>COUNTIFS($A$3:A9707,A1451,$B$3:B9707,B1451)</f>
        <v>1</v>
      </c>
      <c r="G1451" s="116"/>
    </row>
    <row r="1452" spans="1:7" x14ac:dyDescent="0.2">
      <c r="A1452" s="116">
        <f>IF(ISNUMBER(Tabela2[[#This Row],[CT-e/NFS]])=TRUE,(IF(B1452&gt;30000,4,IF(B1452&lt;1000,"ND",0))),"-")</f>
        <v>4</v>
      </c>
      <c r="B1452" s="116">
        <v>46901</v>
      </c>
      <c r="C1452" s="117">
        <v>45379</v>
      </c>
      <c r="D1452" s="116">
        <v>110.92</v>
      </c>
      <c r="E1452" s="117">
        <v>45381</v>
      </c>
      <c r="F1452" s="116">
        <f>COUNTIFS($A$3:A9708,A1452,$B$3:B9708,B1452)</f>
        <v>1</v>
      </c>
      <c r="G1452" s="116"/>
    </row>
    <row r="1453" spans="1:7" x14ac:dyDescent="0.2">
      <c r="A1453" s="116">
        <f>IF(ISNUMBER(Tabela2[[#This Row],[CT-e/NFS]])=TRUE,(IF(B1453&gt;30000,4,IF(B1453&lt;1000,"ND",0))),"-")</f>
        <v>4</v>
      </c>
      <c r="B1453" s="116">
        <v>47020</v>
      </c>
      <c r="C1453" s="117">
        <v>45379</v>
      </c>
      <c r="D1453" s="116">
        <v>104.17</v>
      </c>
      <c r="E1453" s="117">
        <v>45381</v>
      </c>
      <c r="F1453" s="116">
        <f>COUNTIFS($A$3:A9709,A1453,$B$3:B9709,B1453)</f>
        <v>1</v>
      </c>
      <c r="G1453" s="116"/>
    </row>
    <row r="1454" spans="1:7" x14ac:dyDescent="0.2">
      <c r="A1454" s="116">
        <f>IF(ISNUMBER(Tabela2[[#This Row],[CT-e/NFS]])=TRUE,(IF(B1454&gt;30000,4,IF(B1454&lt;1000,"ND",0))),"-")</f>
        <v>4</v>
      </c>
      <c r="B1454" s="116">
        <v>47083</v>
      </c>
      <c r="C1454" s="117">
        <v>45379</v>
      </c>
      <c r="D1454" s="116">
        <v>115.01</v>
      </c>
      <c r="E1454" s="117">
        <v>45381</v>
      </c>
      <c r="F1454" s="116">
        <f>COUNTIFS($A$3:A9710,A1454,$B$3:B9710,B1454)</f>
        <v>1</v>
      </c>
      <c r="G1454" s="116"/>
    </row>
    <row r="1455" spans="1:7" x14ac:dyDescent="0.2">
      <c r="A1455" s="116">
        <f>IF(ISNUMBER(Tabela2[[#This Row],[CT-e/NFS]])=TRUE,(IF(B1455&gt;30000,4,IF(B1455&lt;1000,"ND",0))),"-")</f>
        <v>4</v>
      </c>
      <c r="B1455" s="116">
        <v>47084</v>
      </c>
      <c r="C1455" s="117">
        <v>45379</v>
      </c>
      <c r="D1455" s="116">
        <v>111.03</v>
      </c>
      <c r="E1455" s="117">
        <v>45381</v>
      </c>
      <c r="F1455" s="116">
        <f>COUNTIFS($A$3:A9711,A1455,$B$3:B9711,B1455)</f>
        <v>1</v>
      </c>
      <c r="G1455" s="116"/>
    </row>
    <row r="1456" spans="1:7" x14ac:dyDescent="0.2">
      <c r="A1456" s="116">
        <f>IF(ISNUMBER(Tabela2[[#This Row],[CT-e/NFS]])=TRUE,(IF(B1456&gt;30000,4,IF(B1456&lt;1000,"ND",0))),"-")</f>
        <v>4</v>
      </c>
      <c r="B1456" s="116">
        <v>47085</v>
      </c>
      <c r="C1456" s="117">
        <v>45379</v>
      </c>
      <c r="D1456" s="116">
        <v>135.4</v>
      </c>
      <c r="E1456" s="117">
        <v>45381</v>
      </c>
      <c r="F1456" s="116">
        <f>COUNTIFS($A$3:A9712,A1456,$B$3:B9712,B1456)</f>
        <v>1</v>
      </c>
      <c r="G1456" s="116"/>
    </row>
    <row r="1457" spans="1:7" x14ac:dyDescent="0.2">
      <c r="A1457" s="129">
        <f>IF(ISNUMBER(Tabela2[[#This Row],[CT-e/NFS]])=TRUE,(IF(B1457&gt;30000,4,IF(B1457&lt;1000,"ND",0))),"-")</f>
        <v>0</v>
      </c>
      <c r="B1457" s="129">
        <v>21313</v>
      </c>
      <c r="C1457" s="130">
        <v>45379</v>
      </c>
      <c r="D1457" s="129">
        <v>89.04</v>
      </c>
      <c r="E1457" s="130">
        <v>45381</v>
      </c>
      <c r="F1457" s="129">
        <f>COUNTIFS($A$3:A9713,A1457,$B$3:B9713,B1457)</f>
        <v>1</v>
      </c>
      <c r="G1457" s="129" t="s">
        <v>147</v>
      </c>
    </row>
    <row r="1458" spans="1:7" x14ac:dyDescent="0.2">
      <c r="A1458" s="129">
        <f>IF(ISNUMBER(Tabela2[[#This Row],[CT-e/NFS]])=TRUE,(IF(B1458&gt;30000,4,IF(B1458&lt;1000,"ND",0))),"-")</f>
        <v>4</v>
      </c>
      <c r="B1458" s="129">
        <v>46615</v>
      </c>
      <c r="C1458" s="130">
        <v>45379</v>
      </c>
      <c r="D1458" s="129">
        <v>122.92</v>
      </c>
      <c r="E1458" s="130">
        <v>45381</v>
      </c>
      <c r="F1458" s="129">
        <f>COUNTIFS($A$3:A9714,A1458,$B$3:B9714,B1458)</f>
        <v>1</v>
      </c>
      <c r="G1458" s="129" t="s">
        <v>147</v>
      </c>
    </row>
    <row r="1459" spans="1:7" x14ac:dyDescent="0.2">
      <c r="A1459" s="129">
        <f>IF(ISNUMBER(Tabela2[[#This Row],[CT-e/NFS]])=TRUE,(IF(B1459&gt;30000,4,IF(B1459&lt;1000,"ND",0))),"-")</f>
        <v>4</v>
      </c>
      <c r="B1459" s="129">
        <v>46616</v>
      </c>
      <c r="C1459" s="130">
        <v>45379</v>
      </c>
      <c r="D1459" s="129">
        <v>124.28</v>
      </c>
      <c r="E1459" s="130">
        <v>45381</v>
      </c>
      <c r="F1459" s="129">
        <f>COUNTIFS($A$3:A9715,A1459,$B$3:B9715,B1459)</f>
        <v>1</v>
      </c>
      <c r="G1459" s="129" t="s">
        <v>147</v>
      </c>
    </row>
    <row r="1460" spans="1:7" x14ac:dyDescent="0.2">
      <c r="A1460" s="129">
        <f>IF(ISNUMBER(Tabela2[[#This Row],[CT-e/NFS]])=TRUE,(IF(B1460&gt;30000,4,IF(B1460&lt;1000,"ND",0))),"-")</f>
        <v>0</v>
      </c>
      <c r="B1460" s="129">
        <v>21370</v>
      </c>
      <c r="C1460" s="130">
        <v>45379</v>
      </c>
      <c r="D1460" s="129">
        <v>76.3</v>
      </c>
      <c r="E1460" s="130">
        <v>45381</v>
      </c>
      <c r="F1460" s="129">
        <f>COUNTIFS($A$3:A9716,A1460,$B$3:B9716,B1460)</f>
        <v>1</v>
      </c>
      <c r="G1460" s="129" t="s">
        <v>147</v>
      </c>
    </row>
    <row r="1461" spans="1:7" x14ac:dyDescent="0.2">
      <c r="A1461" s="129">
        <f>IF(ISNUMBER(Tabela2[[#This Row],[CT-e/NFS]])=TRUE,(IF(B1461&gt;30000,4,IF(B1461&lt;1000,"ND",0))),"-")</f>
        <v>0</v>
      </c>
      <c r="B1461" s="129">
        <v>21371</v>
      </c>
      <c r="C1461" s="130">
        <v>45379</v>
      </c>
      <c r="D1461" s="129">
        <v>76.27</v>
      </c>
      <c r="E1461" s="130">
        <v>45381</v>
      </c>
      <c r="F1461" s="129">
        <f>COUNTIFS($A$3:A9717,A1461,$B$3:B9717,B1461)</f>
        <v>1</v>
      </c>
      <c r="G1461" s="129" t="s">
        <v>147</v>
      </c>
    </row>
    <row r="1462" spans="1:7" x14ac:dyDescent="0.2">
      <c r="A1462" s="129">
        <f>IF(ISNUMBER(Tabela2[[#This Row],[CT-e/NFS]])=TRUE,(IF(B1462&gt;30000,4,IF(B1462&lt;1000,"ND",0))),"-")</f>
        <v>4</v>
      </c>
      <c r="B1462" s="129">
        <v>46846</v>
      </c>
      <c r="C1462" s="130">
        <v>45379</v>
      </c>
      <c r="D1462" s="129">
        <v>124.08</v>
      </c>
      <c r="E1462" s="130">
        <v>45381</v>
      </c>
      <c r="F1462" s="129">
        <f>COUNTIFS($A$3:A9718,A1462,$B$3:B9718,B1462)</f>
        <v>1</v>
      </c>
      <c r="G1462" s="129" t="s">
        <v>147</v>
      </c>
    </row>
    <row r="1463" spans="1:7" x14ac:dyDescent="0.2">
      <c r="A1463" s="129">
        <f>IF(ISNUMBER(Tabela2[[#This Row],[CT-e/NFS]])=TRUE,(IF(B1463&gt;30000,4,IF(B1463&lt;1000,"ND",0))),"-")</f>
        <v>4</v>
      </c>
      <c r="B1463" s="129">
        <v>46909</v>
      </c>
      <c r="C1463" s="130">
        <v>45379</v>
      </c>
      <c r="D1463" s="129">
        <v>110.65</v>
      </c>
      <c r="E1463" s="130">
        <v>45381</v>
      </c>
      <c r="F1463" s="129">
        <f>COUNTIFS($A$3:A9719,A1463,$B$3:B9719,B1463)</f>
        <v>1</v>
      </c>
      <c r="G1463" s="129" t="s">
        <v>147</v>
      </c>
    </row>
    <row r="1464" spans="1:7" x14ac:dyDescent="0.2">
      <c r="A1464" s="116">
        <v>4</v>
      </c>
      <c r="B1464" s="116">
        <v>46266</v>
      </c>
      <c r="C1464" s="117">
        <v>45383</v>
      </c>
      <c r="D1464" s="116">
        <v>566.53</v>
      </c>
      <c r="E1464" s="117">
        <v>45397</v>
      </c>
      <c r="F1464" s="116">
        <f>COUNTIFS($A$3:A9720,A1464,$B$3:B9720,B1464)</f>
        <v>1</v>
      </c>
      <c r="G1464" s="116"/>
    </row>
    <row r="1465" spans="1:7" x14ac:dyDescent="0.2">
      <c r="A1465" s="116">
        <f>IF(ISNUMBER(Tabela2[[#This Row],[CT-e/NFS]])=TRUE,(IF(B1465&gt;30000,4,IF(B1465&lt;1000,"ND",0))),"-")</f>
        <v>4</v>
      </c>
      <c r="B1465" s="116">
        <v>46276</v>
      </c>
      <c r="C1465" s="117">
        <v>45383</v>
      </c>
      <c r="D1465" s="116">
        <v>609.98</v>
      </c>
      <c r="E1465" s="117">
        <v>45397</v>
      </c>
      <c r="F1465" s="116">
        <f>COUNTIFS($A$3:A9721,A1465,$B$3:B9721,B1465)</f>
        <v>1</v>
      </c>
      <c r="G1465" s="116"/>
    </row>
    <row r="1466" spans="1:7" x14ac:dyDescent="0.2">
      <c r="A1466" s="116">
        <f>IF(ISNUMBER(Tabela2[[#This Row],[CT-e/NFS]])=TRUE,(IF(B1466&gt;30000,4,IF(B1466&lt;1000,"ND",0))),"-")</f>
        <v>4</v>
      </c>
      <c r="B1466" s="116">
        <v>46269</v>
      </c>
      <c r="C1466" s="117">
        <v>45383</v>
      </c>
      <c r="D1466" s="116">
        <v>124.38</v>
      </c>
      <c r="E1466" s="117">
        <v>45397</v>
      </c>
      <c r="F1466" s="116">
        <f>COUNTIFS($A$3:A9722,A1466,$B$3:B9722,B1466)</f>
        <v>1</v>
      </c>
      <c r="G1466" s="116"/>
    </row>
    <row r="1467" spans="1:7" x14ac:dyDescent="0.2">
      <c r="A1467" s="116">
        <f>IF(ISNUMBER(Tabela2[[#This Row],[CT-e/NFS]])=TRUE,(IF(B1467&gt;30000,4,IF(B1467&lt;1000,"ND",0))),"-")</f>
        <v>4</v>
      </c>
      <c r="B1467" s="116">
        <v>46267</v>
      </c>
      <c r="C1467" s="117">
        <v>45383</v>
      </c>
      <c r="D1467" s="116">
        <v>124.19</v>
      </c>
      <c r="E1467" s="117">
        <v>45397</v>
      </c>
      <c r="F1467" s="116">
        <f>COUNTIFS($A$3:A9723,A1467,$B$3:B9723,B1467)</f>
        <v>1</v>
      </c>
      <c r="G1467" s="116"/>
    </row>
    <row r="1468" spans="1:7" x14ac:dyDescent="0.2">
      <c r="A1468" s="116">
        <f>IF(ISNUMBER(Tabela2[[#This Row],[CT-e/NFS]])=TRUE,(IF(B1468&gt;30000,4,IF(B1468&lt;1000,"ND",0))),"-")</f>
        <v>4</v>
      </c>
      <c r="B1468" s="116">
        <v>46265</v>
      </c>
      <c r="C1468" s="117">
        <v>45383</v>
      </c>
      <c r="D1468" s="116">
        <v>240.59</v>
      </c>
      <c r="E1468" s="117">
        <v>45397</v>
      </c>
      <c r="F1468" s="116">
        <f>COUNTIFS($A$3:A9724,A1468,$B$3:B9724,B1468)</f>
        <v>1</v>
      </c>
      <c r="G1468" s="116"/>
    </row>
    <row r="1469" spans="1:7" x14ac:dyDescent="0.2">
      <c r="A1469" s="116">
        <f>IF(ISNUMBER(Tabela2[[#This Row],[CT-e/NFS]])=TRUE,(IF(B1469&gt;30000,4,IF(B1469&lt;1000,"ND",0))),"-")</f>
        <v>4</v>
      </c>
      <c r="B1469" s="116">
        <v>46268</v>
      </c>
      <c r="C1469" s="117">
        <v>45383</v>
      </c>
      <c r="D1469" s="116">
        <v>263.83</v>
      </c>
      <c r="E1469" s="117">
        <v>45397</v>
      </c>
      <c r="F1469" s="116">
        <f>COUNTIFS($A$3:A9725,A1469,$B$3:B9725,B1469)</f>
        <v>1</v>
      </c>
      <c r="G1469" s="116"/>
    </row>
    <row r="1470" spans="1:7" x14ac:dyDescent="0.2">
      <c r="A1470" s="116">
        <f>IF(ISNUMBER(Tabela2[[#This Row],[CT-e/NFS]])=TRUE,(IF(B1470&gt;30000,4,IF(B1470&lt;1000,"ND",0))),"-")</f>
        <v>4</v>
      </c>
      <c r="B1470" s="116">
        <v>46264</v>
      </c>
      <c r="C1470" s="117">
        <v>45383</v>
      </c>
      <c r="D1470" s="116">
        <v>126</v>
      </c>
      <c r="E1470" s="117">
        <v>45397</v>
      </c>
      <c r="F1470" s="116">
        <f>COUNTIFS($A$3:A9726,A1470,$B$3:B9726,B1470)</f>
        <v>1</v>
      </c>
      <c r="G1470" s="116"/>
    </row>
    <row r="1471" spans="1:7" x14ac:dyDescent="0.2">
      <c r="A1471" s="116">
        <f>IF(ISNUMBER(Tabela2[[#This Row],[CT-e/NFS]])=TRUE,(IF(B1471&gt;30000,4,IF(B1471&lt;1000,"ND",0))),"-")</f>
        <v>4</v>
      </c>
      <c r="B1471" s="116">
        <v>46275</v>
      </c>
      <c r="C1471" s="117">
        <v>45383</v>
      </c>
      <c r="D1471" s="116">
        <v>869.19</v>
      </c>
      <c r="E1471" s="117">
        <v>45397</v>
      </c>
      <c r="F1471" s="116">
        <f>COUNTIFS($A$3:A9727,A1471,$B$3:B9727,B1471)</f>
        <v>1</v>
      </c>
      <c r="G1471" s="116"/>
    </row>
    <row r="1472" spans="1:7" x14ac:dyDescent="0.2">
      <c r="A1472" s="116">
        <f>IF(ISNUMBER(Tabela2[[#This Row],[CT-e/NFS]])=TRUE,(IF(B1472&gt;30000,4,IF(B1472&lt;1000,"ND",0))),"-")</f>
        <v>4</v>
      </c>
      <c r="B1472" s="116">
        <v>46272</v>
      </c>
      <c r="C1472" s="117">
        <v>45383</v>
      </c>
      <c r="D1472" s="116">
        <v>124.03</v>
      </c>
      <c r="E1472" s="117">
        <v>45397</v>
      </c>
      <c r="F1472" s="116">
        <f>COUNTIFS($A$3:A9728,A1472,$B$3:B9728,B1472)</f>
        <v>1</v>
      </c>
      <c r="G1472" s="116"/>
    </row>
    <row r="1473" spans="1:7" x14ac:dyDescent="0.2">
      <c r="A1473" s="116">
        <f>IF(ISNUMBER(Tabela2[[#This Row],[CT-e/NFS]])=TRUE,(IF(B1473&gt;30000,4,IF(B1473&lt;1000,"ND",0))),"-")</f>
        <v>4</v>
      </c>
      <c r="B1473" s="116">
        <v>46281</v>
      </c>
      <c r="C1473" s="117">
        <v>45383</v>
      </c>
      <c r="D1473" s="116">
        <v>110.63</v>
      </c>
      <c r="E1473" s="117">
        <v>45397</v>
      </c>
      <c r="F1473" s="116">
        <f>COUNTIFS($A$3:A9729,A1473,$B$3:B9729,B1473)</f>
        <v>1</v>
      </c>
      <c r="G1473" s="116"/>
    </row>
    <row r="1474" spans="1:7" x14ac:dyDescent="0.2">
      <c r="A1474" s="116">
        <f>IF(ISNUMBER(Tabela2[[#This Row],[CT-e/NFS]])=TRUE,(IF(B1474&gt;30000,4,IF(B1474&lt;1000,"ND",0))),"-")</f>
        <v>4</v>
      </c>
      <c r="B1474" s="116">
        <v>46270</v>
      </c>
      <c r="C1474" s="117">
        <v>45383</v>
      </c>
      <c r="D1474" s="116">
        <v>246.33</v>
      </c>
      <c r="E1474" s="117">
        <v>45397</v>
      </c>
      <c r="F1474" s="116">
        <f>COUNTIFS($A$3:A9730,A1474,$B$3:B9730,B1474)</f>
        <v>1</v>
      </c>
      <c r="G1474" s="116"/>
    </row>
    <row r="1475" spans="1:7" x14ac:dyDescent="0.2">
      <c r="A1475" s="116">
        <f>IF(ISNUMBER(Tabela2[[#This Row],[CT-e/NFS]])=TRUE,(IF(B1475&gt;30000,4,IF(B1475&lt;1000,"ND",0))),"-")</f>
        <v>4</v>
      </c>
      <c r="B1475" s="116">
        <v>46271</v>
      </c>
      <c r="C1475" s="117">
        <v>45383</v>
      </c>
      <c r="D1475" s="116">
        <v>125.03</v>
      </c>
      <c r="E1475" s="117">
        <v>45397</v>
      </c>
      <c r="F1475" s="116">
        <f>COUNTIFS($A$3:A9731,A1475,$B$3:B9731,B1475)</f>
        <v>1</v>
      </c>
      <c r="G1475" s="116"/>
    </row>
    <row r="1476" spans="1:7" x14ac:dyDescent="0.2">
      <c r="A1476" s="116">
        <f>IF(ISNUMBER(Tabela2[[#This Row],[CT-e/NFS]])=TRUE,(IF(B1476&gt;30000,4,IF(B1476&lt;1000,"ND",0))),"-")</f>
        <v>4</v>
      </c>
      <c r="B1476" s="116">
        <v>46280</v>
      </c>
      <c r="C1476" s="117">
        <v>45383</v>
      </c>
      <c r="D1476" s="116">
        <v>61.44</v>
      </c>
      <c r="E1476" s="117">
        <v>45397</v>
      </c>
      <c r="F1476" s="116">
        <f>COUNTIFS($A$3:A9732,A1476,$B$3:B9732,B1476)</f>
        <v>1</v>
      </c>
      <c r="G1476" s="116"/>
    </row>
    <row r="1477" spans="1:7" x14ac:dyDescent="0.2">
      <c r="A1477" s="116">
        <f>IF(ISNUMBER(Tabela2[[#This Row],[CT-e/NFS]])=TRUE,(IF(B1477&gt;30000,4,IF(B1477&lt;1000,"ND",0))),"-")</f>
        <v>4</v>
      </c>
      <c r="B1477" s="116">
        <v>46273</v>
      </c>
      <c r="C1477" s="117">
        <v>45383</v>
      </c>
      <c r="D1477" s="116">
        <v>124.42</v>
      </c>
      <c r="E1477" s="117">
        <v>45397</v>
      </c>
      <c r="F1477" s="116">
        <f>COUNTIFS($A$3:A9733,A1477,$B$3:B9733,B1477)</f>
        <v>1</v>
      </c>
      <c r="G1477" s="116"/>
    </row>
    <row r="1478" spans="1:7" x14ac:dyDescent="0.2">
      <c r="A1478" s="116">
        <f>IF(ISNUMBER(Tabela2[[#This Row],[CT-e/NFS]])=TRUE,(IF(B1478&gt;30000,4,IF(B1478&lt;1000,"ND",0))),"-")</f>
        <v>4</v>
      </c>
      <c r="B1478" s="116">
        <v>46274</v>
      </c>
      <c r="C1478" s="117">
        <v>45383</v>
      </c>
      <c r="D1478" s="116">
        <v>238.13</v>
      </c>
      <c r="E1478" s="117">
        <v>45397</v>
      </c>
      <c r="F1478" s="116">
        <f>COUNTIFS($A$3:A9734,A1478,$B$3:B9734,B1478)</f>
        <v>1</v>
      </c>
      <c r="G1478" s="116"/>
    </row>
    <row r="1479" spans="1:7" x14ac:dyDescent="0.2">
      <c r="A1479" s="116">
        <f>IF(ISNUMBER(Tabela2[[#This Row],[CT-e/NFS]])=TRUE,(IF(B1479&gt;30000,4,IF(B1479&lt;1000,"ND",0))),"-")</f>
        <v>4</v>
      </c>
      <c r="B1479" s="116">
        <v>46284</v>
      </c>
      <c r="C1479" s="117">
        <v>45383</v>
      </c>
      <c r="D1479" s="116">
        <v>306.26</v>
      </c>
      <c r="E1479" s="117">
        <v>45397</v>
      </c>
      <c r="F1479" s="116">
        <f>COUNTIFS($A$3:A9735,A1479,$B$3:B9735,B1479)</f>
        <v>1</v>
      </c>
      <c r="G1479" s="116"/>
    </row>
    <row r="1480" spans="1:7" x14ac:dyDescent="0.2">
      <c r="A1480" s="116">
        <f>IF(ISNUMBER(Tabela2[[#This Row],[CT-e/NFS]])=TRUE,(IF(B1480&gt;30000,4,IF(B1480&lt;1000,"ND",0))),"-")</f>
        <v>4</v>
      </c>
      <c r="B1480" s="116">
        <v>46285</v>
      </c>
      <c r="C1480" s="117">
        <v>45383</v>
      </c>
      <c r="D1480" s="116">
        <v>1452.03</v>
      </c>
      <c r="E1480" s="117">
        <v>45397</v>
      </c>
      <c r="F1480" s="116">
        <f>COUNTIFS($A$3:A9736,A1480,$B$3:B9736,B1480)</f>
        <v>1</v>
      </c>
      <c r="G1480" s="116"/>
    </row>
    <row r="1481" spans="1:7" x14ac:dyDescent="0.2">
      <c r="A1481" s="116">
        <f>IF(ISNUMBER(Tabela2[[#This Row],[CT-e/NFS]])=TRUE,(IF(B1481&gt;30000,4,IF(B1481&lt;1000,"ND",0))),"-")</f>
        <v>4</v>
      </c>
      <c r="B1481" s="116">
        <v>46294</v>
      </c>
      <c r="C1481" s="117">
        <v>45383</v>
      </c>
      <c r="D1481" s="116">
        <v>124.08</v>
      </c>
      <c r="E1481" s="117">
        <v>45397</v>
      </c>
      <c r="F1481" s="116">
        <f>COUNTIFS($A$3:A9737,A1481,$B$3:B9737,B1481)</f>
        <v>1</v>
      </c>
      <c r="G1481" s="116"/>
    </row>
    <row r="1482" spans="1:7" x14ac:dyDescent="0.2">
      <c r="A1482" s="116">
        <f>IF(ISNUMBER(Tabela2[[#This Row],[CT-e/NFS]])=TRUE,(IF(B1482&gt;30000,4,IF(B1482&lt;1000,"ND",0))),"-")</f>
        <v>4</v>
      </c>
      <c r="B1482" s="116">
        <v>46297</v>
      </c>
      <c r="C1482" s="117">
        <v>45383</v>
      </c>
      <c r="D1482" s="116">
        <v>274.58999999999997</v>
      </c>
      <c r="E1482" s="117">
        <v>45397</v>
      </c>
      <c r="F1482" s="116">
        <f>COUNTIFS($A$3:A9738,A1482,$B$3:B9738,B1482)</f>
        <v>1</v>
      </c>
      <c r="G1482" s="116"/>
    </row>
    <row r="1483" spans="1:7" x14ac:dyDescent="0.2">
      <c r="A1483" s="116">
        <f>IF(ISNUMBER(Tabela2[[#This Row],[CT-e/NFS]])=TRUE,(IF(B1483&gt;30000,4,IF(B1483&lt;1000,"ND",0))),"-")</f>
        <v>4</v>
      </c>
      <c r="B1483" s="116">
        <v>46291</v>
      </c>
      <c r="C1483" s="117">
        <v>45383</v>
      </c>
      <c r="D1483" s="116">
        <v>123.5</v>
      </c>
      <c r="E1483" s="117">
        <v>45397</v>
      </c>
      <c r="F1483" s="116">
        <f>COUNTIFS($A$3:A9739,A1483,$B$3:B9739,B1483)</f>
        <v>1</v>
      </c>
      <c r="G1483" s="116"/>
    </row>
    <row r="1484" spans="1:7" x14ac:dyDescent="0.2">
      <c r="A1484" s="116">
        <f>IF(ISNUMBER(Tabela2[[#This Row],[CT-e/NFS]])=TRUE,(IF(B1484&gt;30000,4,IF(B1484&lt;1000,"ND",0))),"-")</f>
        <v>4</v>
      </c>
      <c r="B1484" s="116">
        <v>46289</v>
      </c>
      <c r="C1484" s="117">
        <v>45383</v>
      </c>
      <c r="D1484" s="116">
        <v>240.47</v>
      </c>
      <c r="E1484" s="117">
        <v>45397</v>
      </c>
      <c r="F1484" s="116">
        <f>COUNTIFS($A$3:A9740,A1484,$B$3:B9740,B1484)</f>
        <v>1</v>
      </c>
      <c r="G1484" s="116"/>
    </row>
    <row r="1485" spans="1:7" x14ac:dyDescent="0.2">
      <c r="A1485" s="116">
        <f>IF(ISNUMBER(Tabela2[[#This Row],[CT-e/NFS]])=TRUE,(IF(B1485&gt;30000,4,IF(B1485&lt;1000,"ND",0))),"-")</f>
        <v>4</v>
      </c>
      <c r="B1485" s="116">
        <v>46288</v>
      </c>
      <c r="C1485" s="117">
        <v>45383</v>
      </c>
      <c r="D1485" s="116">
        <v>125.35</v>
      </c>
      <c r="E1485" s="117">
        <v>45397</v>
      </c>
      <c r="F1485" s="116">
        <f>COUNTIFS($A$3:A9741,A1485,$B$3:B9741,B1485)</f>
        <v>1</v>
      </c>
      <c r="G1485" s="116"/>
    </row>
    <row r="1486" spans="1:7" x14ac:dyDescent="0.2">
      <c r="A1486" s="116">
        <f>IF(ISNUMBER(Tabela2[[#This Row],[CT-e/NFS]])=TRUE,(IF(B1486&gt;30000,4,IF(B1486&lt;1000,"ND",0))),"-")</f>
        <v>4</v>
      </c>
      <c r="B1486" s="116">
        <v>46293</v>
      </c>
      <c r="C1486" s="117">
        <v>45383</v>
      </c>
      <c r="D1486" s="116">
        <v>124.52</v>
      </c>
      <c r="E1486" s="117">
        <v>45397</v>
      </c>
      <c r="F1486" s="116">
        <f>COUNTIFS($A$3:A9742,A1486,$B$3:B9742,B1486)</f>
        <v>1</v>
      </c>
      <c r="G1486" s="116"/>
    </row>
    <row r="1487" spans="1:7" x14ac:dyDescent="0.2">
      <c r="A1487" s="116">
        <f>IF(ISNUMBER(Tabela2[[#This Row],[CT-e/NFS]])=TRUE,(IF(B1487&gt;30000,4,IF(B1487&lt;1000,"ND",0))),"-")</f>
        <v>4</v>
      </c>
      <c r="B1487" s="116">
        <v>46298</v>
      </c>
      <c r="C1487" s="117">
        <v>45383</v>
      </c>
      <c r="D1487" s="116">
        <v>274.58999999999997</v>
      </c>
      <c r="E1487" s="117">
        <v>45397</v>
      </c>
      <c r="F1487" s="116">
        <f>COUNTIFS($A$3:A9743,A1487,$B$3:B9743,B1487)</f>
        <v>1</v>
      </c>
      <c r="G1487" s="116"/>
    </row>
    <row r="1488" spans="1:7" x14ac:dyDescent="0.2">
      <c r="A1488" s="116">
        <f>IF(ISNUMBER(Tabela2[[#This Row],[CT-e/NFS]])=TRUE,(IF(B1488&gt;30000,4,IF(B1488&lt;1000,"ND",0))),"-")</f>
        <v>4</v>
      </c>
      <c r="B1488" s="116">
        <v>46292</v>
      </c>
      <c r="C1488" s="117">
        <v>45383</v>
      </c>
      <c r="D1488" s="116">
        <v>124.34</v>
      </c>
      <c r="E1488" s="117">
        <v>45397</v>
      </c>
      <c r="F1488" s="116">
        <f>COUNTIFS($A$3:A9744,A1488,$B$3:B9744,B1488)</f>
        <v>1</v>
      </c>
      <c r="G1488" s="116"/>
    </row>
    <row r="1489" spans="1:7" x14ac:dyDescent="0.2">
      <c r="A1489" s="116">
        <f>IF(ISNUMBER(Tabela2[[#This Row],[CT-e/NFS]])=TRUE,(IF(B1489&gt;30000,4,IF(B1489&lt;1000,"ND",0))),"-")</f>
        <v>4</v>
      </c>
      <c r="B1489" s="116">
        <v>46295</v>
      </c>
      <c r="C1489" s="117">
        <v>45383</v>
      </c>
      <c r="D1489" s="116">
        <v>281.2</v>
      </c>
      <c r="E1489" s="117">
        <v>45397</v>
      </c>
      <c r="F1489" s="116">
        <f>COUNTIFS($A$3:A9745,A1489,$B$3:B9745,B1489)</f>
        <v>1</v>
      </c>
      <c r="G1489" s="116"/>
    </row>
    <row r="1490" spans="1:7" x14ac:dyDescent="0.2">
      <c r="A1490" s="116">
        <f>IF(ISNUMBER(Tabela2[[#This Row],[CT-e/NFS]])=TRUE,(IF(B1490&gt;30000,4,IF(B1490&lt;1000,"ND",0))),"-")</f>
        <v>4</v>
      </c>
      <c r="B1490" s="116">
        <v>46296</v>
      </c>
      <c r="C1490" s="117">
        <v>45383</v>
      </c>
      <c r="D1490" s="116">
        <v>307.33999999999997</v>
      </c>
      <c r="E1490" s="117">
        <v>45397</v>
      </c>
      <c r="F1490" s="116">
        <f>COUNTIFS($A$3:A9746,A1490,$B$3:B9746,B1490)</f>
        <v>1</v>
      </c>
      <c r="G1490" s="116"/>
    </row>
    <row r="1491" spans="1:7" x14ac:dyDescent="0.2">
      <c r="A1491" s="116">
        <f>IF(ISNUMBER(Tabela2[[#This Row],[CT-e/NFS]])=TRUE,(IF(B1491&gt;30000,4,IF(B1491&lt;1000,"ND",0))),"-")</f>
        <v>4</v>
      </c>
      <c r="B1491" s="116">
        <v>46299</v>
      </c>
      <c r="C1491" s="117">
        <v>45383</v>
      </c>
      <c r="D1491" s="116">
        <v>223.42</v>
      </c>
      <c r="E1491" s="117">
        <v>45397</v>
      </c>
      <c r="F1491" s="116">
        <f>COUNTIFS($A$3:A9747,A1491,$B$3:B9747,B1491)</f>
        <v>1</v>
      </c>
      <c r="G1491" s="116"/>
    </row>
    <row r="1492" spans="1:7" x14ac:dyDescent="0.2">
      <c r="A1492" s="116">
        <f>IF(ISNUMBER(Tabela2[[#This Row],[CT-e/NFS]])=TRUE,(IF(B1492&gt;30000,4,IF(B1492&lt;1000,"ND",0))),"-")</f>
        <v>4</v>
      </c>
      <c r="B1492" s="116">
        <v>46300</v>
      </c>
      <c r="C1492" s="117">
        <v>45383</v>
      </c>
      <c r="D1492" s="116">
        <v>477.39</v>
      </c>
      <c r="E1492" s="117">
        <v>45397</v>
      </c>
      <c r="F1492" s="116">
        <f>COUNTIFS($A$3:A9748,A1492,$B$3:B9748,B1492)</f>
        <v>1</v>
      </c>
      <c r="G1492" s="116"/>
    </row>
    <row r="1493" spans="1:7" x14ac:dyDescent="0.2">
      <c r="A1493" s="116">
        <f>IF(ISNUMBER(Tabela2[[#This Row],[CT-e/NFS]])=TRUE,(IF(B1493&gt;30000,4,IF(B1493&lt;1000,"ND",0))),"-")</f>
        <v>4</v>
      </c>
      <c r="B1493" s="116">
        <v>46301</v>
      </c>
      <c r="C1493" s="117">
        <v>45383</v>
      </c>
      <c r="D1493" s="116">
        <v>125.56</v>
      </c>
      <c r="E1493" s="117">
        <v>45397</v>
      </c>
      <c r="F1493" s="116">
        <f>COUNTIFS($A$3:A9749,A1493,$B$3:B9749,B1493)</f>
        <v>1</v>
      </c>
      <c r="G1493" s="116"/>
    </row>
    <row r="1494" spans="1:7" x14ac:dyDescent="0.2">
      <c r="A1494" s="116">
        <f>IF(ISNUMBER(Tabela2[[#This Row],[CT-e/NFS]])=TRUE,(IF(B1494&gt;30000,4,IF(B1494&lt;1000,"ND",0))),"-")</f>
        <v>4</v>
      </c>
      <c r="B1494" s="116">
        <v>46263</v>
      </c>
      <c r="C1494" s="117">
        <v>45383</v>
      </c>
      <c r="D1494" s="116">
        <v>87.78</v>
      </c>
      <c r="E1494" s="117">
        <v>45397</v>
      </c>
      <c r="F1494" s="116">
        <f>COUNTIFS($A$3:A9750,A1494,$B$3:B9750,B1494)</f>
        <v>1</v>
      </c>
      <c r="G1494" s="116"/>
    </row>
    <row r="1495" spans="1:7" x14ac:dyDescent="0.2">
      <c r="A1495" s="116">
        <f>IF(ISNUMBER(Tabela2[[#This Row],[CT-e/NFS]])=TRUE,(IF(B1495&gt;30000,4,IF(B1495&lt;1000,"ND",0))),"-")</f>
        <v>4</v>
      </c>
      <c r="B1495" s="116">
        <v>46302</v>
      </c>
      <c r="C1495" s="117">
        <v>45383</v>
      </c>
      <c r="D1495" s="116">
        <v>239.07</v>
      </c>
      <c r="E1495" s="117">
        <v>45397</v>
      </c>
      <c r="F1495" s="116">
        <f>COUNTIFS($A$3:A9751,A1495,$B$3:B9751,B1495)</f>
        <v>1</v>
      </c>
      <c r="G1495" s="116"/>
    </row>
    <row r="1496" spans="1:7" x14ac:dyDescent="0.2">
      <c r="A1496" s="116">
        <f>IF(ISNUMBER(Tabela2[[#This Row],[CT-e/NFS]])=TRUE,(IF(B1496&gt;30000,4,IF(B1496&lt;1000,"ND",0))),"-")</f>
        <v>4</v>
      </c>
      <c r="B1496" s="116">
        <v>46303</v>
      </c>
      <c r="C1496" s="117">
        <v>45383</v>
      </c>
      <c r="D1496" s="116">
        <v>931.82</v>
      </c>
      <c r="E1496" s="117">
        <v>45397</v>
      </c>
      <c r="F1496" s="116">
        <f>COUNTIFS($A$3:A9752,A1496,$B$3:B9752,B1496)</f>
        <v>1</v>
      </c>
      <c r="G1496" s="116"/>
    </row>
    <row r="1497" spans="1:7" x14ac:dyDescent="0.2">
      <c r="A1497" s="116">
        <f>IF(ISNUMBER(Tabela2[[#This Row],[CT-e/NFS]])=TRUE,(IF(B1497&gt;30000,4,IF(B1497&lt;1000,"ND",0))),"-")</f>
        <v>4</v>
      </c>
      <c r="B1497" s="116">
        <v>46307</v>
      </c>
      <c r="C1497" s="117">
        <v>45383</v>
      </c>
      <c r="D1497" s="116">
        <v>542.13</v>
      </c>
      <c r="E1497" s="117">
        <v>45397</v>
      </c>
      <c r="F1497" s="116">
        <f>COUNTIFS($A$3:A9753,A1497,$B$3:B9753,B1497)</f>
        <v>1</v>
      </c>
      <c r="G1497" s="116"/>
    </row>
    <row r="1498" spans="1:7" x14ac:dyDescent="0.2">
      <c r="A1498" s="116">
        <f>IF(ISNUMBER(Tabela2[[#This Row],[CT-e/NFS]])=TRUE,(IF(B1498&gt;30000,4,IF(B1498&lt;1000,"ND",0))),"-")</f>
        <v>4</v>
      </c>
      <c r="B1498" s="116">
        <v>46305</v>
      </c>
      <c r="C1498" s="117">
        <v>45383</v>
      </c>
      <c r="D1498" s="116">
        <v>125.35</v>
      </c>
      <c r="E1498" s="117">
        <v>45397</v>
      </c>
      <c r="F1498" s="116">
        <f>COUNTIFS($A$3:A9754,A1498,$B$3:B9754,B1498)</f>
        <v>1</v>
      </c>
      <c r="G1498" s="116"/>
    </row>
    <row r="1499" spans="1:7" x14ac:dyDescent="0.2">
      <c r="A1499" s="116">
        <f>IF(ISNUMBER(Tabela2[[#This Row],[CT-e/NFS]])=TRUE,(IF(B1499&gt;30000,4,IF(B1499&lt;1000,"ND",0))),"-")</f>
        <v>4</v>
      </c>
      <c r="B1499" s="116">
        <v>46306</v>
      </c>
      <c r="C1499" s="117">
        <v>45383</v>
      </c>
      <c r="D1499" s="116">
        <v>310.86</v>
      </c>
      <c r="E1499" s="117">
        <v>45397</v>
      </c>
      <c r="F1499" s="116">
        <f>COUNTIFS($A$3:A9755,A1499,$B$3:B9755,B1499)</f>
        <v>1</v>
      </c>
      <c r="G1499" s="116"/>
    </row>
    <row r="1500" spans="1:7" x14ac:dyDescent="0.2">
      <c r="A1500" s="116">
        <f>IF(ISNUMBER(Tabela2[[#This Row],[CT-e/NFS]])=TRUE,(IF(B1500&gt;30000,4,IF(B1500&lt;1000,"ND",0))),"-")</f>
        <v>0</v>
      </c>
      <c r="B1500" s="116">
        <v>21229</v>
      </c>
      <c r="C1500" s="117">
        <v>45383</v>
      </c>
      <c r="D1500" s="116">
        <v>348.37</v>
      </c>
      <c r="E1500" s="117">
        <v>45397</v>
      </c>
      <c r="F1500" s="116">
        <f>COUNTIFS($A$3:A9756,A1500,$B$3:B9756,B1500)</f>
        <v>1</v>
      </c>
      <c r="G1500" s="116"/>
    </row>
    <row r="1501" spans="1:7" x14ac:dyDescent="0.2">
      <c r="A1501" s="116">
        <f>IF(ISNUMBER(Tabela2[[#This Row],[CT-e/NFS]])=TRUE,(IF(B1501&gt;30000,4,IF(B1501&lt;1000,"ND",0))),"-")</f>
        <v>0</v>
      </c>
      <c r="B1501" s="116">
        <v>21230</v>
      </c>
      <c r="C1501" s="117">
        <v>45383</v>
      </c>
      <c r="D1501" s="116">
        <v>126.77</v>
      </c>
      <c r="E1501" s="117">
        <v>45397</v>
      </c>
      <c r="F1501" s="116">
        <f>COUNTIFS($A$3:A9757,A1501,$B$3:B9757,B1501)</f>
        <v>1</v>
      </c>
      <c r="G1501" s="116"/>
    </row>
    <row r="1502" spans="1:7" x14ac:dyDescent="0.2">
      <c r="A1502" s="116">
        <f>IF(ISNUMBER(Tabela2[[#This Row],[CT-e/NFS]])=TRUE,(IF(B1502&gt;30000,4,IF(B1502&lt;1000,"ND",0))),"-")</f>
        <v>0</v>
      </c>
      <c r="B1502" s="116">
        <v>21223</v>
      </c>
      <c r="C1502" s="117">
        <v>45383</v>
      </c>
      <c r="D1502" s="116">
        <v>515.41</v>
      </c>
      <c r="E1502" s="117">
        <v>45397</v>
      </c>
      <c r="F1502" s="116">
        <f>COUNTIFS($A$3:A9758,A1502,$B$3:B9758,B1502)</f>
        <v>1</v>
      </c>
      <c r="G1502" s="116"/>
    </row>
    <row r="1503" spans="1:7" x14ac:dyDescent="0.2">
      <c r="A1503" s="116">
        <f>IF(ISNUMBER(Tabela2[[#This Row],[CT-e/NFS]])=TRUE,(IF(B1503&gt;30000,4,IF(B1503&lt;1000,"ND",0))),"-")</f>
        <v>0</v>
      </c>
      <c r="B1503" s="116">
        <v>21224</v>
      </c>
      <c r="C1503" s="117">
        <v>45383</v>
      </c>
      <c r="D1503" s="116">
        <v>137.53</v>
      </c>
      <c r="E1503" s="117">
        <v>45397</v>
      </c>
      <c r="F1503" s="116">
        <f>COUNTIFS($A$3:A9759,A1503,$B$3:B9759,B1503)</f>
        <v>1</v>
      </c>
      <c r="G1503" s="116"/>
    </row>
    <row r="1504" spans="1:7" x14ac:dyDescent="0.2">
      <c r="A1504" s="116">
        <f>IF(ISNUMBER(Tabela2[[#This Row],[CT-e/NFS]])=TRUE,(IF(B1504&gt;30000,4,IF(B1504&lt;1000,"ND",0))),"-")</f>
        <v>0</v>
      </c>
      <c r="B1504" s="116">
        <v>21222</v>
      </c>
      <c r="C1504" s="117">
        <v>45383</v>
      </c>
      <c r="D1504" s="116">
        <v>202.51</v>
      </c>
      <c r="E1504" s="117">
        <v>45397</v>
      </c>
      <c r="F1504" s="116">
        <f>COUNTIFS($A$3:A9760,A1504,$B$3:B9760,B1504)</f>
        <v>1</v>
      </c>
      <c r="G1504" s="116"/>
    </row>
    <row r="1505" spans="1:7" x14ac:dyDescent="0.2">
      <c r="A1505" s="116">
        <f>IF(ISNUMBER(Tabela2[[#This Row],[CT-e/NFS]])=TRUE,(IF(B1505&gt;30000,4,IF(B1505&lt;1000,"ND",0))),"-")</f>
        <v>0</v>
      </c>
      <c r="B1505" s="116">
        <v>21227</v>
      </c>
      <c r="C1505" s="117">
        <v>45383</v>
      </c>
      <c r="D1505" s="116">
        <v>75.599999999999994</v>
      </c>
      <c r="E1505" s="117">
        <v>45397</v>
      </c>
      <c r="F1505" s="116">
        <f>COUNTIFS($A$3:A9761,A1505,$B$3:B9761,B1505)</f>
        <v>1</v>
      </c>
      <c r="G1505" s="116"/>
    </row>
    <row r="1506" spans="1:7" x14ac:dyDescent="0.2">
      <c r="A1506" s="116">
        <f>IF(ISNUMBER(Tabela2[[#This Row],[CT-e/NFS]])=TRUE,(IF(B1506&gt;30000,4,IF(B1506&lt;1000,"ND",0))),"-")</f>
        <v>4</v>
      </c>
      <c r="B1506" s="116">
        <v>46309</v>
      </c>
      <c r="C1506" s="117">
        <v>45383</v>
      </c>
      <c r="D1506" s="116">
        <v>465.63</v>
      </c>
      <c r="E1506" s="117">
        <v>45397</v>
      </c>
      <c r="F1506" s="116">
        <f>COUNTIFS($A$3:A9762,A1506,$B$3:B9762,B1506)</f>
        <v>1</v>
      </c>
      <c r="G1506" s="116"/>
    </row>
    <row r="1507" spans="1:7" x14ac:dyDescent="0.2">
      <c r="A1507" s="116">
        <f>IF(ISNUMBER(Tabela2[[#This Row],[CT-e/NFS]])=TRUE,(IF(B1507&gt;30000,4,IF(B1507&lt;1000,"ND",0))),"-")</f>
        <v>4</v>
      </c>
      <c r="B1507" s="116">
        <v>46310</v>
      </c>
      <c r="C1507" s="117">
        <v>45383</v>
      </c>
      <c r="D1507" s="116">
        <v>232.82</v>
      </c>
      <c r="E1507" s="117">
        <v>45397</v>
      </c>
      <c r="F1507" s="116">
        <f>COUNTIFS($A$3:A9763,A1507,$B$3:B9763,B1507)</f>
        <v>1</v>
      </c>
      <c r="G1507" s="116"/>
    </row>
    <row r="1508" spans="1:7" x14ac:dyDescent="0.2">
      <c r="A1508" s="116">
        <f>IF(ISNUMBER(Tabela2[[#This Row],[CT-e/NFS]])=TRUE,(IF(B1508&gt;30000,4,IF(B1508&lt;1000,"ND",0))),"-")</f>
        <v>4</v>
      </c>
      <c r="B1508" s="116">
        <v>46308</v>
      </c>
      <c r="C1508" s="117">
        <v>45383</v>
      </c>
      <c r="D1508" s="116">
        <v>283.26</v>
      </c>
      <c r="E1508" s="117">
        <v>45397</v>
      </c>
      <c r="F1508" s="116">
        <f>COUNTIFS($A$3:A9764,A1508,$B$3:B9764,B1508)</f>
        <v>1</v>
      </c>
      <c r="G1508" s="116"/>
    </row>
    <row r="1509" spans="1:7" x14ac:dyDescent="0.2">
      <c r="A1509" s="116">
        <f>IF(ISNUMBER(Tabela2[[#This Row],[CT-e/NFS]])=TRUE,(IF(B1509&gt;30000,4,IF(B1509&lt;1000,"ND",0))),"-")</f>
        <v>4</v>
      </c>
      <c r="B1509" s="116">
        <v>46313</v>
      </c>
      <c r="C1509" s="117">
        <v>45383</v>
      </c>
      <c r="D1509" s="116">
        <v>125.36</v>
      </c>
      <c r="E1509" s="117">
        <v>45397</v>
      </c>
      <c r="F1509" s="116">
        <f>COUNTIFS($A$3:A9765,A1509,$B$3:B9765,B1509)</f>
        <v>1</v>
      </c>
      <c r="G1509" s="116"/>
    </row>
    <row r="1510" spans="1:7" x14ac:dyDescent="0.2">
      <c r="A1510" s="116">
        <f>IF(ISNUMBER(Tabela2[[#This Row],[CT-e/NFS]])=TRUE,(IF(B1510&gt;30000,4,IF(B1510&lt;1000,"ND",0))),"-")</f>
        <v>4</v>
      </c>
      <c r="B1510" s="116">
        <v>46314</v>
      </c>
      <c r="C1510" s="117">
        <v>45383</v>
      </c>
      <c r="D1510" s="116">
        <v>123.52</v>
      </c>
      <c r="E1510" s="117">
        <v>45397</v>
      </c>
      <c r="F1510" s="116">
        <f>COUNTIFS($A$3:A9766,A1510,$B$3:B9766,B1510)</f>
        <v>1</v>
      </c>
      <c r="G1510" s="116"/>
    </row>
    <row r="1511" spans="1:7" x14ac:dyDescent="0.2">
      <c r="A1511" s="116">
        <f>IF(ISNUMBER(Tabela2[[#This Row],[CT-e/NFS]])=TRUE,(IF(B1511&gt;30000,4,IF(B1511&lt;1000,"ND",0))),"-")</f>
        <v>4</v>
      </c>
      <c r="B1511" s="116">
        <v>46319</v>
      </c>
      <c r="C1511" s="117">
        <v>45383</v>
      </c>
      <c r="D1511" s="116">
        <v>125.05</v>
      </c>
      <c r="E1511" s="117">
        <v>45397</v>
      </c>
      <c r="F1511" s="116">
        <f>COUNTIFS($A$3:A9767,A1511,$B$3:B9767,B1511)</f>
        <v>1</v>
      </c>
      <c r="G1511" s="116"/>
    </row>
    <row r="1512" spans="1:7" x14ac:dyDescent="0.2">
      <c r="A1512" s="116">
        <f>IF(ISNUMBER(Tabela2[[#This Row],[CT-e/NFS]])=TRUE,(IF(B1512&gt;30000,4,IF(B1512&lt;1000,"ND",0))),"-")</f>
        <v>4</v>
      </c>
      <c r="B1512" s="116">
        <v>46316</v>
      </c>
      <c r="C1512" s="117">
        <v>45383</v>
      </c>
      <c r="D1512" s="116">
        <v>181.3</v>
      </c>
      <c r="E1512" s="117">
        <v>45397</v>
      </c>
      <c r="F1512" s="116">
        <f>COUNTIFS($A$3:A9768,A1512,$B$3:B9768,B1512)</f>
        <v>1</v>
      </c>
      <c r="G1512" s="116"/>
    </row>
    <row r="1513" spans="1:7" x14ac:dyDescent="0.2">
      <c r="A1513" s="116">
        <f>IF(ISNUMBER(Tabela2[[#This Row],[CT-e/NFS]])=TRUE,(IF(B1513&gt;30000,4,IF(B1513&lt;1000,"ND",0))),"-")</f>
        <v>4</v>
      </c>
      <c r="B1513" s="116">
        <v>46318</v>
      </c>
      <c r="C1513" s="117">
        <v>45383</v>
      </c>
      <c r="D1513" s="116">
        <v>284.13</v>
      </c>
      <c r="E1513" s="117">
        <v>45397</v>
      </c>
      <c r="F1513" s="116">
        <f>COUNTIFS($A$3:A9769,A1513,$B$3:B9769,B1513)</f>
        <v>1</v>
      </c>
      <c r="G1513" s="116"/>
    </row>
    <row r="1514" spans="1:7" x14ac:dyDescent="0.2">
      <c r="A1514" s="116">
        <f>IF(ISNUMBER(Tabela2[[#This Row],[CT-e/NFS]])=TRUE,(IF(B1514&gt;30000,4,IF(B1514&lt;1000,"ND",0))),"-")</f>
        <v>4</v>
      </c>
      <c r="B1514" s="116">
        <v>46315</v>
      </c>
      <c r="C1514" s="117">
        <v>45383</v>
      </c>
      <c r="D1514" s="116">
        <v>125.25</v>
      </c>
      <c r="E1514" s="117">
        <v>45397</v>
      </c>
      <c r="F1514" s="116">
        <f>COUNTIFS($A$3:A9770,A1514,$B$3:B9770,B1514)</f>
        <v>1</v>
      </c>
      <c r="G1514" s="116"/>
    </row>
    <row r="1515" spans="1:7" x14ac:dyDescent="0.2">
      <c r="A1515" s="116">
        <f>IF(ISNUMBER(Tabela2[[#This Row],[CT-e/NFS]])=TRUE,(IF(B1515&gt;30000,4,IF(B1515&lt;1000,"ND",0))),"-")</f>
        <v>4</v>
      </c>
      <c r="B1515" s="116">
        <v>46320</v>
      </c>
      <c r="C1515" s="117">
        <v>45383</v>
      </c>
      <c r="D1515" s="116">
        <v>124.42</v>
      </c>
      <c r="E1515" s="117">
        <v>45397</v>
      </c>
      <c r="F1515" s="116">
        <f>COUNTIFS($A$3:A9771,A1515,$B$3:B9771,B1515)</f>
        <v>1</v>
      </c>
      <c r="G1515" s="116"/>
    </row>
    <row r="1516" spans="1:7" x14ac:dyDescent="0.2">
      <c r="A1516" s="116">
        <f>IF(ISNUMBER(Tabela2[[#This Row],[CT-e/NFS]])=TRUE,(IF(B1516&gt;30000,4,IF(B1516&lt;1000,"ND",0))),"-")</f>
        <v>4</v>
      </c>
      <c r="B1516" s="116">
        <v>46325</v>
      </c>
      <c r="C1516" s="117">
        <v>45383</v>
      </c>
      <c r="D1516" s="116">
        <v>931.82</v>
      </c>
      <c r="E1516" s="117">
        <v>45397</v>
      </c>
      <c r="F1516" s="116">
        <f>COUNTIFS($A$3:A9772,A1516,$B$3:B9772,B1516)</f>
        <v>1</v>
      </c>
      <c r="G1516" s="116"/>
    </row>
    <row r="1517" spans="1:7" x14ac:dyDescent="0.2">
      <c r="A1517" s="116">
        <f>IF(ISNUMBER(Tabela2[[#This Row],[CT-e/NFS]])=TRUE,(IF(B1517&gt;30000,4,IF(B1517&lt;1000,"ND",0))),"-")</f>
        <v>0</v>
      </c>
      <c r="B1517" s="116">
        <v>21231</v>
      </c>
      <c r="C1517" s="117">
        <v>45383</v>
      </c>
      <c r="D1517" s="116">
        <v>76.400000000000006</v>
      </c>
      <c r="E1517" s="117">
        <v>45397</v>
      </c>
      <c r="F1517" s="116">
        <f>COUNTIFS($A$3:A9773,A1517,$B$3:B9773,B1517)</f>
        <v>1</v>
      </c>
      <c r="G1517" s="116"/>
    </row>
    <row r="1518" spans="1:7" x14ac:dyDescent="0.2">
      <c r="A1518" s="116">
        <f>IF(ISNUMBER(Tabela2[[#This Row],[CT-e/NFS]])=TRUE,(IF(B1518&gt;30000,4,IF(B1518&lt;1000,"ND",0))),"-")</f>
        <v>0</v>
      </c>
      <c r="B1518" s="116">
        <v>21233</v>
      </c>
      <c r="C1518" s="117">
        <v>45383</v>
      </c>
      <c r="D1518" s="116">
        <v>100.49</v>
      </c>
      <c r="E1518" s="117">
        <v>45397</v>
      </c>
      <c r="F1518" s="116">
        <f>COUNTIFS($A$3:A9774,A1518,$B$3:B9774,B1518)</f>
        <v>1</v>
      </c>
      <c r="G1518" s="116"/>
    </row>
    <row r="1519" spans="1:7" x14ac:dyDescent="0.2">
      <c r="A1519" s="116">
        <f>IF(ISNUMBER(Tabela2[[#This Row],[CT-e/NFS]])=TRUE,(IF(B1519&gt;30000,4,IF(B1519&lt;1000,"ND",0))),"-")</f>
        <v>0</v>
      </c>
      <c r="B1519" s="116">
        <v>21232</v>
      </c>
      <c r="C1519" s="117">
        <v>45383</v>
      </c>
      <c r="D1519" s="116">
        <v>76.55</v>
      </c>
      <c r="E1519" s="117">
        <v>45397</v>
      </c>
      <c r="F1519" s="116">
        <f>COUNTIFS($A$3:A9775,A1519,$B$3:B9775,B1519)</f>
        <v>1</v>
      </c>
      <c r="G1519" s="116"/>
    </row>
    <row r="1520" spans="1:7" x14ac:dyDescent="0.2">
      <c r="A1520" s="116">
        <f>IF(ISNUMBER(Tabela2[[#This Row],[CT-e/NFS]])=TRUE,(IF(B1520&gt;30000,4,IF(B1520&lt;1000,"ND",0))),"-")</f>
        <v>4</v>
      </c>
      <c r="B1520" s="116">
        <v>46324</v>
      </c>
      <c r="C1520" s="117">
        <v>45383</v>
      </c>
      <c r="D1520" s="116">
        <v>113.28</v>
      </c>
      <c r="E1520" s="117">
        <v>45397</v>
      </c>
      <c r="F1520" s="116">
        <f>COUNTIFS($A$3:A9776,A1520,$B$3:B9776,B1520)</f>
        <v>1</v>
      </c>
      <c r="G1520" s="116"/>
    </row>
    <row r="1521" spans="1:7" x14ac:dyDescent="0.2">
      <c r="A1521" s="116">
        <f>IF(ISNUMBER(Tabela2[[#This Row],[CT-e/NFS]])=TRUE,(IF(B1521&gt;30000,4,IF(B1521&lt;1000,"ND",0))),"-")</f>
        <v>4</v>
      </c>
      <c r="B1521" s="116">
        <v>46323</v>
      </c>
      <c r="C1521" s="117">
        <v>45383</v>
      </c>
      <c r="D1521" s="116">
        <v>62.77</v>
      </c>
      <c r="E1521" s="117">
        <v>45397</v>
      </c>
      <c r="F1521" s="116">
        <f>COUNTIFS($A$3:A9777,A1521,$B$3:B9777,B1521)</f>
        <v>1</v>
      </c>
      <c r="G1521" s="116"/>
    </row>
    <row r="1522" spans="1:7" x14ac:dyDescent="0.2">
      <c r="A1522" s="116">
        <f>IF(ISNUMBER(Tabela2[[#This Row],[CT-e/NFS]])=TRUE,(IF(B1522&gt;30000,4,IF(B1522&lt;1000,"ND",0))),"-")</f>
        <v>4</v>
      </c>
      <c r="B1522" s="116">
        <v>46329</v>
      </c>
      <c r="C1522" s="117">
        <v>45383</v>
      </c>
      <c r="D1522" s="116">
        <v>282.99</v>
      </c>
      <c r="E1522" s="117">
        <v>45397</v>
      </c>
      <c r="F1522" s="116">
        <f>COUNTIFS($A$3:A9778,A1522,$B$3:B9778,B1522)</f>
        <v>1</v>
      </c>
      <c r="G1522" s="116"/>
    </row>
    <row r="1523" spans="1:7" x14ac:dyDescent="0.2">
      <c r="A1523" s="116">
        <f>IF(ISNUMBER(Tabela2[[#This Row],[CT-e/NFS]])=TRUE,(IF(B1523&gt;30000,4,IF(B1523&lt;1000,"ND",0))),"-")</f>
        <v>4</v>
      </c>
      <c r="B1523" s="116">
        <v>46327</v>
      </c>
      <c r="C1523" s="117">
        <v>45383</v>
      </c>
      <c r="D1523" s="116">
        <v>203.48</v>
      </c>
      <c r="E1523" s="117">
        <v>45397</v>
      </c>
      <c r="F1523" s="116">
        <f>COUNTIFS($A$3:A9779,A1523,$B$3:B9779,B1523)</f>
        <v>1</v>
      </c>
      <c r="G1523" s="116"/>
    </row>
    <row r="1524" spans="1:7" x14ac:dyDescent="0.2">
      <c r="A1524" s="116">
        <f>IF(ISNUMBER(Tabela2[[#This Row],[CT-e/NFS]])=TRUE,(IF(B1524&gt;30000,4,IF(B1524&lt;1000,"ND",0))),"-")</f>
        <v>4</v>
      </c>
      <c r="B1524" s="116">
        <v>46328</v>
      </c>
      <c r="C1524" s="117">
        <v>45383</v>
      </c>
      <c r="D1524" s="116">
        <v>651.26</v>
      </c>
      <c r="E1524" s="117">
        <v>45397</v>
      </c>
      <c r="F1524" s="116">
        <f>COUNTIFS($A$3:A9780,A1524,$B$3:B9780,B1524)</f>
        <v>1</v>
      </c>
      <c r="G1524" s="116"/>
    </row>
    <row r="1525" spans="1:7" x14ac:dyDescent="0.2">
      <c r="A1525" s="116">
        <f>IF(ISNUMBER(Tabela2[[#This Row],[CT-e/NFS]])=TRUE,(IF(B1525&gt;30000,4,IF(B1525&lt;1000,"ND",0))),"-")</f>
        <v>4</v>
      </c>
      <c r="B1525" s="116">
        <v>46333</v>
      </c>
      <c r="C1525" s="117">
        <v>45383</v>
      </c>
      <c r="D1525" s="116">
        <v>702.11</v>
      </c>
      <c r="E1525" s="117">
        <v>45397</v>
      </c>
      <c r="F1525" s="116">
        <f>COUNTIFS($A$3:A9781,A1525,$B$3:B9781,B1525)</f>
        <v>1</v>
      </c>
      <c r="G1525" s="116"/>
    </row>
    <row r="1526" spans="1:7" x14ac:dyDescent="0.2">
      <c r="A1526" s="116">
        <f>IF(ISNUMBER(Tabela2[[#This Row],[CT-e/NFS]])=TRUE,(IF(B1526&gt;30000,4,IF(B1526&lt;1000,"ND",0))),"-")</f>
        <v>4</v>
      </c>
      <c r="B1526" s="116">
        <v>46334</v>
      </c>
      <c r="C1526" s="117">
        <v>45383</v>
      </c>
      <c r="D1526" s="116">
        <v>1110.94</v>
      </c>
      <c r="E1526" s="117">
        <v>45397</v>
      </c>
      <c r="F1526" s="116">
        <f>COUNTIFS($A$3:A9782,A1526,$B$3:B9782,B1526)</f>
        <v>1</v>
      </c>
      <c r="G1526" s="116"/>
    </row>
    <row r="1527" spans="1:7" x14ac:dyDescent="0.2">
      <c r="A1527" s="116">
        <f>IF(ISNUMBER(Tabela2[[#This Row],[CT-e/NFS]])=TRUE,(IF(B1527&gt;30000,4,IF(B1527&lt;1000,"ND",0))),"-")</f>
        <v>4</v>
      </c>
      <c r="B1527" s="116">
        <v>46330</v>
      </c>
      <c r="C1527" s="117">
        <v>45383</v>
      </c>
      <c r="D1527" s="116">
        <v>125.03</v>
      </c>
      <c r="E1527" s="117">
        <v>45397</v>
      </c>
      <c r="F1527" s="116">
        <f>COUNTIFS($A$3:A9783,A1527,$B$3:B9783,B1527)</f>
        <v>1</v>
      </c>
      <c r="G1527" s="116"/>
    </row>
    <row r="1528" spans="1:7" x14ac:dyDescent="0.2">
      <c r="A1528" s="116">
        <f>IF(ISNUMBER(Tabela2[[#This Row],[CT-e/NFS]])=TRUE,(IF(B1528&gt;30000,4,IF(B1528&lt;1000,"ND",0))),"-")</f>
        <v>0</v>
      </c>
      <c r="B1528" s="116">
        <v>21211</v>
      </c>
      <c r="C1528" s="117">
        <v>45383</v>
      </c>
      <c r="D1528" s="116">
        <v>38.14</v>
      </c>
      <c r="E1528" s="117">
        <v>45397</v>
      </c>
      <c r="F1528" s="116">
        <f>COUNTIFS($A$3:A9784,A1528,$B$3:B9784,B1528)</f>
        <v>1</v>
      </c>
      <c r="G1528" s="116"/>
    </row>
    <row r="1529" spans="1:7" x14ac:dyDescent="0.2">
      <c r="A1529" s="116">
        <f>IF(ISNUMBER(Tabela2[[#This Row],[CT-e/NFS]])=TRUE,(IF(B1529&gt;30000,4,IF(B1529&lt;1000,"ND",0))),"-")</f>
        <v>0</v>
      </c>
      <c r="B1529" s="116">
        <v>21212</v>
      </c>
      <c r="C1529" s="117">
        <v>45383</v>
      </c>
      <c r="D1529" s="116">
        <v>68.72</v>
      </c>
      <c r="E1529" s="117">
        <v>45397</v>
      </c>
      <c r="F1529" s="116">
        <f>COUNTIFS($A$3:A9785,A1529,$B$3:B9785,B1529)</f>
        <v>1</v>
      </c>
      <c r="G1529" s="116"/>
    </row>
    <row r="1530" spans="1:7" x14ac:dyDescent="0.2">
      <c r="A1530" s="116">
        <f>IF(ISNUMBER(Tabela2[[#This Row],[CT-e/NFS]])=TRUE,(IF(B1530&gt;30000,4,IF(B1530&lt;1000,"ND",0))),"-")</f>
        <v>0</v>
      </c>
      <c r="B1530" s="116">
        <v>21213</v>
      </c>
      <c r="C1530" s="117">
        <v>45383</v>
      </c>
      <c r="D1530" s="116">
        <v>61.23</v>
      </c>
      <c r="E1530" s="117">
        <v>45397</v>
      </c>
      <c r="F1530" s="116">
        <f>COUNTIFS($A$3:A9786,A1530,$B$3:B9786,B1530)</f>
        <v>1</v>
      </c>
      <c r="G1530" s="116"/>
    </row>
    <row r="1531" spans="1:7" x14ac:dyDescent="0.2">
      <c r="A1531" s="116">
        <f>IF(ISNUMBER(Tabela2[[#This Row],[CT-e/NFS]])=TRUE,(IF(B1531&gt;30000,4,IF(B1531&lt;1000,"ND",0))),"-")</f>
        <v>4</v>
      </c>
      <c r="B1531" s="116">
        <v>46340</v>
      </c>
      <c r="C1531" s="117">
        <v>45383</v>
      </c>
      <c r="D1531" s="116">
        <v>123.05</v>
      </c>
      <c r="E1531" s="117">
        <v>45397</v>
      </c>
      <c r="F1531" s="116">
        <f>COUNTIFS($A$3:A9787,A1531,$B$3:B9787,B1531)</f>
        <v>1</v>
      </c>
      <c r="G1531" s="116"/>
    </row>
    <row r="1532" spans="1:7" x14ac:dyDescent="0.2">
      <c r="A1532" s="116">
        <f>IF(ISNUMBER(Tabela2[[#This Row],[CT-e/NFS]])=TRUE,(IF(B1532&gt;30000,4,IF(B1532&lt;1000,"ND",0))),"-")</f>
        <v>4</v>
      </c>
      <c r="B1532" s="116">
        <v>46342</v>
      </c>
      <c r="C1532" s="117">
        <v>45383</v>
      </c>
      <c r="D1532" s="116">
        <v>123.89</v>
      </c>
      <c r="E1532" s="117">
        <v>45397</v>
      </c>
      <c r="F1532" s="116">
        <f>COUNTIFS($A$3:A9788,A1532,$B$3:B9788,B1532)</f>
        <v>1</v>
      </c>
      <c r="G1532" s="116"/>
    </row>
    <row r="1533" spans="1:7" x14ac:dyDescent="0.2">
      <c r="A1533" s="116">
        <f>IF(ISNUMBER(Tabela2[[#This Row],[CT-e/NFS]])=TRUE,(IF(B1533&gt;30000,4,IF(B1533&lt;1000,"ND",0))),"-")</f>
        <v>4</v>
      </c>
      <c r="B1533" s="116">
        <v>46339</v>
      </c>
      <c r="C1533" s="117">
        <v>45383</v>
      </c>
      <c r="D1533" s="116">
        <v>125.64</v>
      </c>
      <c r="E1533" s="117">
        <v>45397</v>
      </c>
      <c r="F1533" s="116">
        <f>COUNTIFS($A$3:A9789,A1533,$B$3:B9789,B1533)</f>
        <v>1</v>
      </c>
      <c r="G1533" s="116"/>
    </row>
    <row r="1534" spans="1:7" x14ac:dyDescent="0.2">
      <c r="A1534" s="116">
        <f>IF(ISNUMBER(Tabela2[[#This Row],[CT-e/NFS]])=TRUE,(IF(B1534&gt;30000,4,IF(B1534&lt;1000,"ND",0))),"-")</f>
        <v>4</v>
      </c>
      <c r="B1534" s="116">
        <v>46341</v>
      </c>
      <c r="C1534" s="117">
        <v>45383</v>
      </c>
      <c r="D1534" s="116">
        <v>125.01</v>
      </c>
      <c r="E1534" s="117">
        <v>45397</v>
      </c>
      <c r="F1534" s="116">
        <f>COUNTIFS($A$3:A9790,A1534,$B$3:B9790,B1534)</f>
        <v>1</v>
      </c>
      <c r="G1534" s="116"/>
    </row>
    <row r="1535" spans="1:7" x14ac:dyDescent="0.2">
      <c r="A1535" s="116">
        <f>IF(ISNUMBER(Tabela2[[#This Row],[CT-e/NFS]])=TRUE,(IF(B1535&gt;30000,4,IF(B1535&lt;1000,"ND",0))),"-")</f>
        <v>4</v>
      </c>
      <c r="B1535" s="116">
        <v>46338</v>
      </c>
      <c r="C1535" s="117">
        <v>45383</v>
      </c>
      <c r="D1535" s="116">
        <v>125.47</v>
      </c>
      <c r="E1535" s="117">
        <v>45397</v>
      </c>
      <c r="F1535" s="116">
        <f>COUNTIFS($A$3:A9791,A1535,$B$3:B9791,B1535)</f>
        <v>1</v>
      </c>
      <c r="G1535" s="116"/>
    </row>
    <row r="1536" spans="1:7" x14ac:dyDescent="0.2">
      <c r="A1536" s="116">
        <f>IF(ISNUMBER(Tabela2[[#This Row],[CT-e/NFS]])=TRUE,(IF(B1536&gt;30000,4,IF(B1536&lt;1000,"ND",0))),"-")</f>
        <v>4</v>
      </c>
      <c r="B1536" s="116">
        <v>46343</v>
      </c>
      <c r="C1536" s="117">
        <v>45383</v>
      </c>
      <c r="D1536" s="116">
        <v>122.89</v>
      </c>
      <c r="E1536" s="117">
        <v>45397</v>
      </c>
      <c r="F1536" s="116">
        <f>COUNTIFS($A$3:A9792,A1536,$B$3:B9792,B1536)</f>
        <v>1</v>
      </c>
      <c r="G1536" s="116"/>
    </row>
    <row r="1537" spans="1:7" x14ac:dyDescent="0.2">
      <c r="A1537" s="116">
        <f>IF(ISNUMBER(Tabela2[[#This Row],[CT-e/NFS]])=TRUE,(IF(B1537&gt;30000,4,IF(B1537&lt;1000,"ND",0))),"-")</f>
        <v>4</v>
      </c>
      <c r="B1537" s="116">
        <v>46344</v>
      </c>
      <c r="C1537" s="117">
        <v>45383</v>
      </c>
      <c r="D1537" s="116">
        <v>124.19</v>
      </c>
      <c r="E1537" s="117">
        <v>45397</v>
      </c>
      <c r="F1537" s="116">
        <f>COUNTIFS($A$3:A9793,A1537,$B$3:B9793,B1537)</f>
        <v>1</v>
      </c>
      <c r="G1537" s="116"/>
    </row>
    <row r="1538" spans="1:7" x14ac:dyDescent="0.2">
      <c r="A1538" s="116">
        <f>IF(ISNUMBER(Tabela2[[#This Row],[CT-e/NFS]])=TRUE,(IF(B1538&gt;30000,4,IF(B1538&lt;1000,"ND",0))),"-")</f>
        <v>4</v>
      </c>
      <c r="B1538" s="116">
        <v>46348</v>
      </c>
      <c r="C1538" s="117">
        <v>45383</v>
      </c>
      <c r="D1538" s="116">
        <v>354.49</v>
      </c>
      <c r="E1538" s="117">
        <v>45397</v>
      </c>
      <c r="F1538" s="116">
        <f>COUNTIFS($A$3:A9794,A1538,$B$3:B9794,B1538)</f>
        <v>1</v>
      </c>
      <c r="G1538" s="116"/>
    </row>
    <row r="1539" spans="1:7" x14ac:dyDescent="0.2">
      <c r="A1539" s="116">
        <f>IF(ISNUMBER(Tabela2[[#This Row],[CT-e/NFS]])=TRUE,(IF(B1539&gt;30000,4,IF(B1539&lt;1000,"ND",0))),"-")</f>
        <v>4</v>
      </c>
      <c r="B1539" s="116">
        <v>46347</v>
      </c>
      <c r="C1539" s="117">
        <v>45383</v>
      </c>
      <c r="D1539" s="116">
        <v>126.08</v>
      </c>
      <c r="E1539" s="117">
        <v>45397</v>
      </c>
      <c r="F1539" s="116">
        <f>COUNTIFS($A$3:A9795,A1539,$B$3:B9795,B1539)</f>
        <v>1</v>
      </c>
      <c r="G1539" s="116"/>
    </row>
    <row r="1540" spans="1:7" x14ac:dyDescent="0.2">
      <c r="A1540" s="116">
        <f>IF(ISNUMBER(Tabela2[[#This Row],[CT-e/NFS]])=TRUE,(IF(B1540&gt;30000,4,IF(B1540&lt;1000,"ND",0))),"-")</f>
        <v>4</v>
      </c>
      <c r="B1540" s="116">
        <v>46345</v>
      </c>
      <c r="C1540" s="117">
        <v>45383</v>
      </c>
      <c r="D1540" s="116">
        <v>123.03</v>
      </c>
      <c r="E1540" s="117">
        <v>45397</v>
      </c>
      <c r="F1540" s="116">
        <f>COUNTIFS($A$3:A9796,A1540,$B$3:B9796,B1540)</f>
        <v>1</v>
      </c>
      <c r="G1540" s="116"/>
    </row>
    <row r="1541" spans="1:7" x14ac:dyDescent="0.2">
      <c r="A1541" s="116">
        <f>IF(ISNUMBER(Tabela2[[#This Row],[CT-e/NFS]])=TRUE,(IF(B1541&gt;30000,4,IF(B1541&lt;1000,"ND",0))),"-")</f>
        <v>4</v>
      </c>
      <c r="B1541" s="116">
        <v>46346</v>
      </c>
      <c r="C1541" s="117">
        <v>45383</v>
      </c>
      <c r="D1541" s="116">
        <v>238.68</v>
      </c>
      <c r="E1541" s="117">
        <v>45397</v>
      </c>
      <c r="F1541" s="116">
        <f>COUNTIFS($A$3:A9797,A1541,$B$3:B9797,B1541)</f>
        <v>1</v>
      </c>
      <c r="G1541" s="116"/>
    </row>
    <row r="1542" spans="1:7" x14ac:dyDescent="0.2">
      <c r="A1542" s="116">
        <f>IF(ISNUMBER(Tabela2[[#This Row],[CT-e/NFS]])=TRUE,(IF(B1542&gt;30000,4,IF(B1542&lt;1000,"ND",0))),"-")</f>
        <v>0</v>
      </c>
      <c r="B1542" s="116">
        <v>21214</v>
      </c>
      <c r="C1542" s="117">
        <v>45383</v>
      </c>
      <c r="D1542" s="116">
        <v>110.55</v>
      </c>
      <c r="E1542" s="117">
        <v>45397</v>
      </c>
      <c r="F1542" s="116">
        <f>COUNTIFS($A$3:A9798,A1542,$B$3:B9798,B1542)</f>
        <v>1</v>
      </c>
      <c r="G1542" s="116"/>
    </row>
    <row r="1543" spans="1:7" x14ac:dyDescent="0.2">
      <c r="A1543" s="116">
        <f>IF(ISNUMBER(Tabela2[[#This Row],[CT-e/NFS]])=TRUE,(IF(B1543&gt;30000,4,IF(B1543&lt;1000,"ND",0))),"-")</f>
        <v>4</v>
      </c>
      <c r="B1543" s="116">
        <v>46337</v>
      </c>
      <c r="C1543" s="117">
        <v>45383</v>
      </c>
      <c r="D1543" s="116">
        <v>408.02</v>
      </c>
      <c r="E1543" s="117">
        <v>45397</v>
      </c>
      <c r="F1543" s="116">
        <f>COUNTIFS($A$3:A9799,A1543,$B$3:B9799,B1543)</f>
        <v>1</v>
      </c>
      <c r="G1543" s="116"/>
    </row>
    <row r="1544" spans="1:7" x14ac:dyDescent="0.2">
      <c r="A1544" s="116">
        <f>IF(ISNUMBER(Tabela2[[#This Row],[CT-e/NFS]])=TRUE,(IF(B1544&gt;30000,4,IF(B1544&lt;1000,"ND",0))),"-")</f>
        <v>4</v>
      </c>
      <c r="B1544" s="116">
        <v>46350</v>
      </c>
      <c r="C1544" s="117">
        <v>45383</v>
      </c>
      <c r="D1544" s="116">
        <v>1758.3</v>
      </c>
      <c r="E1544" s="117">
        <v>45397</v>
      </c>
      <c r="F1544" s="116">
        <f>COUNTIFS($A$3:A9800,A1544,$B$3:B9800,B1544)</f>
        <v>1</v>
      </c>
      <c r="G1544" s="116"/>
    </row>
    <row r="1545" spans="1:7" x14ac:dyDescent="0.2">
      <c r="A1545" s="116">
        <f>IF(ISNUMBER(Tabela2[[#This Row],[CT-e/NFS]])=TRUE,(IF(B1545&gt;30000,4,IF(B1545&lt;1000,"ND",0))),"-")</f>
        <v>4</v>
      </c>
      <c r="B1545" s="116">
        <v>46351</v>
      </c>
      <c r="C1545" s="117">
        <v>45383</v>
      </c>
      <c r="D1545" s="116">
        <v>123.94</v>
      </c>
      <c r="E1545" s="117">
        <v>45397</v>
      </c>
      <c r="F1545" s="116">
        <f>COUNTIFS($A$3:A9801,A1545,$B$3:B9801,B1545)</f>
        <v>1</v>
      </c>
      <c r="G1545" s="116"/>
    </row>
    <row r="1546" spans="1:7" x14ac:dyDescent="0.2">
      <c r="A1546" s="116">
        <f>IF(ISNUMBER(Tabela2[[#This Row],[CT-e/NFS]])=TRUE,(IF(B1546&gt;30000,4,IF(B1546&lt;1000,"ND",0))),"-")</f>
        <v>4</v>
      </c>
      <c r="B1546" s="116">
        <v>46352</v>
      </c>
      <c r="C1546" s="117">
        <v>45383</v>
      </c>
      <c r="D1546" s="116">
        <v>702.74</v>
      </c>
      <c r="E1546" s="117">
        <v>45397</v>
      </c>
      <c r="F1546" s="116">
        <f>COUNTIFS($A$3:A9802,A1546,$B$3:B9802,B1546)</f>
        <v>1</v>
      </c>
      <c r="G1546" s="116"/>
    </row>
    <row r="1547" spans="1:7" x14ac:dyDescent="0.2">
      <c r="A1547" s="116">
        <f>IF(ISNUMBER(Tabela2[[#This Row],[CT-e/NFS]])=TRUE,(IF(B1547&gt;30000,4,IF(B1547&lt;1000,"ND",0))),"-")</f>
        <v>4</v>
      </c>
      <c r="B1547" s="116">
        <v>46355</v>
      </c>
      <c r="C1547" s="117">
        <v>45383</v>
      </c>
      <c r="D1547" s="116">
        <v>2106.11</v>
      </c>
      <c r="E1547" s="117">
        <v>45397</v>
      </c>
      <c r="F1547" s="116">
        <f>COUNTIFS($A$3:A9803,A1547,$B$3:B9803,B1547)</f>
        <v>1</v>
      </c>
      <c r="G1547" s="116"/>
    </row>
    <row r="1548" spans="1:7" x14ac:dyDescent="0.2">
      <c r="A1548" s="116">
        <f>IF(ISNUMBER(Tabela2[[#This Row],[CT-e/NFS]])=TRUE,(IF(B1548&gt;30000,4,IF(B1548&lt;1000,"ND",0))),"-")</f>
        <v>4</v>
      </c>
      <c r="B1548" s="116">
        <v>46354</v>
      </c>
      <c r="C1548" s="117">
        <v>45383</v>
      </c>
      <c r="D1548" s="116">
        <v>123.08</v>
      </c>
      <c r="E1548" s="117">
        <v>45397</v>
      </c>
      <c r="F1548" s="116">
        <f>COUNTIFS($A$3:A9804,A1548,$B$3:B9804,B1548)</f>
        <v>1</v>
      </c>
      <c r="G1548" s="116"/>
    </row>
    <row r="1549" spans="1:7" x14ac:dyDescent="0.2">
      <c r="A1549" s="116">
        <f>IF(ISNUMBER(Tabela2[[#This Row],[CT-e/NFS]])=TRUE,(IF(B1549&gt;30000,4,IF(B1549&lt;1000,"ND",0))),"-")</f>
        <v>4</v>
      </c>
      <c r="B1549" s="116">
        <v>46353</v>
      </c>
      <c r="C1549" s="117">
        <v>45383</v>
      </c>
      <c r="D1549" s="116">
        <v>725.5</v>
      </c>
      <c r="E1549" s="117">
        <v>45397</v>
      </c>
      <c r="F1549" s="116">
        <f>COUNTIFS($A$3:A9805,A1549,$B$3:B9805,B1549)</f>
        <v>1</v>
      </c>
      <c r="G1549" s="116"/>
    </row>
    <row r="1550" spans="1:7" x14ac:dyDescent="0.2">
      <c r="A1550" s="116">
        <f>IF(ISNUMBER(Tabela2[[#This Row],[CT-e/NFS]])=TRUE,(IF(B1550&gt;30000,4,IF(B1550&lt;1000,"ND",0))),"-")</f>
        <v>4</v>
      </c>
      <c r="B1550" s="116">
        <v>46359</v>
      </c>
      <c r="C1550" s="117">
        <v>45383</v>
      </c>
      <c r="D1550" s="116">
        <v>123.35</v>
      </c>
      <c r="E1550" s="117">
        <v>45397</v>
      </c>
      <c r="F1550" s="116">
        <f>COUNTIFS($A$3:A9806,A1550,$B$3:B9806,B1550)</f>
        <v>1</v>
      </c>
      <c r="G1550" s="116"/>
    </row>
    <row r="1551" spans="1:7" x14ac:dyDescent="0.2">
      <c r="A1551" s="116">
        <f>IF(ISNUMBER(Tabela2[[#This Row],[CT-e/NFS]])=TRUE,(IF(B1551&gt;30000,4,IF(B1551&lt;1000,"ND",0))),"-")</f>
        <v>4</v>
      </c>
      <c r="B1551" s="116">
        <v>46361</v>
      </c>
      <c r="C1551" s="117">
        <v>45383</v>
      </c>
      <c r="D1551" s="116">
        <v>124.28</v>
      </c>
      <c r="E1551" s="117">
        <v>45397</v>
      </c>
      <c r="F1551" s="116">
        <f>COUNTIFS($A$3:A9807,A1551,$B$3:B9807,B1551)</f>
        <v>1</v>
      </c>
      <c r="G1551" s="116"/>
    </row>
    <row r="1552" spans="1:7" x14ac:dyDescent="0.2">
      <c r="A1552" s="116">
        <f>IF(ISNUMBER(Tabela2[[#This Row],[CT-e/NFS]])=TRUE,(IF(B1552&gt;30000,4,IF(B1552&lt;1000,"ND",0))),"-")</f>
        <v>4</v>
      </c>
      <c r="B1552" s="116">
        <v>46358</v>
      </c>
      <c r="C1552" s="117">
        <v>45383</v>
      </c>
      <c r="D1552" s="116">
        <v>255.58</v>
      </c>
      <c r="E1552" s="117">
        <v>45397</v>
      </c>
      <c r="F1552" s="116">
        <f>COUNTIFS($A$3:A9808,A1552,$B$3:B9808,B1552)</f>
        <v>1</v>
      </c>
      <c r="G1552" s="116"/>
    </row>
    <row r="1553" spans="1:7" x14ac:dyDescent="0.2">
      <c r="A1553" s="116">
        <f>IF(ISNUMBER(Tabela2[[#This Row],[CT-e/NFS]])=TRUE,(IF(B1553&gt;30000,4,IF(B1553&lt;1000,"ND",0))),"-")</f>
        <v>4</v>
      </c>
      <c r="B1553" s="116">
        <v>46362</v>
      </c>
      <c r="C1553" s="117">
        <v>45383</v>
      </c>
      <c r="D1553" s="116">
        <v>124.03</v>
      </c>
      <c r="E1553" s="117">
        <v>45397</v>
      </c>
      <c r="F1553" s="116">
        <f>COUNTIFS($A$3:A9809,A1553,$B$3:B9809,B1553)</f>
        <v>1</v>
      </c>
      <c r="G1553" s="116"/>
    </row>
    <row r="1554" spans="1:7" x14ac:dyDescent="0.2">
      <c r="A1554" s="116">
        <f>IF(ISNUMBER(Tabela2[[#This Row],[CT-e/NFS]])=TRUE,(IF(B1554&gt;30000,4,IF(B1554&lt;1000,"ND",0))),"-")</f>
        <v>4</v>
      </c>
      <c r="B1554" s="116">
        <v>46360</v>
      </c>
      <c r="C1554" s="117">
        <v>45383</v>
      </c>
      <c r="D1554" s="116">
        <v>123.31</v>
      </c>
      <c r="E1554" s="117">
        <v>45397</v>
      </c>
      <c r="F1554" s="116">
        <f>COUNTIFS($A$3:A9810,A1554,$B$3:B9810,B1554)</f>
        <v>1</v>
      </c>
      <c r="G1554" s="116"/>
    </row>
    <row r="1555" spans="1:7" x14ac:dyDescent="0.2">
      <c r="A1555" s="116">
        <f>IF(ISNUMBER(Tabela2[[#This Row],[CT-e/NFS]])=TRUE,(IF(B1555&gt;30000,4,IF(B1555&lt;1000,"ND",0))),"-")</f>
        <v>4</v>
      </c>
      <c r="B1555" s="116">
        <v>46356</v>
      </c>
      <c r="C1555" s="117">
        <v>45383</v>
      </c>
      <c r="D1555" s="116">
        <v>12982.23</v>
      </c>
      <c r="E1555" s="117">
        <v>45397</v>
      </c>
      <c r="F1555" s="116">
        <f>COUNTIFS($A$3:A9811,A1555,$B$3:B9811,B1555)</f>
        <v>1</v>
      </c>
      <c r="G1555" s="116"/>
    </row>
    <row r="1556" spans="1:7" x14ac:dyDescent="0.2">
      <c r="A1556" s="116">
        <f>IF(ISNUMBER(Tabela2[[#This Row],[CT-e/NFS]])=TRUE,(IF(B1556&gt;30000,4,IF(B1556&lt;1000,"ND",0))),"-")</f>
        <v>4</v>
      </c>
      <c r="B1556" s="116">
        <v>46357</v>
      </c>
      <c r="C1556" s="117">
        <v>45383</v>
      </c>
      <c r="D1556" s="116">
        <v>6826.27</v>
      </c>
      <c r="E1556" s="117">
        <v>45397</v>
      </c>
      <c r="F1556" s="116">
        <f>COUNTIFS($A$3:A9812,A1556,$B$3:B9812,B1556)</f>
        <v>1</v>
      </c>
      <c r="G1556" s="116"/>
    </row>
    <row r="1557" spans="1:7" x14ac:dyDescent="0.2">
      <c r="A1557" s="116">
        <f>IF(ISNUMBER(Tabela2[[#This Row],[CT-e/NFS]])=TRUE,(IF(B1557&gt;30000,4,IF(B1557&lt;1000,"ND",0))),"-")</f>
        <v>4</v>
      </c>
      <c r="B1557" s="116">
        <v>46364</v>
      </c>
      <c r="C1557" s="117">
        <v>45383</v>
      </c>
      <c r="D1557" s="116">
        <v>86.68</v>
      </c>
      <c r="E1557" s="117">
        <v>45397</v>
      </c>
      <c r="F1557" s="116">
        <f>COUNTIFS($A$3:A9813,A1557,$B$3:B9813,B1557)</f>
        <v>1</v>
      </c>
      <c r="G1557" s="116"/>
    </row>
    <row r="1558" spans="1:7" x14ac:dyDescent="0.2">
      <c r="A1558" s="116">
        <f>IF(ISNUMBER(Tabela2[[#This Row],[CT-e/NFS]])=TRUE,(IF(B1558&gt;30000,4,IF(B1558&lt;1000,"ND",0))),"-")</f>
        <v>4</v>
      </c>
      <c r="B1558" s="116">
        <v>46366</v>
      </c>
      <c r="C1558" s="117">
        <v>45383</v>
      </c>
      <c r="D1558" s="116">
        <v>294.24</v>
      </c>
      <c r="E1558" s="117">
        <v>45397</v>
      </c>
      <c r="F1558" s="116">
        <f>COUNTIFS($A$3:A9814,A1558,$B$3:B9814,B1558)</f>
        <v>1</v>
      </c>
      <c r="G1558" s="116"/>
    </row>
    <row r="1559" spans="1:7" x14ac:dyDescent="0.2">
      <c r="A1559" s="116">
        <f>IF(ISNUMBER(Tabela2[[#This Row],[CT-e/NFS]])=TRUE,(IF(B1559&gt;30000,4,IF(B1559&lt;1000,"ND",0))),"-")</f>
        <v>4</v>
      </c>
      <c r="B1559" s="116">
        <v>46372</v>
      </c>
      <c r="C1559" s="117">
        <v>45383</v>
      </c>
      <c r="D1559" s="116">
        <v>609.98</v>
      </c>
      <c r="E1559" s="117">
        <v>45397</v>
      </c>
      <c r="F1559" s="116">
        <f>COUNTIFS($A$3:A9815,A1559,$B$3:B9815,B1559)</f>
        <v>1</v>
      </c>
      <c r="G1559" s="116"/>
    </row>
    <row r="1560" spans="1:7" x14ac:dyDescent="0.2">
      <c r="A1560" s="116">
        <f>IF(ISNUMBER(Tabela2[[#This Row],[CT-e/NFS]])=TRUE,(IF(B1560&gt;30000,4,IF(B1560&lt;1000,"ND",0))),"-")</f>
        <v>4</v>
      </c>
      <c r="B1560" s="116">
        <v>46371</v>
      </c>
      <c r="C1560" s="117">
        <v>45383</v>
      </c>
      <c r="D1560" s="116">
        <v>122.73</v>
      </c>
      <c r="E1560" s="117">
        <v>45397</v>
      </c>
      <c r="F1560" s="116">
        <f>COUNTIFS($A$3:A9816,A1560,$B$3:B9816,B1560)</f>
        <v>1</v>
      </c>
      <c r="G1560" s="116"/>
    </row>
    <row r="1561" spans="1:7" x14ac:dyDescent="0.2">
      <c r="A1561" s="116">
        <f>IF(ISNUMBER(Tabela2[[#This Row],[CT-e/NFS]])=TRUE,(IF(B1561&gt;30000,4,IF(B1561&lt;1000,"ND",0))),"-")</f>
        <v>4</v>
      </c>
      <c r="B1561" s="116">
        <v>46370</v>
      </c>
      <c r="C1561" s="117">
        <v>45383</v>
      </c>
      <c r="D1561" s="116">
        <v>122.74</v>
      </c>
      <c r="E1561" s="117">
        <v>45397</v>
      </c>
      <c r="F1561" s="116">
        <f>COUNTIFS($A$3:A9817,A1561,$B$3:B9817,B1561)</f>
        <v>1</v>
      </c>
      <c r="G1561" s="116"/>
    </row>
    <row r="1562" spans="1:7" x14ac:dyDescent="0.2">
      <c r="A1562" s="116">
        <f>IF(ISNUMBER(Tabela2[[#This Row],[CT-e/NFS]])=TRUE,(IF(B1562&gt;30000,4,IF(B1562&lt;1000,"ND",0))),"-")</f>
        <v>4</v>
      </c>
      <c r="B1562" s="116">
        <v>46331</v>
      </c>
      <c r="C1562" s="117">
        <v>45383</v>
      </c>
      <c r="D1562" s="116">
        <v>125.81</v>
      </c>
      <c r="E1562" s="117">
        <v>45397</v>
      </c>
      <c r="F1562" s="116">
        <f>COUNTIFS($A$3:A9818,A1562,$B$3:B9818,B1562)</f>
        <v>1</v>
      </c>
      <c r="G1562" s="116"/>
    </row>
    <row r="1563" spans="1:7" x14ac:dyDescent="0.2">
      <c r="A1563" s="116">
        <f>IF(ISNUMBER(Tabela2[[#This Row],[CT-e/NFS]])=TRUE,(IF(B1563&gt;30000,4,IF(B1563&lt;1000,"ND",0))),"-")</f>
        <v>4</v>
      </c>
      <c r="B1563" s="116">
        <v>46369</v>
      </c>
      <c r="C1563" s="117">
        <v>45383</v>
      </c>
      <c r="D1563" s="116">
        <v>123.11</v>
      </c>
      <c r="E1563" s="117">
        <v>45397</v>
      </c>
      <c r="F1563" s="116">
        <f>COUNTIFS($A$3:A9819,A1563,$B$3:B9819,B1563)</f>
        <v>1</v>
      </c>
      <c r="G1563" s="116"/>
    </row>
    <row r="1564" spans="1:7" x14ac:dyDescent="0.2">
      <c r="A1564" s="116">
        <f>IF(ISNUMBER(Tabela2[[#This Row],[CT-e/NFS]])=TRUE,(IF(B1564&gt;30000,4,IF(B1564&lt;1000,"ND",0))),"-")</f>
        <v>4</v>
      </c>
      <c r="B1564" s="116">
        <v>46377</v>
      </c>
      <c r="C1564" s="117">
        <v>45383</v>
      </c>
      <c r="D1564" s="116">
        <v>208.69</v>
      </c>
      <c r="E1564" s="117">
        <v>45397</v>
      </c>
      <c r="F1564" s="116">
        <f>COUNTIFS($A$3:A9820,A1564,$B$3:B9820,B1564)</f>
        <v>1</v>
      </c>
      <c r="G1564" s="116"/>
    </row>
    <row r="1565" spans="1:7" x14ac:dyDescent="0.2">
      <c r="A1565" s="116">
        <f>IF(ISNUMBER(Tabela2[[#This Row],[CT-e/NFS]])=TRUE,(IF(B1565&gt;30000,4,IF(B1565&lt;1000,"ND",0))),"-")</f>
        <v>4</v>
      </c>
      <c r="B1565" s="116">
        <v>46376</v>
      </c>
      <c r="C1565" s="117">
        <v>45383</v>
      </c>
      <c r="D1565" s="116">
        <v>124.39</v>
      </c>
      <c r="E1565" s="117">
        <v>45397</v>
      </c>
      <c r="F1565" s="116">
        <f>COUNTIFS($A$3:A9821,A1565,$B$3:B9821,B1565)</f>
        <v>1</v>
      </c>
      <c r="G1565" s="116"/>
    </row>
    <row r="1566" spans="1:7" x14ac:dyDescent="0.2">
      <c r="A1566" s="116">
        <f>IF(ISNUMBER(Tabela2[[#This Row],[CT-e/NFS]])=TRUE,(IF(B1566&gt;30000,4,IF(B1566&lt;1000,"ND",0))),"-")</f>
        <v>4</v>
      </c>
      <c r="B1566" s="116">
        <v>46375</v>
      </c>
      <c r="C1566" s="117">
        <v>45383</v>
      </c>
      <c r="D1566" s="116">
        <v>124.15</v>
      </c>
      <c r="E1566" s="117">
        <v>45397</v>
      </c>
      <c r="F1566" s="116">
        <f>COUNTIFS($A$3:A9822,A1566,$B$3:B9822,B1566)</f>
        <v>1</v>
      </c>
      <c r="G1566" s="116"/>
    </row>
    <row r="1567" spans="1:7" x14ac:dyDescent="0.2">
      <c r="A1567" s="116">
        <f>IF(ISNUMBER(Tabela2[[#This Row],[CT-e/NFS]])=TRUE,(IF(B1567&gt;30000,4,IF(B1567&lt;1000,"ND",0))),"-")</f>
        <v>4</v>
      </c>
      <c r="B1567" s="116">
        <v>46381</v>
      </c>
      <c r="C1567" s="117">
        <v>45383</v>
      </c>
      <c r="D1567" s="116">
        <v>240.47</v>
      </c>
      <c r="E1567" s="117">
        <v>45397</v>
      </c>
      <c r="F1567" s="116">
        <f>COUNTIFS($A$3:A9823,A1567,$B$3:B9823,B1567)</f>
        <v>1</v>
      </c>
      <c r="G1567" s="116"/>
    </row>
    <row r="1568" spans="1:7" x14ac:dyDescent="0.2">
      <c r="A1568" s="116">
        <f>IF(ISNUMBER(Tabela2[[#This Row],[CT-e/NFS]])=TRUE,(IF(B1568&gt;30000,4,IF(B1568&lt;1000,"ND",0))),"-")</f>
        <v>4</v>
      </c>
      <c r="B1568" s="116">
        <v>46385</v>
      </c>
      <c r="C1568" s="117">
        <v>45383</v>
      </c>
      <c r="D1568" s="116">
        <v>215.78</v>
      </c>
      <c r="E1568" s="117">
        <v>45397</v>
      </c>
      <c r="F1568" s="116">
        <f>COUNTIFS($A$3:A9824,A1568,$B$3:B9824,B1568)</f>
        <v>1</v>
      </c>
      <c r="G1568" s="116"/>
    </row>
    <row r="1569" spans="1:7" x14ac:dyDescent="0.2">
      <c r="A1569" s="116">
        <f>IF(ISNUMBER(Tabela2[[#This Row],[CT-e/NFS]])=TRUE,(IF(B1569&gt;30000,4,IF(B1569&lt;1000,"ND",0))),"-")</f>
        <v>4</v>
      </c>
      <c r="B1569" s="116">
        <v>46386</v>
      </c>
      <c r="C1569" s="117">
        <v>45383</v>
      </c>
      <c r="D1569" s="116">
        <v>249.94</v>
      </c>
      <c r="E1569" s="117">
        <v>45397</v>
      </c>
      <c r="F1569" s="116">
        <f>COUNTIFS($A$3:A9825,A1569,$B$3:B9825,B1569)</f>
        <v>1</v>
      </c>
      <c r="G1569" s="116"/>
    </row>
    <row r="1570" spans="1:7" x14ac:dyDescent="0.2">
      <c r="A1570" s="116">
        <f>IF(ISNUMBER(Tabela2[[#This Row],[CT-e/NFS]])=TRUE,(IF(B1570&gt;30000,4,IF(B1570&lt;1000,"ND",0))),"-")</f>
        <v>4</v>
      </c>
      <c r="B1570" s="116">
        <v>46384</v>
      </c>
      <c r="C1570" s="117">
        <v>45383</v>
      </c>
      <c r="D1570" s="116">
        <v>421.28</v>
      </c>
      <c r="E1570" s="117">
        <v>45397</v>
      </c>
      <c r="F1570" s="116">
        <f>COUNTIFS($A$3:A9826,A1570,$B$3:B9826,B1570)</f>
        <v>1</v>
      </c>
      <c r="G1570" s="116"/>
    </row>
    <row r="1571" spans="1:7" x14ac:dyDescent="0.2">
      <c r="A1571" s="116">
        <f>IF(ISNUMBER(Tabela2[[#This Row],[CT-e/NFS]])=TRUE,(IF(B1571&gt;30000,4,IF(B1571&lt;1000,"ND",0))),"-")</f>
        <v>4</v>
      </c>
      <c r="B1571" s="116">
        <v>46380</v>
      </c>
      <c r="C1571" s="117">
        <v>45383</v>
      </c>
      <c r="D1571" s="116">
        <v>124.51</v>
      </c>
      <c r="E1571" s="117">
        <v>45397</v>
      </c>
      <c r="F1571" s="116">
        <f>COUNTIFS($A$3:A9827,A1571,$B$3:B9827,B1571)</f>
        <v>1</v>
      </c>
      <c r="G1571" s="116"/>
    </row>
    <row r="1572" spans="1:7" x14ac:dyDescent="0.2">
      <c r="A1572" s="116">
        <f>IF(ISNUMBER(Tabela2[[#This Row],[CT-e/NFS]])=TRUE,(IF(B1572&gt;30000,4,IF(B1572&lt;1000,"ND",0))),"-")</f>
        <v>4</v>
      </c>
      <c r="B1572" s="116">
        <v>46378</v>
      </c>
      <c r="C1572" s="117">
        <v>45383</v>
      </c>
      <c r="D1572" s="116">
        <v>124.18</v>
      </c>
      <c r="E1572" s="117">
        <v>45397</v>
      </c>
      <c r="F1572" s="116">
        <f>COUNTIFS($A$3:A9828,A1572,$B$3:B9828,B1572)</f>
        <v>1</v>
      </c>
      <c r="G1572" s="116"/>
    </row>
    <row r="1573" spans="1:7" x14ac:dyDescent="0.2">
      <c r="A1573" s="116">
        <f>IF(ISNUMBER(Tabela2[[#This Row],[CT-e/NFS]])=TRUE,(IF(B1573&gt;30000,4,IF(B1573&lt;1000,"ND",0))),"-")</f>
        <v>4</v>
      </c>
      <c r="B1573" s="116">
        <v>46383</v>
      </c>
      <c r="C1573" s="117">
        <v>45383</v>
      </c>
      <c r="D1573" s="116">
        <v>250.72</v>
      </c>
      <c r="E1573" s="117">
        <v>45397</v>
      </c>
      <c r="F1573" s="116">
        <f>COUNTIFS($A$3:A9829,A1573,$B$3:B9829,B1573)</f>
        <v>1</v>
      </c>
      <c r="G1573" s="116"/>
    </row>
    <row r="1574" spans="1:7" x14ac:dyDescent="0.2">
      <c r="A1574" s="116">
        <f>IF(ISNUMBER(Tabela2[[#This Row],[CT-e/NFS]])=TRUE,(IF(B1574&gt;30000,4,IF(B1574&lt;1000,"ND",0))),"-")</f>
        <v>4</v>
      </c>
      <c r="B1574" s="116">
        <v>46379</v>
      </c>
      <c r="C1574" s="117">
        <v>45383</v>
      </c>
      <c r="D1574" s="116">
        <v>241.9</v>
      </c>
      <c r="E1574" s="117">
        <v>45397</v>
      </c>
      <c r="F1574" s="116">
        <f>COUNTIFS($A$3:A9830,A1574,$B$3:B9830,B1574)</f>
        <v>1</v>
      </c>
      <c r="G1574" s="116"/>
    </row>
    <row r="1575" spans="1:7" x14ac:dyDescent="0.2">
      <c r="A1575" s="116">
        <f>IF(ISNUMBER(Tabela2[[#This Row],[CT-e/NFS]])=TRUE,(IF(B1575&gt;30000,4,IF(B1575&lt;1000,"ND",0))),"-")</f>
        <v>4</v>
      </c>
      <c r="B1575" s="116">
        <v>46382</v>
      </c>
      <c r="C1575" s="117">
        <v>45383</v>
      </c>
      <c r="D1575" s="116">
        <v>122.88</v>
      </c>
      <c r="E1575" s="117">
        <v>45397</v>
      </c>
      <c r="F1575" s="116">
        <f>COUNTIFS($A$3:A9831,A1575,$B$3:B9831,B1575)</f>
        <v>1</v>
      </c>
      <c r="G1575" s="116"/>
    </row>
    <row r="1576" spans="1:7" x14ac:dyDescent="0.2">
      <c r="A1576" s="116">
        <f>IF(ISNUMBER(Tabela2[[#This Row],[CT-e/NFS]])=TRUE,(IF(B1576&gt;30000,4,IF(B1576&lt;1000,"ND",0))),"-")</f>
        <v>4</v>
      </c>
      <c r="B1576" s="116">
        <v>46391</v>
      </c>
      <c r="C1576" s="117">
        <v>45383</v>
      </c>
      <c r="D1576" s="116">
        <v>113.28</v>
      </c>
      <c r="E1576" s="117">
        <v>45397</v>
      </c>
      <c r="F1576" s="116">
        <f>COUNTIFS($A$3:A9832,A1576,$B$3:B9832,B1576)</f>
        <v>1</v>
      </c>
      <c r="G1576" s="116"/>
    </row>
    <row r="1577" spans="1:7" x14ac:dyDescent="0.2">
      <c r="A1577" s="116">
        <f>IF(ISNUMBER(Tabela2[[#This Row],[CT-e/NFS]])=TRUE,(IF(B1577&gt;30000,4,IF(B1577&lt;1000,"ND",0))),"-")</f>
        <v>4</v>
      </c>
      <c r="B1577" s="116">
        <v>46388</v>
      </c>
      <c r="C1577" s="117">
        <v>45383</v>
      </c>
      <c r="D1577" s="116">
        <v>62.77</v>
      </c>
      <c r="E1577" s="117">
        <v>45397</v>
      </c>
      <c r="F1577" s="116">
        <f>COUNTIFS($A$3:A9833,A1577,$B$3:B9833,B1577)</f>
        <v>1</v>
      </c>
      <c r="G1577" s="116"/>
    </row>
    <row r="1578" spans="1:7" x14ac:dyDescent="0.2">
      <c r="A1578" s="116">
        <f>IF(ISNUMBER(Tabela2[[#This Row],[CT-e/NFS]])=TRUE,(IF(B1578&gt;30000,4,IF(B1578&lt;1000,"ND",0))),"-")</f>
        <v>4</v>
      </c>
      <c r="B1578" s="116">
        <v>46390</v>
      </c>
      <c r="C1578" s="117">
        <v>45383</v>
      </c>
      <c r="D1578" s="116">
        <v>62.77</v>
      </c>
      <c r="E1578" s="117">
        <v>45397</v>
      </c>
      <c r="F1578" s="116">
        <f>COUNTIFS($A$3:A9834,A1578,$B$3:B9834,B1578)</f>
        <v>1</v>
      </c>
      <c r="G1578" s="116"/>
    </row>
    <row r="1579" spans="1:7" x14ac:dyDescent="0.2">
      <c r="A1579" s="116">
        <f>IF(ISNUMBER(Tabela2[[#This Row],[CT-e/NFS]])=TRUE,(IF(B1579&gt;30000,4,IF(B1579&lt;1000,"ND",0))),"-")</f>
        <v>4</v>
      </c>
      <c r="B1579" s="116">
        <v>46389</v>
      </c>
      <c r="C1579" s="117">
        <v>45383</v>
      </c>
      <c r="D1579" s="116">
        <v>113.28</v>
      </c>
      <c r="E1579" s="117">
        <v>45397</v>
      </c>
      <c r="F1579" s="116">
        <f>COUNTIFS($A$3:A9835,A1579,$B$3:B9835,B1579)</f>
        <v>1</v>
      </c>
      <c r="G1579" s="116"/>
    </row>
    <row r="1580" spans="1:7" x14ac:dyDescent="0.2">
      <c r="A1580" s="116">
        <f>IF(ISNUMBER(Tabela2[[#This Row],[CT-e/NFS]])=TRUE,(IF(B1580&gt;30000,4,IF(B1580&lt;1000,"ND",0))),"-")</f>
        <v>4</v>
      </c>
      <c r="B1580" s="116">
        <v>46392</v>
      </c>
      <c r="C1580" s="117">
        <v>45383</v>
      </c>
      <c r="D1580" s="116">
        <v>1053.06</v>
      </c>
      <c r="E1580" s="117">
        <v>45397</v>
      </c>
      <c r="F1580" s="116">
        <f>COUNTIFS($A$3:A9836,A1580,$B$3:B9836,B1580)</f>
        <v>1</v>
      </c>
      <c r="G1580" s="116"/>
    </row>
    <row r="1581" spans="1:7" x14ac:dyDescent="0.2">
      <c r="A1581" s="116">
        <f>IF(ISNUMBER(Tabela2[[#This Row],[CT-e/NFS]])=TRUE,(IF(B1581&gt;30000,4,IF(B1581&lt;1000,"ND",0))),"-")</f>
        <v>0</v>
      </c>
      <c r="B1581" s="116">
        <v>21215</v>
      </c>
      <c r="C1581" s="117">
        <v>45383</v>
      </c>
      <c r="D1581" s="116">
        <v>77.430000000000007</v>
      </c>
      <c r="E1581" s="117">
        <v>45397</v>
      </c>
      <c r="F1581" s="116">
        <f>COUNTIFS($A$3:A9837,A1581,$B$3:B9837,B1581)</f>
        <v>1</v>
      </c>
      <c r="G1581" s="116"/>
    </row>
    <row r="1582" spans="1:7" x14ac:dyDescent="0.2">
      <c r="A1582" s="116">
        <f>IF(ISNUMBER(Tabela2[[#This Row],[CT-e/NFS]])=TRUE,(IF(B1582&gt;30000,4,IF(B1582&lt;1000,"ND",0))),"-")</f>
        <v>0</v>
      </c>
      <c r="B1582" s="116">
        <v>21216</v>
      </c>
      <c r="C1582" s="117">
        <v>45383</v>
      </c>
      <c r="D1582" s="116">
        <v>77.13</v>
      </c>
      <c r="E1582" s="117">
        <v>45397</v>
      </c>
      <c r="F1582" s="116">
        <f>COUNTIFS($A$3:A9838,A1582,$B$3:B9838,B1582)</f>
        <v>1</v>
      </c>
      <c r="G1582" s="116"/>
    </row>
    <row r="1583" spans="1:7" x14ac:dyDescent="0.2">
      <c r="A1583" s="116">
        <f>IF(ISNUMBER(Tabela2[[#This Row],[CT-e/NFS]])=TRUE,(IF(B1583&gt;30000,4,IF(B1583&lt;1000,"ND",0))),"-")</f>
        <v>0</v>
      </c>
      <c r="B1583" s="116">
        <v>21217</v>
      </c>
      <c r="C1583" s="117">
        <v>45383</v>
      </c>
      <c r="D1583" s="116">
        <v>76.349999999999994</v>
      </c>
      <c r="E1583" s="117">
        <v>45397</v>
      </c>
      <c r="F1583" s="116">
        <f>COUNTIFS($A$3:A9839,A1583,$B$3:B9839,B1583)</f>
        <v>1</v>
      </c>
      <c r="G1583" s="116"/>
    </row>
    <row r="1584" spans="1:7" x14ac:dyDescent="0.2">
      <c r="A1584" s="116">
        <f>IF(ISNUMBER(Tabela2[[#This Row],[CT-e/NFS]])=TRUE,(IF(B1584&gt;30000,4,IF(B1584&lt;1000,"ND",0))),"-")</f>
        <v>0</v>
      </c>
      <c r="B1584" s="116">
        <v>21218</v>
      </c>
      <c r="C1584" s="117">
        <v>45383</v>
      </c>
      <c r="D1584" s="116">
        <v>136.81</v>
      </c>
      <c r="E1584" s="117">
        <v>45397</v>
      </c>
      <c r="F1584" s="116">
        <f>COUNTIFS($A$3:A9840,A1584,$B$3:B9840,B1584)</f>
        <v>1</v>
      </c>
      <c r="G1584" s="116"/>
    </row>
    <row r="1585" spans="1:7" x14ac:dyDescent="0.2">
      <c r="A1585" s="116">
        <f>IF(ISNUMBER(Tabela2[[#This Row],[CT-e/NFS]])=TRUE,(IF(B1585&gt;30000,4,IF(B1585&lt;1000,"ND",0))),"-")</f>
        <v>0</v>
      </c>
      <c r="B1585" s="116">
        <v>21219</v>
      </c>
      <c r="C1585" s="117">
        <v>45383</v>
      </c>
      <c r="D1585" s="116">
        <v>76.39</v>
      </c>
      <c r="E1585" s="117">
        <v>45397</v>
      </c>
      <c r="F1585" s="116">
        <f>COUNTIFS($A$3:A9841,A1585,$B$3:B9841,B1585)</f>
        <v>1</v>
      </c>
      <c r="G1585" s="116"/>
    </row>
    <row r="1586" spans="1:7" x14ac:dyDescent="0.2">
      <c r="A1586" s="116">
        <f>IF(ISNUMBER(Tabela2[[#This Row],[CT-e/NFS]])=TRUE,(IF(B1586&gt;30000,4,IF(B1586&lt;1000,"ND",0))),"-")</f>
        <v>0</v>
      </c>
      <c r="B1586" s="116">
        <v>21220</v>
      </c>
      <c r="C1586" s="117">
        <v>45383</v>
      </c>
      <c r="D1586" s="116">
        <v>489.83</v>
      </c>
      <c r="E1586" s="117">
        <v>45397</v>
      </c>
      <c r="F1586" s="116">
        <f>COUNTIFS($A$3:A9842,A1586,$B$3:B9842,B1586)</f>
        <v>1</v>
      </c>
      <c r="G1586" s="116"/>
    </row>
    <row r="1587" spans="1:7" x14ac:dyDescent="0.2">
      <c r="A1587" s="116">
        <f>IF(ISNUMBER(Tabela2[[#This Row],[CT-e/NFS]])=TRUE,(IF(B1587&gt;30000,4,IF(B1587&lt;1000,"ND",0))),"-")</f>
        <v>0</v>
      </c>
      <c r="B1587" s="116">
        <v>21221</v>
      </c>
      <c r="C1587" s="117">
        <v>45383</v>
      </c>
      <c r="D1587" s="116">
        <v>277.56</v>
      </c>
      <c r="E1587" s="117">
        <v>45397</v>
      </c>
      <c r="F1587" s="116">
        <f>COUNTIFS($A$3:A9843,A1587,$B$3:B9843,B1587)</f>
        <v>1</v>
      </c>
      <c r="G1587" s="116"/>
    </row>
    <row r="1588" spans="1:7" x14ac:dyDescent="0.2">
      <c r="A1588" s="116">
        <f>IF(ISNUMBER(Tabela2[[#This Row],[CT-e/NFS]])=TRUE,(IF(B1588&gt;30000,4,IF(B1588&lt;1000,"ND",0))),"-")</f>
        <v>4</v>
      </c>
      <c r="B1588" s="116">
        <v>46311</v>
      </c>
      <c r="C1588" s="117">
        <v>45383</v>
      </c>
      <c r="D1588" s="116">
        <v>419.07</v>
      </c>
      <c r="E1588" s="117">
        <v>45397</v>
      </c>
      <c r="F1588" s="116">
        <f>COUNTIFS($A$3:A9844,A1588,$B$3:B9844,B1588)</f>
        <v>1</v>
      </c>
      <c r="G1588" s="116"/>
    </row>
    <row r="1589" spans="1:7" x14ac:dyDescent="0.2">
      <c r="A1589" s="116">
        <f>IF(ISNUMBER(Tabela2[[#This Row],[CT-e/NFS]])=TRUE,(IF(B1589&gt;30000,4,IF(B1589&lt;1000,"ND",0))),"-")</f>
        <v>4</v>
      </c>
      <c r="B1589" s="116">
        <v>46317</v>
      </c>
      <c r="C1589" s="117">
        <v>45383</v>
      </c>
      <c r="D1589" s="116">
        <v>231.83</v>
      </c>
      <c r="E1589" s="117">
        <v>45397</v>
      </c>
      <c r="F1589" s="116">
        <f>COUNTIFS($A$3:A9845,A1589,$B$3:B9845,B1589)</f>
        <v>1</v>
      </c>
      <c r="G1589" s="116"/>
    </row>
    <row r="1590" spans="1:7" x14ac:dyDescent="0.2">
      <c r="A1590" s="116">
        <f>IF(ISNUMBER(Tabela2[[#This Row],[CT-e/NFS]])=TRUE,(IF(B1590&gt;30000,4,IF(B1590&lt;1000,"ND",0))),"-")</f>
        <v>4</v>
      </c>
      <c r="B1590" s="116">
        <v>46373</v>
      </c>
      <c r="C1590" s="117">
        <v>45383</v>
      </c>
      <c r="D1590" s="116">
        <v>408.02</v>
      </c>
      <c r="E1590" s="117">
        <v>45397</v>
      </c>
      <c r="F1590" s="116">
        <f>COUNTIFS($A$3:A9846,A1590,$B$3:B9846,B1590)</f>
        <v>1</v>
      </c>
      <c r="G1590" s="116"/>
    </row>
    <row r="1591" spans="1:7" x14ac:dyDescent="0.2">
      <c r="A1591" s="116">
        <f>IF(ISNUMBER(Tabela2[[#This Row],[CT-e/NFS]])=TRUE,(IF(B1591&gt;30000,4,IF(B1591&lt;1000,"ND",0))),"-")</f>
        <v>4</v>
      </c>
      <c r="B1591" s="116">
        <v>46278</v>
      </c>
      <c r="C1591" s="117">
        <v>45383</v>
      </c>
      <c r="D1591" s="116">
        <v>420.6</v>
      </c>
      <c r="E1591" s="117">
        <v>45397</v>
      </c>
      <c r="F1591" s="116">
        <f>COUNTIFS($A$3:A9847,A1591,$B$3:B9847,B1591)</f>
        <v>1</v>
      </c>
      <c r="G1591" s="116"/>
    </row>
    <row r="1592" spans="1:7" x14ac:dyDescent="0.2">
      <c r="A1592" s="116">
        <f>IF(ISNUMBER(Tabela2[[#This Row],[CT-e/NFS]])=TRUE,(IF(B1592&gt;30000,4,IF(B1592&lt;1000,"ND",0))),"-")</f>
        <v>4</v>
      </c>
      <c r="B1592" s="116">
        <v>46277</v>
      </c>
      <c r="C1592" s="117">
        <v>45383</v>
      </c>
      <c r="D1592" s="116">
        <v>233.66</v>
      </c>
      <c r="E1592" s="117">
        <v>45397</v>
      </c>
      <c r="F1592" s="116">
        <f>COUNTIFS($A$3:A9848,A1592,$B$3:B9848,B1592)</f>
        <v>1</v>
      </c>
      <c r="G1592" s="116"/>
    </row>
    <row r="1593" spans="1:7" x14ac:dyDescent="0.2">
      <c r="A1593" s="116">
        <f>IF(ISNUMBER(Tabela2[[#This Row],[CT-e/NFS]])=TRUE,(IF(B1593&gt;30000,4,IF(B1593&lt;1000,"ND",0))),"-")</f>
        <v>4</v>
      </c>
      <c r="B1593" s="116">
        <v>46326</v>
      </c>
      <c r="C1593" s="117">
        <v>45383</v>
      </c>
      <c r="D1593" s="116">
        <v>233.67</v>
      </c>
      <c r="E1593" s="117">
        <v>45397</v>
      </c>
      <c r="F1593" s="116">
        <f>COUNTIFS($A$3:A9849,A1593,$B$3:B9849,B1593)</f>
        <v>1</v>
      </c>
      <c r="G1593" s="116"/>
    </row>
    <row r="1594" spans="1:7" x14ac:dyDescent="0.2">
      <c r="A1594" s="116">
        <f>IF(ISNUMBER(Tabela2[[#This Row],[CT-e/NFS]])=TRUE,(IF(B1594&gt;30000,4,IF(B1594&lt;1000,"ND",0))),"-")</f>
        <v>4</v>
      </c>
      <c r="B1594" s="116">
        <v>46387</v>
      </c>
      <c r="C1594" s="117">
        <v>45383</v>
      </c>
      <c r="D1594" s="116">
        <v>2086.0300000000002</v>
      </c>
      <c r="E1594" s="117">
        <v>45397</v>
      </c>
      <c r="F1594" s="116">
        <f>COUNTIFS($A$3:A9850,A1594,$B$3:B9850,B1594)</f>
        <v>1</v>
      </c>
      <c r="G1594" s="116"/>
    </row>
    <row r="1595" spans="1:7" x14ac:dyDescent="0.2">
      <c r="A1595" s="116">
        <f>IF(ISNUMBER(Tabela2[[#This Row],[CT-e/NFS]])=TRUE,(IF(B1595&gt;30000,4,IF(B1595&lt;1000,"ND",0))),"-")</f>
        <v>4</v>
      </c>
      <c r="B1595" s="116">
        <v>46374</v>
      </c>
      <c r="C1595" s="117">
        <v>45383</v>
      </c>
      <c r="D1595" s="116">
        <v>467.33</v>
      </c>
      <c r="E1595" s="117">
        <v>45397</v>
      </c>
      <c r="F1595" s="116">
        <f>COUNTIFS($A$3:A9851,A1595,$B$3:B9851,B1595)</f>
        <v>1</v>
      </c>
      <c r="G1595" s="116"/>
    </row>
    <row r="1596" spans="1:7" x14ac:dyDescent="0.2">
      <c r="A1596" s="116">
        <f>IF(ISNUMBER(Tabela2[[#This Row],[CT-e/NFS]])=TRUE,(IF(B1596&gt;30000,4,IF(B1596&lt;1000,"ND",0))),"-")</f>
        <v>4</v>
      </c>
      <c r="B1596" s="116">
        <v>46365</v>
      </c>
      <c r="C1596" s="117">
        <v>45383</v>
      </c>
      <c r="D1596" s="116">
        <v>1374.52</v>
      </c>
      <c r="E1596" s="117">
        <v>45397</v>
      </c>
      <c r="F1596" s="116">
        <f>COUNTIFS($A$3:A9852,A1596,$B$3:B9852,B1596)</f>
        <v>1</v>
      </c>
      <c r="G1596" s="116"/>
    </row>
    <row r="1597" spans="1:7" x14ac:dyDescent="0.2">
      <c r="A1597" s="116">
        <f>IF(ISNUMBER(Tabela2[[#This Row],[CT-e/NFS]])=TRUE,(IF(B1597&gt;30000,4,IF(B1597&lt;1000,"ND",0))),"-")</f>
        <v>4</v>
      </c>
      <c r="B1597" s="116">
        <v>46408</v>
      </c>
      <c r="C1597" s="117">
        <v>45383</v>
      </c>
      <c r="D1597" s="116">
        <v>585.70000000000005</v>
      </c>
      <c r="E1597" s="117">
        <v>45397</v>
      </c>
      <c r="F1597" s="116">
        <f>COUNTIFS($A$3:A9853,A1597,$B$3:B9853,B1597)</f>
        <v>1</v>
      </c>
      <c r="G1597" s="116"/>
    </row>
    <row r="1598" spans="1:7" x14ac:dyDescent="0.2">
      <c r="A1598" s="116">
        <f>IF(ISNUMBER(Tabela2[[#This Row],[CT-e/NFS]])=TRUE,(IF(B1598&gt;30000,4,IF(B1598&lt;1000,"ND",0))),"-")</f>
        <v>4</v>
      </c>
      <c r="B1598" s="116">
        <v>46402</v>
      </c>
      <c r="C1598" s="117">
        <v>45393</v>
      </c>
      <c r="D1598" s="116">
        <v>125.25</v>
      </c>
      <c r="E1598" s="117">
        <v>45397</v>
      </c>
      <c r="F1598" s="116">
        <f>COUNTIFS($A$3:A9854,A1598,$B$3:B9854,B1598)</f>
        <v>1</v>
      </c>
      <c r="G1598" s="116"/>
    </row>
    <row r="1599" spans="1:7" x14ac:dyDescent="0.2">
      <c r="A1599" s="116">
        <f>IF(ISNUMBER(Tabela2[[#This Row],[CT-e/NFS]])=TRUE,(IF(B1599&gt;30000,4,IF(B1599&lt;1000,"ND",0))),"-")</f>
        <v>4</v>
      </c>
      <c r="B1599" s="116">
        <v>46403</v>
      </c>
      <c r="C1599" s="117">
        <v>45393</v>
      </c>
      <c r="D1599" s="116">
        <v>334.6</v>
      </c>
      <c r="E1599" s="117">
        <v>45397</v>
      </c>
      <c r="F1599" s="116">
        <f>COUNTIFS($A$3:A9855,A1599,$B$3:B9855,B1599)</f>
        <v>1</v>
      </c>
      <c r="G1599" s="116"/>
    </row>
    <row r="1600" spans="1:7" x14ac:dyDescent="0.2">
      <c r="A1600" s="116">
        <f>IF(ISNUMBER(Tabela2[[#This Row],[CT-e/NFS]])=TRUE,(IF(B1600&gt;30000,4,IF(B1600&lt;1000,"ND",0))),"-")</f>
        <v>4</v>
      </c>
      <c r="B1600" s="116">
        <v>46399</v>
      </c>
      <c r="C1600" s="117">
        <v>45393</v>
      </c>
      <c r="D1600" s="116">
        <v>257.10000000000002</v>
      </c>
      <c r="E1600" s="117">
        <v>45397</v>
      </c>
      <c r="F1600" s="116">
        <f>COUNTIFS($A$3:A9856,A1600,$B$3:B9856,B1600)</f>
        <v>1</v>
      </c>
      <c r="G1600" s="116"/>
    </row>
    <row r="1601" spans="1:7" x14ac:dyDescent="0.2">
      <c r="A1601" s="116">
        <f>IF(ISNUMBER(Tabela2[[#This Row],[CT-e/NFS]])=TRUE,(IF(B1601&gt;30000,4,IF(B1601&lt;1000,"ND",0))),"-")</f>
        <v>4</v>
      </c>
      <c r="B1601" s="116">
        <v>46406</v>
      </c>
      <c r="C1601" s="117">
        <v>45393</v>
      </c>
      <c r="D1601" s="116">
        <v>124.07</v>
      </c>
      <c r="E1601" s="117">
        <v>45397</v>
      </c>
      <c r="F1601" s="116">
        <f>COUNTIFS($A$3:A9857,A1601,$B$3:B9857,B1601)</f>
        <v>1</v>
      </c>
      <c r="G1601" s="116"/>
    </row>
    <row r="1602" spans="1:7" x14ac:dyDescent="0.2">
      <c r="A1602" s="116">
        <f>IF(ISNUMBER(Tabela2[[#This Row],[CT-e/NFS]])=TRUE,(IF(B1602&gt;30000,4,IF(B1602&lt;1000,"ND",0))),"-")</f>
        <v>4</v>
      </c>
      <c r="B1602" s="116">
        <v>46397</v>
      </c>
      <c r="C1602" s="117">
        <v>45393</v>
      </c>
      <c r="D1602" s="116">
        <v>355.11</v>
      </c>
      <c r="E1602" s="117">
        <v>45397</v>
      </c>
      <c r="F1602" s="116">
        <f>COUNTIFS($A$3:A9858,A1602,$B$3:B9858,B1602)</f>
        <v>1</v>
      </c>
      <c r="G1602" s="116"/>
    </row>
    <row r="1603" spans="1:7" x14ac:dyDescent="0.2">
      <c r="A1603" s="116">
        <f>IF(ISNUMBER(Tabela2[[#This Row],[CT-e/NFS]])=TRUE,(IF(B1603&gt;30000,4,IF(B1603&lt;1000,"ND",0))),"-")</f>
        <v>4</v>
      </c>
      <c r="B1603" s="116">
        <v>46405</v>
      </c>
      <c r="C1603" s="117">
        <v>45393</v>
      </c>
      <c r="D1603" s="116">
        <v>124.28</v>
      </c>
      <c r="E1603" s="117">
        <v>45397</v>
      </c>
      <c r="F1603" s="116">
        <f>COUNTIFS($A$3:A9859,A1603,$B$3:B9859,B1603)</f>
        <v>1</v>
      </c>
      <c r="G1603" s="116"/>
    </row>
    <row r="1604" spans="1:7" x14ac:dyDescent="0.2">
      <c r="A1604" s="116">
        <f>IF(ISNUMBER(Tabela2[[#This Row],[CT-e/NFS]])=TRUE,(IF(B1604&gt;30000,4,IF(B1604&lt;1000,"ND",0))),"-")</f>
        <v>4</v>
      </c>
      <c r="B1604" s="116">
        <v>46401</v>
      </c>
      <c r="C1604" s="117">
        <v>45393</v>
      </c>
      <c r="D1604" s="116">
        <v>219.83</v>
      </c>
      <c r="E1604" s="117">
        <v>45397</v>
      </c>
      <c r="F1604" s="116">
        <f>COUNTIFS($A$3:A9860,A1604,$B$3:B9860,B1604)</f>
        <v>1</v>
      </c>
      <c r="G1604" s="116"/>
    </row>
    <row r="1605" spans="1:7" x14ac:dyDescent="0.2">
      <c r="A1605" s="116">
        <f>IF(ISNUMBER(Tabela2[[#This Row],[CT-e/NFS]])=TRUE,(IF(B1605&gt;30000,4,IF(B1605&lt;1000,"ND",0))),"-")</f>
        <v>4</v>
      </c>
      <c r="B1605" s="116">
        <v>46400</v>
      </c>
      <c r="C1605" s="117">
        <v>45393</v>
      </c>
      <c r="D1605" s="116">
        <v>124.05</v>
      </c>
      <c r="E1605" s="117">
        <v>45397</v>
      </c>
      <c r="F1605" s="116">
        <f>COUNTIFS($A$3:A9861,A1605,$B$3:B9861,B1605)</f>
        <v>1</v>
      </c>
      <c r="G1605" s="116"/>
    </row>
    <row r="1606" spans="1:7" x14ac:dyDescent="0.2">
      <c r="A1606" s="116">
        <f>IF(ISNUMBER(Tabela2[[#This Row],[CT-e/NFS]])=TRUE,(IF(B1606&gt;30000,4,IF(B1606&lt;1000,"ND",0))),"-")</f>
        <v>4</v>
      </c>
      <c r="B1606" s="116">
        <v>46404</v>
      </c>
      <c r="C1606" s="117">
        <v>45393</v>
      </c>
      <c r="D1606" s="116">
        <v>122.88</v>
      </c>
      <c r="E1606" s="117">
        <v>45397</v>
      </c>
      <c r="F1606" s="116">
        <f>COUNTIFS($A$3:A9862,A1606,$B$3:B9862,B1606)</f>
        <v>1</v>
      </c>
      <c r="G1606" s="116"/>
    </row>
    <row r="1607" spans="1:7" x14ac:dyDescent="0.2">
      <c r="A1607" s="116">
        <f>IF(ISNUMBER(Tabela2[[#This Row],[CT-e/NFS]])=TRUE,(IF(B1607&gt;30000,4,IF(B1607&lt;1000,"ND",0))),"-")</f>
        <v>4</v>
      </c>
      <c r="B1607" s="116">
        <v>46398</v>
      </c>
      <c r="C1607" s="117">
        <v>45393</v>
      </c>
      <c r="D1607" s="116">
        <v>978.3</v>
      </c>
      <c r="E1607" s="117">
        <v>45397</v>
      </c>
      <c r="F1607" s="116">
        <f>COUNTIFS($A$3:A9863,A1607,$B$3:B9863,B1607)</f>
        <v>1</v>
      </c>
      <c r="G1607" s="116"/>
    </row>
    <row r="1608" spans="1:7" x14ac:dyDescent="0.2">
      <c r="A1608" s="116">
        <f>IF(ISNUMBER(Tabela2[[#This Row],[CT-e/NFS]])=TRUE,(IF(B1608&gt;30000,4,IF(B1608&lt;1000,"ND",0))),"-")</f>
        <v>4</v>
      </c>
      <c r="B1608" s="116">
        <v>46409</v>
      </c>
      <c r="C1608" s="117">
        <v>45393</v>
      </c>
      <c r="D1608" s="116">
        <v>246.33</v>
      </c>
      <c r="E1608" s="117">
        <v>45397</v>
      </c>
      <c r="F1608" s="116">
        <f>COUNTIFS($A$3:A9864,A1608,$B$3:B9864,B1608)</f>
        <v>1</v>
      </c>
      <c r="G1608" s="116"/>
    </row>
    <row r="1609" spans="1:7" x14ac:dyDescent="0.2">
      <c r="A1609" s="116">
        <f>IF(ISNUMBER(Tabela2[[#This Row],[CT-e/NFS]])=TRUE,(IF(B1609&gt;30000,4,IF(B1609&lt;1000,"ND",0))),"-")</f>
        <v>4</v>
      </c>
      <c r="B1609" s="116">
        <v>46410</v>
      </c>
      <c r="C1609" s="117">
        <v>45393</v>
      </c>
      <c r="D1609" s="116">
        <v>591.72</v>
      </c>
      <c r="E1609" s="117">
        <v>45397</v>
      </c>
      <c r="F1609" s="116">
        <f>COUNTIFS($A$3:A9865,A1609,$B$3:B9865,B1609)</f>
        <v>1</v>
      </c>
      <c r="G1609" s="116"/>
    </row>
    <row r="1610" spans="1:7" x14ac:dyDescent="0.2">
      <c r="A1610" s="116">
        <f>IF(ISNUMBER(Tabela2[[#This Row],[CT-e/NFS]])=TRUE,(IF(B1610&gt;30000,4,IF(B1610&lt;1000,"ND",0))),"-")</f>
        <v>0</v>
      </c>
      <c r="B1610" s="116">
        <v>21239</v>
      </c>
      <c r="C1610" s="117">
        <v>45393</v>
      </c>
      <c r="D1610" s="116">
        <v>489.83</v>
      </c>
      <c r="E1610" s="117">
        <v>45397</v>
      </c>
      <c r="F1610" s="116">
        <f>COUNTIFS($A$3:A9866,A1610,$B$3:B9866,B1610)</f>
        <v>1</v>
      </c>
      <c r="G1610" s="116"/>
    </row>
    <row r="1611" spans="1:7" x14ac:dyDescent="0.2">
      <c r="A1611" s="116">
        <f>IF(ISNUMBER(Tabela2[[#This Row],[CT-e/NFS]])=TRUE,(IF(B1611&gt;30000,4,IF(B1611&lt;1000,"ND",0))),"-")</f>
        <v>0</v>
      </c>
      <c r="B1611" s="116">
        <v>21240</v>
      </c>
      <c r="C1611" s="117">
        <v>45393</v>
      </c>
      <c r="D1611" s="116">
        <v>76.349999999999994</v>
      </c>
      <c r="E1611" s="117">
        <v>45397</v>
      </c>
      <c r="F1611" s="116">
        <f>COUNTIFS($A$3:A9867,A1611,$B$3:B9867,B1611)</f>
        <v>1</v>
      </c>
      <c r="G1611" s="116"/>
    </row>
    <row r="1612" spans="1:7" x14ac:dyDescent="0.2">
      <c r="A1612" s="116">
        <f>IF(ISNUMBER(Tabela2[[#This Row],[CT-e/NFS]])=TRUE,(IF(B1612&gt;30000,4,IF(B1612&lt;1000,"ND",0))),"-")</f>
        <v>0</v>
      </c>
      <c r="B1612" s="116">
        <v>21237</v>
      </c>
      <c r="C1612" s="117">
        <v>45393</v>
      </c>
      <c r="D1612" s="116">
        <v>76.44</v>
      </c>
      <c r="E1612" s="117">
        <v>45397</v>
      </c>
      <c r="F1612" s="116">
        <f>COUNTIFS($A$3:A9868,A1612,$B$3:B9868,B1612)</f>
        <v>1</v>
      </c>
      <c r="G1612" s="116"/>
    </row>
    <row r="1613" spans="1:7" x14ac:dyDescent="0.2">
      <c r="A1613" s="116">
        <f>IF(ISNUMBER(Tabela2[[#This Row],[CT-e/NFS]])=TRUE,(IF(B1613&gt;30000,4,IF(B1613&lt;1000,"ND",0))),"-")</f>
        <v>0</v>
      </c>
      <c r="B1613" s="116">
        <v>21238</v>
      </c>
      <c r="C1613" s="117">
        <v>45393</v>
      </c>
      <c r="D1613" s="116">
        <v>76.28</v>
      </c>
      <c r="E1613" s="117">
        <v>45397</v>
      </c>
      <c r="F1613" s="116">
        <f>COUNTIFS($A$3:A9869,A1613,$B$3:B9869,B1613)</f>
        <v>1</v>
      </c>
      <c r="G1613" s="116"/>
    </row>
    <row r="1614" spans="1:7" x14ac:dyDescent="0.2">
      <c r="A1614" s="116">
        <f>IF(ISNUMBER(Tabela2[[#This Row],[CT-e/NFS]])=TRUE,(IF(B1614&gt;30000,4,IF(B1614&lt;1000,"ND",0))),"-")</f>
        <v>0</v>
      </c>
      <c r="B1614" s="116">
        <v>21260</v>
      </c>
      <c r="C1614" s="117">
        <v>45393</v>
      </c>
      <c r="D1614" s="116">
        <v>505.32</v>
      </c>
      <c r="E1614" s="117">
        <v>45397</v>
      </c>
      <c r="F1614" s="116">
        <f>COUNTIFS($A$3:A9870,A1614,$B$3:B9870,B1614)</f>
        <v>1</v>
      </c>
      <c r="G1614" s="116"/>
    </row>
    <row r="1615" spans="1:7" x14ac:dyDescent="0.2">
      <c r="A1615" s="116">
        <f>IF(ISNUMBER(Tabela2[[#This Row],[CT-e/NFS]])=TRUE,(IF(B1615&gt;30000,4,IF(B1615&lt;1000,"ND",0))),"-")</f>
        <v>0</v>
      </c>
      <c r="B1615" s="116">
        <v>21241</v>
      </c>
      <c r="C1615" s="117">
        <v>45393</v>
      </c>
      <c r="D1615" s="116">
        <v>76.28</v>
      </c>
      <c r="E1615" s="117">
        <v>45397</v>
      </c>
      <c r="F1615" s="116">
        <f>COUNTIFS($A$3:A9871,A1615,$B$3:B9871,B1615)</f>
        <v>1</v>
      </c>
      <c r="G1615" s="116"/>
    </row>
    <row r="1616" spans="1:7" x14ac:dyDescent="0.2">
      <c r="A1616" s="116">
        <f>IF(ISNUMBER(Tabela2[[#This Row],[CT-e/NFS]])=TRUE,(IF(B1616&gt;30000,4,IF(B1616&lt;1000,"ND",0))),"-")</f>
        <v>0</v>
      </c>
      <c r="B1616" s="116">
        <v>21242</v>
      </c>
      <c r="C1616" s="117">
        <v>45393</v>
      </c>
      <c r="D1616" s="116">
        <v>76.58</v>
      </c>
      <c r="E1616" s="117">
        <v>45397</v>
      </c>
      <c r="F1616" s="116">
        <f>COUNTIFS($A$3:A9872,A1616,$B$3:B9872,B1616)</f>
        <v>1</v>
      </c>
      <c r="G1616" s="116"/>
    </row>
    <row r="1617" spans="1:7" x14ac:dyDescent="0.2">
      <c r="A1617" s="116">
        <f>IF(ISNUMBER(Tabela2[[#This Row],[CT-e/NFS]])=TRUE,(IF(B1617&gt;30000,4,IF(B1617&lt;1000,"ND",0))),"-")</f>
        <v>0</v>
      </c>
      <c r="B1617" s="116">
        <v>21244</v>
      </c>
      <c r="C1617" s="117">
        <v>45393</v>
      </c>
      <c r="D1617" s="116">
        <v>76.489999999999995</v>
      </c>
      <c r="E1617" s="117">
        <v>45397</v>
      </c>
      <c r="F1617" s="116">
        <f>COUNTIFS($A$3:A9873,A1617,$B$3:B9873,B1617)</f>
        <v>1</v>
      </c>
      <c r="G1617" s="116"/>
    </row>
    <row r="1618" spans="1:7" x14ac:dyDescent="0.2">
      <c r="A1618" s="116">
        <f>IF(ISNUMBER(Tabela2[[#This Row],[CT-e/NFS]])=TRUE,(IF(B1618&gt;30000,4,IF(B1618&lt;1000,"ND",0))),"-")</f>
        <v>0</v>
      </c>
      <c r="B1618" s="116">
        <v>21243</v>
      </c>
      <c r="C1618" s="117">
        <v>45393</v>
      </c>
      <c r="D1618" s="116">
        <v>803.93</v>
      </c>
      <c r="E1618" s="117">
        <v>45397</v>
      </c>
      <c r="F1618" s="116">
        <f>COUNTIFS($A$3:A9874,A1618,$B$3:B9874,B1618)</f>
        <v>1</v>
      </c>
      <c r="G1618" s="116"/>
    </row>
    <row r="1619" spans="1:7" x14ac:dyDescent="0.2">
      <c r="A1619" s="116">
        <f>IF(ISNUMBER(Tabela2[[#This Row],[CT-e/NFS]])=TRUE,(IF(B1619&gt;30000,4,IF(B1619&lt;1000,"ND",0))),"-")</f>
        <v>0</v>
      </c>
      <c r="B1619" s="116">
        <v>21247</v>
      </c>
      <c r="C1619" s="117">
        <v>45393</v>
      </c>
      <c r="D1619" s="116">
        <v>76.52</v>
      </c>
      <c r="E1619" s="117">
        <v>45397</v>
      </c>
      <c r="F1619" s="116">
        <f>COUNTIFS($A$3:A9875,A1619,$B$3:B9875,B1619)</f>
        <v>1</v>
      </c>
      <c r="G1619" s="116"/>
    </row>
    <row r="1620" spans="1:7" x14ac:dyDescent="0.2">
      <c r="A1620" s="116">
        <f>IF(ISNUMBER(Tabela2[[#This Row],[CT-e/NFS]])=TRUE,(IF(B1620&gt;30000,4,IF(B1620&lt;1000,"ND",0))),"-")</f>
        <v>0</v>
      </c>
      <c r="B1620" s="116">
        <v>21248</v>
      </c>
      <c r="C1620" s="117">
        <v>45393</v>
      </c>
      <c r="D1620" s="116">
        <v>76.36</v>
      </c>
      <c r="E1620" s="117">
        <v>45397</v>
      </c>
      <c r="F1620" s="116">
        <f>COUNTIFS($A$3:A9876,A1620,$B$3:B9876,B1620)</f>
        <v>1</v>
      </c>
      <c r="G1620" s="116"/>
    </row>
    <row r="1621" spans="1:7" x14ac:dyDescent="0.2">
      <c r="A1621" s="116">
        <f>IF(ISNUMBER(Tabela2[[#This Row],[CT-e/NFS]])=TRUE,(IF(B1621&gt;30000,4,IF(B1621&lt;1000,"ND",0))),"-")</f>
        <v>0</v>
      </c>
      <c r="B1621" s="116">
        <v>21245</v>
      </c>
      <c r="C1621" s="117">
        <v>45393</v>
      </c>
      <c r="D1621" s="116">
        <v>439.3</v>
      </c>
      <c r="E1621" s="117">
        <v>45397</v>
      </c>
      <c r="F1621" s="116">
        <f>COUNTIFS($A$3:A9877,A1621,$B$3:B9877,B1621)</f>
        <v>1</v>
      </c>
      <c r="G1621" s="116"/>
    </row>
    <row r="1622" spans="1:7" x14ac:dyDescent="0.2">
      <c r="A1622" s="116">
        <f>IF(ISNUMBER(Tabela2[[#This Row],[CT-e/NFS]])=TRUE,(IF(B1622&gt;30000,4,IF(B1622&lt;1000,"ND",0))),"-")</f>
        <v>0</v>
      </c>
      <c r="B1622" s="116">
        <v>21249</v>
      </c>
      <c r="C1622" s="117">
        <v>45393</v>
      </c>
      <c r="D1622" s="116">
        <v>122.46</v>
      </c>
      <c r="E1622" s="117">
        <v>45397</v>
      </c>
      <c r="F1622" s="116">
        <f>COUNTIFS($A$3:A9878,A1622,$B$3:B9878,B1622)</f>
        <v>1</v>
      </c>
      <c r="G1622" s="116"/>
    </row>
    <row r="1623" spans="1:7" x14ac:dyDescent="0.2">
      <c r="A1623" s="116">
        <f>IF(ISNUMBER(Tabela2[[#This Row],[CT-e/NFS]])=TRUE,(IF(B1623&gt;30000,4,IF(B1623&lt;1000,"ND",0))),"-")</f>
        <v>0</v>
      </c>
      <c r="B1623" s="116">
        <v>21250</v>
      </c>
      <c r="C1623" s="117">
        <v>45393</v>
      </c>
      <c r="D1623" s="116">
        <v>515.41</v>
      </c>
      <c r="E1623" s="117">
        <v>45397</v>
      </c>
      <c r="F1623" s="116">
        <f>COUNTIFS($A$3:A9879,A1623,$B$3:B9879,B1623)</f>
        <v>1</v>
      </c>
      <c r="G1623" s="116"/>
    </row>
    <row r="1624" spans="1:7" x14ac:dyDescent="0.2">
      <c r="A1624" s="116">
        <f>IF(ISNUMBER(Tabela2[[#This Row],[CT-e/NFS]])=TRUE,(IF(B1624&gt;30000,4,IF(B1624&lt;1000,"ND",0))),"-")</f>
        <v>0</v>
      </c>
      <c r="B1624" s="116">
        <v>21252</v>
      </c>
      <c r="C1624" s="117">
        <v>45393</v>
      </c>
      <c r="D1624" s="116">
        <v>76.58</v>
      </c>
      <c r="E1624" s="117">
        <v>45397</v>
      </c>
      <c r="F1624" s="116">
        <f>COUNTIFS($A$3:A9880,A1624,$B$3:B9880,B1624)</f>
        <v>1</v>
      </c>
      <c r="G1624" s="116"/>
    </row>
    <row r="1625" spans="1:7" x14ac:dyDescent="0.2">
      <c r="A1625" s="116">
        <f>IF(ISNUMBER(Tabela2[[#This Row],[CT-e/NFS]])=TRUE,(IF(B1625&gt;30000,4,IF(B1625&lt;1000,"ND",0))),"-")</f>
        <v>0</v>
      </c>
      <c r="B1625" s="116">
        <v>21251</v>
      </c>
      <c r="C1625" s="117">
        <v>45393</v>
      </c>
      <c r="D1625" s="116">
        <v>107.67</v>
      </c>
      <c r="E1625" s="117">
        <v>45397</v>
      </c>
      <c r="F1625" s="116">
        <f>COUNTIFS($A$3:A9881,A1625,$B$3:B9881,B1625)</f>
        <v>1</v>
      </c>
      <c r="G1625" s="116"/>
    </row>
    <row r="1626" spans="1:7" x14ac:dyDescent="0.2">
      <c r="A1626" s="116">
        <f>IF(ISNUMBER(Tabela2[[#This Row],[CT-e/NFS]])=TRUE,(IF(B1626&gt;30000,4,IF(B1626&lt;1000,"ND",0))),"-")</f>
        <v>0</v>
      </c>
      <c r="B1626" s="116">
        <v>21253</v>
      </c>
      <c r="C1626" s="117">
        <v>45393</v>
      </c>
      <c r="D1626" s="116">
        <v>106.14</v>
      </c>
      <c r="E1626" s="117">
        <v>45397</v>
      </c>
      <c r="F1626" s="116">
        <f>COUNTIFS($A$3:A9882,A1626,$B$3:B9882,B1626)</f>
        <v>1</v>
      </c>
      <c r="G1626" s="116"/>
    </row>
    <row r="1627" spans="1:7" x14ac:dyDescent="0.2">
      <c r="A1627" s="116">
        <f>IF(ISNUMBER(Tabela2[[#This Row],[CT-e/NFS]])=TRUE,(IF(B1627&gt;30000,4,IF(B1627&lt;1000,"ND",0))),"-")</f>
        <v>0</v>
      </c>
      <c r="B1627" s="116">
        <v>21255</v>
      </c>
      <c r="C1627" s="117">
        <v>45393</v>
      </c>
      <c r="D1627" s="116">
        <v>1136.99</v>
      </c>
      <c r="E1627" s="117">
        <v>45397</v>
      </c>
      <c r="F1627" s="116">
        <f>COUNTIFS($A$3:A9883,A1627,$B$3:B9883,B1627)</f>
        <v>1</v>
      </c>
      <c r="G1627" s="116"/>
    </row>
    <row r="1628" spans="1:7" x14ac:dyDescent="0.2">
      <c r="A1628" s="116">
        <f>IF(ISNUMBER(Tabela2[[#This Row],[CT-e/NFS]])=TRUE,(IF(B1628&gt;30000,4,IF(B1628&lt;1000,"ND",0))),"-")</f>
        <v>0</v>
      </c>
      <c r="B1628" s="116">
        <v>21263</v>
      </c>
      <c r="C1628" s="117">
        <v>45393</v>
      </c>
      <c r="D1628" s="116">
        <v>76.36</v>
      </c>
      <c r="E1628" s="117">
        <v>45397</v>
      </c>
      <c r="F1628" s="116">
        <f>COUNTIFS($A$3:A9884,A1628,$B$3:B9884,B1628)</f>
        <v>1</v>
      </c>
      <c r="G1628" s="116"/>
    </row>
    <row r="1629" spans="1:7" x14ac:dyDescent="0.2">
      <c r="A1629" s="116">
        <f>IF(ISNUMBER(Tabela2[[#This Row],[CT-e/NFS]])=TRUE,(IF(B1629&gt;30000,4,IF(B1629&lt;1000,"ND",0))),"-")</f>
        <v>4</v>
      </c>
      <c r="B1629" s="116">
        <v>46418</v>
      </c>
      <c r="C1629" s="117">
        <v>45393</v>
      </c>
      <c r="D1629" s="116">
        <v>606.24</v>
      </c>
      <c r="E1629" s="117">
        <v>45397</v>
      </c>
      <c r="F1629" s="116">
        <f>COUNTIFS($A$3:A9885,A1629,$B$3:B9885,B1629)</f>
        <v>1</v>
      </c>
      <c r="G1629" s="116"/>
    </row>
    <row r="1630" spans="1:7" x14ac:dyDescent="0.2">
      <c r="A1630" s="116">
        <f>IF(ISNUMBER(Tabela2[[#This Row],[CT-e/NFS]])=TRUE,(IF(B1630&gt;30000,4,IF(B1630&lt;1000,"ND",0))),"-")</f>
        <v>4</v>
      </c>
      <c r="B1630" s="116">
        <v>46416</v>
      </c>
      <c r="C1630" s="117">
        <v>45393</v>
      </c>
      <c r="D1630" s="116">
        <v>297.77</v>
      </c>
      <c r="E1630" s="117">
        <v>45397</v>
      </c>
      <c r="F1630" s="116">
        <f>COUNTIFS($A$3:A9886,A1630,$B$3:B9886,B1630)</f>
        <v>1</v>
      </c>
      <c r="G1630" s="116"/>
    </row>
    <row r="1631" spans="1:7" x14ac:dyDescent="0.2">
      <c r="A1631" s="116">
        <f>IF(ISNUMBER(Tabela2[[#This Row],[CT-e/NFS]])=TRUE,(IF(B1631&gt;30000,4,IF(B1631&lt;1000,"ND",0))),"-")</f>
        <v>4</v>
      </c>
      <c r="B1631" s="116">
        <v>46417</v>
      </c>
      <c r="C1631" s="117">
        <v>45393</v>
      </c>
      <c r="D1631" s="116">
        <v>556.5</v>
      </c>
      <c r="E1631" s="117">
        <v>45397</v>
      </c>
      <c r="F1631" s="116">
        <f>COUNTIFS($A$3:A9887,A1631,$B$3:B9887,B1631)</f>
        <v>1</v>
      </c>
      <c r="G1631" s="116"/>
    </row>
    <row r="1632" spans="1:7" x14ac:dyDescent="0.2">
      <c r="A1632" s="116">
        <f>IF(ISNUMBER(Tabela2[[#This Row],[CT-e/NFS]])=TRUE,(IF(B1632&gt;30000,4,IF(B1632&lt;1000,"ND",0))),"-")</f>
        <v>4</v>
      </c>
      <c r="B1632" s="116">
        <v>46415</v>
      </c>
      <c r="C1632" s="117">
        <v>45393</v>
      </c>
      <c r="D1632" s="116">
        <v>297.77</v>
      </c>
      <c r="E1632" s="117">
        <v>45397</v>
      </c>
      <c r="F1632" s="116">
        <f>COUNTIFS($A$3:A9888,A1632,$B$3:B9888,B1632)</f>
        <v>1</v>
      </c>
      <c r="G1632" s="116"/>
    </row>
    <row r="1633" spans="1:7" x14ac:dyDescent="0.2">
      <c r="A1633" s="116">
        <f>IF(ISNUMBER(Tabela2[[#This Row],[CT-e/NFS]])=TRUE,(IF(B1633&gt;30000,4,IF(B1633&lt;1000,"ND",0))),"-")</f>
        <v>4</v>
      </c>
      <c r="B1633" s="116">
        <v>46426</v>
      </c>
      <c r="C1633" s="117">
        <v>45393</v>
      </c>
      <c r="D1633" s="116">
        <v>566.61</v>
      </c>
      <c r="E1633" s="117">
        <v>45397</v>
      </c>
      <c r="F1633" s="116">
        <f>COUNTIFS($A$3:A9889,A1633,$B$3:B9889,B1633)</f>
        <v>1</v>
      </c>
      <c r="G1633" s="116"/>
    </row>
    <row r="1634" spans="1:7" x14ac:dyDescent="0.2">
      <c r="A1634" s="116">
        <f>IF(ISNUMBER(Tabela2[[#This Row],[CT-e/NFS]])=TRUE,(IF(B1634&gt;30000,4,IF(B1634&lt;1000,"ND",0))),"-")</f>
        <v>4</v>
      </c>
      <c r="B1634" s="116">
        <v>46425</v>
      </c>
      <c r="C1634" s="117">
        <v>45393</v>
      </c>
      <c r="D1634" s="116">
        <v>571.11</v>
      </c>
      <c r="E1634" s="117">
        <v>45397</v>
      </c>
      <c r="F1634" s="116">
        <f>COUNTIFS($A$3:A9890,A1634,$B$3:B9890,B1634)</f>
        <v>1</v>
      </c>
      <c r="G1634" s="116"/>
    </row>
    <row r="1635" spans="1:7" x14ac:dyDescent="0.2">
      <c r="A1635" s="116">
        <f>IF(ISNUMBER(Tabela2[[#This Row],[CT-e/NFS]])=TRUE,(IF(B1635&gt;30000,4,IF(B1635&lt;1000,"ND",0))),"-")</f>
        <v>4</v>
      </c>
      <c r="B1635" s="116">
        <v>46420</v>
      </c>
      <c r="C1635" s="117">
        <v>45393</v>
      </c>
      <c r="D1635" s="116">
        <v>124.38</v>
      </c>
      <c r="E1635" s="117">
        <v>45397</v>
      </c>
      <c r="F1635" s="116">
        <f>COUNTIFS($A$3:A9891,A1635,$B$3:B9891,B1635)</f>
        <v>1</v>
      </c>
      <c r="G1635" s="116"/>
    </row>
    <row r="1636" spans="1:7" x14ac:dyDescent="0.2">
      <c r="A1636" s="116">
        <f>IF(ISNUMBER(Tabela2[[#This Row],[CT-e/NFS]])=TRUE,(IF(B1636&gt;30000,4,IF(B1636&lt;1000,"ND",0))),"-")</f>
        <v>4</v>
      </c>
      <c r="B1636" s="116">
        <v>46419</v>
      </c>
      <c r="C1636" s="117">
        <v>45393</v>
      </c>
      <c r="D1636" s="116">
        <v>86.88</v>
      </c>
      <c r="E1636" s="117">
        <v>45397</v>
      </c>
      <c r="F1636" s="116">
        <f>COUNTIFS($A$3:A9892,A1636,$B$3:B9892,B1636)</f>
        <v>1</v>
      </c>
      <c r="G1636" s="116"/>
    </row>
    <row r="1637" spans="1:7" x14ac:dyDescent="0.2">
      <c r="A1637" s="116">
        <f>IF(ISNUMBER(Tabela2[[#This Row],[CT-e/NFS]])=TRUE,(IF(B1637&gt;30000,4,IF(B1637&lt;1000,"ND",0))),"-")</f>
        <v>4</v>
      </c>
      <c r="B1637" s="116">
        <v>46422</v>
      </c>
      <c r="C1637" s="117">
        <v>45393</v>
      </c>
      <c r="D1637" s="116">
        <v>125.92</v>
      </c>
      <c r="E1637" s="117">
        <v>45397</v>
      </c>
      <c r="F1637" s="116">
        <f>COUNTIFS($A$3:A9893,A1637,$B$3:B9893,B1637)</f>
        <v>1</v>
      </c>
      <c r="G1637" s="116"/>
    </row>
    <row r="1638" spans="1:7" x14ac:dyDescent="0.2">
      <c r="A1638" s="116">
        <f>IF(ISNUMBER(Tabela2[[#This Row],[CT-e/NFS]])=TRUE,(IF(B1638&gt;30000,4,IF(B1638&lt;1000,"ND",0))),"-")</f>
        <v>4</v>
      </c>
      <c r="B1638" s="116">
        <v>46423</v>
      </c>
      <c r="C1638" s="117">
        <v>45393</v>
      </c>
      <c r="D1638" s="116">
        <v>124.1</v>
      </c>
      <c r="E1638" s="117">
        <v>45397</v>
      </c>
      <c r="F1638" s="116">
        <f>COUNTIFS($A$3:A9894,A1638,$B$3:B9894,B1638)</f>
        <v>1</v>
      </c>
      <c r="G1638" s="116"/>
    </row>
    <row r="1639" spans="1:7" x14ac:dyDescent="0.2">
      <c r="A1639" s="116">
        <f>IF(ISNUMBER(Tabela2[[#This Row],[CT-e/NFS]])=TRUE,(IF(B1639&gt;30000,4,IF(B1639&lt;1000,"ND",0))),"-")</f>
        <v>4</v>
      </c>
      <c r="B1639" s="116">
        <v>46421</v>
      </c>
      <c r="C1639" s="117">
        <v>45393</v>
      </c>
      <c r="D1639" s="116">
        <v>124.15</v>
      </c>
      <c r="E1639" s="117">
        <v>45397</v>
      </c>
      <c r="F1639" s="116">
        <f>COUNTIFS($A$3:A9895,A1639,$B$3:B9895,B1639)</f>
        <v>1</v>
      </c>
      <c r="G1639" s="116"/>
    </row>
    <row r="1640" spans="1:7" x14ac:dyDescent="0.2">
      <c r="A1640" s="116">
        <f>IF(ISNUMBER(Tabela2[[#This Row],[CT-e/NFS]])=TRUE,(IF(B1640&gt;30000,4,IF(B1640&lt;1000,"ND",0))),"-")</f>
        <v>4</v>
      </c>
      <c r="B1640" s="116">
        <v>46429</v>
      </c>
      <c r="C1640" s="117">
        <v>45393</v>
      </c>
      <c r="D1640" s="116">
        <v>396.45</v>
      </c>
      <c r="E1640" s="117">
        <v>45397</v>
      </c>
      <c r="F1640" s="116">
        <f>COUNTIFS($A$3:A9896,A1640,$B$3:B9896,B1640)</f>
        <v>1</v>
      </c>
      <c r="G1640" s="116"/>
    </row>
    <row r="1641" spans="1:7" x14ac:dyDescent="0.2">
      <c r="A1641" s="116">
        <f>IF(ISNUMBER(Tabela2[[#This Row],[CT-e/NFS]])=TRUE,(IF(B1641&gt;30000,4,IF(B1641&lt;1000,"ND",0))),"-")</f>
        <v>4</v>
      </c>
      <c r="B1641" s="116">
        <v>46432</v>
      </c>
      <c r="C1641" s="117">
        <v>45393</v>
      </c>
      <c r="D1641" s="116">
        <v>125.81</v>
      </c>
      <c r="E1641" s="117">
        <v>45397</v>
      </c>
      <c r="F1641" s="116">
        <f>COUNTIFS($A$3:A9897,A1641,$B$3:B9897,B1641)</f>
        <v>1</v>
      </c>
      <c r="G1641" s="116"/>
    </row>
    <row r="1642" spans="1:7" x14ac:dyDescent="0.2">
      <c r="A1642" s="116">
        <f>IF(ISNUMBER(Tabela2[[#This Row],[CT-e/NFS]])=TRUE,(IF(B1642&gt;30000,4,IF(B1642&lt;1000,"ND",0))),"-")</f>
        <v>4</v>
      </c>
      <c r="B1642" s="116">
        <v>46433</v>
      </c>
      <c r="C1642" s="117">
        <v>45393</v>
      </c>
      <c r="D1642" s="116">
        <v>124.38</v>
      </c>
      <c r="E1642" s="117">
        <v>45397</v>
      </c>
      <c r="F1642" s="116">
        <f>COUNTIFS($A$3:A9898,A1642,$B$3:B9898,B1642)</f>
        <v>1</v>
      </c>
      <c r="G1642" s="116"/>
    </row>
    <row r="1643" spans="1:7" x14ac:dyDescent="0.2">
      <c r="A1643" s="116">
        <f>IF(ISNUMBER(Tabela2[[#This Row],[CT-e/NFS]])=TRUE,(IF(B1643&gt;30000,4,IF(B1643&lt;1000,"ND",0))),"-")</f>
        <v>4</v>
      </c>
      <c r="B1643" s="116">
        <v>46430</v>
      </c>
      <c r="C1643" s="117">
        <v>45393</v>
      </c>
      <c r="D1643" s="116">
        <v>122.89</v>
      </c>
      <c r="E1643" s="117">
        <v>45397</v>
      </c>
      <c r="F1643" s="116">
        <f>COUNTIFS($A$3:A9899,A1643,$B$3:B9899,B1643)</f>
        <v>1</v>
      </c>
      <c r="G1643" s="116"/>
    </row>
    <row r="1644" spans="1:7" x14ac:dyDescent="0.2">
      <c r="A1644" s="116">
        <f>IF(ISNUMBER(Tabela2[[#This Row],[CT-e/NFS]])=TRUE,(IF(B1644&gt;30000,4,IF(B1644&lt;1000,"ND",0))),"-")</f>
        <v>4</v>
      </c>
      <c r="B1644" s="116">
        <v>46431</v>
      </c>
      <c r="C1644" s="117">
        <v>45393</v>
      </c>
      <c r="D1644" s="116">
        <v>126.65</v>
      </c>
      <c r="E1644" s="117">
        <v>45397</v>
      </c>
      <c r="F1644" s="116">
        <f>COUNTIFS($A$3:A9900,A1644,$B$3:B9900,B1644)</f>
        <v>1</v>
      </c>
      <c r="G1644" s="116"/>
    </row>
    <row r="1645" spans="1:7" x14ac:dyDescent="0.2">
      <c r="A1645" s="116">
        <f>IF(ISNUMBER(Tabela2[[#This Row],[CT-e/NFS]])=TRUE,(IF(B1645&gt;30000,4,IF(B1645&lt;1000,"ND",0))),"-")</f>
        <v>4</v>
      </c>
      <c r="B1645" s="116">
        <v>46437</v>
      </c>
      <c r="C1645" s="117">
        <v>45393</v>
      </c>
      <c r="D1645" s="116">
        <v>122.91</v>
      </c>
      <c r="E1645" s="117">
        <v>45397</v>
      </c>
      <c r="F1645" s="116">
        <f>COUNTIFS($A$3:A9901,A1645,$B$3:B9901,B1645)</f>
        <v>1</v>
      </c>
      <c r="G1645" s="116"/>
    </row>
    <row r="1646" spans="1:7" x14ac:dyDescent="0.2">
      <c r="A1646" s="116">
        <f>IF(ISNUMBER(Tabela2[[#This Row],[CT-e/NFS]])=TRUE,(IF(B1646&gt;30000,4,IF(B1646&lt;1000,"ND",0))),"-")</f>
        <v>4</v>
      </c>
      <c r="B1646" s="116">
        <v>46436</v>
      </c>
      <c r="C1646" s="117">
        <v>45393</v>
      </c>
      <c r="D1646" s="116">
        <v>124.34</v>
      </c>
      <c r="E1646" s="117">
        <v>45397</v>
      </c>
      <c r="F1646" s="116">
        <f>COUNTIFS($A$3:A9902,A1646,$B$3:B9902,B1646)</f>
        <v>1</v>
      </c>
      <c r="G1646" s="116"/>
    </row>
    <row r="1647" spans="1:7" x14ac:dyDescent="0.2">
      <c r="A1647" s="116">
        <f>IF(ISNUMBER(Tabela2[[#This Row],[CT-e/NFS]])=TRUE,(IF(B1647&gt;30000,4,IF(B1647&lt;1000,"ND",0))),"-")</f>
        <v>4</v>
      </c>
      <c r="B1647" s="116">
        <v>46445</v>
      </c>
      <c r="C1647" s="117">
        <v>45393</v>
      </c>
      <c r="D1647" s="116">
        <v>126.65</v>
      </c>
      <c r="E1647" s="117">
        <v>45397</v>
      </c>
      <c r="F1647" s="116">
        <f>COUNTIFS($A$3:A9903,A1647,$B$3:B9903,B1647)</f>
        <v>1</v>
      </c>
      <c r="G1647" s="116"/>
    </row>
    <row r="1648" spans="1:7" x14ac:dyDescent="0.2">
      <c r="A1648" s="116">
        <f>IF(ISNUMBER(Tabela2[[#This Row],[CT-e/NFS]])=TRUE,(IF(B1648&gt;30000,4,IF(B1648&lt;1000,"ND",0))),"-")</f>
        <v>4</v>
      </c>
      <c r="B1648" s="116">
        <v>46444</v>
      </c>
      <c r="C1648" s="117">
        <v>45393</v>
      </c>
      <c r="D1648" s="116">
        <v>320.58</v>
      </c>
      <c r="E1648" s="117">
        <v>45397</v>
      </c>
      <c r="F1648" s="116">
        <f>COUNTIFS($A$3:A9904,A1648,$B$3:B9904,B1648)</f>
        <v>1</v>
      </c>
      <c r="G1648" s="116"/>
    </row>
    <row r="1649" spans="1:7" x14ac:dyDescent="0.2">
      <c r="A1649" s="116">
        <f>IF(ISNUMBER(Tabela2[[#This Row],[CT-e/NFS]])=TRUE,(IF(B1649&gt;30000,4,IF(B1649&lt;1000,"ND",0))),"-")</f>
        <v>4</v>
      </c>
      <c r="B1649" s="116">
        <v>46443</v>
      </c>
      <c r="C1649" s="117">
        <v>45393</v>
      </c>
      <c r="D1649" s="116">
        <v>223.42</v>
      </c>
      <c r="E1649" s="117">
        <v>45397</v>
      </c>
      <c r="F1649" s="116">
        <f>COUNTIFS($A$3:A9905,A1649,$B$3:B9905,B1649)</f>
        <v>1</v>
      </c>
      <c r="G1649" s="116"/>
    </row>
    <row r="1650" spans="1:7" x14ac:dyDescent="0.2">
      <c r="A1650" s="116">
        <f>IF(ISNUMBER(Tabela2[[#This Row],[CT-e/NFS]])=TRUE,(IF(B1650&gt;30000,4,IF(B1650&lt;1000,"ND",0))),"-")</f>
        <v>4</v>
      </c>
      <c r="B1650" s="116">
        <v>46450</v>
      </c>
      <c r="C1650" s="117">
        <v>45393</v>
      </c>
      <c r="D1650" s="116">
        <v>240.47</v>
      </c>
      <c r="E1650" s="117">
        <v>45397</v>
      </c>
      <c r="F1650" s="116">
        <f>COUNTIFS($A$3:A9906,A1650,$B$3:B9906,B1650)</f>
        <v>1</v>
      </c>
      <c r="G1650" s="116"/>
    </row>
    <row r="1651" spans="1:7" x14ac:dyDescent="0.2">
      <c r="A1651" s="116">
        <f>IF(ISNUMBER(Tabela2[[#This Row],[CT-e/NFS]])=TRUE,(IF(B1651&gt;30000,4,IF(B1651&lt;1000,"ND",0))),"-")</f>
        <v>4</v>
      </c>
      <c r="B1651" s="116">
        <v>46451</v>
      </c>
      <c r="C1651" s="117">
        <v>45393</v>
      </c>
      <c r="D1651" s="116">
        <v>165.13</v>
      </c>
      <c r="E1651" s="117">
        <v>45397</v>
      </c>
      <c r="F1651" s="116">
        <f>COUNTIFS($A$3:A9907,A1651,$B$3:B9907,B1651)</f>
        <v>1</v>
      </c>
      <c r="G1651" s="116"/>
    </row>
    <row r="1652" spans="1:7" x14ac:dyDescent="0.2">
      <c r="A1652" s="116">
        <f>IF(ISNUMBER(Tabela2[[#This Row],[CT-e/NFS]])=TRUE,(IF(B1652&gt;30000,4,IF(B1652&lt;1000,"ND",0))),"-")</f>
        <v>4</v>
      </c>
      <c r="B1652" s="116">
        <v>46457</v>
      </c>
      <c r="C1652" s="117">
        <v>45393</v>
      </c>
      <c r="D1652" s="116">
        <v>123.89</v>
      </c>
      <c r="E1652" s="117">
        <v>45397</v>
      </c>
      <c r="F1652" s="116">
        <f>COUNTIFS($A$3:A9908,A1652,$B$3:B9908,B1652)</f>
        <v>1</v>
      </c>
      <c r="G1652" s="116"/>
    </row>
    <row r="1653" spans="1:7" x14ac:dyDescent="0.2">
      <c r="A1653" s="116">
        <f>IF(ISNUMBER(Tabela2[[#This Row],[CT-e/NFS]])=TRUE,(IF(B1653&gt;30000,4,IF(B1653&lt;1000,"ND",0))),"-")</f>
        <v>4</v>
      </c>
      <c r="B1653" s="116">
        <v>46454</v>
      </c>
      <c r="C1653" s="117">
        <v>45393</v>
      </c>
      <c r="D1653" s="116">
        <v>124.3</v>
      </c>
      <c r="E1653" s="117">
        <v>45397</v>
      </c>
      <c r="F1653" s="116">
        <f>COUNTIFS($A$3:A9909,A1653,$B$3:B9909,B1653)</f>
        <v>1</v>
      </c>
      <c r="G1653" s="116"/>
    </row>
    <row r="1654" spans="1:7" x14ac:dyDescent="0.2">
      <c r="A1654" s="116">
        <f>IF(ISNUMBER(Tabela2[[#This Row],[CT-e/NFS]])=TRUE,(IF(B1654&gt;30000,4,IF(B1654&lt;1000,"ND",0))),"-")</f>
        <v>4</v>
      </c>
      <c r="B1654" s="116">
        <v>46461</v>
      </c>
      <c r="C1654" s="117">
        <v>45393</v>
      </c>
      <c r="D1654" s="116">
        <v>124.03</v>
      </c>
      <c r="E1654" s="117">
        <v>45397</v>
      </c>
      <c r="F1654" s="116">
        <f>COUNTIFS($A$3:A9910,A1654,$B$3:B9910,B1654)</f>
        <v>1</v>
      </c>
      <c r="G1654" s="116"/>
    </row>
    <row r="1655" spans="1:7" x14ac:dyDescent="0.2">
      <c r="A1655" s="116">
        <f>IF(ISNUMBER(Tabela2[[#This Row],[CT-e/NFS]])=TRUE,(IF(B1655&gt;30000,4,IF(B1655&lt;1000,"ND",0))),"-")</f>
        <v>4</v>
      </c>
      <c r="B1655" s="116">
        <v>46453</v>
      </c>
      <c r="C1655" s="117">
        <v>45393</v>
      </c>
      <c r="D1655" s="116">
        <v>382.56</v>
      </c>
      <c r="E1655" s="117">
        <v>45397</v>
      </c>
      <c r="F1655" s="116">
        <f>COUNTIFS($A$3:A9911,A1655,$B$3:B9911,B1655)</f>
        <v>1</v>
      </c>
      <c r="G1655" s="116"/>
    </row>
    <row r="1656" spans="1:7" x14ac:dyDescent="0.2">
      <c r="A1656" s="116">
        <f>IF(ISNUMBER(Tabela2[[#This Row],[CT-e/NFS]])=TRUE,(IF(B1656&gt;30000,4,IF(B1656&lt;1000,"ND",0))),"-")</f>
        <v>4</v>
      </c>
      <c r="B1656" s="116">
        <v>46458</v>
      </c>
      <c r="C1656" s="117">
        <v>45393</v>
      </c>
      <c r="D1656" s="116">
        <v>123.5</v>
      </c>
      <c r="E1656" s="117">
        <v>45397</v>
      </c>
      <c r="F1656" s="116">
        <f>COUNTIFS($A$3:A9912,A1656,$B$3:B9912,B1656)</f>
        <v>1</v>
      </c>
      <c r="G1656" s="116"/>
    </row>
    <row r="1657" spans="1:7" x14ac:dyDescent="0.2">
      <c r="A1657" s="116">
        <f>IF(ISNUMBER(Tabela2[[#This Row],[CT-e/NFS]])=TRUE,(IF(B1657&gt;30000,4,IF(B1657&lt;1000,"ND",0))),"-")</f>
        <v>4</v>
      </c>
      <c r="B1657" s="116">
        <v>46459</v>
      </c>
      <c r="C1657" s="117">
        <v>45393</v>
      </c>
      <c r="D1657" s="116">
        <v>124.48</v>
      </c>
      <c r="E1657" s="117">
        <v>45397</v>
      </c>
      <c r="F1657" s="116">
        <f>COUNTIFS($A$3:A9913,A1657,$B$3:B9913,B1657)</f>
        <v>1</v>
      </c>
      <c r="G1657" s="116"/>
    </row>
    <row r="1658" spans="1:7" x14ac:dyDescent="0.2">
      <c r="A1658" s="116">
        <f>IF(ISNUMBER(Tabela2[[#This Row],[CT-e/NFS]])=TRUE,(IF(B1658&gt;30000,4,IF(B1658&lt;1000,"ND",0))),"-")</f>
        <v>4</v>
      </c>
      <c r="B1658" s="116">
        <v>46460</v>
      </c>
      <c r="C1658" s="117">
        <v>45393</v>
      </c>
      <c r="D1658" s="116">
        <v>124.52</v>
      </c>
      <c r="E1658" s="117">
        <v>45397</v>
      </c>
      <c r="F1658" s="116">
        <f>COUNTIFS($A$3:A9914,A1658,$B$3:B9914,B1658)</f>
        <v>1</v>
      </c>
      <c r="G1658" s="116"/>
    </row>
    <row r="1659" spans="1:7" x14ac:dyDescent="0.2">
      <c r="A1659" s="116">
        <f>IF(ISNUMBER(Tabela2[[#This Row],[CT-e/NFS]])=TRUE,(IF(B1659&gt;30000,4,IF(B1659&lt;1000,"ND",0))),"-")</f>
        <v>4</v>
      </c>
      <c r="B1659" s="116">
        <v>46464</v>
      </c>
      <c r="C1659" s="117">
        <v>45393</v>
      </c>
      <c r="D1659" s="116">
        <v>125.25</v>
      </c>
      <c r="E1659" s="117">
        <v>45397</v>
      </c>
      <c r="F1659" s="116">
        <f>COUNTIFS($A$3:A9915,A1659,$B$3:B9915,B1659)</f>
        <v>1</v>
      </c>
      <c r="G1659" s="116"/>
    </row>
    <row r="1660" spans="1:7" x14ac:dyDescent="0.2">
      <c r="A1660" s="116">
        <f>IF(ISNUMBER(Tabela2[[#This Row],[CT-e/NFS]])=TRUE,(IF(B1660&gt;30000,4,IF(B1660&lt;1000,"ND",0))),"-")</f>
        <v>4</v>
      </c>
      <c r="B1660" s="116">
        <v>46465</v>
      </c>
      <c r="C1660" s="117">
        <v>45393</v>
      </c>
      <c r="D1660" s="116">
        <v>223.91</v>
      </c>
      <c r="E1660" s="117">
        <v>45397</v>
      </c>
      <c r="F1660" s="116">
        <f>COUNTIFS($A$3:A9916,A1660,$B$3:B9916,B1660)</f>
        <v>1</v>
      </c>
      <c r="G1660" s="116"/>
    </row>
    <row r="1661" spans="1:7" x14ac:dyDescent="0.2">
      <c r="A1661" s="116">
        <f>IF(ISNUMBER(Tabela2[[#This Row],[CT-e/NFS]])=TRUE,(IF(B1661&gt;30000,4,IF(B1661&lt;1000,"ND",0))),"-")</f>
        <v>4</v>
      </c>
      <c r="B1661" s="116">
        <v>46478</v>
      </c>
      <c r="C1661" s="117">
        <v>45393</v>
      </c>
      <c r="D1661" s="116">
        <v>139.66999999999999</v>
      </c>
      <c r="E1661" s="117">
        <v>45397</v>
      </c>
      <c r="F1661" s="116">
        <f>COUNTIFS($A$3:A9917,A1661,$B$3:B9917,B1661)</f>
        <v>1</v>
      </c>
      <c r="G1661" s="116"/>
    </row>
    <row r="1662" spans="1:7" x14ac:dyDescent="0.2">
      <c r="A1662" s="116">
        <f>IF(ISNUMBER(Tabela2[[#This Row],[CT-e/NFS]])=TRUE,(IF(B1662&gt;30000,4,IF(B1662&lt;1000,"ND",0))),"-")</f>
        <v>4</v>
      </c>
      <c r="B1662" s="116">
        <v>46479</v>
      </c>
      <c r="C1662" s="117">
        <v>45393</v>
      </c>
      <c r="D1662" s="116">
        <v>122.88</v>
      </c>
      <c r="E1662" s="117">
        <v>45397</v>
      </c>
      <c r="F1662" s="116">
        <f>COUNTIFS($A$3:A9918,A1662,$B$3:B9918,B1662)</f>
        <v>1</v>
      </c>
      <c r="G1662" s="116"/>
    </row>
    <row r="1663" spans="1:7" x14ac:dyDescent="0.2">
      <c r="A1663" s="116">
        <f>IF(ISNUMBER(Tabela2[[#This Row],[CT-e/NFS]])=TRUE,(IF(B1663&gt;30000,4,IF(B1663&lt;1000,"ND",0))),"-")</f>
        <v>4</v>
      </c>
      <c r="B1663" s="116">
        <v>46472</v>
      </c>
      <c r="C1663" s="117">
        <v>45393</v>
      </c>
      <c r="D1663" s="116">
        <v>124.63</v>
      </c>
      <c r="E1663" s="117">
        <v>45397</v>
      </c>
      <c r="F1663" s="116">
        <f>COUNTIFS($A$3:A9919,A1663,$B$3:B9919,B1663)</f>
        <v>1</v>
      </c>
      <c r="G1663" s="116"/>
    </row>
    <row r="1664" spans="1:7" x14ac:dyDescent="0.2">
      <c r="A1664" s="116">
        <f>IF(ISNUMBER(Tabela2[[#This Row],[CT-e/NFS]])=TRUE,(IF(B1664&gt;30000,4,IF(B1664&lt;1000,"ND",0))),"-")</f>
        <v>4</v>
      </c>
      <c r="B1664" s="116">
        <v>46474</v>
      </c>
      <c r="C1664" s="117">
        <v>45393</v>
      </c>
      <c r="D1664" s="116">
        <v>200.32</v>
      </c>
      <c r="E1664" s="117">
        <v>45397</v>
      </c>
      <c r="F1664" s="116">
        <f>COUNTIFS($A$3:A9920,A1664,$B$3:B9920,B1664)</f>
        <v>1</v>
      </c>
      <c r="G1664" s="116"/>
    </row>
    <row r="1665" spans="1:7" x14ac:dyDescent="0.2">
      <c r="A1665" s="116">
        <f>IF(ISNUMBER(Tabela2[[#This Row],[CT-e/NFS]])=TRUE,(IF(B1665&gt;30000,4,IF(B1665&lt;1000,"ND",0))),"-")</f>
        <v>4</v>
      </c>
      <c r="B1665" s="116">
        <v>46469</v>
      </c>
      <c r="C1665" s="117">
        <v>45393</v>
      </c>
      <c r="D1665" s="116">
        <v>251.26</v>
      </c>
      <c r="E1665" s="117">
        <v>45397</v>
      </c>
      <c r="F1665" s="116">
        <f>COUNTIFS($A$3:A9921,A1665,$B$3:B9921,B1665)</f>
        <v>1</v>
      </c>
      <c r="G1665" s="116"/>
    </row>
    <row r="1666" spans="1:7" x14ac:dyDescent="0.2">
      <c r="A1666" s="116">
        <f>IF(ISNUMBER(Tabela2[[#This Row],[CT-e/NFS]])=TRUE,(IF(B1666&gt;30000,4,IF(B1666&lt;1000,"ND",0))),"-")</f>
        <v>4</v>
      </c>
      <c r="B1666" s="116">
        <v>46480</v>
      </c>
      <c r="C1666" s="117">
        <v>45393</v>
      </c>
      <c r="D1666" s="116">
        <v>361.7</v>
      </c>
      <c r="E1666" s="117">
        <v>45397</v>
      </c>
      <c r="F1666" s="116">
        <f>COUNTIFS($A$3:A9922,A1666,$B$3:B9922,B1666)</f>
        <v>1</v>
      </c>
      <c r="G1666" s="116"/>
    </row>
    <row r="1667" spans="1:7" x14ac:dyDescent="0.2">
      <c r="A1667" s="116">
        <f>IF(ISNUMBER(Tabela2[[#This Row],[CT-e/NFS]])=TRUE,(IF(B1667&gt;30000,4,IF(B1667&lt;1000,"ND",0))),"-")</f>
        <v>4</v>
      </c>
      <c r="B1667" s="116">
        <v>46481</v>
      </c>
      <c r="C1667" s="117">
        <v>45393</v>
      </c>
      <c r="D1667" s="116">
        <v>1241.5</v>
      </c>
      <c r="E1667" s="117">
        <v>45397</v>
      </c>
      <c r="F1667" s="116">
        <f>COUNTIFS($A$3:A9923,A1667,$B$3:B9923,B1667)</f>
        <v>1</v>
      </c>
      <c r="G1667" s="116"/>
    </row>
    <row r="1668" spans="1:7" x14ac:dyDescent="0.2">
      <c r="A1668" s="116">
        <f>IF(ISNUMBER(Tabela2[[#This Row],[CT-e/NFS]])=TRUE,(IF(B1668&gt;30000,4,IF(B1668&lt;1000,"ND",0))),"-")</f>
        <v>4</v>
      </c>
      <c r="B1668" s="116">
        <v>46467</v>
      </c>
      <c r="C1668" s="117">
        <v>45393</v>
      </c>
      <c r="D1668" s="116">
        <v>408.02</v>
      </c>
      <c r="E1668" s="117">
        <v>45397</v>
      </c>
      <c r="F1668" s="116">
        <f>COUNTIFS($A$3:A9924,A1668,$B$3:B9924,B1668)</f>
        <v>1</v>
      </c>
      <c r="G1668" s="116"/>
    </row>
    <row r="1669" spans="1:7" x14ac:dyDescent="0.2">
      <c r="A1669" s="116">
        <f>IF(ISNUMBER(Tabela2[[#This Row],[CT-e/NFS]])=TRUE,(IF(B1669&gt;30000,4,IF(B1669&lt;1000,"ND",0))),"-")</f>
        <v>4</v>
      </c>
      <c r="B1669" s="116">
        <v>46476</v>
      </c>
      <c r="C1669" s="117">
        <v>45393</v>
      </c>
      <c r="D1669" s="116">
        <v>125.81</v>
      </c>
      <c r="E1669" s="117">
        <v>45397</v>
      </c>
      <c r="F1669" s="116">
        <f>COUNTIFS($A$3:A9925,A1669,$B$3:B9925,B1669)</f>
        <v>1</v>
      </c>
      <c r="G1669" s="116"/>
    </row>
    <row r="1670" spans="1:7" x14ac:dyDescent="0.2">
      <c r="A1670" s="116">
        <f>IF(ISNUMBER(Tabela2[[#This Row],[CT-e/NFS]])=TRUE,(IF(B1670&gt;30000,4,IF(B1670&lt;1000,"ND",0))),"-")</f>
        <v>4</v>
      </c>
      <c r="B1670" s="116">
        <v>46475</v>
      </c>
      <c r="C1670" s="117">
        <v>45393</v>
      </c>
      <c r="D1670" s="116">
        <v>124.34</v>
      </c>
      <c r="E1670" s="117">
        <v>45397</v>
      </c>
      <c r="F1670" s="116">
        <f>COUNTIFS($A$3:A9926,A1670,$B$3:B9926,B1670)</f>
        <v>1</v>
      </c>
      <c r="G1670" s="116"/>
    </row>
    <row r="1671" spans="1:7" x14ac:dyDescent="0.2">
      <c r="A1671" s="116">
        <f>IF(ISNUMBER(Tabela2[[#This Row],[CT-e/NFS]])=TRUE,(IF(B1671&gt;30000,4,IF(B1671&lt;1000,"ND",0))),"-")</f>
        <v>4</v>
      </c>
      <c r="B1671" s="116">
        <v>46468</v>
      </c>
      <c r="C1671" s="117">
        <v>45393</v>
      </c>
      <c r="D1671" s="116">
        <v>279.33999999999997</v>
      </c>
      <c r="E1671" s="117">
        <v>45397</v>
      </c>
      <c r="F1671" s="116">
        <f>COUNTIFS($A$3:A9927,A1671,$B$3:B9927,B1671)</f>
        <v>1</v>
      </c>
      <c r="G1671" s="116"/>
    </row>
    <row r="1672" spans="1:7" x14ac:dyDescent="0.2">
      <c r="A1672" s="116">
        <f>IF(ISNUMBER(Tabela2[[#This Row],[CT-e/NFS]])=TRUE,(IF(B1672&gt;30000,4,IF(B1672&lt;1000,"ND",0))),"-")</f>
        <v>4</v>
      </c>
      <c r="B1672" s="116">
        <v>46470</v>
      </c>
      <c r="C1672" s="117">
        <v>45393</v>
      </c>
      <c r="D1672" s="116">
        <v>125.35</v>
      </c>
      <c r="E1672" s="117">
        <v>45397</v>
      </c>
      <c r="F1672" s="116">
        <f>COUNTIFS($A$3:A9928,A1672,$B$3:B9928,B1672)</f>
        <v>1</v>
      </c>
      <c r="G1672" s="116"/>
    </row>
    <row r="1673" spans="1:7" x14ac:dyDescent="0.2">
      <c r="A1673" s="116">
        <f>IF(ISNUMBER(Tabela2[[#This Row],[CT-e/NFS]])=TRUE,(IF(B1673&gt;30000,4,IF(B1673&lt;1000,"ND",0))),"-")</f>
        <v>4</v>
      </c>
      <c r="B1673" s="116">
        <v>46466</v>
      </c>
      <c r="C1673" s="117">
        <v>45393</v>
      </c>
      <c r="D1673" s="116">
        <v>995.85</v>
      </c>
      <c r="E1673" s="117">
        <v>45397</v>
      </c>
      <c r="F1673" s="116">
        <f>COUNTIFS($A$3:A9929,A1673,$B$3:B9929,B1673)</f>
        <v>1</v>
      </c>
      <c r="G1673" s="116"/>
    </row>
    <row r="1674" spans="1:7" x14ac:dyDescent="0.2">
      <c r="A1674" s="116">
        <f>IF(ISNUMBER(Tabela2[[#This Row],[CT-e/NFS]])=TRUE,(IF(B1674&gt;30000,4,IF(B1674&lt;1000,"ND",0))),"-")</f>
        <v>4</v>
      </c>
      <c r="B1674" s="116">
        <v>46471</v>
      </c>
      <c r="C1674" s="117">
        <v>45393</v>
      </c>
      <c r="D1674" s="116">
        <v>125.16</v>
      </c>
      <c r="E1674" s="117">
        <v>45397</v>
      </c>
      <c r="F1674" s="116">
        <f>COUNTIFS($A$3:A9930,A1674,$B$3:B9930,B1674)</f>
        <v>1</v>
      </c>
      <c r="G1674" s="116"/>
    </row>
    <row r="1675" spans="1:7" x14ac:dyDescent="0.2">
      <c r="A1675" s="116">
        <f>IF(ISNUMBER(Tabela2[[#This Row],[CT-e/NFS]])=TRUE,(IF(B1675&gt;30000,4,IF(B1675&lt;1000,"ND",0))),"-")</f>
        <v>4</v>
      </c>
      <c r="B1675" s="116">
        <v>46477</v>
      </c>
      <c r="C1675" s="117">
        <v>45393</v>
      </c>
      <c r="D1675" s="116">
        <v>123.11</v>
      </c>
      <c r="E1675" s="117">
        <v>45397</v>
      </c>
      <c r="F1675" s="116">
        <f>COUNTIFS($A$3:A9931,A1675,$B$3:B9931,B1675)</f>
        <v>1</v>
      </c>
      <c r="G1675" s="116"/>
    </row>
    <row r="1676" spans="1:7" x14ac:dyDescent="0.2">
      <c r="A1676" s="116">
        <f>IF(ISNUMBER(Tabela2[[#This Row],[CT-e/NFS]])=TRUE,(IF(B1676&gt;30000,4,IF(B1676&lt;1000,"ND",0))),"-")</f>
        <v>4</v>
      </c>
      <c r="B1676" s="116">
        <v>46473</v>
      </c>
      <c r="C1676" s="117">
        <v>45393</v>
      </c>
      <c r="D1676" s="116">
        <v>124.2</v>
      </c>
      <c r="E1676" s="117">
        <v>45397</v>
      </c>
      <c r="F1676" s="116">
        <f>COUNTIFS($A$3:A9932,A1676,$B$3:B9932,B1676)</f>
        <v>1</v>
      </c>
      <c r="G1676" s="116"/>
    </row>
    <row r="1677" spans="1:7" x14ac:dyDescent="0.2">
      <c r="A1677" s="116">
        <f>IF(ISNUMBER(Tabela2[[#This Row],[CT-e/NFS]])=TRUE,(IF(B1677&gt;30000,4,IF(B1677&lt;1000,"ND",0))),"-")</f>
        <v>4</v>
      </c>
      <c r="B1677" s="116">
        <v>46487</v>
      </c>
      <c r="C1677" s="117">
        <v>45393</v>
      </c>
      <c r="D1677" s="116">
        <v>340.33</v>
      </c>
      <c r="E1677" s="117">
        <v>45397</v>
      </c>
      <c r="F1677" s="116">
        <f>COUNTIFS($A$3:A9933,A1677,$B$3:B9933,B1677)</f>
        <v>1</v>
      </c>
      <c r="G1677" s="116"/>
    </row>
    <row r="1678" spans="1:7" x14ac:dyDescent="0.2">
      <c r="A1678" s="116">
        <f>IF(ISNUMBER(Tabela2[[#This Row],[CT-e/NFS]])=TRUE,(IF(B1678&gt;30000,4,IF(B1678&lt;1000,"ND",0))),"-")</f>
        <v>4</v>
      </c>
      <c r="B1678" s="116">
        <v>46485</v>
      </c>
      <c r="C1678" s="117">
        <v>45393</v>
      </c>
      <c r="D1678" s="116">
        <v>286.19</v>
      </c>
      <c r="E1678" s="117">
        <v>45397</v>
      </c>
      <c r="F1678" s="116">
        <f>COUNTIFS($A$3:A9934,A1678,$B$3:B9934,B1678)</f>
        <v>1</v>
      </c>
      <c r="G1678" s="116"/>
    </row>
    <row r="1679" spans="1:7" x14ac:dyDescent="0.2">
      <c r="A1679" s="116">
        <f>IF(ISNUMBER(Tabela2[[#This Row],[CT-e/NFS]])=TRUE,(IF(B1679&gt;30000,4,IF(B1679&lt;1000,"ND",0))),"-")</f>
        <v>4</v>
      </c>
      <c r="B1679" s="116">
        <v>46486</v>
      </c>
      <c r="C1679" s="117">
        <v>45393</v>
      </c>
      <c r="D1679" s="116">
        <v>282.74</v>
      </c>
      <c r="E1679" s="117">
        <v>45397</v>
      </c>
      <c r="F1679" s="116">
        <f>COUNTIFS($A$3:A9935,A1679,$B$3:B9935,B1679)</f>
        <v>1</v>
      </c>
      <c r="G1679" s="116"/>
    </row>
    <row r="1680" spans="1:7" x14ac:dyDescent="0.2">
      <c r="A1680" s="116">
        <f>IF(ISNUMBER(Tabela2[[#This Row],[CT-e/NFS]])=TRUE,(IF(B1680&gt;30000,4,IF(B1680&lt;1000,"ND",0))),"-")</f>
        <v>4</v>
      </c>
      <c r="B1680" s="116">
        <v>46488</v>
      </c>
      <c r="C1680" s="117">
        <v>45393</v>
      </c>
      <c r="D1680" s="116">
        <v>671.58</v>
      </c>
      <c r="E1680" s="117">
        <v>45397</v>
      </c>
      <c r="F1680" s="116">
        <f>COUNTIFS($A$3:A9936,A1680,$B$3:B9936,B1680)</f>
        <v>1</v>
      </c>
      <c r="G1680" s="116"/>
    </row>
    <row r="1681" spans="1:7" x14ac:dyDescent="0.2">
      <c r="A1681" s="116">
        <f>IF(ISNUMBER(Tabela2[[#This Row],[CT-e/NFS]])=TRUE,(IF(B1681&gt;30000,4,IF(B1681&lt;1000,"ND",0))),"-")</f>
        <v>4</v>
      </c>
      <c r="B1681" s="116">
        <v>46491</v>
      </c>
      <c r="C1681" s="117">
        <v>45393</v>
      </c>
      <c r="D1681" s="116">
        <v>350.84</v>
      </c>
      <c r="E1681" s="117">
        <v>45397</v>
      </c>
      <c r="F1681" s="116">
        <f>COUNTIFS($A$3:A9937,A1681,$B$3:B9937,B1681)</f>
        <v>1</v>
      </c>
      <c r="G1681" s="116"/>
    </row>
    <row r="1682" spans="1:7" x14ac:dyDescent="0.2">
      <c r="A1682" s="116">
        <f>IF(ISNUMBER(Tabela2[[#This Row],[CT-e/NFS]])=TRUE,(IF(B1682&gt;30000,4,IF(B1682&lt;1000,"ND",0))),"-")</f>
        <v>4</v>
      </c>
      <c r="B1682" s="116">
        <v>46490</v>
      </c>
      <c r="C1682" s="117">
        <v>45393</v>
      </c>
      <c r="D1682" s="116">
        <v>346.69</v>
      </c>
      <c r="E1682" s="117">
        <v>45397</v>
      </c>
      <c r="F1682" s="116">
        <f>COUNTIFS($A$3:A9938,A1682,$B$3:B9938,B1682)</f>
        <v>1</v>
      </c>
      <c r="G1682" s="116"/>
    </row>
    <row r="1683" spans="1:7" x14ac:dyDescent="0.2">
      <c r="A1683" s="116">
        <f>IF(ISNUMBER(Tabela2[[#This Row],[CT-e/NFS]])=TRUE,(IF(B1683&gt;30000,4,IF(B1683&lt;1000,"ND",0))),"-")</f>
        <v>4</v>
      </c>
      <c r="B1683" s="116">
        <v>46489</v>
      </c>
      <c r="C1683" s="117">
        <v>45393</v>
      </c>
      <c r="D1683" s="116">
        <v>577.82000000000005</v>
      </c>
      <c r="E1683" s="117">
        <v>45397</v>
      </c>
      <c r="F1683" s="116">
        <f>COUNTIFS($A$3:A9939,A1683,$B$3:B9939,B1683)</f>
        <v>1</v>
      </c>
      <c r="G1683" s="116"/>
    </row>
    <row r="1684" spans="1:7" x14ac:dyDescent="0.2">
      <c r="A1684" s="116">
        <f>IF(ISNUMBER(Tabela2[[#This Row],[CT-e/NFS]])=TRUE,(IF(B1684&gt;30000,4,IF(B1684&lt;1000,"ND",0))),"-")</f>
        <v>4</v>
      </c>
      <c r="B1684" s="116">
        <v>46492</v>
      </c>
      <c r="C1684" s="117">
        <v>45393</v>
      </c>
      <c r="D1684" s="116">
        <v>123.92</v>
      </c>
      <c r="E1684" s="117">
        <v>45397</v>
      </c>
      <c r="F1684" s="116">
        <f>COUNTIFS($A$3:A9940,A1684,$B$3:B9940,B1684)</f>
        <v>1</v>
      </c>
      <c r="G1684" s="116"/>
    </row>
    <row r="1685" spans="1:7" x14ac:dyDescent="0.2">
      <c r="A1685" s="116">
        <f>IF(ISNUMBER(Tabela2[[#This Row],[CT-e/NFS]])=TRUE,(IF(B1685&gt;30000,4,IF(B1685&lt;1000,"ND",0))),"-")</f>
        <v>4</v>
      </c>
      <c r="B1685" s="116">
        <v>46495</v>
      </c>
      <c r="C1685" s="117">
        <v>45393</v>
      </c>
      <c r="D1685" s="116">
        <v>125.86</v>
      </c>
      <c r="E1685" s="117">
        <v>45397</v>
      </c>
      <c r="F1685" s="116">
        <f>COUNTIFS($A$3:A9941,A1685,$B$3:B9941,B1685)</f>
        <v>1</v>
      </c>
      <c r="G1685" s="116"/>
    </row>
    <row r="1686" spans="1:7" x14ac:dyDescent="0.2">
      <c r="A1686" s="116">
        <f>IF(ISNUMBER(Tabela2[[#This Row],[CT-e/NFS]])=TRUE,(IF(B1686&gt;30000,4,IF(B1686&lt;1000,"ND",0))),"-")</f>
        <v>4</v>
      </c>
      <c r="B1686" s="116">
        <v>46493</v>
      </c>
      <c r="C1686" s="117">
        <v>45393</v>
      </c>
      <c r="D1686" s="116">
        <v>123.9</v>
      </c>
      <c r="E1686" s="117">
        <v>45397</v>
      </c>
      <c r="F1686" s="116">
        <f>COUNTIFS($A$3:A9942,A1686,$B$3:B9942,B1686)</f>
        <v>1</v>
      </c>
      <c r="G1686" s="116"/>
    </row>
    <row r="1687" spans="1:7" x14ac:dyDescent="0.2">
      <c r="A1687" s="116">
        <f>IF(ISNUMBER(Tabela2[[#This Row],[CT-e/NFS]])=TRUE,(IF(B1687&gt;30000,4,IF(B1687&lt;1000,"ND",0))),"-")</f>
        <v>4</v>
      </c>
      <c r="B1687" s="116">
        <v>46496</v>
      </c>
      <c r="C1687" s="117">
        <v>45393</v>
      </c>
      <c r="D1687" s="116">
        <v>123.89</v>
      </c>
      <c r="E1687" s="117">
        <v>45397</v>
      </c>
      <c r="F1687" s="116">
        <f>COUNTIFS($A$3:A9943,A1687,$B$3:B9943,B1687)</f>
        <v>1</v>
      </c>
      <c r="G1687" s="116"/>
    </row>
    <row r="1688" spans="1:7" x14ac:dyDescent="0.2">
      <c r="A1688" s="116">
        <f>IF(ISNUMBER(Tabela2[[#This Row],[CT-e/NFS]])=TRUE,(IF(B1688&gt;30000,4,IF(B1688&lt;1000,"ND",0))),"-")</f>
        <v>4</v>
      </c>
      <c r="B1688" s="116">
        <v>46494</v>
      </c>
      <c r="C1688" s="117">
        <v>45393</v>
      </c>
      <c r="D1688" s="116">
        <v>123.65</v>
      </c>
      <c r="E1688" s="117">
        <v>45397</v>
      </c>
      <c r="F1688" s="116">
        <f>COUNTIFS($A$3:A9944,A1688,$B$3:B9944,B1688)</f>
        <v>1</v>
      </c>
      <c r="G1688" s="116"/>
    </row>
    <row r="1689" spans="1:7" x14ac:dyDescent="0.2">
      <c r="A1689" s="116">
        <f>IF(ISNUMBER(Tabela2[[#This Row],[CT-e/NFS]])=TRUE,(IF(B1689&gt;30000,4,IF(B1689&lt;1000,"ND",0))),"-")</f>
        <v>4</v>
      </c>
      <c r="B1689" s="116">
        <v>46502</v>
      </c>
      <c r="C1689" s="117">
        <v>45393</v>
      </c>
      <c r="D1689" s="116">
        <v>124.26</v>
      </c>
      <c r="E1689" s="117">
        <v>45397</v>
      </c>
      <c r="F1689" s="116">
        <f>COUNTIFS($A$3:A9945,A1689,$B$3:B9945,B1689)</f>
        <v>1</v>
      </c>
      <c r="G1689" s="116"/>
    </row>
    <row r="1690" spans="1:7" x14ac:dyDescent="0.2">
      <c r="A1690" s="116">
        <f>IF(ISNUMBER(Tabela2[[#This Row],[CT-e/NFS]])=TRUE,(IF(B1690&gt;30000,4,IF(B1690&lt;1000,"ND",0))),"-")</f>
        <v>4</v>
      </c>
      <c r="B1690" s="116">
        <v>46499</v>
      </c>
      <c r="C1690" s="117">
        <v>45393</v>
      </c>
      <c r="D1690" s="116">
        <v>124.24</v>
      </c>
      <c r="E1690" s="117">
        <v>45397</v>
      </c>
      <c r="F1690" s="116">
        <f>COUNTIFS($A$3:A9946,A1690,$B$3:B9946,B1690)</f>
        <v>1</v>
      </c>
      <c r="G1690" s="116"/>
    </row>
    <row r="1691" spans="1:7" x14ac:dyDescent="0.2">
      <c r="A1691" s="116">
        <f>IF(ISNUMBER(Tabela2[[#This Row],[CT-e/NFS]])=TRUE,(IF(B1691&gt;30000,4,IF(B1691&lt;1000,"ND",0))),"-")</f>
        <v>4</v>
      </c>
      <c r="B1691" s="116">
        <v>46500</v>
      </c>
      <c r="C1691" s="117">
        <v>45393</v>
      </c>
      <c r="D1691" s="116">
        <v>124.2</v>
      </c>
      <c r="E1691" s="117">
        <v>45397</v>
      </c>
      <c r="F1691" s="116">
        <f>COUNTIFS($A$3:A9947,A1691,$B$3:B9947,B1691)</f>
        <v>1</v>
      </c>
      <c r="G1691" s="116"/>
    </row>
    <row r="1692" spans="1:7" x14ac:dyDescent="0.2">
      <c r="A1692" s="116">
        <f>IF(ISNUMBER(Tabela2[[#This Row],[CT-e/NFS]])=TRUE,(IF(B1692&gt;30000,4,IF(B1692&lt;1000,"ND",0))),"-")</f>
        <v>4</v>
      </c>
      <c r="B1692" s="116">
        <v>46501</v>
      </c>
      <c r="C1692" s="117">
        <v>45393</v>
      </c>
      <c r="D1692" s="116">
        <v>123.31</v>
      </c>
      <c r="E1692" s="117">
        <v>45397</v>
      </c>
      <c r="F1692" s="116">
        <f>COUNTIFS($A$3:A9948,A1692,$B$3:B9948,B1692)</f>
        <v>1</v>
      </c>
      <c r="G1692" s="116"/>
    </row>
    <row r="1693" spans="1:7" x14ac:dyDescent="0.2">
      <c r="A1693" s="116">
        <f>IF(ISNUMBER(Tabela2[[#This Row],[CT-e/NFS]])=TRUE,(IF(B1693&gt;30000,4,IF(B1693&lt;1000,"ND",0))),"-")</f>
        <v>4</v>
      </c>
      <c r="B1693" s="116">
        <v>46498</v>
      </c>
      <c r="C1693" s="117">
        <v>45393</v>
      </c>
      <c r="D1693" s="116">
        <v>125.56</v>
      </c>
      <c r="E1693" s="117">
        <v>45397</v>
      </c>
      <c r="F1693" s="116">
        <f>COUNTIFS($A$3:A9949,A1693,$B$3:B9949,B1693)</f>
        <v>1</v>
      </c>
      <c r="G1693" s="116"/>
    </row>
    <row r="1694" spans="1:7" x14ac:dyDescent="0.2">
      <c r="A1694" s="116">
        <f>IF(ISNUMBER(Tabela2[[#This Row],[CT-e/NFS]])=TRUE,(IF(B1694&gt;30000,4,IF(B1694&lt;1000,"ND",0))),"-")</f>
        <v>4</v>
      </c>
      <c r="B1694" s="116">
        <v>46506</v>
      </c>
      <c r="C1694" s="117">
        <v>45393</v>
      </c>
      <c r="D1694" s="116">
        <v>124.38</v>
      </c>
      <c r="E1694" s="117">
        <v>45397</v>
      </c>
      <c r="F1694" s="116">
        <f>COUNTIFS($A$3:A9950,A1694,$B$3:B9950,B1694)</f>
        <v>1</v>
      </c>
      <c r="G1694" s="116"/>
    </row>
    <row r="1695" spans="1:7" x14ac:dyDescent="0.2">
      <c r="A1695" s="116">
        <f>IF(ISNUMBER(Tabela2[[#This Row],[CT-e/NFS]])=TRUE,(IF(B1695&gt;30000,4,IF(B1695&lt;1000,"ND",0))),"-")</f>
        <v>4</v>
      </c>
      <c r="B1695" s="116">
        <v>46505</v>
      </c>
      <c r="C1695" s="117">
        <v>45393</v>
      </c>
      <c r="D1695" s="116">
        <v>124.03</v>
      </c>
      <c r="E1695" s="117">
        <v>45397</v>
      </c>
      <c r="F1695" s="116">
        <f>COUNTIFS($A$3:A9951,A1695,$B$3:B9951,B1695)</f>
        <v>1</v>
      </c>
      <c r="G1695" s="116"/>
    </row>
    <row r="1696" spans="1:7" x14ac:dyDescent="0.2">
      <c r="A1696" s="116">
        <f>IF(ISNUMBER(Tabela2[[#This Row],[CT-e/NFS]])=TRUE,(IF(B1696&gt;30000,4,IF(B1696&lt;1000,"ND",0))),"-")</f>
        <v>4</v>
      </c>
      <c r="B1696" s="116">
        <v>46510</v>
      </c>
      <c r="C1696" s="117">
        <v>45393</v>
      </c>
      <c r="D1696" s="116">
        <v>124.56</v>
      </c>
      <c r="E1696" s="117">
        <v>45397</v>
      </c>
      <c r="F1696" s="116">
        <f>COUNTIFS($A$3:A9952,A1696,$B$3:B9952,B1696)</f>
        <v>1</v>
      </c>
      <c r="G1696" s="116"/>
    </row>
    <row r="1697" spans="1:7" x14ac:dyDescent="0.2">
      <c r="A1697" s="116">
        <f>IF(ISNUMBER(Tabela2[[#This Row],[CT-e/NFS]])=TRUE,(IF(B1697&gt;30000,4,IF(B1697&lt;1000,"ND",0))),"-")</f>
        <v>4</v>
      </c>
      <c r="B1697" s="116">
        <v>46511</v>
      </c>
      <c r="C1697" s="117">
        <v>45393</v>
      </c>
      <c r="D1697" s="116">
        <v>165.13</v>
      </c>
      <c r="E1697" s="117">
        <v>45397</v>
      </c>
      <c r="F1697" s="116">
        <f>COUNTIFS($A$3:A9953,A1697,$B$3:B9953,B1697)</f>
        <v>1</v>
      </c>
      <c r="G1697" s="116"/>
    </row>
    <row r="1698" spans="1:7" x14ac:dyDescent="0.2">
      <c r="A1698" s="116">
        <f>IF(ISNUMBER(Tabela2[[#This Row],[CT-e/NFS]])=TRUE,(IF(B1698&gt;30000,4,IF(B1698&lt;1000,"ND",0))),"-")</f>
        <v>4</v>
      </c>
      <c r="B1698" s="116">
        <v>46512</v>
      </c>
      <c r="C1698" s="117">
        <v>45393</v>
      </c>
      <c r="D1698" s="116">
        <v>123.89</v>
      </c>
      <c r="E1698" s="117">
        <v>45397</v>
      </c>
      <c r="F1698" s="116">
        <f>COUNTIFS($A$3:A9954,A1698,$B$3:B9954,B1698)</f>
        <v>1</v>
      </c>
      <c r="G1698" s="116"/>
    </row>
    <row r="1699" spans="1:7" x14ac:dyDescent="0.2">
      <c r="A1699" s="116">
        <f>IF(ISNUMBER(Tabela2[[#This Row],[CT-e/NFS]])=TRUE,(IF(B1699&gt;30000,4,IF(B1699&lt;1000,"ND",0))),"-")</f>
        <v>4</v>
      </c>
      <c r="B1699" s="116">
        <v>46504</v>
      </c>
      <c r="C1699" s="117">
        <v>45393</v>
      </c>
      <c r="D1699" s="116">
        <v>124.25</v>
      </c>
      <c r="E1699" s="117">
        <v>45397</v>
      </c>
      <c r="F1699" s="116">
        <f>COUNTIFS($A$3:A9955,A1699,$B$3:B9955,B1699)</f>
        <v>1</v>
      </c>
      <c r="G1699" s="116"/>
    </row>
    <row r="1700" spans="1:7" x14ac:dyDescent="0.2">
      <c r="A1700" s="116">
        <f>IF(ISNUMBER(Tabela2[[#This Row],[CT-e/NFS]])=TRUE,(IF(B1700&gt;30000,4,IF(B1700&lt;1000,"ND",0))),"-")</f>
        <v>4</v>
      </c>
      <c r="B1700" s="116">
        <v>46514</v>
      </c>
      <c r="C1700" s="117">
        <v>45393</v>
      </c>
      <c r="D1700" s="116">
        <v>125.25</v>
      </c>
      <c r="E1700" s="117">
        <v>45397</v>
      </c>
      <c r="F1700" s="116">
        <f>COUNTIFS($A$3:A9956,A1700,$B$3:B9956,B1700)</f>
        <v>1</v>
      </c>
      <c r="G1700" s="116"/>
    </row>
    <row r="1701" spans="1:7" x14ac:dyDescent="0.2">
      <c r="A1701" s="116">
        <f>IF(ISNUMBER(Tabela2[[#This Row],[CT-e/NFS]])=TRUE,(IF(B1701&gt;30000,4,IF(B1701&lt;1000,"ND",0))),"-")</f>
        <v>4</v>
      </c>
      <c r="B1701" s="116">
        <v>46518</v>
      </c>
      <c r="C1701" s="117">
        <v>45393</v>
      </c>
      <c r="D1701" s="116">
        <v>122.74</v>
      </c>
      <c r="E1701" s="117">
        <v>45397</v>
      </c>
      <c r="F1701" s="116">
        <f>COUNTIFS($A$3:A9957,A1701,$B$3:B9957,B1701)</f>
        <v>1</v>
      </c>
      <c r="G1701" s="116"/>
    </row>
    <row r="1702" spans="1:7" x14ac:dyDescent="0.2">
      <c r="A1702" s="116">
        <f>IF(ISNUMBER(Tabela2[[#This Row],[CT-e/NFS]])=TRUE,(IF(B1702&gt;30000,4,IF(B1702&lt;1000,"ND",0))),"-")</f>
        <v>4</v>
      </c>
      <c r="B1702" s="116">
        <v>46507</v>
      </c>
      <c r="C1702" s="117">
        <v>45393</v>
      </c>
      <c r="D1702" s="116">
        <v>343.06</v>
      </c>
      <c r="E1702" s="117">
        <v>45397</v>
      </c>
      <c r="F1702" s="116">
        <f>COUNTIFS($A$3:A9958,A1702,$B$3:B9958,B1702)</f>
        <v>1</v>
      </c>
      <c r="G1702" s="116"/>
    </row>
    <row r="1703" spans="1:7" x14ac:dyDescent="0.2">
      <c r="A1703" s="116">
        <f>IF(ISNUMBER(Tabela2[[#This Row],[CT-e/NFS]])=TRUE,(IF(B1703&gt;30000,4,IF(B1703&lt;1000,"ND",0))),"-")</f>
        <v>4</v>
      </c>
      <c r="B1703" s="116">
        <v>46508</v>
      </c>
      <c r="C1703" s="117">
        <v>45393</v>
      </c>
      <c r="D1703" s="116">
        <v>532.16999999999996</v>
      </c>
      <c r="E1703" s="117">
        <v>45397</v>
      </c>
      <c r="F1703" s="116">
        <f>COUNTIFS($A$3:A9959,A1703,$B$3:B9959,B1703)</f>
        <v>1</v>
      </c>
      <c r="G1703" s="116"/>
    </row>
    <row r="1704" spans="1:7" x14ac:dyDescent="0.2">
      <c r="A1704" s="116">
        <f>IF(ISNUMBER(Tabela2[[#This Row],[CT-e/NFS]])=TRUE,(IF(B1704&gt;30000,4,IF(B1704&lt;1000,"ND",0))),"-")</f>
        <v>4</v>
      </c>
      <c r="B1704" s="116">
        <v>46509</v>
      </c>
      <c r="C1704" s="117">
        <v>45393</v>
      </c>
      <c r="D1704" s="116">
        <v>125.48</v>
      </c>
      <c r="E1704" s="117">
        <v>45397</v>
      </c>
      <c r="F1704" s="116">
        <f>COUNTIFS($A$3:A9960,A1704,$B$3:B9960,B1704)</f>
        <v>1</v>
      </c>
      <c r="G1704" s="116"/>
    </row>
    <row r="1705" spans="1:7" x14ac:dyDescent="0.2">
      <c r="A1705" s="116">
        <f>IF(ISNUMBER(Tabela2[[#This Row],[CT-e/NFS]])=TRUE,(IF(B1705&gt;30000,4,IF(B1705&lt;1000,"ND",0))),"-")</f>
        <v>4</v>
      </c>
      <c r="B1705" s="116">
        <v>46513</v>
      </c>
      <c r="C1705" s="117">
        <v>45393</v>
      </c>
      <c r="D1705" s="116">
        <v>124.52</v>
      </c>
      <c r="E1705" s="117">
        <v>45397</v>
      </c>
      <c r="F1705" s="116">
        <f>COUNTIFS($A$3:A9961,A1705,$B$3:B9961,B1705)</f>
        <v>1</v>
      </c>
      <c r="G1705" s="116"/>
    </row>
    <row r="1706" spans="1:7" x14ac:dyDescent="0.2">
      <c r="A1706" s="116">
        <f>IF(ISNUMBER(Tabela2[[#This Row],[CT-e/NFS]])=TRUE,(IF(B1706&gt;30000,4,IF(B1706&lt;1000,"ND",0))),"-")</f>
        <v>4</v>
      </c>
      <c r="B1706" s="116">
        <v>46520</v>
      </c>
      <c r="C1706" s="117">
        <v>45393</v>
      </c>
      <c r="D1706" s="116">
        <v>125.35</v>
      </c>
      <c r="E1706" s="117">
        <v>45397</v>
      </c>
      <c r="F1706" s="116">
        <f>COUNTIFS($A$3:A9962,A1706,$B$3:B9962,B1706)</f>
        <v>1</v>
      </c>
      <c r="G1706" s="116"/>
    </row>
    <row r="1707" spans="1:7" x14ac:dyDescent="0.2">
      <c r="A1707" s="116">
        <f>IF(ISNUMBER(Tabela2[[#This Row],[CT-e/NFS]])=TRUE,(IF(B1707&gt;30000,4,IF(B1707&lt;1000,"ND",0))),"-")</f>
        <v>4</v>
      </c>
      <c r="B1707" s="116">
        <v>46521</v>
      </c>
      <c r="C1707" s="117">
        <v>45393</v>
      </c>
      <c r="D1707" s="116">
        <v>227</v>
      </c>
      <c r="E1707" s="117">
        <v>45397</v>
      </c>
      <c r="F1707" s="116">
        <f>COUNTIFS($A$3:A9963,A1707,$B$3:B9963,B1707)</f>
        <v>1</v>
      </c>
      <c r="G1707" s="116"/>
    </row>
    <row r="1708" spans="1:7" x14ac:dyDescent="0.2">
      <c r="A1708" s="116">
        <f>IF(ISNUMBER(Tabela2[[#This Row],[CT-e/NFS]])=TRUE,(IF(B1708&gt;30000,4,IF(B1708&lt;1000,"ND",0))),"-")</f>
        <v>4</v>
      </c>
      <c r="B1708" s="116">
        <v>46522</v>
      </c>
      <c r="C1708" s="117">
        <v>45393</v>
      </c>
      <c r="D1708" s="116">
        <v>910.73</v>
      </c>
      <c r="E1708" s="117">
        <v>45397</v>
      </c>
      <c r="F1708" s="116">
        <f>COUNTIFS($A$3:A9964,A1708,$B$3:B9964,B1708)</f>
        <v>1</v>
      </c>
      <c r="G1708" s="116"/>
    </row>
    <row r="1709" spans="1:7" x14ac:dyDescent="0.2">
      <c r="A1709" s="116">
        <f>IF(ISNUMBER(Tabela2[[#This Row],[CT-e/NFS]])=TRUE,(IF(B1709&gt;30000,4,IF(B1709&lt;1000,"ND",0))),"-")</f>
        <v>4</v>
      </c>
      <c r="B1709" s="116">
        <v>46526</v>
      </c>
      <c r="C1709" s="117">
        <v>45393</v>
      </c>
      <c r="D1709" s="116">
        <v>125.89</v>
      </c>
      <c r="E1709" s="117">
        <v>45397</v>
      </c>
      <c r="F1709" s="116">
        <f>COUNTIFS($A$3:A9965,A1709,$B$3:B9965,B1709)</f>
        <v>1</v>
      </c>
      <c r="G1709" s="116"/>
    </row>
    <row r="1710" spans="1:7" x14ac:dyDescent="0.2">
      <c r="A1710" s="116">
        <f>IF(ISNUMBER(Tabela2[[#This Row],[CT-e/NFS]])=TRUE,(IF(B1710&gt;30000,4,IF(B1710&lt;1000,"ND",0))),"-")</f>
        <v>4</v>
      </c>
      <c r="B1710" s="116">
        <v>46523</v>
      </c>
      <c r="C1710" s="117">
        <v>45393</v>
      </c>
      <c r="D1710" s="116">
        <v>238.86</v>
      </c>
      <c r="E1710" s="117">
        <v>45397</v>
      </c>
      <c r="F1710" s="116">
        <f>COUNTIFS($A$3:A9966,A1710,$B$3:B9966,B1710)</f>
        <v>1</v>
      </c>
      <c r="G1710" s="116"/>
    </row>
    <row r="1711" spans="1:7" x14ac:dyDescent="0.2">
      <c r="A1711" s="116">
        <f>IF(ISNUMBER(Tabela2[[#This Row],[CT-e/NFS]])=TRUE,(IF(B1711&gt;30000,4,IF(B1711&lt;1000,"ND",0))),"-")</f>
        <v>4</v>
      </c>
      <c r="B1711" s="116">
        <v>46527</v>
      </c>
      <c r="C1711" s="117">
        <v>45393</v>
      </c>
      <c r="D1711" s="116">
        <v>125.03</v>
      </c>
      <c r="E1711" s="117">
        <v>45397</v>
      </c>
      <c r="F1711" s="116">
        <f>COUNTIFS($A$3:A9967,A1711,$B$3:B9967,B1711)</f>
        <v>1</v>
      </c>
      <c r="G1711" s="116"/>
    </row>
    <row r="1712" spans="1:7" x14ac:dyDescent="0.2">
      <c r="A1712" s="116">
        <f>IF(ISNUMBER(Tabela2[[#This Row],[CT-e/NFS]])=TRUE,(IF(B1712&gt;30000,4,IF(B1712&lt;1000,"ND",0))),"-")</f>
        <v>4</v>
      </c>
      <c r="B1712" s="116">
        <v>46524</v>
      </c>
      <c r="C1712" s="117">
        <v>45393</v>
      </c>
      <c r="D1712" s="116">
        <v>123.89</v>
      </c>
      <c r="E1712" s="117">
        <v>45397</v>
      </c>
      <c r="F1712" s="116">
        <f>COUNTIFS($A$3:A9968,A1712,$B$3:B9968,B1712)</f>
        <v>1</v>
      </c>
      <c r="G1712" s="116"/>
    </row>
    <row r="1713" spans="1:7" x14ac:dyDescent="0.2">
      <c r="A1713" s="116">
        <f>IF(ISNUMBER(Tabela2[[#This Row],[CT-e/NFS]])=TRUE,(IF(B1713&gt;30000,4,IF(B1713&lt;1000,"ND",0))),"-")</f>
        <v>4</v>
      </c>
      <c r="B1713" s="116">
        <v>46525</v>
      </c>
      <c r="C1713" s="117">
        <v>45393</v>
      </c>
      <c r="D1713" s="116">
        <v>122.89</v>
      </c>
      <c r="E1713" s="117">
        <v>45397</v>
      </c>
      <c r="F1713" s="116">
        <f>COUNTIFS($A$3:A9969,A1713,$B$3:B9969,B1713)</f>
        <v>1</v>
      </c>
      <c r="G1713" s="116"/>
    </row>
    <row r="1714" spans="1:7" x14ac:dyDescent="0.2">
      <c r="A1714" s="116">
        <f>IF(ISNUMBER(Tabela2[[#This Row],[CT-e/NFS]])=TRUE,(IF(B1714&gt;30000,4,IF(B1714&lt;1000,"ND",0))),"-")</f>
        <v>4</v>
      </c>
      <c r="B1714" s="116">
        <v>46533</v>
      </c>
      <c r="C1714" s="117">
        <v>45393</v>
      </c>
      <c r="D1714" s="116">
        <v>123.9</v>
      </c>
      <c r="E1714" s="117">
        <v>45397</v>
      </c>
      <c r="F1714" s="116">
        <f>COUNTIFS($A$3:A9970,A1714,$B$3:B9970,B1714)</f>
        <v>1</v>
      </c>
      <c r="G1714" s="116"/>
    </row>
    <row r="1715" spans="1:7" x14ac:dyDescent="0.2">
      <c r="A1715" s="116">
        <f>IF(ISNUMBER(Tabela2[[#This Row],[CT-e/NFS]])=TRUE,(IF(B1715&gt;30000,4,IF(B1715&lt;1000,"ND",0))),"-")</f>
        <v>4</v>
      </c>
      <c r="B1715" s="116">
        <v>46532</v>
      </c>
      <c r="C1715" s="117">
        <v>45393</v>
      </c>
      <c r="D1715" s="116">
        <v>125.35</v>
      </c>
      <c r="E1715" s="117">
        <v>45397</v>
      </c>
      <c r="F1715" s="116">
        <f>COUNTIFS($A$3:A9971,A1715,$B$3:B9971,B1715)</f>
        <v>1</v>
      </c>
      <c r="G1715" s="116"/>
    </row>
    <row r="1716" spans="1:7" x14ac:dyDescent="0.2">
      <c r="A1716" s="116">
        <f>IF(ISNUMBER(Tabela2[[#This Row],[CT-e/NFS]])=TRUE,(IF(B1716&gt;30000,4,IF(B1716&lt;1000,"ND",0))),"-")</f>
        <v>4</v>
      </c>
      <c r="B1716" s="116">
        <v>46534</v>
      </c>
      <c r="C1716" s="117">
        <v>45393</v>
      </c>
      <c r="D1716" s="116">
        <v>668.78</v>
      </c>
      <c r="E1716" s="117">
        <v>45397</v>
      </c>
      <c r="F1716" s="116">
        <f>COUNTIFS($A$3:A9972,A1716,$B$3:B9972,B1716)</f>
        <v>1</v>
      </c>
      <c r="G1716" s="116"/>
    </row>
    <row r="1717" spans="1:7" x14ac:dyDescent="0.2">
      <c r="A1717" s="116">
        <f>IF(ISNUMBER(Tabela2[[#This Row],[CT-e/NFS]])=TRUE,(IF(B1717&gt;30000,4,IF(B1717&lt;1000,"ND",0))),"-")</f>
        <v>4</v>
      </c>
      <c r="B1717" s="116">
        <v>46535</v>
      </c>
      <c r="C1717" s="117">
        <v>45393</v>
      </c>
      <c r="D1717" s="116">
        <v>835.53</v>
      </c>
      <c r="E1717" s="117">
        <v>45397</v>
      </c>
      <c r="F1717" s="116">
        <f>COUNTIFS($A$3:A9973,A1717,$B$3:B9973,B1717)</f>
        <v>1</v>
      </c>
      <c r="G1717" s="116"/>
    </row>
    <row r="1718" spans="1:7" x14ac:dyDescent="0.2">
      <c r="A1718" s="116">
        <f>IF(ISNUMBER(Tabela2[[#This Row],[CT-e/NFS]])=TRUE,(IF(B1718&gt;30000,4,IF(B1718&lt;1000,"ND",0))),"-")</f>
        <v>4</v>
      </c>
      <c r="B1718" s="116">
        <v>46528</v>
      </c>
      <c r="C1718" s="117">
        <v>45393</v>
      </c>
      <c r="D1718" s="116">
        <v>227.08</v>
      </c>
      <c r="E1718" s="117">
        <v>45397</v>
      </c>
      <c r="F1718" s="116">
        <f>COUNTIFS($A$3:A9974,A1718,$B$3:B9974,B1718)</f>
        <v>1</v>
      </c>
      <c r="G1718" s="116"/>
    </row>
    <row r="1719" spans="1:7" x14ac:dyDescent="0.2">
      <c r="A1719" s="116">
        <f>IF(ISNUMBER(Tabela2[[#This Row],[CT-e/NFS]])=TRUE,(IF(B1719&gt;30000,4,IF(B1719&lt;1000,"ND",0))),"-")</f>
        <v>4</v>
      </c>
      <c r="B1719" s="116">
        <v>46539</v>
      </c>
      <c r="C1719" s="117">
        <v>45393</v>
      </c>
      <c r="D1719" s="116">
        <v>153.18</v>
      </c>
      <c r="E1719" s="117">
        <v>45397</v>
      </c>
      <c r="F1719" s="116">
        <f>COUNTIFS($A$3:A9975,A1719,$B$3:B9975,B1719)</f>
        <v>1</v>
      </c>
      <c r="G1719" s="116"/>
    </row>
    <row r="1720" spans="1:7" x14ac:dyDescent="0.2">
      <c r="A1720" s="116">
        <f>IF(ISNUMBER(Tabela2[[#This Row],[CT-e/NFS]])=TRUE,(IF(B1720&gt;30000,4,IF(B1720&lt;1000,"ND",0))),"-")</f>
        <v>4</v>
      </c>
      <c r="B1720" s="116">
        <v>46530</v>
      </c>
      <c r="C1720" s="117">
        <v>45393</v>
      </c>
      <c r="D1720" s="116">
        <v>111.64</v>
      </c>
      <c r="E1720" s="117">
        <v>45397</v>
      </c>
      <c r="F1720" s="116">
        <f>COUNTIFS($A$3:A9976,A1720,$B$3:B9976,B1720)</f>
        <v>1</v>
      </c>
      <c r="G1720" s="116"/>
    </row>
    <row r="1721" spans="1:7" x14ac:dyDescent="0.2">
      <c r="A1721" s="116">
        <f>IF(ISNUMBER(Tabela2[[#This Row],[CT-e/NFS]])=TRUE,(IF(B1721&gt;30000,4,IF(B1721&lt;1000,"ND",0))),"-")</f>
        <v>4</v>
      </c>
      <c r="B1721" s="116">
        <v>46531</v>
      </c>
      <c r="C1721" s="117">
        <v>45393</v>
      </c>
      <c r="D1721" s="116">
        <v>86.88</v>
      </c>
      <c r="E1721" s="117">
        <v>45397</v>
      </c>
      <c r="F1721" s="116">
        <f>COUNTIFS($A$3:A9977,A1721,$B$3:B9977,B1721)</f>
        <v>1</v>
      </c>
      <c r="G1721" s="116"/>
    </row>
    <row r="1722" spans="1:7" x14ac:dyDescent="0.2">
      <c r="A1722" s="116">
        <f>IF(ISNUMBER(Tabela2[[#This Row],[CT-e/NFS]])=TRUE,(IF(B1722&gt;30000,4,IF(B1722&lt;1000,"ND",0))),"-")</f>
        <v>4</v>
      </c>
      <c r="B1722" s="116">
        <v>46529</v>
      </c>
      <c r="C1722" s="117">
        <v>45393</v>
      </c>
      <c r="D1722" s="116">
        <v>241.22</v>
      </c>
      <c r="E1722" s="117">
        <v>45397</v>
      </c>
      <c r="F1722" s="116">
        <f>COUNTIFS($A$3:A9978,A1722,$B$3:B9978,B1722)</f>
        <v>1</v>
      </c>
      <c r="G1722" s="116"/>
    </row>
    <row r="1723" spans="1:7" x14ac:dyDescent="0.2">
      <c r="A1723" s="116">
        <f>IF(ISNUMBER(Tabela2[[#This Row],[CT-e/NFS]])=TRUE,(IF(B1723&gt;30000,4,IF(B1723&lt;1000,"ND",0))),"-")</f>
        <v>4</v>
      </c>
      <c r="B1723" s="116">
        <v>46456</v>
      </c>
      <c r="C1723" s="117">
        <v>45393</v>
      </c>
      <c r="D1723" s="116">
        <v>1153.5999999999999</v>
      </c>
      <c r="E1723" s="117">
        <v>45397</v>
      </c>
      <c r="F1723" s="116">
        <f>COUNTIFS($A$3:A9979,A1723,$B$3:B9979,B1723)</f>
        <v>1</v>
      </c>
      <c r="G1723" s="116"/>
    </row>
    <row r="1724" spans="1:7" x14ac:dyDescent="0.2">
      <c r="A1724" s="116">
        <f>IF(ISNUMBER(Tabela2[[#This Row],[CT-e/NFS]])=TRUE,(IF(B1724&gt;30000,4,IF(B1724&lt;1000,"ND",0))),"-")</f>
        <v>4</v>
      </c>
      <c r="B1724" s="116">
        <v>46452</v>
      </c>
      <c r="C1724" s="117">
        <v>45393</v>
      </c>
      <c r="D1724" s="116">
        <v>868.48</v>
      </c>
      <c r="E1724" s="117">
        <v>45397</v>
      </c>
      <c r="F1724" s="116">
        <f>COUNTIFS($A$3:A9980,A1724,$B$3:B9980,B1724)</f>
        <v>1</v>
      </c>
      <c r="G1724" s="116"/>
    </row>
    <row r="1725" spans="1:7" x14ac:dyDescent="0.2">
      <c r="A1725" s="116">
        <f>IF(ISNUMBER(Tabela2[[#This Row],[CT-e/NFS]])=TRUE,(IF(B1725&gt;30000,4,IF(B1725&lt;1000,"ND",0))),"-")</f>
        <v>0</v>
      </c>
      <c r="B1725" s="116">
        <v>21265</v>
      </c>
      <c r="C1725" s="117">
        <v>45393</v>
      </c>
      <c r="D1725" s="116">
        <v>76.34</v>
      </c>
      <c r="E1725" s="117">
        <v>45397</v>
      </c>
      <c r="F1725" s="116">
        <f>COUNTIFS($A$3:A9981,A1725,$B$3:B9981,B1725)</f>
        <v>1</v>
      </c>
      <c r="G1725" s="116"/>
    </row>
    <row r="1726" spans="1:7" x14ac:dyDescent="0.2">
      <c r="A1726" s="116">
        <f>IF(ISNUMBER(Tabela2[[#This Row],[CT-e/NFS]])=TRUE,(IF(B1726&gt;30000,4,IF(B1726&lt;1000,"ND",0))),"-")</f>
        <v>0</v>
      </c>
      <c r="B1726" s="116">
        <v>21266</v>
      </c>
      <c r="C1726" s="117">
        <v>45393</v>
      </c>
      <c r="D1726" s="116">
        <v>76.319999999999993</v>
      </c>
      <c r="E1726" s="117">
        <v>45397</v>
      </c>
      <c r="F1726" s="116">
        <f>COUNTIFS($A$3:A9982,A1726,$B$3:B9982,B1726)</f>
        <v>1</v>
      </c>
      <c r="G1726" s="116"/>
    </row>
    <row r="1727" spans="1:7" x14ac:dyDescent="0.2">
      <c r="A1727" s="116">
        <f>IF(ISNUMBER(Tabela2[[#This Row],[CT-e/NFS]])=TRUE,(IF(B1727&gt;30000,4,IF(B1727&lt;1000,"ND",0))),"-")</f>
        <v>0</v>
      </c>
      <c r="B1727" s="116">
        <v>21261</v>
      </c>
      <c r="C1727" s="117">
        <v>45393</v>
      </c>
      <c r="D1727" s="116">
        <v>76.34</v>
      </c>
      <c r="E1727" s="117">
        <v>45397</v>
      </c>
      <c r="F1727" s="116">
        <f>COUNTIFS($A$3:A9983,A1727,$B$3:B9983,B1727)</f>
        <v>1</v>
      </c>
      <c r="G1727" s="116"/>
    </row>
    <row r="1728" spans="1:7" x14ac:dyDescent="0.2">
      <c r="A1728" s="116">
        <f>IF(ISNUMBER(Tabela2[[#This Row],[CT-e/NFS]])=TRUE,(IF(B1728&gt;30000,4,IF(B1728&lt;1000,"ND",0))),"-")</f>
        <v>0</v>
      </c>
      <c r="B1728" s="116">
        <v>21264</v>
      </c>
      <c r="C1728" s="117">
        <v>45393</v>
      </c>
      <c r="D1728" s="116">
        <v>84.96</v>
      </c>
      <c r="E1728" s="117">
        <v>45397</v>
      </c>
      <c r="F1728" s="116">
        <f>COUNTIFS($A$3:A9984,A1728,$B$3:B9984,B1728)</f>
        <v>1</v>
      </c>
      <c r="G1728" s="116"/>
    </row>
    <row r="1729" spans="1:7" x14ac:dyDescent="0.2">
      <c r="A1729" s="116">
        <f>IF(ISNUMBER(Tabela2[[#This Row],[CT-e/NFS]])=TRUE,(IF(B1729&gt;30000,4,IF(B1729&lt;1000,"ND",0))),"-")</f>
        <v>0</v>
      </c>
      <c r="B1729" s="116">
        <v>21262</v>
      </c>
      <c r="C1729" s="117">
        <v>45393</v>
      </c>
      <c r="D1729" s="116">
        <v>76.42</v>
      </c>
      <c r="E1729" s="117">
        <v>45397</v>
      </c>
      <c r="F1729" s="116">
        <f>COUNTIFS($A$3:A9985,A1729,$B$3:B9985,B1729)</f>
        <v>1</v>
      </c>
      <c r="G1729" s="116"/>
    </row>
    <row r="1730" spans="1:7" x14ac:dyDescent="0.2">
      <c r="A1730" s="116">
        <f>IF(ISNUMBER(Tabela2[[#This Row],[CT-e/NFS]])=TRUE,(IF(B1730&gt;30000,4,IF(B1730&lt;1000,"ND",0))),"-")</f>
        <v>0</v>
      </c>
      <c r="B1730" s="116">
        <v>21267</v>
      </c>
      <c r="C1730" s="117">
        <v>45393</v>
      </c>
      <c r="D1730" s="116">
        <v>251.85</v>
      </c>
      <c r="E1730" s="117">
        <v>45397</v>
      </c>
      <c r="F1730" s="116">
        <f>COUNTIFS($A$3:A9986,A1730,$B$3:B9986,B1730)</f>
        <v>1</v>
      </c>
      <c r="G1730" s="116"/>
    </row>
    <row r="1731" spans="1:7" x14ac:dyDescent="0.2">
      <c r="A1731" s="116">
        <f>IF(ISNUMBER(Tabela2[[#This Row],[CT-e/NFS]])=TRUE,(IF(B1731&gt;30000,4,IF(B1731&lt;1000,"ND",0))),"-")</f>
        <v>0</v>
      </c>
      <c r="B1731" s="116">
        <v>21269</v>
      </c>
      <c r="C1731" s="117">
        <v>45393</v>
      </c>
      <c r="D1731" s="116">
        <v>162.80000000000001</v>
      </c>
      <c r="E1731" s="117">
        <v>45397</v>
      </c>
      <c r="F1731" s="116">
        <f>COUNTIFS($A$3:A9987,A1731,$B$3:B9987,B1731)</f>
        <v>1</v>
      </c>
      <c r="G1731" s="116"/>
    </row>
    <row r="1732" spans="1:7" x14ac:dyDescent="0.2">
      <c r="A1732" s="116">
        <f>IF(ISNUMBER(Tabela2[[#This Row],[CT-e/NFS]])=TRUE,(IF(B1732&gt;30000,4,IF(B1732&lt;1000,"ND",0))),"-")</f>
        <v>0</v>
      </c>
      <c r="B1732" s="116">
        <v>21268</v>
      </c>
      <c r="C1732" s="117">
        <v>45393</v>
      </c>
      <c r="D1732" s="116">
        <v>77.06</v>
      </c>
      <c r="E1732" s="117">
        <v>45397</v>
      </c>
      <c r="F1732" s="116">
        <f>COUNTIFS($A$3:A9988,A1732,$B$3:B9988,B1732)</f>
        <v>1</v>
      </c>
      <c r="G1732" s="116"/>
    </row>
    <row r="1733" spans="1:7" x14ac:dyDescent="0.2">
      <c r="A1733" s="116">
        <f>IF(ISNUMBER(Tabela2[[#This Row],[CT-e/NFS]])=TRUE,(IF(B1733&gt;30000,4,IF(B1733&lt;1000,"ND",0))),"-")</f>
        <v>0</v>
      </c>
      <c r="B1733" s="116">
        <v>21271</v>
      </c>
      <c r="C1733" s="117">
        <v>45393</v>
      </c>
      <c r="D1733" s="116">
        <v>128.04</v>
      </c>
      <c r="E1733" s="117">
        <v>45397</v>
      </c>
      <c r="F1733" s="116">
        <f>COUNTIFS($A$3:A9989,A1733,$B$3:B9989,B1733)</f>
        <v>1</v>
      </c>
      <c r="G1733" s="116"/>
    </row>
    <row r="1734" spans="1:7" x14ac:dyDescent="0.2">
      <c r="A1734" s="116">
        <f>IF(ISNUMBER(Tabela2[[#This Row],[CT-e/NFS]])=TRUE,(IF(B1734&gt;30000,4,IF(B1734&lt;1000,"ND",0))),"-")</f>
        <v>0</v>
      </c>
      <c r="B1734" s="116">
        <v>21270</v>
      </c>
      <c r="C1734" s="117">
        <v>45393</v>
      </c>
      <c r="D1734" s="116">
        <v>76.33</v>
      </c>
      <c r="E1734" s="117">
        <v>45397</v>
      </c>
      <c r="F1734" s="116">
        <f>COUNTIFS($A$3:A9990,A1734,$B$3:B9990,B1734)</f>
        <v>1</v>
      </c>
      <c r="G1734" s="116"/>
    </row>
    <row r="1735" spans="1:7" x14ac:dyDescent="0.2">
      <c r="A1735" s="116">
        <f>IF(ISNUMBER(Tabela2[[#This Row],[CT-e/NFS]])=TRUE,(IF(B1735&gt;30000,4,IF(B1735&lt;1000,"ND",0))),"-")</f>
        <v>0</v>
      </c>
      <c r="B1735" s="116">
        <v>21276</v>
      </c>
      <c r="C1735" s="117">
        <v>45393</v>
      </c>
      <c r="D1735" s="116">
        <v>137.36000000000001</v>
      </c>
      <c r="E1735" s="117">
        <v>45397</v>
      </c>
      <c r="F1735" s="116">
        <f>COUNTIFS($A$3:A9991,A1735,$B$3:B9991,B1735)</f>
        <v>1</v>
      </c>
      <c r="G1735" s="116"/>
    </row>
    <row r="1736" spans="1:7" x14ac:dyDescent="0.2">
      <c r="A1736" s="116">
        <f>IF(ISNUMBER(Tabela2[[#This Row],[CT-e/NFS]])=TRUE,(IF(B1736&gt;30000,4,IF(B1736&lt;1000,"ND",0))),"-")</f>
        <v>0</v>
      </c>
      <c r="B1736" s="116">
        <v>21277</v>
      </c>
      <c r="C1736" s="117">
        <v>45393</v>
      </c>
      <c r="D1736" s="116">
        <v>77.66</v>
      </c>
      <c r="E1736" s="117">
        <v>45397</v>
      </c>
      <c r="F1736" s="116">
        <f>COUNTIFS($A$3:A9992,A1736,$B$3:B9992,B1736)</f>
        <v>1</v>
      </c>
      <c r="G1736" s="116"/>
    </row>
    <row r="1737" spans="1:7" x14ac:dyDescent="0.2">
      <c r="A1737" s="116">
        <f>IF(ISNUMBER(Tabela2[[#This Row],[CT-e/NFS]])=TRUE,(IF(B1737&gt;30000,4,IF(B1737&lt;1000,"ND",0))),"-")</f>
        <v>0</v>
      </c>
      <c r="B1737" s="116">
        <v>21278</v>
      </c>
      <c r="C1737" s="117">
        <v>45393</v>
      </c>
      <c r="D1737" s="116">
        <v>75.84</v>
      </c>
      <c r="E1737" s="117">
        <v>45397</v>
      </c>
      <c r="F1737" s="116">
        <f>COUNTIFS($A$3:A9993,A1737,$B$3:B9993,B1737)</f>
        <v>1</v>
      </c>
      <c r="G1737" s="116"/>
    </row>
    <row r="1738" spans="1:7" x14ac:dyDescent="0.2">
      <c r="A1738" s="116">
        <f>IF(ISNUMBER(Tabela2[[#This Row],[CT-e/NFS]])=TRUE,(IF(B1738&gt;30000,4,IF(B1738&lt;1000,"ND",0))),"-")</f>
        <v>0</v>
      </c>
      <c r="B1738" s="116">
        <v>21273</v>
      </c>
      <c r="C1738" s="117">
        <v>45393</v>
      </c>
      <c r="D1738" s="116">
        <v>82.95</v>
      </c>
      <c r="E1738" s="117">
        <v>45397</v>
      </c>
      <c r="F1738" s="116">
        <f>COUNTIFS($A$3:A9994,A1738,$B$3:B9994,B1738)</f>
        <v>1</v>
      </c>
      <c r="G1738" s="116"/>
    </row>
    <row r="1739" spans="1:7" x14ac:dyDescent="0.2">
      <c r="A1739" s="116">
        <f>IF(ISNUMBER(Tabela2[[#This Row],[CT-e/NFS]])=TRUE,(IF(B1739&gt;30000,4,IF(B1739&lt;1000,"ND",0))),"-")</f>
        <v>4</v>
      </c>
      <c r="B1739" s="116">
        <v>46543</v>
      </c>
      <c r="C1739" s="117">
        <v>45393</v>
      </c>
      <c r="D1739" s="116">
        <v>122.81</v>
      </c>
      <c r="E1739" s="117">
        <v>45397</v>
      </c>
      <c r="F1739" s="116">
        <f>COUNTIFS($A$3:A9995,A1739,$B$3:B9995,B1739)</f>
        <v>1</v>
      </c>
      <c r="G1739" s="116"/>
    </row>
    <row r="1740" spans="1:7" x14ac:dyDescent="0.2">
      <c r="A1740" s="116">
        <f>IF(ISNUMBER(Tabela2[[#This Row],[CT-e/NFS]])=TRUE,(IF(B1740&gt;30000,4,IF(B1740&lt;1000,"ND",0))),"-")</f>
        <v>4</v>
      </c>
      <c r="B1740" s="116">
        <v>46544</v>
      </c>
      <c r="C1740" s="117">
        <v>45393</v>
      </c>
      <c r="D1740" s="116">
        <v>62.09</v>
      </c>
      <c r="E1740" s="117">
        <v>45397</v>
      </c>
      <c r="F1740" s="116">
        <f>COUNTIFS($A$3:A9996,A1740,$B$3:B9996,B1740)</f>
        <v>1</v>
      </c>
      <c r="G1740" s="116"/>
    </row>
    <row r="1741" spans="1:7" x14ac:dyDescent="0.2">
      <c r="A1741" s="116">
        <f>IF(ISNUMBER(Tabela2[[#This Row],[CT-e/NFS]])=TRUE,(IF(B1741&gt;30000,4,IF(B1741&lt;1000,"ND",0))),"-")</f>
        <v>4</v>
      </c>
      <c r="B1741" s="116">
        <v>46545</v>
      </c>
      <c r="C1741" s="117">
        <v>45393</v>
      </c>
      <c r="D1741" s="116">
        <v>62.09</v>
      </c>
      <c r="E1741" s="117">
        <v>45397</v>
      </c>
      <c r="F1741" s="116">
        <f>COUNTIFS($A$3:A9997,A1741,$B$3:B9997,B1741)</f>
        <v>1</v>
      </c>
      <c r="G1741" s="116"/>
    </row>
    <row r="1742" spans="1:7" x14ac:dyDescent="0.2">
      <c r="A1742" s="116">
        <f>IF(ISNUMBER(Tabela2[[#This Row],[CT-e/NFS]])=TRUE,(IF(B1742&gt;30000,4,IF(B1742&lt;1000,"ND",0))),"-")</f>
        <v>4</v>
      </c>
      <c r="B1742" s="116">
        <v>46546</v>
      </c>
      <c r="C1742" s="117">
        <v>45393</v>
      </c>
      <c r="D1742" s="116">
        <v>61.36</v>
      </c>
      <c r="E1742" s="117">
        <v>45397</v>
      </c>
      <c r="F1742" s="116">
        <f>COUNTIFS($A$3:A9998,A1742,$B$3:B9998,B1742)</f>
        <v>1</v>
      </c>
      <c r="G1742" s="116"/>
    </row>
    <row r="1743" spans="1:7" x14ac:dyDescent="0.2">
      <c r="A1743" s="116">
        <f>IF(ISNUMBER(Tabela2[[#This Row],[CT-e/NFS]])=TRUE,(IF(B1743&gt;30000,4,IF(B1743&lt;1000,"ND",0))),"-")</f>
        <v>4</v>
      </c>
      <c r="B1743" s="116">
        <v>46536</v>
      </c>
      <c r="C1743" s="117">
        <v>45393</v>
      </c>
      <c r="D1743" s="116">
        <v>411.08</v>
      </c>
      <c r="E1743" s="117">
        <v>45397</v>
      </c>
      <c r="F1743" s="116">
        <f>COUNTIFS($A$3:A9999,A1743,$B$3:B9999,B1743)</f>
        <v>1</v>
      </c>
      <c r="G1743" s="116"/>
    </row>
    <row r="1744" spans="1:7" x14ac:dyDescent="0.2">
      <c r="A1744" s="116">
        <f>IF(ISNUMBER(Tabela2[[#This Row],[CT-e/NFS]])=TRUE,(IF(B1744&gt;30000,4,IF(B1744&lt;1000,"ND",0))),"-")</f>
        <v>4</v>
      </c>
      <c r="B1744" s="116">
        <v>46547</v>
      </c>
      <c r="C1744" s="117">
        <v>45393</v>
      </c>
      <c r="D1744" s="116">
        <v>110.76</v>
      </c>
      <c r="E1744" s="117">
        <v>45397</v>
      </c>
      <c r="F1744" s="116">
        <f>COUNTIFS($A$3:A10000,A1744,$B$3:B10000,B1744)</f>
        <v>1</v>
      </c>
      <c r="G1744" s="116"/>
    </row>
    <row r="1745" spans="1:7" x14ac:dyDescent="0.2">
      <c r="A1745" s="116">
        <f>IF(ISNUMBER(Tabela2[[#This Row],[CT-e/NFS]])=TRUE,(IF(B1745&gt;30000,4,IF(B1745&lt;1000,"ND",0))),"-")</f>
        <v>4</v>
      </c>
      <c r="B1745" s="116">
        <v>46549</v>
      </c>
      <c r="C1745" s="117">
        <v>45393</v>
      </c>
      <c r="D1745" s="116">
        <v>226.92</v>
      </c>
      <c r="E1745" s="117">
        <v>45397</v>
      </c>
      <c r="F1745" s="116">
        <f>COUNTIFS($A$3:A10001,A1745,$B$3:B10001,B1745)</f>
        <v>1</v>
      </c>
      <c r="G1745" s="116"/>
    </row>
    <row r="1746" spans="1:7" x14ac:dyDescent="0.2">
      <c r="A1746" s="116">
        <f>IF(ISNUMBER(Tabela2[[#This Row],[CT-e/NFS]])=TRUE,(IF(B1746&gt;30000,4,IF(B1746&lt;1000,"ND",0))),"-")</f>
        <v>4</v>
      </c>
      <c r="B1746" s="116">
        <v>46553</v>
      </c>
      <c r="C1746" s="117">
        <v>45393</v>
      </c>
      <c r="D1746" s="116">
        <v>186.05</v>
      </c>
      <c r="E1746" s="117">
        <v>45397</v>
      </c>
      <c r="F1746" s="116">
        <f>COUNTIFS($A$3:A10002,A1746,$B$3:B10002,B1746)</f>
        <v>1</v>
      </c>
      <c r="G1746" s="116"/>
    </row>
    <row r="1747" spans="1:7" x14ac:dyDescent="0.2">
      <c r="A1747" s="116">
        <f>IF(ISNUMBER(Tabela2[[#This Row],[CT-e/NFS]])=TRUE,(IF(B1747&gt;30000,4,IF(B1747&lt;1000,"ND",0))),"-")</f>
        <v>4</v>
      </c>
      <c r="B1747" s="116">
        <v>46550</v>
      </c>
      <c r="C1747" s="117">
        <v>45393</v>
      </c>
      <c r="D1747" s="116">
        <v>415.02</v>
      </c>
      <c r="E1747" s="117">
        <v>45397</v>
      </c>
      <c r="F1747" s="116">
        <f>COUNTIFS($A$3:A10003,A1747,$B$3:B10003,B1747)</f>
        <v>1</v>
      </c>
      <c r="G1747" s="116"/>
    </row>
    <row r="1748" spans="1:7" x14ac:dyDescent="0.2">
      <c r="A1748" s="116">
        <f>IF(ISNUMBER(Tabela2[[#This Row],[CT-e/NFS]])=TRUE,(IF(B1748&gt;30000,4,IF(B1748&lt;1000,"ND",0))),"-")</f>
        <v>4</v>
      </c>
      <c r="B1748" s="116">
        <v>46552</v>
      </c>
      <c r="C1748" s="117">
        <v>45393</v>
      </c>
      <c r="D1748" s="116">
        <v>357.77</v>
      </c>
      <c r="E1748" s="117">
        <v>45397</v>
      </c>
      <c r="F1748" s="116">
        <f>COUNTIFS($A$3:A10004,A1748,$B$3:B10004,B1748)</f>
        <v>1</v>
      </c>
      <c r="G1748" s="116"/>
    </row>
    <row r="1749" spans="1:7" x14ac:dyDescent="0.2">
      <c r="A1749" s="116">
        <f>IF(ISNUMBER(Tabela2[[#This Row],[CT-e/NFS]])=TRUE,(IF(B1749&gt;30000,4,IF(B1749&lt;1000,"ND",0))),"-")</f>
        <v>4</v>
      </c>
      <c r="B1749" s="116">
        <v>46551</v>
      </c>
      <c r="C1749" s="117">
        <v>45393</v>
      </c>
      <c r="D1749" s="116">
        <v>178.89</v>
      </c>
      <c r="E1749" s="117">
        <v>45397</v>
      </c>
      <c r="F1749" s="116">
        <f>COUNTIFS($A$3:A10005,A1749,$B$3:B10005,B1749)</f>
        <v>1</v>
      </c>
      <c r="G1749" s="116"/>
    </row>
    <row r="1750" spans="1:7" x14ac:dyDescent="0.2">
      <c r="A1750" s="116">
        <f>IF(ISNUMBER(Tabela2[[#This Row],[CT-e/NFS]])=TRUE,(IF(B1750&gt;30000,4,IF(B1750&lt;1000,"ND",0))),"-")</f>
        <v>4</v>
      </c>
      <c r="B1750" s="116">
        <v>46497</v>
      </c>
      <c r="C1750" s="117">
        <v>45393</v>
      </c>
      <c r="D1750" s="116">
        <v>2244.81</v>
      </c>
      <c r="E1750" s="117">
        <v>45397</v>
      </c>
      <c r="F1750" s="116">
        <f>COUNTIFS($A$3:A10006,A1750,$B$3:B10006,B1750)</f>
        <v>1</v>
      </c>
      <c r="G1750" s="116"/>
    </row>
    <row r="1751" spans="1:7" x14ac:dyDescent="0.2">
      <c r="A1751" s="116">
        <f>IF(ISNUMBER(Tabela2[[#This Row],[CT-e/NFS]])=TRUE,(IF(B1751&gt;30000,4,IF(B1751&lt;1000,"ND",0))),"-")</f>
        <v>4</v>
      </c>
      <c r="B1751" s="116">
        <v>46542</v>
      </c>
      <c r="C1751" s="117">
        <v>45393</v>
      </c>
      <c r="D1751" s="116">
        <v>464.58</v>
      </c>
      <c r="E1751" s="117">
        <v>45397</v>
      </c>
      <c r="F1751" s="116">
        <f>COUNTIFS($A$3:A10007,A1751,$B$3:B10007,B1751)</f>
        <v>1</v>
      </c>
      <c r="G1751" s="116"/>
    </row>
    <row r="1752" spans="1:7" x14ac:dyDescent="0.2">
      <c r="A1752" s="116">
        <f>IF(ISNUMBER(Tabela2[[#This Row],[CT-e/NFS]])=TRUE,(IF(B1752&gt;30000,4,IF(B1752&lt;1000,"ND",0))),"-")</f>
        <v>4</v>
      </c>
      <c r="B1752" s="116">
        <v>46548</v>
      </c>
      <c r="C1752" s="117">
        <v>45393</v>
      </c>
      <c r="D1752" s="116">
        <v>125.63</v>
      </c>
      <c r="E1752" s="117">
        <v>45397</v>
      </c>
      <c r="F1752" s="116">
        <f>COUNTIFS($A$3:A10008,A1752,$B$3:B10008,B1752)</f>
        <v>1</v>
      </c>
      <c r="G1752" s="116"/>
    </row>
    <row r="1753" spans="1:7" x14ac:dyDescent="0.2">
      <c r="A1753" s="116">
        <f>IF(ISNUMBER(Tabela2[[#This Row],[CT-e/NFS]])=TRUE,(IF(B1753&gt;30000,4,IF(B1753&lt;1000,"ND",0))),"-")</f>
        <v>4</v>
      </c>
      <c r="B1753" s="116">
        <v>46563</v>
      </c>
      <c r="C1753" s="117">
        <v>45393</v>
      </c>
      <c r="D1753" s="116">
        <v>125.8</v>
      </c>
      <c r="E1753" s="117">
        <v>45397</v>
      </c>
      <c r="F1753" s="116">
        <f>COUNTIFS($A$3:A10009,A1753,$B$3:B10009,B1753)</f>
        <v>1</v>
      </c>
      <c r="G1753" s="116"/>
    </row>
    <row r="1754" spans="1:7" x14ac:dyDescent="0.2">
      <c r="A1754" s="116">
        <f>IF(ISNUMBER(Tabela2[[#This Row],[CT-e/NFS]])=TRUE,(IF(B1754&gt;30000,4,IF(B1754&lt;1000,"ND",0))),"-")</f>
        <v>4</v>
      </c>
      <c r="B1754" s="116">
        <v>46560</v>
      </c>
      <c r="C1754" s="117">
        <v>45393</v>
      </c>
      <c r="D1754" s="116">
        <v>310.38</v>
      </c>
      <c r="E1754" s="117">
        <v>45397</v>
      </c>
      <c r="F1754" s="116">
        <f>COUNTIFS($A$3:A10010,A1754,$B$3:B10010,B1754)</f>
        <v>1</v>
      </c>
      <c r="G1754" s="116"/>
    </row>
    <row r="1755" spans="1:7" x14ac:dyDescent="0.2">
      <c r="A1755" s="116">
        <f>IF(ISNUMBER(Tabela2[[#This Row],[CT-e/NFS]])=TRUE,(IF(B1755&gt;30000,4,IF(B1755&lt;1000,"ND",0))),"-")</f>
        <v>4</v>
      </c>
      <c r="B1755" s="116">
        <v>46556</v>
      </c>
      <c r="C1755" s="117">
        <v>45393</v>
      </c>
      <c r="D1755" s="116">
        <v>124.3</v>
      </c>
      <c r="E1755" s="117">
        <v>45397</v>
      </c>
      <c r="F1755" s="116">
        <f>COUNTIFS($A$3:A10011,A1755,$B$3:B10011,B1755)</f>
        <v>1</v>
      </c>
      <c r="G1755" s="116"/>
    </row>
    <row r="1756" spans="1:7" x14ac:dyDescent="0.2">
      <c r="A1756" s="116">
        <f>IF(ISNUMBER(Tabela2[[#This Row],[CT-e/NFS]])=TRUE,(IF(B1756&gt;30000,4,IF(B1756&lt;1000,"ND",0))),"-")</f>
        <v>4</v>
      </c>
      <c r="B1756" s="116">
        <v>46554</v>
      </c>
      <c r="C1756" s="117">
        <v>45393</v>
      </c>
      <c r="D1756" s="116">
        <v>125.83</v>
      </c>
      <c r="E1756" s="117">
        <v>45397</v>
      </c>
      <c r="F1756" s="116">
        <f>COUNTIFS($A$3:A10012,A1756,$B$3:B10012,B1756)</f>
        <v>1</v>
      </c>
      <c r="G1756" s="116"/>
    </row>
    <row r="1757" spans="1:7" x14ac:dyDescent="0.2">
      <c r="A1757" s="116">
        <f>IF(ISNUMBER(Tabela2[[#This Row],[CT-e/NFS]])=TRUE,(IF(B1757&gt;30000,4,IF(B1757&lt;1000,"ND",0))),"-")</f>
        <v>4</v>
      </c>
      <c r="B1757" s="116">
        <v>46561</v>
      </c>
      <c r="C1757" s="117">
        <v>45393</v>
      </c>
      <c r="D1757" s="116">
        <v>123.86</v>
      </c>
      <c r="E1757" s="117">
        <v>45397</v>
      </c>
      <c r="F1757" s="116">
        <f>COUNTIFS($A$3:A10013,A1757,$B$3:B10013,B1757)</f>
        <v>1</v>
      </c>
      <c r="G1757" s="116"/>
    </row>
    <row r="1758" spans="1:7" x14ac:dyDescent="0.2">
      <c r="A1758" s="116">
        <f>IF(ISNUMBER(Tabela2[[#This Row],[CT-e/NFS]])=TRUE,(IF(B1758&gt;30000,4,IF(B1758&lt;1000,"ND",0))),"-")</f>
        <v>4</v>
      </c>
      <c r="B1758" s="116">
        <v>46555</v>
      </c>
      <c r="C1758" s="117">
        <v>45393</v>
      </c>
      <c r="D1758" s="116">
        <v>122.89</v>
      </c>
      <c r="E1758" s="117">
        <v>45397</v>
      </c>
      <c r="F1758" s="116">
        <f>COUNTIFS($A$3:A10014,A1758,$B$3:B10014,B1758)</f>
        <v>1</v>
      </c>
      <c r="G1758" s="116"/>
    </row>
    <row r="1759" spans="1:7" x14ac:dyDescent="0.2">
      <c r="A1759" s="116">
        <f>IF(ISNUMBER(Tabela2[[#This Row],[CT-e/NFS]])=TRUE,(IF(B1759&gt;30000,4,IF(B1759&lt;1000,"ND",0))),"-")</f>
        <v>4</v>
      </c>
      <c r="B1759" s="116">
        <v>46568</v>
      </c>
      <c r="C1759" s="117">
        <v>45393</v>
      </c>
      <c r="D1759" s="116">
        <v>609.98</v>
      </c>
      <c r="E1759" s="117">
        <v>45397</v>
      </c>
      <c r="F1759" s="116">
        <f>COUNTIFS($A$3:A10015,A1759,$B$3:B10015,B1759)</f>
        <v>1</v>
      </c>
      <c r="G1759" s="116"/>
    </row>
    <row r="1760" spans="1:7" x14ac:dyDescent="0.2">
      <c r="A1760" s="116">
        <f>IF(ISNUMBER(Tabela2[[#This Row],[CT-e/NFS]])=TRUE,(IF(B1760&gt;30000,4,IF(B1760&lt;1000,"ND",0))),"-")</f>
        <v>4</v>
      </c>
      <c r="B1760" s="116">
        <v>46558</v>
      </c>
      <c r="C1760" s="117">
        <v>45393</v>
      </c>
      <c r="D1760" s="116">
        <v>220.16</v>
      </c>
      <c r="E1760" s="117">
        <v>45397</v>
      </c>
      <c r="F1760" s="116">
        <f>COUNTIFS($A$3:A10016,A1760,$B$3:B10016,B1760)</f>
        <v>1</v>
      </c>
      <c r="G1760" s="116"/>
    </row>
    <row r="1761" spans="1:7" x14ac:dyDescent="0.2">
      <c r="A1761" s="116">
        <f>IF(ISNUMBER(Tabela2[[#This Row],[CT-e/NFS]])=TRUE,(IF(B1761&gt;30000,4,IF(B1761&lt;1000,"ND",0))),"-")</f>
        <v>4</v>
      </c>
      <c r="B1761" s="116">
        <v>46559</v>
      </c>
      <c r="C1761" s="117">
        <v>45393</v>
      </c>
      <c r="D1761" s="116">
        <v>125.25</v>
      </c>
      <c r="E1761" s="117">
        <v>45397</v>
      </c>
      <c r="F1761" s="116">
        <f>COUNTIFS($A$3:A10017,A1761,$B$3:B10017,B1761)</f>
        <v>1</v>
      </c>
      <c r="G1761" s="116"/>
    </row>
    <row r="1762" spans="1:7" x14ac:dyDescent="0.2">
      <c r="A1762" s="116">
        <f>IF(ISNUMBER(Tabela2[[#This Row],[CT-e/NFS]])=TRUE,(IF(B1762&gt;30000,4,IF(B1762&lt;1000,"ND",0))),"-")</f>
        <v>4</v>
      </c>
      <c r="B1762" s="116">
        <v>46557</v>
      </c>
      <c r="C1762" s="117">
        <v>45393</v>
      </c>
      <c r="D1762" s="116">
        <v>124.2</v>
      </c>
      <c r="E1762" s="117">
        <v>45397</v>
      </c>
      <c r="F1762" s="116">
        <f>COUNTIFS($A$3:A10018,A1762,$B$3:B10018,B1762)</f>
        <v>1</v>
      </c>
      <c r="G1762" s="116"/>
    </row>
    <row r="1763" spans="1:7" x14ac:dyDescent="0.2">
      <c r="A1763" s="116">
        <f>IF(ISNUMBER(Tabela2[[#This Row],[CT-e/NFS]])=TRUE,(IF(B1763&gt;30000,4,IF(B1763&lt;1000,"ND",0))),"-")</f>
        <v>4</v>
      </c>
      <c r="B1763" s="116">
        <v>46567</v>
      </c>
      <c r="C1763" s="117">
        <v>45393</v>
      </c>
      <c r="D1763" s="116">
        <v>396.45</v>
      </c>
      <c r="E1763" s="117">
        <v>45397</v>
      </c>
      <c r="F1763" s="116">
        <f>COUNTIFS($A$3:A10019,A1763,$B$3:B10019,B1763)</f>
        <v>1</v>
      </c>
      <c r="G1763" s="116"/>
    </row>
    <row r="1764" spans="1:7" x14ac:dyDescent="0.2">
      <c r="A1764" s="116">
        <f>IF(ISNUMBER(Tabela2[[#This Row],[CT-e/NFS]])=TRUE,(IF(B1764&gt;30000,4,IF(B1764&lt;1000,"ND",0))),"-")</f>
        <v>4</v>
      </c>
      <c r="B1764" s="116">
        <v>46571</v>
      </c>
      <c r="C1764" s="117">
        <v>45393</v>
      </c>
      <c r="D1764" s="116">
        <v>1756.28</v>
      </c>
      <c r="E1764" s="117">
        <v>45397</v>
      </c>
      <c r="F1764" s="116">
        <f>COUNTIFS($A$3:A10020,A1764,$B$3:B10020,B1764)</f>
        <v>1</v>
      </c>
      <c r="G1764" s="116"/>
    </row>
    <row r="1765" spans="1:7" x14ac:dyDescent="0.2">
      <c r="A1765" s="116">
        <f>IF(ISNUMBER(Tabela2[[#This Row],[CT-e/NFS]])=TRUE,(IF(B1765&gt;30000,4,IF(B1765&lt;1000,"ND",0))),"-")</f>
        <v>4</v>
      </c>
      <c r="B1765" s="116">
        <v>46562</v>
      </c>
      <c r="C1765" s="117">
        <v>45393</v>
      </c>
      <c r="D1765" s="116">
        <v>126.65</v>
      </c>
      <c r="E1765" s="117">
        <v>45397</v>
      </c>
      <c r="F1765" s="116">
        <f>COUNTIFS($A$3:A10021,A1765,$B$3:B10021,B1765)</f>
        <v>1</v>
      </c>
      <c r="G1765" s="116"/>
    </row>
    <row r="1766" spans="1:7" x14ac:dyDescent="0.2">
      <c r="A1766" s="116">
        <f>IF(ISNUMBER(Tabela2[[#This Row],[CT-e/NFS]])=TRUE,(IF(B1766&gt;30000,4,IF(B1766&lt;1000,"ND",0))),"-")</f>
        <v>4</v>
      </c>
      <c r="B1766" s="116">
        <v>46572</v>
      </c>
      <c r="C1766" s="117">
        <v>45393</v>
      </c>
      <c r="D1766" s="116">
        <v>280.82</v>
      </c>
      <c r="E1766" s="117">
        <v>45397</v>
      </c>
      <c r="F1766" s="116">
        <f>COUNTIFS($A$3:A10022,A1766,$B$3:B10022,B1766)</f>
        <v>1</v>
      </c>
      <c r="G1766" s="116"/>
    </row>
    <row r="1767" spans="1:7" x14ac:dyDescent="0.2">
      <c r="A1767" s="116">
        <f>IF(ISNUMBER(Tabela2[[#This Row],[CT-e/NFS]])=TRUE,(IF(B1767&gt;30000,4,IF(B1767&lt;1000,"ND",0))),"-")</f>
        <v>4</v>
      </c>
      <c r="B1767" s="116">
        <v>46573</v>
      </c>
      <c r="C1767" s="117">
        <v>45393</v>
      </c>
      <c r="D1767" s="116">
        <v>784.93</v>
      </c>
      <c r="E1767" s="117">
        <v>45397</v>
      </c>
      <c r="F1767" s="116">
        <f>COUNTIFS($A$3:A10023,A1767,$B$3:B10023,B1767)</f>
        <v>1</v>
      </c>
      <c r="G1767" s="116"/>
    </row>
    <row r="1768" spans="1:7" x14ac:dyDescent="0.2">
      <c r="A1768" s="116">
        <f>IF(ISNUMBER(Tabela2[[#This Row],[CT-e/NFS]])=TRUE,(IF(B1768&gt;30000,4,IF(B1768&lt;1000,"ND",0))),"-")</f>
        <v>4</v>
      </c>
      <c r="B1768" s="116">
        <v>46439</v>
      </c>
      <c r="C1768" s="117">
        <v>45393</v>
      </c>
      <c r="D1768" s="116">
        <v>122.81</v>
      </c>
      <c r="E1768" s="117">
        <v>45397</v>
      </c>
      <c r="F1768" s="116">
        <f>COUNTIFS($A$3:A10024,A1768,$B$3:B10024,B1768)</f>
        <v>1</v>
      </c>
      <c r="G1768" s="116"/>
    </row>
    <row r="1769" spans="1:7" x14ac:dyDescent="0.2">
      <c r="A1769" s="116">
        <f>IF(ISNUMBER(Tabela2[[#This Row],[CT-e/NFS]])=TRUE,(IF(B1769&gt;30000,4,IF(B1769&lt;1000,"ND",0))),"-")</f>
        <v>4</v>
      </c>
      <c r="B1769" s="116">
        <v>46442</v>
      </c>
      <c r="C1769" s="117">
        <v>45393</v>
      </c>
      <c r="D1769" s="116">
        <v>3680.27</v>
      </c>
      <c r="E1769" s="117">
        <v>45397</v>
      </c>
      <c r="F1769" s="116">
        <f>COUNTIFS($A$3:A10025,A1769,$B$3:B10025,B1769)</f>
        <v>1</v>
      </c>
      <c r="G1769" s="116"/>
    </row>
    <row r="1770" spans="1:7" x14ac:dyDescent="0.2">
      <c r="A1770" s="116">
        <f>IF(ISNUMBER(Tabela2[[#This Row],[CT-e/NFS]])=TRUE,(IF(B1770&gt;30000,4,IF(B1770&lt;1000,"ND",0))),"-")</f>
        <v>4</v>
      </c>
      <c r="B1770" s="116">
        <v>46449</v>
      </c>
      <c r="C1770" s="117">
        <v>45393</v>
      </c>
      <c r="D1770" s="116">
        <v>454.19</v>
      </c>
      <c r="E1770" s="117">
        <v>45397</v>
      </c>
      <c r="F1770" s="116">
        <f>COUNTIFS($A$3:A10026,A1770,$B$3:B10026,B1770)</f>
        <v>1</v>
      </c>
      <c r="G1770" s="116"/>
    </row>
    <row r="1771" spans="1:7" x14ac:dyDescent="0.2">
      <c r="A1771" s="116">
        <f>IF(ISNUMBER(Tabela2[[#This Row],[CT-e/NFS]])=TRUE,(IF(B1771&gt;30000,4,IF(B1771&lt;1000,"ND",0))),"-")</f>
        <v>0</v>
      </c>
      <c r="B1771" s="116">
        <v>21246</v>
      </c>
      <c r="C1771" s="117">
        <v>45393</v>
      </c>
      <c r="D1771" s="116">
        <v>515.41</v>
      </c>
      <c r="E1771" s="117">
        <v>45397</v>
      </c>
      <c r="F1771" s="116">
        <f>COUNTIFS($A$3:A10027,A1771,$B$3:B10027,B1771)</f>
        <v>1</v>
      </c>
      <c r="G1771" s="116"/>
    </row>
    <row r="1772" spans="1:7" x14ac:dyDescent="0.2">
      <c r="A1772" s="116">
        <f>IF(ISNUMBER(Tabela2[[#This Row],[CT-e/NFS]])=TRUE,(IF(B1772&gt;30000,4,IF(B1772&lt;1000,"ND",0))),"-")</f>
        <v>4</v>
      </c>
      <c r="B1772" s="116">
        <v>46519</v>
      </c>
      <c r="C1772" s="117">
        <v>45393</v>
      </c>
      <c r="D1772" s="116">
        <v>2393.64</v>
      </c>
      <c r="E1772" s="117">
        <v>45397</v>
      </c>
      <c r="F1772" s="116">
        <f>COUNTIFS($A$3:A10028,A1772,$B$3:B10028,B1772)</f>
        <v>1</v>
      </c>
      <c r="G1772" s="116"/>
    </row>
    <row r="1773" spans="1:7" x14ac:dyDescent="0.2">
      <c r="A1773" s="116">
        <f>IF(ISNUMBER(Tabela2[[#This Row],[CT-e/NFS]])=TRUE,(IF(B1773&gt;30000,4,IF(B1773&lt;1000,"ND",0))),"-")</f>
        <v>0</v>
      </c>
      <c r="B1773" s="116">
        <v>21272</v>
      </c>
      <c r="C1773" s="117">
        <v>45393</v>
      </c>
      <c r="D1773" s="116">
        <v>75.599999999999994</v>
      </c>
      <c r="E1773" s="117">
        <v>45397</v>
      </c>
      <c r="F1773" s="116">
        <f>COUNTIFS($A$3:A10029,A1773,$B$3:B10029,B1773)</f>
        <v>1</v>
      </c>
      <c r="G1773" s="116"/>
    </row>
    <row r="1774" spans="1:7" x14ac:dyDescent="0.2">
      <c r="A1774" s="116">
        <f>IF(ISNUMBER(Tabela2[[#This Row],[CT-e/NFS]])=TRUE,(IF(B1774&gt;30000,4,IF(B1774&lt;1000,"ND",0))),"-")</f>
        <v>4</v>
      </c>
      <c r="B1774" s="116">
        <v>46579</v>
      </c>
      <c r="C1774" s="117">
        <v>45393</v>
      </c>
      <c r="D1774" s="116">
        <v>283.52999999999997</v>
      </c>
      <c r="E1774" s="117">
        <v>45397</v>
      </c>
      <c r="F1774" s="116">
        <f>COUNTIFS($A$3:A10030,A1774,$B$3:B10030,B1774)</f>
        <v>1</v>
      </c>
      <c r="G1774" s="116"/>
    </row>
    <row r="1775" spans="1:7" x14ac:dyDescent="0.2">
      <c r="A1775" s="116">
        <f>IF(ISNUMBER(Tabela2[[#This Row],[CT-e/NFS]])=TRUE,(IF(B1775&gt;30000,4,IF(B1775&lt;1000,"ND",0))),"-")</f>
        <v>4</v>
      </c>
      <c r="B1775" s="116">
        <v>46577</v>
      </c>
      <c r="C1775" s="117">
        <v>45393</v>
      </c>
      <c r="D1775" s="116">
        <v>283.52999999999997</v>
      </c>
      <c r="E1775" s="117">
        <v>45397</v>
      </c>
      <c r="F1775" s="116">
        <f>COUNTIFS($A$3:A10031,A1775,$B$3:B10031,B1775)</f>
        <v>1</v>
      </c>
      <c r="G1775" s="116"/>
    </row>
    <row r="1776" spans="1:7" x14ac:dyDescent="0.2">
      <c r="A1776" s="116">
        <f>IF(ISNUMBER(Tabela2[[#This Row],[CT-e/NFS]])=TRUE,(IF(B1776&gt;30000,4,IF(B1776&lt;1000,"ND",0))),"-")</f>
        <v>4</v>
      </c>
      <c r="B1776" s="116">
        <v>46575</v>
      </c>
      <c r="C1776" s="117">
        <v>45393</v>
      </c>
      <c r="D1776" s="116">
        <v>323.01</v>
      </c>
      <c r="E1776" s="117">
        <v>45397</v>
      </c>
      <c r="F1776" s="116">
        <f>COUNTIFS($A$3:A10032,A1776,$B$3:B10032,B1776)</f>
        <v>1</v>
      </c>
      <c r="G1776" s="116"/>
    </row>
    <row r="1777" spans="1:7" x14ac:dyDescent="0.2">
      <c r="A1777" s="116">
        <f>IF(ISNUMBER(Tabela2[[#This Row],[CT-e/NFS]])=TRUE,(IF(B1777&gt;30000,4,IF(B1777&lt;1000,"ND",0))),"-")</f>
        <v>4</v>
      </c>
      <c r="B1777" s="116">
        <v>46578</v>
      </c>
      <c r="C1777" s="117">
        <v>45393</v>
      </c>
      <c r="D1777" s="116">
        <v>247.65</v>
      </c>
      <c r="E1777" s="117">
        <v>45397</v>
      </c>
      <c r="F1777" s="116">
        <f>COUNTIFS($A$3:A10033,A1777,$B$3:B10033,B1777)</f>
        <v>1</v>
      </c>
      <c r="G1777" s="116"/>
    </row>
    <row r="1778" spans="1:7" x14ac:dyDescent="0.2">
      <c r="A1778" s="116">
        <f>IF(ISNUMBER(Tabela2[[#This Row],[CT-e/NFS]])=TRUE,(IF(B1778&gt;30000,4,IF(B1778&lt;1000,"ND",0))),"-")</f>
        <v>4</v>
      </c>
      <c r="B1778" s="116">
        <v>46564</v>
      </c>
      <c r="C1778" s="117">
        <v>45393</v>
      </c>
      <c r="D1778" s="116">
        <v>231.83</v>
      </c>
      <c r="E1778" s="117">
        <v>45397</v>
      </c>
      <c r="F1778" s="116">
        <f>COUNTIFS($A$3:A10034,A1778,$B$3:B10034,B1778)</f>
        <v>1</v>
      </c>
      <c r="G1778" s="116"/>
    </row>
    <row r="1779" spans="1:7" x14ac:dyDescent="0.2">
      <c r="A1779" s="116">
        <f>IF(ISNUMBER(Tabela2[[#This Row],[CT-e/NFS]])=TRUE,(IF(B1779&gt;30000,4,IF(B1779&lt;1000,"ND",0))),"-")</f>
        <v>4</v>
      </c>
      <c r="B1779" s="116">
        <v>46413</v>
      </c>
      <c r="C1779" s="117">
        <v>45393</v>
      </c>
      <c r="D1779" s="116">
        <v>454.19</v>
      </c>
      <c r="E1779" s="117">
        <v>45397</v>
      </c>
      <c r="F1779" s="116">
        <f>COUNTIFS($A$3:A10035,A1779,$B$3:B10035,B1779)</f>
        <v>1</v>
      </c>
      <c r="G1779" s="116"/>
    </row>
    <row r="1780" spans="1:7" x14ac:dyDescent="0.2">
      <c r="A1780" s="116">
        <f>IF(ISNUMBER(Tabela2[[#This Row],[CT-e/NFS]])=TRUE,(IF(B1780&gt;30000,4,IF(B1780&lt;1000,"ND",0))),"-")</f>
        <v>4</v>
      </c>
      <c r="B1780" s="116">
        <v>46447</v>
      </c>
      <c r="C1780" s="117">
        <v>45393</v>
      </c>
      <c r="D1780" s="116">
        <v>176.14</v>
      </c>
      <c r="E1780" s="117">
        <v>45397</v>
      </c>
      <c r="F1780" s="116">
        <f>COUNTIFS($A$3:A10036,A1780,$B$3:B10036,B1780)</f>
        <v>1</v>
      </c>
      <c r="G1780" s="116"/>
    </row>
    <row r="1781" spans="1:7" x14ac:dyDescent="0.2">
      <c r="A1781" s="116">
        <f>IF(ISNUMBER(Tabela2[[#This Row],[CT-e/NFS]])=TRUE,(IF(B1781&gt;30000,4,IF(B1781&lt;1000,"ND",0))),"-")</f>
        <v>4</v>
      </c>
      <c r="B1781" s="116">
        <v>46541</v>
      </c>
      <c r="C1781" s="117">
        <v>45393</v>
      </c>
      <c r="D1781" s="116">
        <v>1283.5899999999999</v>
      </c>
      <c r="E1781" s="117">
        <v>45397</v>
      </c>
      <c r="F1781" s="116">
        <f>COUNTIFS($A$3:A10037,A1781,$B$3:B10037,B1781)</f>
        <v>1</v>
      </c>
      <c r="G1781" s="116"/>
    </row>
    <row r="1782" spans="1:7" x14ac:dyDescent="0.2">
      <c r="A1782" s="116">
        <f>IF(ISNUMBER(Tabela2[[#This Row],[CT-e/NFS]])=TRUE,(IF(B1782&gt;30000,4,IF(B1782&lt;1000,"ND",0))),"-")</f>
        <v>4</v>
      </c>
      <c r="B1782" s="116">
        <v>46411</v>
      </c>
      <c r="C1782" s="117">
        <v>45393</v>
      </c>
      <c r="D1782" s="116">
        <v>591.72</v>
      </c>
      <c r="E1782" s="117">
        <v>45397</v>
      </c>
      <c r="F1782" s="116">
        <f>COUNTIFS($A$3:A10038,A1782,$B$3:B10038,B1782)</f>
        <v>1</v>
      </c>
      <c r="G1782" s="116"/>
    </row>
    <row r="1783" spans="1:7" x14ac:dyDescent="0.2">
      <c r="A1783" s="116">
        <f>IF(ISNUMBER(Tabela2[[#This Row],[CT-e/NFS]])=TRUE,(IF(B1783&gt;30000,4,IF(B1783&lt;1000,"ND",0))),"-")</f>
        <v>4</v>
      </c>
      <c r="B1783" s="116">
        <v>46412</v>
      </c>
      <c r="C1783" s="117">
        <v>45393</v>
      </c>
      <c r="D1783" s="116">
        <v>931.82</v>
      </c>
      <c r="E1783" s="117">
        <v>45397</v>
      </c>
      <c r="F1783" s="116">
        <f>COUNTIFS($A$3:A10039,A1783,$B$3:B10039,B1783)</f>
        <v>1</v>
      </c>
      <c r="G1783" s="116"/>
    </row>
    <row r="1784" spans="1:7" x14ac:dyDescent="0.2">
      <c r="A1784" s="116">
        <f>IF(ISNUMBER(Tabela2[[#This Row],[CT-e/NFS]])=TRUE,(IF(B1784&gt;30000,4,IF(B1784&lt;1000,"ND",0))),"-")</f>
        <v>4</v>
      </c>
      <c r="B1784" s="116">
        <v>46414</v>
      </c>
      <c r="C1784" s="117">
        <v>45393</v>
      </c>
      <c r="D1784" s="116">
        <v>609.98</v>
      </c>
      <c r="E1784" s="117">
        <v>45397</v>
      </c>
      <c r="F1784" s="116">
        <f>COUNTIFS($A$3:A10040,A1784,$B$3:B10040,B1784)</f>
        <v>1</v>
      </c>
      <c r="G1784" s="116"/>
    </row>
    <row r="1785" spans="1:7" x14ac:dyDescent="0.2">
      <c r="A1785" s="116">
        <f>IF(ISNUMBER(Tabela2[[#This Row],[CT-e/NFS]])=TRUE,(IF(B1785&gt;30000,4,IF(B1785&lt;1000,"ND",0))),"-")</f>
        <v>4</v>
      </c>
      <c r="B1785" s="116">
        <v>46446</v>
      </c>
      <c r="C1785" s="117">
        <v>45393</v>
      </c>
      <c r="D1785" s="116">
        <v>777</v>
      </c>
      <c r="E1785" s="117">
        <v>45397</v>
      </c>
      <c r="F1785" s="116">
        <f>COUNTIFS($A$3:A10041,A1785,$B$3:B10041,B1785)</f>
        <v>1</v>
      </c>
      <c r="G1785" s="116"/>
    </row>
    <row r="1786" spans="1:7" x14ac:dyDescent="0.2">
      <c r="A1786" s="116">
        <f>IF(ISNUMBER(Tabela2[[#This Row],[CT-e/NFS]])=TRUE,(IF(B1786&gt;30000,4,IF(B1786&lt;1000,"ND",0))),"-")</f>
        <v>4</v>
      </c>
      <c r="B1786" s="116">
        <v>46515</v>
      </c>
      <c r="C1786" s="117">
        <v>45393</v>
      </c>
      <c r="D1786" s="116">
        <v>609.98</v>
      </c>
      <c r="E1786" s="117">
        <v>45397</v>
      </c>
      <c r="F1786" s="116">
        <f>COUNTIFS($A$3:A10042,A1786,$B$3:B10042,B1786)</f>
        <v>1</v>
      </c>
      <c r="G1786" s="116"/>
    </row>
    <row r="1787" spans="1:7" x14ac:dyDescent="0.2">
      <c r="A1787" s="116">
        <f>IF(ISNUMBER(Tabela2[[#This Row],[CT-e/NFS]])=TRUE,(IF(B1787&gt;30000,4,IF(B1787&lt;1000,"ND",0))),"-")</f>
        <v>4</v>
      </c>
      <c r="B1787" s="116">
        <v>46540</v>
      </c>
      <c r="C1787" s="117">
        <v>45393</v>
      </c>
      <c r="D1787" s="116">
        <v>396.45</v>
      </c>
      <c r="E1787" s="117">
        <v>45397</v>
      </c>
      <c r="F1787" s="116">
        <f>COUNTIFS($A$3:A10043,A1787,$B$3:B10043,B1787)</f>
        <v>1</v>
      </c>
      <c r="G1787" s="116"/>
    </row>
    <row r="1788" spans="1:7" x14ac:dyDescent="0.2">
      <c r="A1788" s="116">
        <f>IF(ISNUMBER(Tabela2[[#This Row],[CT-e/NFS]])=TRUE,(IF(B1788&gt;30000,4,IF(B1788&lt;1000,"ND",0))),"-")</f>
        <v>4</v>
      </c>
      <c r="B1788" s="116">
        <v>46448</v>
      </c>
      <c r="C1788" s="117">
        <v>45393</v>
      </c>
      <c r="D1788" s="116">
        <v>1788.98</v>
      </c>
      <c r="E1788" s="117">
        <v>45397</v>
      </c>
      <c r="F1788" s="116">
        <f>COUNTIFS($A$3:A10044,A1788,$B$3:B10044,B1788)</f>
        <v>1</v>
      </c>
      <c r="G1788" s="116"/>
    </row>
    <row r="1789" spans="1:7" x14ac:dyDescent="0.2">
      <c r="A1789" s="116">
        <f>IF(ISNUMBER(Tabela2[[#This Row],[CT-e/NFS]])=TRUE,(IF(B1789&gt;30000,4,IF(B1789&lt;1000,"ND",0))),"-")</f>
        <v>4</v>
      </c>
      <c r="B1789" s="116">
        <v>46427</v>
      </c>
      <c r="C1789" s="117">
        <v>45393</v>
      </c>
      <c r="D1789" s="116">
        <v>852.84</v>
      </c>
      <c r="E1789" s="117">
        <v>45397</v>
      </c>
      <c r="F1789" s="116">
        <f>COUNTIFS($A$3:A10045,A1789,$B$3:B10045,B1789)</f>
        <v>1</v>
      </c>
      <c r="G1789" s="116"/>
    </row>
    <row r="1790" spans="1:7" x14ac:dyDescent="0.2">
      <c r="A1790" s="116">
        <f>IF(ISNUMBER(Tabela2[[#This Row],[CT-e/NFS]])=TRUE,(IF(B1790&gt;30000,4,IF(B1790&lt;1000,"ND",0))),"-")</f>
        <v>4</v>
      </c>
      <c r="B1790" s="116">
        <v>46407</v>
      </c>
      <c r="C1790" s="117">
        <v>45393</v>
      </c>
      <c r="D1790" s="116">
        <v>852.84</v>
      </c>
      <c r="E1790" s="117">
        <v>45397</v>
      </c>
      <c r="F1790" s="116">
        <f>COUNTIFS($A$3:A10046,A1790,$B$3:B10046,B1790)</f>
        <v>1</v>
      </c>
      <c r="G1790" s="116"/>
    </row>
    <row r="1791" spans="1:7" x14ac:dyDescent="0.2">
      <c r="A1791" s="116">
        <f>IF(ISNUMBER(Tabela2[[#This Row],[CT-e/NFS]])=TRUE,(IF(B1791&gt;30000,4,IF(B1791&lt;1000,"ND",0))),"-")</f>
        <v>4</v>
      </c>
      <c r="B1791" s="116">
        <v>46581</v>
      </c>
      <c r="C1791" s="117">
        <v>45403</v>
      </c>
      <c r="D1791" s="116">
        <v>123.01</v>
      </c>
      <c r="E1791" s="117">
        <v>45412</v>
      </c>
      <c r="F1791" s="116">
        <f>COUNTIFS($A$3:A10047,A1791,$B$3:B10047,B1791)</f>
        <v>1</v>
      </c>
      <c r="G1791" s="116"/>
    </row>
    <row r="1792" spans="1:7" x14ac:dyDescent="0.2">
      <c r="A1792" s="116">
        <f>IF(ISNUMBER(Tabela2[[#This Row],[CT-e/NFS]])=TRUE,(IF(B1792&gt;30000,4,IF(B1792&lt;1000,"ND",0))),"-")</f>
        <v>4</v>
      </c>
      <c r="B1792" s="116">
        <v>46591</v>
      </c>
      <c r="C1792" s="117">
        <v>45403</v>
      </c>
      <c r="D1792" s="116">
        <v>131.9</v>
      </c>
      <c r="E1792" s="117">
        <v>45412</v>
      </c>
      <c r="F1792" s="116">
        <f>COUNTIFS($A$3:A10048,A1792,$B$3:B10048,B1792)</f>
        <v>1</v>
      </c>
      <c r="G1792" s="116"/>
    </row>
    <row r="1793" spans="1:7" x14ac:dyDescent="0.2">
      <c r="A1793" s="116">
        <f>IF(ISNUMBER(Tabela2[[#This Row],[CT-e/NFS]])=TRUE,(IF(B1793&gt;30000,4,IF(B1793&lt;1000,"ND",0))),"-")</f>
        <v>4</v>
      </c>
      <c r="B1793" s="116">
        <v>46590</v>
      </c>
      <c r="C1793" s="117">
        <v>45403</v>
      </c>
      <c r="D1793" s="116">
        <v>150.75</v>
      </c>
      <c r="E1793" s="117">
        <v>45412</v>
      </c>
      <c r="F1793" s="116">
        <f>COUNTIFS($A$3:A10049,A1793,$B$3:B10049,B1793)</f>
        <v>1</v>
      </c>
      <c r="G1793" s="116"/>
    </row>
    <row r="1794" spans="1:7" x14ac:dyDescent="0.2">
      <c r="A1794" s="116">
        <f>IF(ISNUMBER(Tabela2[[#This Row],[CT-e/NFS]])=TRUE,(IF(B1794&gt;30000,4,IF(B1794&lt;1000,"ND",0))),"-")</f>
        <v>4</v>
      </c>
      <c r="B1794" s="116">
        <v>46580</v>
      </c>
      <c r="C1794" s="117">
        <v>45403</v>
      </c>
      <c r="D1794" s="116">
        <v>223.42</v>
      </c>
      <c r="E1794" s="117">
        <v>45412</v>
      </c>
      <c r="F1794" s="116">
        <f>COUNTIFS($A$3:A10050,A1794,$B$3:B10050,B1794)</f>
        <v>1</v>
      </c>
      <c r="G1794" s="116"/>
    </row>
    <row r="1795" spans="1:7" x14ac:dyDescent="0.2">
      <c r="A1795" s="116">
        <f>IF(ISNUMBER(Tabela2[[#This Row],[CT-e/NFS]])=TRUE,(IF(B1795&gt;30000,4,IF(B1795&lt;1000,"ND",0))),"-")</f>
        <v>4</v>
      </c>
      <c r="B1795" s="116">
        <v>46587</v>
      </c>
      <c r="C1795" s="117">
        <v>45403</v>
      </c>
      <c r="D1795" s="116">
        <v>329.75</v>
      </c>
      <c r="E1795" s="117">
        <v>45412</v>
      </c>
      <c r="F1795" s="116">
        <f>COUNTIFS($A$3:A10051,A1795,$B$3:B10051,B1795)</f>
        <v>1</v>
      </c>
      <c r="G1795" s="116"/>
    </row>
    <row r="1796" spans="1:7" x14ac:dyDescent="0.2">
      <c r="A1796" s="116">
        <f>IF(ISNUMBER(Tabela2[[#This Row],[CT-e/NFS]])=TRUE,(IF(B1796&gt;30000,4,IF(B1796&lt;1000,"ND",0))),"-")</f>
        <v>4</v>
      </c>
      <c r="B1796" s="116">
        <v>46589</v>
      </c>
      <c r="C1796" s="117">
        <v>45403</v>
      </c>
      <c r="D1796" s="116">
        <v>448.01</v>
      </c>
      <c r="E1796" s="117">
        <v>45412</v>
      </c>
      <c r="F1796" s="116">
        <f>COUNTIFS($A$3:A10052,A1796,$B$3:B10052,B1796)</f>
        <v>1</v>
      </c>
      <c r="G1796" s="116"/>
    </row>
    <row r="1797" spans="1:7" x14ac:dyDescent="0.2">
      <c r="A1797" s="116">
        <f>IF(ISNUMBER(Tabela2[[#This Row],[CT-e/NFS]])=TRUE,(IF(B1797&gt;30000,4,IF(B1797&lt;1000,"ND",0))),"-")</f>
        <v>4</v>
      </c>
      <c r="B1797" s="116">
        <v>46584</v>
      </c>
      <c r="C1797" s="117">
        <v>45403</v>
      </c>
      <c r="D1797" s="116">
        <v>464.82</v>
      </c>
      <c r="E1797" s="117">
        <v>45412</v>
      </c>
      <c r="F1797" s="116">
        <f>COUNTIFS($A$3:A10053,A1797,$B$3:B10053,B1797)</f>
        <v>1</v>
      </c>
      <c r="G1797" s="116"/>
    </row>
    <row r="1798" spans="1:7" x14ac:dyDescent="0.2">
      <c r="A1798" s="116">
        <f>IF(ISNUMBER(Tabela2[[#This Row],[CT-e/NFS]])=TRUE,(IF(B1798&gt;30000,4,IF(B1798&lt;1000,"ND",0))),"-")</f>
        <v>4</v>
      </c>
      <c r="B1798" s="116">
        <v>46583</v>
      </c>
      <c r="C1798" s="117">
        <v>45403</v>
      </c>
      <c r="D1798" s="116">
        <v>124.2</v>
      </c>
      <c r="E1798" s="117">
        <v>45412</v>
      </c>
      <c r="F1798" s="116">
        <f>COUNTIFS($A$3:A10054,A1798,$B$3:B10054,B1798)</f>
        <v>1</v>
      </c>
      <c r="G1798" s="116"/>
    </row>
    <row r="1799" spans="1:7" x14ac:dyDescent="0.2">
      <c r="A1799" s="116">
        <f>IF(ISNUMBER(Tabela2[[#This Row],[CT-e/NFS]])=TRUE,(IF(B1799&gt;30000,4,IF(B1799&lt;1000,"ND",0))),"-")</f>
        <v>4</v>
      </c>
      <c r="B1799" s="116">
        <v>46588</v>
      </c>
      <c r="C1799" s="117">
        <v>45403</v>
      </c>
      <c r="D1799" s="116">
        <v>255.58</v>
      </c>
      <c r="E1799" s="117">
        <v>45412</v>
      </c>
      <c r="F1799" s="116">
        <f>COUNTIFS($A$3:A10055,A1799,$B$3:B10055,B1799)</f>
        <v>1</v>
      </c>
      <c r="G1799" s="116"/>
    </row>
    <row r="1800" spans="1:7" x14ac:dyDescent="0.2">
      <c r="A1800" s="116">
        <f>IF(ISNUMBER(Tabela2[[#This Row],[CT-e/NFS]])=TRUE,(IF(B1800&gt;30000,4,IF(B1800&lt;1000,"ND",0))),"-")</f>
        <v>4</v>
      </c>
      <c r="B1800" s="116">
        <v>46582</v>
      </c>
      <c r="C1800" s="117">
        <v>45403</v>
      </c>
      <c r="D1800" s="116">
        <v>125.57</v>
      </c>
      <c r="E1800" s="117">
        <v>45412</v>
      </c>
      <c r="F1800" s="116">
        <f>COUNTIFS($A$3:A10056,A1800,$B$3:B10056,B1800)</f>
        <v>1</v>
      </c>
      <c r="G1800" s="116"/>
    </row>
    <row r="1801" spans="1:7" x14ac:dyDescent="0.2">
      <c r="A1801" s="116">
        <f>IF(ISNUMBER(Tabela2[[#This Row],[CT-e/NFS]])=TRUE,(IF(B1801&gt;30000,4,IF(B1801&lt;1000,"ND",0))),"-")</f>
        <v>4</v>
      </c>
      <c r="B1801" s="116">
        <v>46593</v>
      </c>
      <c r="C1801" s="117">
        <v>45403</v>
      </c>
      <c r="D1801" s="116">
        <v>123.09</v>
      </c>
      <c r="E1801" s="117">
        <v>45412</v>
      </c>
      <c r="F1801" s="116">
        <f>COUNTIFS($A$3:A10057,A1801,$B$3:B10057,B1801)</f>
        <v>1</v>
      </c>
      <c r="G1801" s="116"/>
    </row>
    <row r="1802" spans="1:7" x14ac:dyDescent="0.2">
      <c r="A1802" s="116">
        <f>IF(ISNUMBER(Tabela2[[#This Row],[CT-e/NFS]])=TRUE,(IF(B1802&gt;30000,4,IF(B1802&lt;1000,"ND",0))),"-")</f>
        <v>4</v>
      </c>
      <c r="B1802" s="116">
        <v>46595</v>
      </c>
      <c r="C1802" s="117">
        <v>45403</v>
      </c>
      <c r="D1802" s="116">
        <v>579.6</v>
      </c>
      <c r="E1802" s="117">
        <v>45412</v>
      </c>
      <c r="F1802" s="116">
        <f>COUNTIFS($A$3:A10058,A1802,$B$3:B10058,B1802)</f>
        <v>1</v>
      </c>
      <c r="G1802" s="116"/>
    </row>
    <row r="1803" spans="1:7" x14ac:dyDescent="0.2">
      <c r="A1803" s="116">
        <f>IF(ISNUMBER(Tabela2[[#This Row],[CT-e/NFS]])=TRUE,(IF(B1803&gt;30000,4,IF(B1803&lt;1000,"ND",0))),"-")</f>
        <v>0</v>
      </c>
      <c r="B1803" s="116">
        <v>21284</v>
      </c>
      <c r="C1803" s="117">
        <v>45403</v>
      </c>
      <c r="D1803" s="116">
        <v>222.43</v>
      </c>
      <c r="E1803" s="117">
        <v>45412</v>
      </c>
      <c r="F1803" s="116">
        <f>COUNTIFS($A$3:A10059,A1803,$B$3:B10059,B1803)</f>
        <v>1</v>
      </c>
      <c r="G1803" s="116"/>
    </row>
    <row r="1804" spans="1:7" x14ac:dyDescent="0.2">
      <c r="A1804" s="116">
        <f>IF(ISNUMBER(Tabela2[[#This Row],[CT-e/NFS]])=TRUE,(IF(B1804&gt;30000,4,IF(B1804&lt;1000,"ND",0))),"-")</f>
        <v>0</v>
      </c>
      <c r="B1804" s="116">
        <v>21282</v>
      </c>
      <c r="C1804" s="117">
        <v>45403</v>
      </c>
      <c r="D1804" s="116">
        <v>76.52</v>
      </c>
      <c r="E1804" s="117">
        <v>45412</v>
      </c>
      <c r="F1804" s="116">
        <f>COUNTIFS($A$3:A10060,A1804,$B$3:B10060,B1804)</f>
        <v>1</v>
      </c>
      <c r="G1804" s="116"/>
    </row>
    <row r="1805" spans="1:7" x14ac:dyDescent="0.2">
      <c r="A1805" s="116">
        <f>IF(ISNUMBER(Tabela2[[#This Row],[CT-e/NFS]])=TRUE,(IF(B1805&gt;30000,4,IF(B1805&lt;1000,"ND",0))),"-")</f>
        <v>0</v>
      </c>
      <c r="B1805" s="116">
        <v>21283</v>
      </c>
      <c r="C1805" s="117">
        <v>45403</v>
      </c>
      <c r="D1805" s="116">
        <v>132.07</v>
      </c>
      <c r="E1805" s="117">
        <v>45412</v>
      </c>
      <c r="F1805" s="116">
        <f>COUNTIFS($A$3:A10061,A1805,$B$3:B10061,B1805)</f>
        <v>1</v>
      </c>
      <c r="G1805" s="116"/>
    </row>
    <row r="1806" spans="1:7" x14ac:dyDescent="0.2">
      <c r="A1806" s="116">
        <f>IF(ISNUMBER(Tabela2[[#This Row],[CT-e/NFS]])=TRUE,(IF(B1806&gt;30000,4,IF(B1806&lt;1000,"ND",0))),"-")</f>
        <v>0</v>
      </c>
      <c r="B1806" s="116">
        <v>21285</v>
      </c>
      <c r="C1806" s="117">
        <v>45403</v>
      </c>
      <c r="D1806" s="116">
        <v>77.06</v>
      </c>
      <c r="E1806" s="117">
        <v>45412</v>
      </c>
      <c r="F1806" s="116">
        <f>COUNTIFS($A$3:A10062,A1806,$B$3:B10062,B1806)</f>
        <v>1</v>
      </c>
      <c r="G1806" s="116"/>
    </row>
    <row r="1807" spans="1:7" x14ac:dyDescent="0.2">
      <c r="A1807" s="116">
        <f>IF(ISNUMBER(Tabela2[[#This Row],[CT-e/NFS]])=TRUE,(IF(B1807&gt;30000,4,IF(B1807&lt;1000,"ND",0))),"-")</f>
        <v>0</v>
      </c>
      <c r="B1807" s="116">
        <v>21286</v>
      </c>
      <c r="C1807" s="117">
        <v>45403</v>
      </c>
      <c r="D1807" s="116">
        <v>391.86</v>
      </c>
      <c r="E1807" s="117">
        <v>45412</v>
      </c>
      <c r="F1807" s="116">
        <f>COUNTIFS($A$3:A10063,A1807,$B$3:B10063,B1807)</f>
        <v>1</v>
      </c>
      <c r="G1807" s="116"/>
    </row>
    <row r="1808" spans="1:7" x14ac:dyDescent="0.2">
      <c r="A1808" s="116">
        <f>IF(ISNUMBER(Tabela2[[#This Row],[CT-e/NFS]])=TRUE,(IF(B1808&gt;30000,4,IF(B1808&lt;1000,"ND",0))),"-")</f>
        <v>0</v>
      </c>
      <c r="B1808" s="116">
        <v>21287</v>
      </c>
      <c r="C1808" s="117">
        <v>45403</v>
      </c>
      <c r="D1808" s="116">
        <v>76.41</v>
      </c>
      <c r="E1808" s="117">
        <v>45412</v>
      </c>
      <c r="F1808" s="116">
        <f>COUNTIFS($A$3:A10064,A1808,$B$3:B10064,B1808)</f>
        <v>1</v>
      </c>
      <c r="G1808" s="116"/>
    </row>
    <row r="1809" spans="1:7" x14ac:dyDescent="0.2">
      <c r="A1809" s="116">
        <f>IF(ISNUMBER(Tabela2[[#This Row],[CT-e/NFS]])=TRUE,(IF(B1809&gt;30000,4,IF(B1809&lt;1000,"ND",0))),"-")</f>
        <v>0</v>
      </c>
      <c r="B1809" s="116">
        <v>21288</v>
      </c>
      <c r="C1809" s="117">
        <v>45403</v>
      </c>
      <c r="D1809" s="116">
        <v>143.56</v>
      </c>
      <c r="E1809" s="117">
        <v>45412</v>
      </c>
      <c r="F1809" s="116">
        <f>COUNTIFS($A$3:A10065,A1809,$B$3:B10065,B1809)</f>
        <v>1</v>
      </c>
      <c r="G1809" s="116"/>
    </row>
    <row r="1810" spans="1:7" x14ac:dyDescent="0.2">
      <c r="A1810" s="116">
        <f>IF(ISNUMBER(Tabela2[[#This Row],[CT-e/NFS]])=TRUE,(IF(B1810&gt;30000,4,IF(B1810&lt;1000,"ND",0))),"-")</f>
        <v>0</v>
      </c>
      <c r="B1810" s="116">
        <v>21289</v>
      </c>
      <c r="C1810" s="117">
        <v>45403</v>
      </c>
      <c r="D1810" s="116">
        <v>76.36</v>
      </c>
      <c r="E1810" s="117">
        <v>45412</v>
      </c>
      <c r="F1810" s="116">
        <f>COUNTIFS($A$3:A10066,A1810,$B$3:B10066,B1810)</f>
        <v>1</v>
      </c>
      <c r="G1810" s="116"/>
    </row>
    <row r="1811" spans="1:7" x14ac:dyDescent="0.2">
      <c r="A1811" s="116">
        <f>IF(ISNUMBER(Tabela2[[#This Row],[CT-e/NFS]])=TRUE,(IF(B1811&gt;30000,4,IF(B1811&lt;1000,"ND",0))),"-")</f>
        <v>0</v>
      </c>
      <c r="B1811" s="116">
        <v>21290</v>
      </c>
      <c r="C1811" s="117">
        <v>45403</v>
      </c>
      <c r="D1811" s="116">
        <v>76.28</v>
      </c>
      <c r="E1811" s="117">
        <v>45412</v>
      </c>
      <c r="F1811" s="116">
        <f>COUNTIFS($A$3:A10067,A1811,$B$3:B10067,B1811)</f>
        <v>1</v>
      </c>
      <c r="G1811" s="116"/>
    </row>
    <row r="1812" spans="1:7" x14ac:dyDescent="0.2">
      <c r="A1812" s="116">
        <f>IF(ISNUMBER(Tabela2[[#This Row],[CT-e/NFS]])=TRUE,(IF(B1812&gt;30000,4,IF(B1812&lt;1000,"ND",0))),"-")</f>
        <v>4</v>
      </c>
      <c r="B1812" s="116">
        <v>46601</v>
      </c>
      <c r="C1812" s="117">
        <v>45403</v>
      </c>
      <c r="D1812" s="116">
        <v>704.09</v>
      </c>
      <c r="E1812" s="117">
        <v>45412</v>
      </c>
      <c r="F1812" s="116">
        <f>COUNTIFS($A$3:A10068,A1812,$B$3:B10068,B1812)</f>
        <v>1</v>
      </c>
      <c r="G1812" s="116"/>
    </row>
    <row r="1813" spans="1:7" x14ac:dyDescent="0.2">
      <c r="A1813" s="116">
        <f>IF(ISNUMBER(Tabela2[[#This Row],[CT-e/NFS]])=TRUE,(IF(B1813&gt;30000,4,IF(B1813&lt;1000,"ND",0))),"-")</f>
        <v>4</v>
      </c>
      <c r="B1813" s="116">
        <v>46599</v>
      </c>
      <c r="C1813" s="117">
        <v>45403</v>
      </c>
      <c r="D1813" s="116">
        <v>654.78</v>
      </c>
      <c r="E1813" s="117">
        <v>45412</v>
      </c>
      <c r="F1813" s="116">
        <f>COUNTIFS($A$3:A10069,A1813,$B$3:B10069,B1813)</f>
        <v>1</v>
      </c>
      <c r="G1813" s="116"/>
    </row>
    <row r="1814" spans="1:7" x14ac:dyDescent="0.2">
      <c r="A1814" s="116">
        <f>IF(ISNUMBER(Tabela2[[#This Row],[CT-e/NFS]])=TRUE,(IF(B1814&gt;30000,4,IF(B1814&lt;1000,"ND",0))),"-")</f>
        <v>4</v>
      </c>
      <c r="B1814" s="116">
        <v>46602</v>
      </c>
      <c r="C1814" s="117">
        <v>45403</v>
      </c>
      <c r="D1814" s="116">
        <v>267.81</v>
      </c>
      <c r="E1814" s="117">
        <v>45412</v>
      </c>
      <c r="F1814" s="116">
        <f>COUNTIFS($A$3:A10070,A1814,$B$3:B10070,B1814)</f>
        <v>1</v>
      </c>
      <c r="G1814" s="116"/>
    </row>
    <row r="1815" spans="1:7" x14ac:dyDescent="0.2">
      <c r="A1815" s="116">
        <f>IF(ISNUMBER(Tabela2[[#This Row],[CT-e/NFS]])=TRUE,(IF(B1815&gt;30000,4,IF(B1815&lt;1000,"ND",0))),"-")</f>
        <v>4</v>
      </c>
      <c r="B1815" s="116">
        <v>46594</v>
      </c>
      <c r="C1815" s="117">
        <v>45403</v>
      </c>
      <c r="D1815" s="116">
        <v>609.98</v>
      </c>
      <c r="E1815" s="117">
        <v>45412</v>
      </c>
      <c r="F1815" s="116">
        <f>COUNTIFS($A$3:A10071,A1815,$B$3:B10071,B1815)</f>
        <v>1</v>
      </c>
      <c r="G1815" s="116"/>
    </row>
    <row r="1816" spans="1:7" x14ac:dyDescent="0.2">
      <c r="A1816" s="116">
        <f>IF(ISNUMBER(Tabela2[[#This Row],[CT-e/NFS]])=TRUE,(IF(B1816&gt;30000,4,IF(B1816&lt;1000,"ND",0))),"-")</f>
        <v>4</v>
      </c>
      <c r="B1816" s="116">
        <v>46603</v>
      </c>
      <c r="C1816" s="117">
        <v>45403</v>
      </c>
      <c r="D1816" s="116">
        <v>869.92</v>
      </c>
      <c r="E1816" s="117">
        <v>45412</v>
      </c>
      <c r="F1816" s="116">
        <f>COUNTIFS($A$3:A10072,A1816,$B$3:B10072,B1816)</f>
        <v>1</v>
      </c>
      <c r="G1816" s="116"/>
    </row>
    <row r="1817" spans="1:7" x14ac:dyDescent="0.2">
      <c r="A1817" s="116">
        <f>IF(ISNUMBER(Tabela2[[#This Row],[CT-e/NFS]])=TRUE,(IF(B1817&gt;30000,4,IF(B1817&lt;1000,"ND",0))),"-")</f>
        <v>4</v>
      </c>
      <c r="B1817" s="116">
        <v>46600</v>
      </c>
      <c r="C1817" s="117">
        <v>45403</v>
      </c>
      <c r="D1817" s="116">
        <v>399.42</v>
      </c>
      <c r="E1817" s="117">
        <v>45412</v>
      </c>
      <c r="F1817" s="116">
        <f>COUNTIFS($A$3:A10073,A1817,$B$3:B10073,B1817)</f>
        <v>1</v>
      </c>
      <c r="G1817" s="116"/>
    </row>
    <row r="1818" spans="1:7" x14ac:dyDescent="0.2">
      <c r="A1818" s="116">
        <f>IF(ISNUMBER(Tabela2[[#This Row],[CT-e/NFS]])=TRUE,(IF(B1818&gt;30000,4,IF(B1818&lt;1000,"ND",0))),"-")</f>
        <v>4</v>
      </c>
      <c r="B1818" s="116">
        <v>46611</v>
      </c>
      <c r="C1818" s="117">
        <v>45403</v>
      </c>
      <c r="D1818" s="116">
        <v>367.6</v>
      </c>
      <c r="E1818" s="117">
        <v>45412</v>
      </c>
      <c r="F1818" s="116">
        <f>COUNTIFS($A$3:A10075,A1818,$B$3:B10075,B1818)</f>
        <v>1</v>
      </c>
      <c r="G1818" s="116"/>
    </row>
    <row r="1819" spans="1:7" x14ac:dyDescent="0.2">
      <c r="A1819" s="116">
        <f>IF(ISNUMBER(Tabela2[[#This Row],[CT-e/NFS]])=TRUE,(IF(B1819&gt;30000,4,IF(B1819&lt;1000,"ND",0))),"-")</f>
        <v>4</v>
      </c>
      <c r="B1819" s="116">
        <v>46612</v>
      </c>
      <c r="C1819" s="117">
        <v>45403</v>
      </c>
      <c r="D1819" s="116">
        <v>125.69</v>
      </c>
      <c r="E1819" s="117">
        <v>45412</v>
      </c>
      <c r="F1819" s="116">
        <f>COUNTIFS($A$3:A10076,A1819,$B$3:B10076,B1819)</f>
        <v>1</v>
      </c>
      <c r="G1819" s="116"/>
    </row>
    <row r="1820" spans="1:7" x14ac:dyDescent="0.2">
      <c r="A1820" s="116">
        <f>IF(ISNUMBER(Tabela2[[#This Row],[CT-e/NFS]])=TRUE,(IF(B1820&gt;30000,4,IF(B1820&lt;1000,"ND",0))),"-")</f>
        <v>4</v>
      </c>
      <c r="B1820" s="116">
        <v>46606</v>
      </c>
      <c r="C1820" s="117">
        <v>45403</v>
      </c>
      <c r="D1820" s="116">
        <v>194.75</v>
      </c>
      <c r="E1820" s="117">
        <v>45412</v>
      </c>
      <c r="F1820" s="116">
        <f>COUNTIFS($A$3:A10077,A1820,$B$3:B10077,B1820)</f>
        <v>1</v>
      </c>
      <c r="G1820" s="116"/>
    </row>
    <row r="1821" spans="1:7" x14ac:dyDescent="0.2">
      <c r="A1821" s="116">
        <f>IF(ISNUMBER(Tabela2[[#This Row],[CT-e/NFS]])=TRUE,(IF(B1821&gt;30000,4,IF(B1821&lt;1000,"ND",0))),"-")</f>
        <v>4</v>
      </c>
      <c r="B1821" s="116">
        <v>46607</v>
      </c>
      <c r="C1821" s="117">
        <v>45403</v>
      </c>
      <c r="D1821" s="116">
        <v>124.53</v>
      </c>
      <c r="E1821" s="117">
        <v>45412</v>
      </c>
      <c r="F1821" s="116">
        <f>COUNTIFS($A$3:A10078,A1821,$B$3:B10078,B1821)</f>
        <v>1</v>
      </c>
      <c r="G1821" s="116"/>
    </row>
    <row r="1822" spans="1:7" x14ac:dyDescent="0.2">
      <c r="A1822" s="116">
        <f>IF(ISNUMBER(Tabela2[[#This Row],[CT-e/NFS]])=TRUE,(IF(B1822&gt;30000,4,IF(B1822&lt;1000,"ND",0))),"-")</f>
        <v>4</v>
      </c>
      <c r="B1822" s="116">
        <v>46619</v>
      </c>
      <c r="C1822" s="117">
        <v>45403</v>
      </c>
      <c r="D1822" s="116">
        <v>124.05</v>
      </c>
      <c r="E1822" s="117">
        <v>45412</v>
      </c>
      <c r="F1822" s="116">
        <f>COUNTIFS($A$3:A10079,A1822,$B$3:B10079,B1822)</f>
        <v>1</v>
      </c>
      <c r="G1822" s="116"/>
    </row>
    <row r="1823" spans="1:7" x14ac:dyDescent="0.2">
      <c r="A1823" s="116">
        <f>IF(ISNUMBER(Tabela2[[#This Row],[CT-e/NFS]])=TRUE,(IF(B1823&gt;30000,4,IF(B1823&lt;1000,"ND",0))),"-")</f>
        <v>4</v>
      </c>
      <c r="B1823" s="116">
        <v>46617</v>
      </c>
      <c r="C1823" s="117">
        <v>45403</v>
      </c>
      <c r="D1823" s="116">
        <v>122.91</v>
      </c>
      <c r="E1823" s="117">
        <v>45412</v>
      </c>
      <c r="F1823" s="116">
        <f>COUNTIFS($A$3:A10080,A1823,$B$3:B10080,B1823)</f>
        <v>1</v>
      </c>
      <c r="G1823" s="116"/>
    </row>
    <row r="1824" spans="1:7" x14ac:dyDescent="0.2">
      <c r="A1824" s="116">
        <f>IF(ISNUMBER(Tabela2[[#This Row],[CT-e/NFS]])=TRUE,(IF(B1824&gt;30000,4,IF(B1824&lt;1000,"ND",0))),"-")</f>
        <v>4</v>
      </c>
      <c r="B1824" s="116">
        <v>46614</v>
      </c>
      <c r="C1824" s="117">
        <v>45403</v>
      </c>
      <c r="D1824" s="116">
        <v>124.16</v>
      </c>
      <c r="E1824" s="117">
        <v>45412</v>
      </c>
      <c r="F1824" s="116">
        <f>COUNTIFS($A$3:A10081,A1824,$B$3:B10081,B1824)</f>
        <v>1</v>
      </c>
      <c r="G1824" s="116"/>
    </row>
    <row r="1825" spans="1:7" x14ac:dyDescent="0.2">
      <c r="A1825" s="116">
        <f>IF(ISNUMBER(Tabela2[[#This Row],[CT-e/NFS]])=TRUE,(IF(B1825&gt;30000,4,IF(B1825&lt;1000,"ND",0))),"-")</f>
        <v>4</v>
      </c>
      <c r="B1825" s="116">
        <v>46618</v>
      </c>
      <c r="C1825" s="117">
        <v>45403</v>
      </c>
      <c r="D1825" s="116">
        <v>157.68</v>
      </c>
      <c r="E1825" s="117">
        <v>45412</v>
      </c>
      <c r="F1825" s="116">
        <f>COUNTIFS($A$3:A10082,A1825,$B$3:B10082,B1825)</f>
        <v>1</v>
      </c>
      <c r="G1825" s="116"/>
    </row>
    <row r="1826" spans="1:7" x14ac:dyDescent="0.2">
      <c r="A1826" s="116">
        <f>IF(ISNUMBER(Tabela2[[#This Row],[CT-e/NFS]])=TRUE,(IF(B1826&gt;30000,4,IF(B1826&lt;1000,"ND",0))),"-")</f>
        <v>4</v>
      </c>
      <c r="B1826" s="116">
        <v>46609</v>
      </c>
      <c r="C1826" s="117">
        <v>45403</v>
      </c>
      <c r="D1826" s="116">
        <v>124.03</v>
      </c>
      <c r="E1826" s="117">
        <v>45412</v>
      </c>
      <c r="F1826" s="116">
        <f>COUNTIFS($A$3:A10083,A1826,$B$3:B10083,B1826)</f>
        <v>1</v>
      </c>
      <c r="G1826" s="116"/>
    </row>
    <row r="1827" spans="1:7" x14ac:dyDescent="0.2">
      <c r="A1827" s="116">
        <f>IF(ISNUMBER(Tabela2[[#This Row],[CT-e/NFS]])=TRUE,(IF(B1827&gt;30000,4,IF(B1827&lt;1000,"ND",0))),"-")</f>
        <v>4</v>
      </c>
      <c r="B1827" s="116">
        <v>46620</v>
      </c>
      <c r="C1827" s="117">
        <v>45403</v>
      </c>
      <c r="D1827" s="116">
        <v>123.03</v>
      </c>
      <c r="E1827" s="117">
        <v>45412</v>
      </c>
      <c r="F1827" s="116">
        <f>COUNTIFS($A$3:A10084,A1827,$B$3:B10084,B1827)</f>
        <v>1</v>
      </c>
      <c r="G1827" s="116"/>
    </row>
    <row r="1828" spans="1:7" x14ac:dyDescent="0.2">
      <c r="A1828" s="116">
        <f>IF(ISNUMBER(Tabela2[[#This Row],[CT-e/NFS]])=TRUE,(IF(B1828&gt;30000,4,IF(B1828&lt;1000,"ND",0))),"-")</f>
        <v>4</v>
      </c>
      <c r="B1828" s="116">
        <v>46628</v>
      </c>
      <c r="C1828" s="117">
        <v>45403</v>
      </c>
      <c r="D1828" s="116">
        <v>291.18</v>
      </c>
      <c r="E1828" s="117">
        <v>45412</v>
      </c>
      <c r="F1828" s="116">
        <f>COUNTIFS($A$3:A10085,A1828,$B$3:B10085,B1828)</f>
        <v>1</v>
      </c>
      <c r="G1828" s="116"/>
    </row>
    <row r="1829" spans="1:7" x14ac:dyDescent="0.2">
      <c r="A1829" s="116">
        <f>IF(ISNUMBER(Tabela2[[#This Row],[CT-e/NFS]])=TRUE,(IF(B1829&gt;30000,4,IF(B1829&lt;1000,"ND",0))),"-")</f>
        <v>4</v>
      </c>
      <c r="B1829" s="116">
        <v>46629</v>
      </c>
      <c r="C1829" s="117">
        <v>45403</v>
      </c>
      <c r="D1829" s="116">
        <v>256.18</v>
      </c>
      <c r="E1829" s="117">
        <v>45412</v>
      </c>
      <c r="F1829" s="116">
        <f>COUNTIFS($A$3:A10086,A1829,$B$3:B10086,B1829)</f>
        <v>1</v>
      </c>
      <c r="G1829" s="116"/>
    </row>
    <row r="1830" spans="1:7" x14ac:dyDescent="0.2">
      <c r="A1830" s="116">
        <f>IF(ISNUMBER(Tabela2[[#This Row],[CT-e/NFS]])=TRUE,(IF(B1830&gt;30000,4,IF(B1830&lt;1000,"ND",0))),"-")</f>
        <v>4</v>
      </c>
      <c r="B1830" s="116">
        <v>46626</v>
      </c>
      <c r="C1830" s="117">
        <v>45403</v>
      </c>
      <c r="D1830" s="116">
        <v>123.56</v>
      </c>
      <c r="E1830" s="117">
        <v>45412</v>
      </c>
      <c r="F1830" s="116">
        <f>COUNTIFS($A$3:A10087,A1830,$B$3:B10087,B1830)</f>
        <v>1</v>
      </c>
      <c r="G1830" s="116"/>
    </row>
    <row r="1831" spans="1:7" x14ac:dyDescent="0.2">
      <c r="A1831" s="116">
        <f>IF(ISNUMBER(Tabela2[[#This Row],[CT-e/NFS]])=TRUE,(IF(B1831&gt;30000,4,IF(B1831&lt;1000,"ND",0))),"-")</f>
        <v>4</v>
      </c>
      <c r="B1831" s="116">
        <v>46623</v>
      </c>
      <c r="C1831" s="117">
        <v>45403</v>
      </c>
      <c r="D1831" s="116">
        <v>150.4</v>
      </c>
      <c r="E1831" s="117">
        <v>45412</v>
      </c>
      <c r="F1831" s="116">
        <f>COUNTIFS($A$3:A10088,A1831,$B$3:B10088,B1831)</f>
        <v>1</v>
      </c>
      <c r="G1831" s="116"/>
    </row>
    <row r="1832" spans="1:7" x14ac:dyDescent="0.2">
      <c r="A1832" s="116">
        <f>IF(ISNUMBER(Tabela2[[#This Row],[CT-e/NFS]])=TRUE,(IF(B1832&gt;30000,4,IF(B1832&lt;1000,"ND",0))),"-")</f>
        <v>4</v>
      </c>
      <c r="B1832" s="116">
        <v>46621</v>
      </c>
      <c r="C1832" s="117">
        <v>45403</v>
      </c>
      <c r="D1832" s="116">
        <v>124.18</v>
      </c>
      <c r="E1832" s="117">
        <v>45412</v>
      </c>
      <c r="F1832" s="116">
        <f>COUNTIFS($A$3:A10089,A1832,$B$3:B10089,B1832)</f>
        <v>1</v>
      </c>
      <c r="G1832" s="116"/>
    </row>
    <row r="1833" spans="1:7" x14ac:dyDescent="0.2">
      <c r="A1833" s="116">
        <f>IF(ISNUMBER(Tabela2[[#This Row],[CT-e/NFS]])=TRUE,(IF(B1833&gt;30000,4,IF(B1833&lt;1000,"ND",0))),"-")</f>
        <v>4</v>
      </c>
      <c r="B1833" s="116">
        <v>46613</v>
      </c>
      <c r="C1833" s="117">
        <v>45403</v>
      </c>
      <c r="D1833" s="116">
        <v>124.03</v>
      </c>
      <c r="E1833" s="117">
        <v>45412</v>
      </c>
      <c r="F1833" s="116">
        <f>COUNTIFS($A$3:A10090,A1833,$B$3:B10090,B1833)</f>
        <v>1</v>
      </c>
      <c r="G1833" s="116"/>
    </row>
    <row r="1834" spans="1:7" x14ac:dyDescent="0.2">
      <c r="A1834" s="116">
        <f>IF(ISNUMBER(Tabela2[[#This Row],[CT-e/NFS]])=TRUE,(IF(B1834&gt;30000,4,IF(B1834&lt;1000,"ND",0))),"-")</f>
        <v>4</v>
      </c>
      <c r="B1834" s="116">
        <v>46625</v>
      </c>
      <c r="C1834" s="117">
        <v>45403</v>
      </c>
      <c r="D1834" s="116">
        <v>124.26</v>
      </c>
      <c r="E1834" s="117">
        <v>45412</v>
      </c>
      <c r="F1834" s="116">
        <f>COUNTIFS($A$3:A10091,A1834,$B$3:B10091,B1834)</f>
        <v>1</v>
      </c>
      <c r="G1834" s="116"/>
    </row>
    <row r="1835" spans="1:7" x14ac:dyDescent="0.2">
      <c r="A1835" s="116">
        <f>IF(ISNUMBER(Tabela2[[#This Row],[CT-e/NFS]])=TRUE,(IF(B1835&gt;30000,4,IF(B1835&lt;1000,"ND",0))),"-")</f>
        <v>4</v>
      </c>
      <c r="B1835" s="116">
        <v>46610</v>
      </c>
      <c r="C1835" s="117">
        <v>45403</v>
      </c>
      <c r="D1835" s="116">
        <v>123.89</v>
      </c>
      <c r="E1835" s="117">
        <v>45412</v>
      </c>
      <c r="F1835" s="116">
        <f>COUNTIFS($A$3:A10092,A1835,$B$3:B10092,B1835)</f>
        <v>1</v>
      </c>
      <c r="G1835" s="116"/>
    </row>
    <row r="1836" spans="1:7" x14ac:dyDescent="0.2">
      <c r="A1836" s="116">
        <f>IF(ISNUMBER(Tabela2[[#This Row],[CT-e/NFS]])=TRUE,(IF(B1836&gt;30000,4,IF(B1836&lt;1000,"ND",0))),"-")</f>
        <v>4</v>
      </c>
      <c r="B1836" s="116">
        <v>46624</v>
      </c>
      <c r="C1836" s="117">
        <v>45403</v>
      </c>
      <c r="D1836" s="116">
        <v>123.93</v>
      </c>
      <c r="E1836" s="117">
        <v>45412</v>
      </c>
      <c r="F1836" s="116">
        <f>COUNTIFS($A$3:A10093,A1836,$B$3:B10093,B1836)</f>
        <v>1</v>
      </c>
      <c r="G1836" s="116"/>
    </row>
    <row r="1837" spans="1:7" x14ac:dyDescent="0.2">
      <c r="A1837" s="116">
        <f>IF(ISNUMBER(Tabela2[[#This Row],[CT-e/NFS]])=TRUE,(IF(B1837&gt;30000,4,IF(B1837&lt;1000,"ND",0))),"-")</f>
        <v>4</v>
      </c>
      <c r="B1837" s="116">
        <v>46605</v>
      </c>
      <c r="C1837" s="117">
        <v>45403</v>
      </c>
      <c r="D1837" s="116">
        <v>124.15</v>
      </c>
      <c r="E1837" s="117">
        <v>45412</v>
      </c>
      <c r="F1837" s="116">
        <f>COUNTIFS($A$3:A10094,A1837,$B$3:B10094,B1837)</f>
        <v>1</v>
      </c>
      <c r="G1837" s="116"/>
    </row>
    <row r="1838" spans="1:7" x14ac:dyDescent="0.2">
      <c r="A1838" s="116">
        <f>IF(ISNUMBER(Tabela2[[#This Row],[CT-e/NFS]])=TRUE,(IF(B1838&gt;30000,4,IF(B1838&lt;1000,"ND",0))),"-")</f>
        <v>4</v>
      </c>
      <c r="B1838" s="116">
        <v>46604</v>
      </c>
      <c r="C1838" s="117">
        <v>45403</v>
      </c>
      <c r="D1838" s="116">
        <v>240.63</v>
      </c>
      <c r="E1838" s="117">
        <v>45412</v>
      </c>
      <c r="F1838" s="116">
        <f>COUNTIFS($A$3:A10095,A1838,$B$3:B10095,B1838)</f>
        <v>1</v>
      </c>
      <c r="G1838" s="116"/>
    </row>
    <row r="1839" spans="1:7" x14ac:dyDescent="0.2">
      <c r="A1839" s="116">
        <f>IF(ISNUMBER(Tabela2[[#This Row],[CT-e/NFS]])=TRUE,(IF(B1839&gt;30000,4,IF(B1839&lt;1000,"ND",0))),"-")</f>
        <v>4</v>
      </c>
      <c r="B1839" s="116">
        <v>46608</v>
      </c>
      <c r="C1839" s="117">
        <v>45403</v>
      </c>
      <c r="D1839" s="116">
        <v>242.3</v>
      </c>
      <c r="E1839" s="117">
        <v>45412</v>
      </c>
      <c r="F1839" s="116">
        <f>COUNTIFS($A$3:A10096,A1839,$B$3:B10096,B1839)</f>
        <v>1</v>
      </c>
      <c r="G1839" s="116"/>
    </row>
    <row r="1840" spans="1:7" x14ac:dyDescent="0.2">
      <c r="A1840" s="116">
        <f>IF(ISNUMBER(Tabela2[[#This Row],[CT-e/NFS]])=TRUE,(IF(B1840&gt;30000,4,IF(B1840&lt;1000,"ND",0))),"-")</f>
        <v>4</v>
      </c>
      <c r="B1840" s="116">
        <v>46622</v>
      </c>
      <c r="C1840" s="117">
        <v>45403</v>
      </c>
      <c r="D1840" s="116">
        <v>125.81</v>
      </c>
      <c r="E1840" s="117">
        <v>45412</v>
      </c>
      <c r="F1840" s="116">
        <f>COUNTIFS($A$3:A10097,A1840,$B$3:B10097,B1840)</f>
        <v>1</v>
      </c>
      <c r="G1840" s="116"/>
    </row>
    <row r="1841" spans="1:7" x14ac:dyDescent="0.2">
      <c r="A1841" s="116">
        <f>IF(ISNUMBER(Tabela2[[#This Row],[CT-e/NFS]])=TRUE,(IF(B1841&gt;30000,4,IF(B1841&lt;1000,"ND",0))),"-")</f>
        <v>4</v>
      </c>
      <c r="B1841" s="116">
        <v>46638</v>
      </c>
      <c r="C1841" s="117">
        <v>45403</v>
      </c>
      <c r="D1841" s="116">
        <v>110.82</v>
      </c>
      <c r="E1841" s="117">
        <v>45412</v>
      </c>
      <c r="F1841" s="116">
        <f>COUNTIFS($A$3:A10098,A1841,$B$3:B10098,B1841)</f>
        <v>1</v>
      </c>
      <c r="G1841" s="116"/>
    </row>
    <row r="1842" spans="1:7" x14ac:dyDescent="0.2">
      <c r="A1842" s="116">
        <f>IF(ISNUMBER(Tabela2[[#This Row],[CT-e/NFS]])=TRUE,(IF(B1842&gt;30000,4,IF(B1842&lt;1000,"ND",0))),"-")</f>
        <v>0</v>
      </c>
      <c r="B1842" s="116">
        <v>21300</v>
      </c>
      <c r="C1842" s="117">
        <v>45403</v>
      </c>
      <c r="D1842" s="116">
        <v>77.459999999999994</v>
      </c>
      <c r="E1842" s="117">
        <v>45412</v>
      </c>
      <c r="F1842" s="116">
        <f>COUNTIFS($A$3:A10099,A1842,$B$3:B10099,B1842)</f>
        <v>1</v>
      </c>
      <c r="G1842" s="116"/>
    </row>
    <row r="1843" spans="1:7" x14ac:dyDescent="0.2">
      <c r="A1843" s="116">
        <f>IF(ISNUMBER(Tabela2[[#This Row],[CT-e/NFS]])=TRUE,(IF(B1843&gt;30000,4,IF(B1843&lt;1000,"ND",0))),"-")</f>
        <v>0</v>
      </c>
      <c r="B1843" s="116">
        <v>21301</v>
      </c>
      <c r="C1843" s="117">
        <v>45403</v>
      </c>
      <c r="D1843" s="116">
        <v>77.010000000000005</v>
      </c>
      <c r="E1843" s="117">
        <v>45412</v>
      </c>
      <c r="F1843" s="116">
        <f>COUNTIFS($A$3:A10100,A1843,$B$3:B10100,B1843)</f>
        <v>1</v>
      </c>
      <c r="G1843" s="116"/>
    </row>
    <row r="1844" spans="1:7" x14ac:dyDescent="0.2">
      <c r="A1844" s="116">
        <f>IF(ISNUMBER(Tabela2[[#This Row],[CT-e/NFS]])=TRUE,(IF(B1844&gt;30000,4,IF(B1844&lt;1000,"ND",0))),"-")</f>
        <v>0</v>
      </c>
      <c r="B1844" s="116">
        <v>21304</v>
      </c>
      <c r="C1844" s="117">
        <v>45403</v>
      </c>
      <c r="D1844" s="116">
        <v>76.34</v>
      </c>
      <c r="E1844" s="117">
        <v>45412</v>
      </c>
      <c r="F1844" s="116">
        <f>COUNTIFS($A$3:A10101,A1844,$B$3:B10101,B1844)</f>
        <v>1</v>
      </c>
      <c r="G1844" s="116"/>
    </row>
    <row r="1845" spans="1:7" x14ac:dyDescent="0.2">
      <c r="A1845" s="116">
        <f>IF(ISNUMBER(Tabela2[[#This Row],[CT-e/NFS]])=TRUE,(IF(B1845&gt;30000,4,IF(B1845&lt;1000,"ND",0))),"-")</f>
        <v>0</v>
      </c>
      <c r="B1845" s="116">
        <v>21305</v>
      </c>
      <c r="C1845" s="117">
        <v>45403</v>
      </c>
      <c r="D1845" s="116">
        <v>76.41</v>
      </c>
      <c r="E1845" s="117">
        <v>45412</v>
      </c>
      <c r="F1845" s="116">
        <f>COUNTIFS($A$3:A10102,A1845,$B$3:B10102,B1845)</f>
        <v>1</v>
      </c>
      <c r="G1845" s="116"/>
    </row>
    <row r="1846" spans="1:7" x14ac:dyDescent="0.2">
      <c r="A1846" s="116">
        <f>IF(ISNUMBER(Tabela2[[#This Row],[CT-e/NFS]])=TRUE,(IF(B1846&gt;30000,4,IF(B1846&lt;1000,"ND",0))),"-")</f>
        <v>0</v>
      </c>
      <c r="B1846" s="116">
        <v>21306</v>
      </c>
      <c r="C1846" s="117">
        <v>45403</v>
      </c>
      <c r="D1846" s="116">
        <v>307.5</v>
      </c>
      <c r="E1846" s="117">
        <v>45412</v>
      </c>
      <c r="F1846" s="116">
        <f>COUNTIFS($A$3:A10103,A1846,$B$3:B10103,B1846)</f>
        <v>1</v>
      </c>
      <c r="G1846" s="116"/>
    </row>
    <row r="1847" spans="1:7" x14ac:dyDescent="0.2">
      <c r="A1847" s="116">
        <f>IF(ISNUMBER(Tabela2[[#This Row],[CT-e/NFS]])=TRUE,(IF(B1847&gt;30000,4,IF(B1847&lt;1000,"ND",0))),"-")</f>
        <v>0</v>
      </c>
      <c r="B1847" s="116">
        <v>21302</v>
      </c>
      <c r="C1847" s="117">
        <v>45403</v>
      </c>
      <c r="D1847" s="116">
        <v>106.92</v>
      </c>
      <c r="E1847" s="117">
        <v>45412</v>
      </c>
      <c r="F1847" s="116">
        <f>COUNTIFS($A$3:A10104,A1847,$B$3:B10104,B1847)</f>
        <v>1</v>
      </c>
      <c r="G1847" s="116"/>
    </row>
    <row r="1848" spans="1:7" x14ac:dyDescent="0.2">
      <c r="A1848" s="116">
        <f>IF(ISNUMBER(Tabela2[[#This Row],[CT-e/NFS]])=TRUE,(IF(B1848&gt;30000,4,IF(B1848&lt;1000,"ND",0))),"-")</f>
        <v>0</v>
      </c>
      <c r="B1848" s="116">
        <v>21303</v>
      </c>
      <c r="C1848" s="117">
        <v>45403</v>
      </c>
      <c r="D1848" s="116">
        <v>98.42</v>
      </c>
      <c r="E1848" s="117">
        <v>45412</v>
      </c>
      <c r="F1848" s="116">
        <f>COUNTIFS($A$3:A10105,A1848,$B$3:B10105,B1848)</f>
        <v>1</v>
      </c>
      <c r="G1848" s="116"/>
    </row>
    <row r="1849" spans="1:7" x14ac:dyDescent="0.2">
      <c r="A1849" s="116">
        <f>IF(ISNUMBER(Tabela2[[#This Row],[CT-e/NFS]])=TRUE,(IF(B1849&gt;30000,4,IF(B1849&lt;1000,"ND",0))),"-")</f>
        <v>0</v>
      </c>
      <c r="B1849" s="116">
        <v>21307</v>
      </c>
      <c r="C1849" s="117">
        <v>45403</v>
      </c>
      <c r="D1849" s="116">
        <v>176.87</v>
      </c>
      <c r="E1849" s="117">
        <v>45412</v>
      </c>
      <c r="F1849" s="116">
        <f>COUNTIFS($A$3:A10106,A1849,$B$3:B10106,B1849)</f>
        <v>1</v>
      </c>
      <c r="G1849" s="116"/>
    </row>
    <row r="1850" spans="1:7" x14ac:dyDescent="0.2">
      <c r="A1850" s="116">
        <f>IF(ISNUMBER(Tabela2[[#This Row],[CT-e/NFS]])=TRUE,(IF(B1850&gt;30000,4,IF(B1850&lt;1000,"ND",0))),"-")</f>
        <v>0</v>
      </c>
      <c r="B1850" s="116">
        <v>21308</v>
      </c>
      <c r="C1850" s="117">
        <v>45403</v>
      </c>
      <c r="D1850" s="116">
        <v>292.86</v>
      </c>
      <c r="E1850" s="117">
        <v>45412</v>
      </c>
      <c r="F1850" s="116">
        <f>COUNTIFS($A$3:A10107,A1850,$B$3:B10107,B1850)</f>
        <v>1</v>
      </c>
      <c r="G1850" s="116"/>
    </row>
    <row r="1851" spans="1:7" x14ac:dyDescent="0.2">
      <c r="A1851" s="116">
        <f>IF(ISNUMBER(Tabela2[[#This Row],[CT-e/NFS]])=TRUE,(IF(B1851&gt;30000,4,IF(B1851&lt;1000,"ND",0))),"-")</f>
        <v>0</v>
      </c>
      <c r="B1851" s="116">
        <v>21310</v>
      </c>
      <c r="C1851" s="117">
        <v>45403</v>
      </c>
      <c r="D1851" s="116">
        <v>244.92</v>
      </c>
      <c r="E1851" s="117">
        <v>45412</v>
      </c>
      <c r="F1851" s="116">
        <f>COUNTIFS($A$3:A10108,A1851,$B$3:B10108,B1851)</f>
        <v>1</v>
      </c>
      <c r="G1851" s="116"/>
    </row>
    <row r="1852" spans="1:7" x14ac:dyDescent="0.2">
      <c r="A1852" s="116">
        <f>IF(ISNUMBER(Tabela2[[#This Row],[CT-e/NFS]])=TRUE,(IF(B1852&gt;30000,4,IF(B1852&lt;1000,"ND",0))),"-")</f>
        <v>0</v>
      </c>
      <c r="B1852" s="116">
        <v>21311</v>
      </c>
      <c r="C1852" s="117">
        <v>45403</v>
      </c>
      <c r="D1852" s="116">
        <v>76.47</v>
      </c>
      <c r="E1852" s="117">
        <v>45412</v>
      </c>
      <c r="F1852" s="116">
        <f>COUNTIFS($A$3:A10109,A1852,$B$3:B10109,B1852)</f>
        <v>1</v>
      </c>
      <c r="G1852" s="116"/>
    </row>
    <row r="1853" spans="1:7" x14ac:dyDescent="0.2">
      <c r="A1853" s="116">
        <f>IF(ISNUMBER(Tabela2[[#This Row],[CT-e/NFS]])=TRUE,(IF(B1853&gt;30000,4,IF(B1853&lt;1000,"ND",0))),"-")</f>
        <v>0</v>
      </c>
      <c r="B1853" s="116">
        <v>21309</v>
      </c>
      <c r="C1853" s="117">
        <v>45403</v>
      </c>
      <c r="D1853" s="116">
        <v>338.2</v>
      </c>
      <c r="E1853" s="117">
        <v>45412</v>
      </c>
      <c r="F1853" s="116">
        <f>COUNTIFS($A$3:A10110,A1853,$B$3:B10110,B1853)</f>
        <v>1</v>
      </c>
      <c r="G1853" s="116"/>
    </row>
    <row r="1854" spans="1:7" x14ac:dyDescent="0.2">
      <c r="A1854" s="116">
        <f>IF(ISNUMBER(Tabela2[[#This Row],[CT-e/NFS]])=TRUE,(IF(B1854&gt;30000,4,IF(B1854&lt;1000,"ND",0))),"-")</f>
        <v>4</v>
      </c>
      <c r="B1854" s="116">
        <v>46637</v>
      </c>
      <c r="C1854" s="117">
        <v>45403</v>
      </c>
      <c r="D1854" s="116">
        <v>61.55</v>
      </c>
      <c r="E1854" s="117">
        <v>45412</v>
      </c>
      <c r="F1854" s="116">
        <f>COUNTIFS($A$3:A10111,A1854,$B$3:B10111,B1854)</f>
        <v>1</v>
      </c>
      <c r="G1854" s="116"/>
    </row>
    <row r="1855" spans="1:7" x14ac:dyDescent="0.2">
      <c r="A1855" s="116">
        <f>IF(ISNUMBER(Tabela2[[#This Row],[CT-e/NFS]])=TRUE,(IF(B1855&gt;30000,4,IF(B1855&lt;1000,"ND",0))),"-")</f>
        <v>4</v>
      </c>
      <c r="B1855" s="116">
        <v>46642</v>
      </c>
      <c r="C1855" s="117">
        <v>45403</v>
      </c>
      <c r="D1855" s="116">
        <v>249.77</v>
      </c>
      <c r="E1855" s="117">
        <v>45412</v>
      </c>
      <c r="F1855" s="116">
        <f>COUNTIFS($A$3:A10112,A1855,$B$3:B10112,B1855)</f>
        <v>1</v>
      </c>
      <c r="G1855" s="116"/>
    </row>
    <row r="1856" spans="1:7" x14ac:dyDescent="0.2">
      <c r="A1856" s="116">
        <f>IF(ISNUMBER(Tabela2[[#This Row],[CT-e/NFS]])=TRUE,(IF(B1856&gt;30000,4,IF(B1856&lt;1000,"ND",0))),"-")</f>
        <v>4</v>
      </c>
      <c r="B1856" s="116">
        <v>46639</v>
      </c>
      <c r="C1856" s="117">
        <v>45403</v>
      </c>
      <c r="D1856" s="116">
        <v>454.49</v>
      </c>
      <c r="E1856" s="117">
        <v>45412</v>
      </c>
      <c r="F1856" s="116">
        <f>COUNTIFS($A$3:A10113,A1856,$B$3:B10113,B1856)</f>
        <v>1</v>
      </c>
      <c r="G1856" s="116"/>
    </row>
    <row r="1857" spans="1:7" x14ac:dyDescent="0.2">
      <c r="A1857" s="116">
        <f>IF(ISNUMBER(Tabela2[[#This Row],[CT-e/NFS]])=TRUE,(IF(B1857&gt;30000,4,IF(B1857&lt;1000,"ND",0))),"-")</f>
        <v>4</v>
      </c>
      <c r="B1857" s="116">
        <v>46641</v>
      </c>
      <c r="C1857" s="117">
        <v>45403</v>
      </c>
      <c r="D1857" s="116">
        <v>230.75</v>
      </c>
      <c r="E1857" s="117">
        <v>45412</v>
      </c>
      <c r="F1857" s="116">
        <f>COUNTIFS($A$3:A10114,A1857,$B$3:B10114,B1857)</f>
        <v>1</v>
      </c>
      <c r="G1857" s="116"/>
    </row>
    <row r="1858" spans="1:7" x14ac:dyDescent="0.2">
      <c r="A1858" s="116">
        <f>IF(ISNUMBER(Tabela2[[#This Row],[CT-e/NFS]])=TRUE,(IF(B1858&gt;30000,4,IF(B1858&lt;1000,"ND",0))),"-")</f>
        <v>4</v>
      </c>
      <c r="B1858" s="116">
        <v>46640</v>
      </c>
      <c r="C1858" s="117">
        <v>45403</v>
      </c>
      <c r="D1858" s="116">
        <v>202.72</v>
      </c>
      <c r="E1858" s="117">
        <v>45412</v>
      </c>
      <c r="F1858" s="116">
        <f>COUNTIFS($A$3:A10115,A1858,$B$3:B10115,B1858)</f>
        <v>1</v>
      </c>
      <c r="G1858" s="116"/>
    </row>
    <row r="1859" spans="1:7" x14ac:dyDescent="0.2">
      <c r="A1859" s="116">
        <f>IF(ISNUMBER(Tabela2[[#This Row],[CT-e/NFS]])=TRUE,(IF(B1859&gt;30000,4,IF(B1859&lt;1000,"ND",0))),"-")</f>
        <v>4</v>
      </c>
      <c r="B1859" s="116">
        <v>46646</v>
      </c>
      <c r="C1859" s="117">
        <v>45403</v>
      </c>
      <c r="D1859" s="116">
        <v>287.48</v>
      </c>
      <c r="E1859" s="117">
        <v>45412</v>
      </c>
      <c r="F1859" s="116">
        <f>COUNTIFS($A$3:A10116,A1859,$B$3:B10116,B1859)</f>
        <v>1</v>
      </c>
      <c r="G1859" s="116"/>
    </row>
    <row r="1860" spans="1:7" x14ac:dyDescent="0.2">
      <c r="A1860" s="116">
        <f>IF(ISNUMBER(Tabela2[[#This Row],[CT-e/NFS]])=TRUE,(IF(B1860&gt;30000,4,IF(B1860&lt;1000,"ND",0))),"-")</f>
        <v>4</v>
      </c>
      <c r="B1860" s="116">
        <v>46654</v>
      </c>
      <c r="C1860" s="117">
        <v>45403</v>
      </c>
      <c r="D1860" s="116">
        <v>1003.68</v>
      </c>
      <c r="E1860" s="117">
        <v>45412</v>
      </c>
      <c r="F1860" s="116">
        <f>COUNTIFS($A$3:A10117,A1860,$B$3:B10117,B1860)</f>
        <v>1</v>
      </c>
      <c r="G1860" s="116"/>
    </row>
    <row r="1861" spans="1:7" x14ac:dyDescent="0.2">
      <c r="A1861" s="116">
        <f>IF(ISNUMBER(Tabela2[[#This Row],[CT-e/NFS]])=TRUE,(IF(B1861&gt;30000,4,IF(B1861&lt;1000,"ND",0))),"-")</f>
        <v>4</v>
      </c>
      <c r="B1861" s="116">
        <v>46655</v>
      </c>
      <c r="C1861" s="117">
        <v>45403</v>
      </c>
      <c r="D1861" s="116">
        <v>123.94</v>
      </c>
      <c r="E1861" s="117">
        <v>45412</v>
      </c>
      <c r="F1861" s="116">
        <f>COUNTIFS($A$3:A10118,A1861,$B$3:B10118,B1861)</f>
        <v>1</v>
      </c>
      <c r="G1861" s="116"/>
    </row>
    <row r="1862" spans="1:7" x14ac:dyDescent="0.2">
      <c r="A1862" s="116">
        <f>IF(ISNUMBER(Tabela2[[#This Row],[CT-e/NFS]])=TRUE,(IF(B1862&gt;30000,4,IF(B1862&lt;1000,"ND",0))),"-")</f>
        <v>4</v>
      </c>
      <c r="B1862" s="116">
        <v>46653</v>
      </c>
      <c r="C1862" s="117">
        <v>45403</v>
      </c>
      <c r="D1862" s="116">
        <v>609.98</v>
      </c>
      <c r="E1862" s="117">
        <v>45412</v>
      </c>
      <c r="F1862" s="116">
        <f>COUNTIFS($A$3:A10119,A1862,$B$3:B10119,B1862)</f>
        <v>1</v>
      </c>
      <c r="G1862" s="116"/>
    </row>
    <row r="1863" spans="1:7" x14ac:dyDescent="0.2">
      <c r="A1863" s="116">
        <f>IF(ISNUMBER(Tabela2[[#This Row],[CT-e/NFS]])=TRUE,(IF(B1863&gt;30000,4,IF(B1863&lt;1000,"ND",0))),"-")</f>
        <v>4</v>
      </c>
      <c r="B1863" s="116">
        <v>46647</v>
      </c>
      <c r="C1863" s="117">
        <v>45403</v>
      </c>
      <c r="D1863" s="116">
        <v>122.92</v>
      </c>
      <c r="E1863" s="117">
        <v>45412</v>
      </c>
      <c r="F1863" s="116">
        <f>COUNTIFS($A$3:A10120,A1863,$B$3:B10120,B1863)</f>
        <v>1</v>
      </c>
      <c r="G1863" s="116"/>
    </row>
    <row r="1864" spans="1:7" x14ac:dyDescent="0.2">
      <c r="A1864" s="116">
        <f>IF(ISNUMBER(Tabela2[[#This Row],[CT-e/NFS]])=TRUE,(IF(B1864&gt;30000,4,IF(B1864&lt;1000,"ND",0))),"-")</f>
        <v>4</v>
      </c>
      <c r="B1864" s="116">
        <v>46657</v>
      </c>
      <c r="C1864" s="117">
        <v>45403</v>
      </c>
      <c r="D1864" s="116">
        <v>124.18</v>
      </c>
      <c r="E1864" s="117">
        <v>45412</v>
      </c>
      <c r="F1864" s="116">
        <f>COUNTIFS($A$3:A10121,A1864,$B$3:B10121,B1864)</f>
        <v>1</v>
      </c>
      <c r="G1864" s="116"/>
    </row>
    <row r="1865" spans="1:7" x14ac:dyDescent="0.2">
      <c r="A1865" s="116">
        <f>IF(ISNUMBER(Tabela2[[#This Row],[CT-e/NFS]])=TRUE,(IF(B1865&gt;30000,4,IF(B1865&lt;1000,"ND",0))),"-")</f>
        <v>4</v>
      </c>
      <c r="B1865" s="116">
        <v>46648</v>
      </c>
      <c r="C1865" s="117">
        <v>45403</v>
      </c>
      <c r="D1865" s="116">
        <v>124.3</v>
      </c>
      <c r="E1865" s="117">
        <v>45412</v>
      </c>
      <c r="F1865" s="116">
        <f>COUNTIFS($A$3:A10122,A1865,$B$3:B10122,B1865)</f>
        <v>1</v>
      </c>
      <c r="G1865" s="116"/>
    </row>
    <row r="1866" spans="1:7" x14ac:dyDescent="0.2">
      <c r="A1866" s="116">
        <f>IF(ISNUMBER(Tabela2[[#This Row],[CT-e/NFS]])=TRUE,(IF(B1866&gt;30000,4,IF(B1866&lt;1000,"ND",0))),"-")</f>
        <v>4</v>
      </c>
      <c r="B1866" s="116">
        <v>46644</v>
      </c>
      <c r="C1866" s="117">
        <v>45403</v>
      </c>
      <c r="D1866" s="116">
        <v>532.16999999999996</v>
      </c>
      <c r="E1866" s="117">
        <v>45412</v>
      </c>
      <c r="F1866" s="116">
        <f>COUNTIFS($A$3:A10123,A1866,$B$3:B10123,B1866)</f>
        <v>1</v>
      </c>
      <c r="G1866" s="116"/>
    </row>
    <row r="1867" spans="1:7" x14ac:dyDescent="0.2">
      <c r="A1867" s="116">
        <f>IF(ISNUMBER(Tabela2[[#This Row],[CT-e/NFS]])=TRUE,(IF(B1867&gt;30000,4,IF(B1867&lt;1000,"ND",0))),"-")</f>
        <v>4</v>
      </c>
      <c r="B1867" s="116">
        <v>46656</v>
      </c>
      <c r="C1867" s="117">
        <v>45403</v>
      </c>
      <c r="D1867" s="116">
        <v>157.25</v>
      </c>
      <c r="E1867" s="117">
        <v>45412</v>
      </c>
      <c r="F1867" s="116">
        <f>COUNTIFS($A$3:A10124,A1867,$B$3:B10124,B1867)</f>
        <v>1</v>
      </c>
      <c r="G1867" s="116"/>
    </row>
    <row r="1868" spans="1:7" x14ac:dyDescent="0.2">
      <c r="A1868" s="116">
        <f>IF(ISNUMBER(Tabela2[[#This Row],[CT-e/NFS]])=TRUE,(IF(B1868&gt;30000,4,IF(B1868&lt;1000,"ND",0))),"-")</f>
        <v>4</v>
      </c>
      <c r="B1868" s="116">
        <v>46643</v>
      </c>
      <c r="C1868" s="117">
        <v>45403</v>
      </c>
      <c r="D1868" s="116">
        <v>838.76</v>
      </c>
      <c r="E1868" s="117">
        <v>45412</v>
      </c>
      <c r="F1868" s="116">
        <f>COUNTIFS($A$3:A10125,A1868,$B$3:B10125,B1868)</f>
        <v>1</v>
      </c>
      <c r="G1868" s="116"/>
    </row>
    <row r="1869" spans="1:7" x14ac:dyDescent="0.2">
      <c r="A1869" s="116">
        <f>IF(ISNUMBER(Tabela2[[#This Row],[CT-e/NFS]])=TRUE,(IF(B1869&gt;30000,4,IF(B1869&lt;1000,"ND",0))),"-")</f>
        <v>4</v>
      </c>
      <c r="B1869" s="116">
        <v>46645</v>
      </c>
      <c r="C1869" s="117">
        <v>45403</v>
      </c>
      <c r="D1869" s="116">
        <v>126.53</v>
      </c>
      <c r="E1869" s="117">
        <v>45412</v>
      </c>
      <c r="F1869" s="116">
        <f>COUNTIFS($A$3:A10126,A1869,$B$3:B10126,B1869)</f>
        <v>1</v>
      </c>
      <c r="G1869" s="116"/>
    </row>
    <row r="1870" spans="1:7" x14ac:dyDescent="0.2">
      <c r="A1870" s="116">
        <f>IF(ISNUMBER(Tabela2[[#This Row],[CT-e/NFS]])=TRUE,(IF(B1870&gt;30000,4,IF(B1870&lt;1000,"ND",0))),"-")</f>
        <v>4</v>
      </c>
      <c r="B1870" s="116">
        <v>46652</v>
      </c>
      <c r="C1870" s="117">
        <v>45403</v>
      </c>
      <c r="D1870" s="116">
        <v>898.66</v>
      </c>
      <c r="E1870" s="117">
        <v>45412</v>
      </c>
      <c r="F1870" s="116">
        <f>COUNTIFS($A$3:A10127,A1870,$B$3:B10127,B1870)</f>
        <v>1</v>
      </c>
      <c r="G1870" s="116"/>
    </row>
    <row r="1871" spans="1:7" x14ac:dyDescent="0.2">
      <c r="A1871" s="116">
        <f>IF(ISNUMBER(Tabela2[[#This Row],[CT-e/NFS]])=TRUE,(IF(B1871&gt;30000,4,IF(B1871&lt;1000,"ND",0))),"-")</f>
        <v>0</v>
      </c>
      <c r="B1871" s="116">
        <v>21316</v>
      </c>
      <c r="C1871" s="117">
        <v>45403</v>
      </c>
      <c r="D1871" s="116">
        <v>146.43</v>
      </c>
      <c r="E1871" s="117">
        <v>45412</v>
      </c>
      <c r="F1871" s="116">
        <f>COUNTIFS($A$3:A10128,A1871,$B$3:B10128,B1871)</f>
        <v>1</v>
      </c>
      <c r="G1871" s="116"/>
    </row>
    <row r="1872" spans="1:7" x14ac:dyDescent="0.2">
      <c r="A1872" s="116">
        <f>IF(ISNUMBER(Tabela2[[#This Row],[CT-e/NFS]])=TRUE,(IF(B1872&gt;30000,4,IF(B1872&lt;1000,"ND",0))),"-")</f>
        <v>0</v>
      </c>
      <c r="B1872" s="116">
        <v>21318</v>
      </c>
      <c r="C1872" s="117">
        <v>45403</v>
      </c>
      <c r="D1872" s="116">
        <v>76.34</v>
      </c>
      <c r="E1872" s="117">
        <v>45412</v>
      </c>
      <c r="F1872" s="116">
        <f>COUNTIFS($A$3:A10129,A1872,$B$3:B10129,B1872)</f>
        <v>1</v>
      </c>
      <c r="G1872" s="116"/>
    </row>
    <row r="1873" spans="1:7" x14ac:dyDescent="0.2">
      <c r="A1873" s="116">
        <f>IF(ISNUMBER(Tabela2[[#This Row],[CT-e/NFS]])=TRUE,(IF(B1873&gt;30000,4,IF(B1873&lt;1000,"ND",0))),"-")</f>
        <v>0</v>
      </c>
      <c r="B1873" s="116">
        <v>21319</v>
      </c>
      <c r="C1873" s="117">
        <v>45403</v>
      </c>
      <c r="D1873" s="116">
        <v>76.44</v>
      </c>
      <c r="E1873" s="117">
        <v>45412</v>
      </c>
      <c r="F1873" s="116">
        <f>COUNTIFS($A$3:A10130,A1873,$B$3:B10130,B1873)</f>
        <v>1</v>
      </c>
      <c r="G1873" s="116"/>
    </row>
    <row r="1874" spans="1:7" x14ac:dyDescent="0.2">
      <c r="A1874" s="116">
        <f>IF(ISNUMBER(Tabela2[[#This Row],[CT-e/NFS]])=TRUE,(IF(B1874&gt;30000,4,IF(B1874&lt;1000,"ND",0))),"-")</f>
        <v>0</v>
      </c>
      <c r="B1874" s="116">
        <v>21317</v>
      </c>
      <c r="C1874" s="117">
        <v>45403</v>
      </c>
      <c r="D1874" s="116">
        <v>77.09</v>
      </c>
      <c r="E1874" s="117">
        <v>45412</v>
      </c>
      <c r="F1874" s="116">
        <f>COUNTIFS($A$3:A10131,A1874,$B$3:B10131,B1874)</f>
        <v>1</v>
      </c>
      <c r="G1874" s="116"/>
    </row>
    <row r="1875" spans="1:7" x14ac:dyDescent="0.2">
      <c r="A1875" s="116">
        <f>IF(ISNUMBER(Tabela2[[#This Row],[CT-e/NFS]])=TRUE,(IF(B1875&gt;30000,4,IF(B1875&lt;1000,"ND",0))),"-")</f>
        <v>0</v>
      </c>
      <c r="B1875" s="116">
        <v>21320</v>
      </c>
      <c r="C1875" s="117">
        <v>45403</v>
      </c>
      <c r="D1875" s="116">
        <v>76.28</v>
      </c>
      <c r="E1875" s="117">
        <v>45412</v>
      </c>
      <c r="F1875" s="116">
        <f>COUNTIFS($A$3:A10132,A1875,$B$3:B10132,B1875)</f>
        <v>1</v>
      </c>
      <c r="G1875" s="116"/>
    </row>
    <row r="1876" spans="1:7" x14ac:dyDescent="0.2">
      <c r="A1876" s="116">
        <f>IF(ISNUMBER(Tabela2[[#This Row],[CT-e/NFS]])=TRUE,(IF(B1876&gt;30000,4,IF(B1876&lt;1000,"ND",0))),"-")</f>
        <v>4</v>
      </c>
      <c r="B1876" s="116">
        <v>46659</v>
      </c>
      <c r="C1876" s="117">
        <v>45403</v>
      </c>
      <c r="D1876" s="116">
        <v>1171.1400000000001</v>
      </c>
      <c r="E1876" s="117">
        <v>45412</v>
      </c>
      <c r="F1876" s="116">
        <f>COUNTIFS($A$3:A10133,A1876,$B$3:B10133,B1876)</f>
        <v>1</v>
      </c>
      <c r="G1876" s="116"/>
    </row>
    <row r="1877" spans="1:7" x14ac:dyDescent="0.2">
      <c r="A1877" s="116">
        <f>IF(ISNUMBER(Tabela2[[#This Row],[CT-e/NFS]])=TRUE,(IF(B1877&gt;30000,4,IF(B1877&lt;1000,"ND",0))),"-")</f>
        <v>4</v>
      </c>
      <c r="B1877" s="116">
        <v>46663</v>
      </c>
      <c r="C1877" s="117">
        <v>45403</v>
      </c>
      <c r="D1877" s="116">
        <v>609.98</v>
      </c>
      <c r="E1877" s="117">
        <v>45412</v>
      </c>
      <c r="F1877" s="116">
        <f>COUNTIFS($A$3:A10134,A1877,$B$3:B10134,B1877)</f>
        <v>1</v>
      </c>
      <c r="G1877" s="116"/>
    </row>
    <row r="1878" spans="1:7" x14ac:dyDescent="0.2">
      <c r="A1878" s="116">
        <f>IF(ISNUMBER(Tabela2[[#This Row],[CT-e/NFS]])=TRUE,(IF(B1878&gt;30000,4,IF(B1878&lt;1000,"ND",0))),"-")</f>
        <v>4</v>
      </c>
      <c r="B1878" s="116">
        <v>46669</v>
      </c>
      <c r="C1878" s="117">
        <v>45403</v>
      </c>
      <c r="D1878" s="116">
        <v>125.01</v>
      </c>
      <c r="E1878" s="117">
        <v>45412</v>
      </c>
      <c r="F1878" s="116">
        <f>COUNTIFS($A$3:A10135,A1878,$B$3:B10135,B1878)</f>
        <v>1</v>
      </c>
      <c r="G1878" s="116"/>
    </row>
    <row r="1879" spans="1:7" x14ac:dyDescent="0.2">
      <c r="A1879" s="116">
        <f>IF(ISNUMBER(Tabela2[[#This Row],[CT-e/NFS]])=TRUE,(IF(B1879&gt;30000,4,IF(B1879&lt;1000,"ND",0))),"-")</f>
        <v>4</v>
      </c>
      <c r="B1879" s="116">
        <v>46666</v>
      </c>
      <c r="C1879" s="117">
        <v>45403</v>
      </c>
      <c r="D1879" s="116">
        <v>87.02</v>
      </c>
      <c r="E1879" s="117">
        <v>45412</v>
      </c>
      <c r="F1879" s="116">
        <f>COUNTIFS($A$3:A10136,A1879,$B$3:B10136,B1879)</f>
        <v>1</v>
      </c>
      <c r="G1879" s="116"/>
    </row>
    <row r="1880" spans="1:7" x14ac:dyDescent="0.2">
      <c r="A1880" s="116">
        <f>IF(ISNUMBER(Tabela2[[#This Row],[CT-e/NFS]])=TRUE,(IF(B1880&gt;30000,4,IF(B1880&lt;1000,"ND",0))),"-")</f>
        <v>4</v>
      </c>
      <c r="B1880" s="116">
        <v>46667</v>
      </c>
      <c r="C1880" s="117">
        <v>45403</v>
      </c>
      <c r="D1880" s="116">
        <v>125.36</v>
      </c>
      <c r="E1880" s="117">
        <v>45412</v>
      </c>
      <c r="F1880" s="116">
        <f>COUNTIFS($A$3:A10137,A1880,$B$3:B10137,B1880)</f>
        <v>1</v>
      </c>
      <c r="G1880" s="116"/>
    </row>
    <row r="1881" spans="1:7" x14ac:dyDescent="0.2">
      <c r="A1881" s="116">
        <f>IF(ISNUMBER(Tabela2[[#This Row],[CT-e/NFS]])=TRUE,(IF(B1881&gt;30000,4,IF(B1881&lt;1000,"ND",0))),"-")</f>
        <v>4</v>
      </c>
      <c r="B1881" s="116">
        <v>46649</v>
      </c>
      <c r="C1881" s="117">
        <v>45403</v>
      </c>
      <c r="D1881" s="116">
        <v>123.13</v>
      </c>
      <c r="E1881" s="117">
        <v>45412</v>
      </c>
      <c r="F1881" s="116">
        <f>COUNTIFS($A$3:A10138,A1881,$B$3:B10138,B1881)</f>
        <v>1</v>
      </c>
      <c r="G1881" s="116"/>
    </row>
    <row r="1882" spans="1:7" x14ac:dyDescent="0.2">
      <c r="A1882" s="116">
        <f>IF(ISNUMBER(Tabela2[[#This Row],[CT-e/NFS]])=TRUE,(IF(B1882&gt;30000,4,IF(B1882&lt;1000,"ND",0))),"-")</f>
        <v>4</v>
      </c>
      <c r="B1882" s="116">
        <v>46660</v>
      </c>
      <c r="C1882" s="117">
        <v>45403</v>
      </c>
      <c r="D1882" s="116">
        <v>124.28</v>
      </c>
      <c r="E1882" s="117">
        <v>45412</v>
      </c>
      <c r="F1882" s="116">
        <f>COUNTIFS($A$3:A10139,A1882,$B$3:B10139,B1882)</f>
        <v>1</v>
      </c>
      <c r="G1882" s="116"/>
    </row>
    <row r="1883" spans="1:7" x14ac:dyDescent="0.2">
      <c r="A1883" s="116">
        <f>IF(ISNUMBER(Tabela2[[#This Row],[CT-e/NFS]])=TRUE,(IF(B1883&gt;30000,4,IF(B1883&lt;1000,"ND",0))),"-")</f>
        <v>4</v>
      </c>
      <c r="B1883" s="116">
        <v>46671</v>
      </c>
      <c r="C1883" s="117">
        <v>45403</v>
      </c>
      <c r="D1883" s="116">
        <v>702.74</v>
      </c>
      <c r="E1883" s="117">
        <v>45412</v>
      </c>
      <c r="F1883" s="116">
        <f>COUNTIFS($A$3:A10140,A1883,$B$3:B10140,B1883)</f>
        <v>1</v>
      </c>
      <c r="G1883" s="116"/>
    </row>
    <row r="1884" spans="1:7" x14ac:dyDescent="0.2">
      <c r="A1884" s="116">
        <f>IF(ISNUMBER(Tabela2[[#This Row],[CT-e/NFS]])=TRUE,(IF(B1884&gt;30000,4,IF(B1884&lt;1000,"ND",0))),"-")</f>
        <v>4</v>
      </c>
      <c r="B1884" s="116">
        <v>46668</v>
      </c>
      <c r="C1884" s="117">
        <v>45403</v>
      </c>
      <c r="D1884" s="116">
        <v>122.89</v>
      </c>
      <c r="E1884" s="117">
        <v>45412</v>
      </c>
      <c r="F1884" s="116">
        <f>COUNTIFS($A$3:A10141,A1884,$B$3:B10141,B1884)</f>
        <v>1</v>
      </c>
      <c r="G1884" s="116"/>
    </row>
    <row r="1885" spans="1:7" x14ac:dyDescent="0.2">
      <c r="A1885" s="116">
        <f>IF(ISNUMBER(Tabela2[[#This Row],[CT-e/NFS]])=TRUE,(IF(B1885&gt;30000,4,IF(B1885&lt;1000,"ND",0))),"-")</f>
        <v>4</v>
      </c>
      <c r="B1885" s="116">
        <v>46651</v>
      </c>
      <c r="C1885" s="117">
        <v>45403</v>
      </c>
      <c r="D1885" s="116">
        <v>124.22</v>
      </c>
      <c r="E1885" s="117">
        <v>45412</v>
      </c>
      <c r="F1885" s="116">
        <f>COUNTIFS($A$3:A10142,A1885,$B$3:B10142,B1885)</f>
        <v>1</v>
      </c>
      <c r="G1885" s="116"/>
    </row>
    <row r="1886" spans="1:7" x14ac:dyDescent="0.2">
      <c r="A1886" s="116">
        <f>IF(ISNUMBER(Tabela2[[#This Row],[CT-e/NFS]])=TRUE,(IF(B1886&gt;30000,4,IF(B1886&lt;1000,"ND",0))),"-")</f>
        <v>4</v>
      </c>
      <c r="B1886" s="116">
        <v>46650</v>
      </c>
      <c r="C1886" s="117">
        <v>45403</v>
      </c>
      <c r="D1886" s="116">
        <v>125.16</v>
      </c>
      <c r="E1886" s="117">
        <v>45412</v>
      </c>
      <c r="F1886" s="116">
        <f>COUNTIFS($A$3:A10143,A1886,$B$3:B10143,B1886)</f>
        <v>1</v>
      </c>
      <c r="G1886" s="116"/>
    </row>
    <row r="1887" spans="1:7" x14ac:dyDescent="0.2">
      <c r="A1887" s="116">
        <f>IF(ISNUMBER(Tabela2[[#This Row],[CT-e/NFS]])=TRUE,(IF(B1887&gt;30000,4,IF(B1887&lt;1000,"ND",0))),"-")</f>
        <v>4</v>
      </c>
      <c r="B1887" s="116">
        <v>46672</v>
      </c>
      <c r="C1887" s="117">
        <v>45403</v>
      </c>
      <c r="D1887" s="116">
        <v>822.99</v>
      </c>
      <c r="E1887" s="117">
        <v>45412</v>
      </c>
      <c r="F1887" s="116">
        <f>COUNTIFS($A$3:A10144,A1887,$B$3:B10144,B1887)</f>
        <v>1</v>
      </c>
      <c r="G1887" s="116"/>
    </row>
    <row r="1888" spans="1:7" x14ac:dyDescent="0.2">
      <c r="A1888" s="116">
        <f>IF(ISNUMBER(Tabela2[[#This Row],[CT-e/NFS]])=TRUE,(IF(B1888&gt;30000,4,IF(B1888&lt;1000,"ND",0))),"-")</f>
        <v>4</v>
      </c>
      <c r="B1888" s="116">
        <v>46673</v>
      </c>
      <c r="C1888" s="117">
        <v>45403</v>
      </c>
      <c r="D1888" s="116">
        <v>935.31</v>
      </c>
      <c r="E1888" s="117">
        <v>45412</v>
      </c>
      <c r="F1888" s="116">
        <f>COUNTIFS($A$3:A10145,A1888,$B$3:B10145,B1888)</f>
        <v>1</v>
      </c>
      <c r="G1888" s="116"/>
    </row>
    <row r="1889" spans="1:7" x14ac:dyDescent="0.2">
      <c r="A1889" s="116">
        <f>IF(ISNUMBER(Tabela2[[#This Row],[CT-e/NFS]])=TRUE,(IF(B1889&gt;30000,4,IF(B1889&lt;1000,"ND",0))),"-")</f>
        <v>4</v>
      </c>
      <c r="B1889" s="116">
        <v>46676</v>
      </c>
      <c r="C1889" s="117">
        <v>45403</v>
      </c>
      <c r="D1889" s="116">
        <v>110.76</v>
      </c>
      <c r="E1889" s="117">
        <v>45412</v>
      </c>
      <c r="F1889" s="116">
        <f>COUNTIFS($A$3:A10146,A1889,$B$3:B10146,B1889)</f>
        <v>1</v>
      </c>
      <c r="G1889" s="116"/>
    </row>
    <row r="1890" spans="1:7" x14ac:dyDescent="0.2">
      <c r="A1890" s="116">
        <f>IF(ISNUMBER(Tabela2[[#This Row],[CT-e/NFS]])=TRUE,(IF(B1890&gt;30000,4,IF(B1890&lt;1000,"ND",0))),"-")</f>
        <v>4</v>
      </c>
      <c r="B1890" s="116">
        <v>46675</v>
      </c>
      <c r="C1890" s="117">
        <v>45403</v>
      </c>
      <c r="D1890" s="116">
        <v>61.36</v>
      </c>
      <c r="E1890" s="117">
        <v>45412</v>
      </c>
      <c r="F1890" s="116">
        <f>COUNTIFS($A$3:A10147,A1890,$B$3:B10147,B1890)</f>
        <v>1</v>
      </c>
      <c r="G1890" s="116"/>
    </row>
    <row r="1891" spans="1:7" x14ac:dyDescent="0.2">
      <c r="A1891" s="116">
        <f>IF(ISNUMBER(Tabela2[[#This Row],[CT-e/NFS]])=TRUE,(IF(B1891&gt;30000,4,IF(B1891&lt;1000,"ND",0))),"-")</f>
        <v>4</v>
      </c>
      <c r="B1891" s="116">
        <v>46688</v>
      </c>
      <c r="C1891" s="117">
        <v>45403</v>
      </c>
      <c r="D1891" s="116">
        <v>75.38</v>
      </c>
      <c r="E1891" s="117">
        <v>45412</v>
      </c>
      <c r="F1891" s="116">
        <f>COUNTIFS($A$3:A10148,A1891,$B$3:B10148,B1891)</f>
        <v>1</v>
      </c>
      <c r="G1891" s="116"/>
    </row>
    <row r="1892" spans="1:7" x14ac:dyDescent="0.2">
      <c r="A1892" s="116">
        <f>IF(ISNUMBER(Tabela2[[#This Row],[CT-e/NFS]])=TRUE,(IF(B1892&gt;30000,4,IF(B1892&lt;1000,"ND",0))),"-")</f>
        <v>0</v>
      </c>
      <c r="B1892" s="116">
        <v>21281</v>
      </c>
      <c r="C1892" s="117">
        <v>45403</v>
      </c>
      <c r="D1892" s="116">
        <v>338.2</v>
      </c>
      <c r="E1892" s="117">
        <v>45412</v>
      </c>
      <c r="F1892" s="116">
        <f>COUNTIFS($A$3:A10149,A1892,$B$3:B10149,B1892)</f>
        <v>1</v>
      </c>
      <c r="G1892" s="116"/>
    </row>
    <row r="1893" spans="1:7" x14ac:dyDescent="0.2">
      <c r="A1893" s="116">
        <f>IF(ISNUMBER(Tabela2[[#This Row],[CT-e/NFS]])=TRUE,(IF(B1893&gt;30000,4,IF(B1893&lt;1000,"ND",0))),"-")</f>
        <v>4</v>
      </c>
      <c r="B1893" s="116">
        <v>46662</v>
      </c>
      <c r="C1893" s="117">
        <v>45403</v>
      </c>
      <c r="D1893" s="116">
        <v>756.8</v>
      </c>
      <c r="E1893" s="117">
        <v>45412</v>
      </c>
      <c r="F1893" s="116">
        <f>COUNTIFS($A$3:A10150,A1893,$B$3:B10150,B1893)</f>
        <v>1</v>
      </c>
      <c r="G1893" s="116"/>
    </row>
    <row r="1894" spans="1:7" x14ac:dyDescent="0.2">
      <c r="A1894" s="116">
        <f>IF(ISNUMBER(Tabela2[[#This Row],[CT-e/NFS]])=TRUE,(IF(B1894&gt;30000,4,IF(B1894&lt;1000,"ND",0))),"-")</f>
        <v>4</v>
      </c>
      <c r="B1894" s="116">
        <v>46674</v>
      </c>
      <c r="C1894" s="117">
        <v>45403</v>
      </c>
      <c r="D1894" s="116">
        <v>419.38</v>
      </c>
      <c r="E1894" s="117">
        <v>45412</v>
      </c>
      <c r="F1894" s="116">
        <f>COUNTIFS($A$3:A10151,A1894,$B$3:B10151,B1894)</f>
        <v>1</v>
      </c>
      <c r="G1894" s="116"/>
    </row>
    <row r="1895" spans="1:7" x14ac:dyDescent="0.2">
      <c r="A1895" s="116">
        <f>IF(ISNUMBER(Tabela2[[#This Row],[CT-e/NFS]])=TRUE,(IF(B1895&gt;30000,4,IF(B1895&lt;1000,"ND",0))),"-")</f>
        <v>4</v>
      </c>
      <c r="B1895" s="116">
        <v>46679</v>
      </c>
      <c r="C1895" s="117">
        <v>45403</v>
      </c>
      <c r="D1895" s="116">
        <v>297.73</v>
      </c>
      <c r="E1895" s="117">
        <v>45412</v>
      </c>
      <c r="F1895" s="116">
        <f>COUNTIFS($A$3:A10152,A1895,$B$3:B10152,B1895)</f>
        <v>1</v>
      </c>
      <c r="G1895" s="116"/>
    </row>
    <row r="1896" spans="1:7" x14ac:dyDescent="0.2">
      <c r="A1896" s="116">
        <f>IF(ISNUMBER(Tabela2[[#This Row],[CT-e/NFS]])=TRUE,(IF(B1896&gt;30000,4,IF(B1896&lt;1000,"ND",0))),"-")</f>
        <v>4</v>
      </c>
      <c r="B1896" s="116">
        <v>46678</v>
      </c>
      <c r="C1896" s="117">
        <v>45403</v>
      </c>
      <c r="D1896" s="116">
        <v>164.86</v>
      </c>
      <c r="E1896" s="117">
        <v>45412</v>
      </c>
      <c r="F1896" s="116">
        <f>COUNTIFS($A$3:A10153,A1896,$B$3:B10153,B1896)</f>
        <v>1</v>
      </c>
      <c r="G1896" s="116"/>
    </row>
    <row r="1897" spans="1:7" x14ac:dyDescent="0.2">
      <c r="A1897" s="116">
        <f>IF(ISNUMBER(Tabela2[[#This Row],[CT-e/NFS]])=TRUE,(IF(B1897&gt;30000,4,IF(B1897&lt;1000,"ND",0))),"-")</f>
        <v>0</v>
      </c>
      <c r="B1897" s="116">
        <v>21299</v>
      </c>
      <c r="C1897" s="117">
        <v>45403</v>
      </c>
      <c r="D1897" s="116">
        <v>69.5</v>
      </c>
      <c r="E1897" s="117">
        <v>45412</v>
      </c>
      <c r="F1897" s="116">
        <f>COUNTIFS($A$3:A10154,A1897,$B$3:B10154,B1897)</f>
        <v>1</v>
      </c>
      <c r="G1897" s="116"/>
    </row>
    <row r="1898" spans="1:7" x14ac:dyDescent="0.2">
      <c r="A1898" s="116">
        <f>IF(ISNUMBER(Tabela2[[#This Row],[CT-e/NFS]])=TRUE,(IF(B1898&gt;30000,4,IF(B1898&lt;1000,"ND",0))),"-")</f>
        <v>0</v>
      </c>
      <c r="B1898" s="116">
        <v>21298</v>
      </c>
      <c r="C1898" s="117">
        <v>45403</v>
      </c>
      <c r="D1898" s="116">
        <v>38.53</v>
      </c>
      <c r="E1898" s="117">
        <v>45412</v>
      </c>
      <c r="F1898" s="116">
        <f>COUNTIFS($A$3:A10155,A1898,$B$3:B10155,B1898)</f>
        <v>1</v>
      </c>
      <c r="G1898" s="116"/>
    </row>
    <row r="1899" spans="1:7" x14ac:dyDescent="0.2">
      <c r="A1899" s="116">
        <f>IF(ISNUMBER(Tabela2[[#This Row],[CT-e/NFS]])=TRUE,(IF(B1899&gt;30000,4,IF(B1899&lt;1000,"ND",0))),"-")</f>
        <v>0</v>
      </c>
      <c r="B1899" s="116">
        <v>21297</v>
      </c>
      <c r="C1899" s="117">
        <v>45403</v>
      </c>
      <c r="D1899" s="116">
        <v>68.959999999999994</v>
      </c>
      <c r="E1899" s="117">
        <v>45412</v>
      </c>
      <c r="F1899" s="116">
        <f>COUNTIFS($A$3:A10156,A1899,$B$3:B10156,B1899)</f>
        <v>1</v>
      </c>
      <c r="G1899" s="116"/>
    </row>
    <row r="1900" spans="1:7" x14ac:dyDescent="0.2">
      <c r="A1900" s="116">
        <f>IF(ISNUMBER(Tabela2[[#This Row],[CT-e/NFS]])=TRUE,(IF(B1900&gt;30000,4,IF(B1900&lt;1000,"ND",0))),"-")</f>
        <v>0</v>
      </c>
      <c r="B1900" s="116">
        <v>21296</v>
      </c>
      <c r="C1900" s="117">
        <v>45403</v>
      </c>
      <c r="D1900" s="116">
        <v>38.26</v>
      </c>
      <c r="E1900" s="117">
        <v>45412</v>
      </c>
      <c r="F1900" s="116">
        <f>COUNTIFS($A$3:A10157,A1900,$B$3:B10157,B1900)</f>
        <v>1</v>
      </c>
      <c r="G1900" s="116"/>
    </row>
    <row r="1901" spans="1:7" x14ac:dyDescent="0.2">
      <c r="A1901" s="116">
        <f>IF(ISNUMBER(Tabela2[[#This Row],[CT-e/NFS]])=TRUE,(IF(B1901&gt;30000,4,IF(B1901&lt;1000,"ND",0))),"-")</f>
        <v>4</v>
      </c>
      <c r="B1901" s="116">
        <v>46630</v>
      </c>
      <c r="C1901" s="117">
        <v>45403</v>
      </c>
      <c r="D1901" s="116">
        <v>392.45</v>
      </c>
      <c r="E1901" s="117">
        <v>45412</v>
      </c>
      <c r="F1901" s="116">
        <f>COUNTIFS($A$3:A10158,A1901,$B$3:B10158,B1901)</f>
        <v>1</v>
      </c>
      <c r="G1901" s="116"/>
    </row>
    <row r="1902" spans="1:7" x14ac:dyDescent="0.2">
      <c r="A1902" s="116">
        <f>IF(ISNUMBER(Tabela2[[#This Row],[CT-e/NFS]])=TRUE,(IF(B1902&gt;30000,4,IF(B1902&lt;1000,"ND",0))),"-")</f>
        <v>4</v>
      </c>
      <c r="B1902" s="116">
        <v>46631</v>
      </c>
      <c r="C1902" s="117">
        <v>45403</v>
      </c>
      <c r="D1902" s="116">
        <v>708.89</v>
      </c>
      <c r="E1902" s="117">
        <v>45412</v>
      </c>
      <c r="F1902" s="116">
        <f>COUNTIFS($A$3:A10159,A1902,$B$3:B10159,B1902)</f>
        <v>1</v>
      </c>
      <c r="G1902" s="116"/>
    </row>
    <row r="1903" spans="1:7" x14ac:dyDescent="0.2">
      <c r="A1903" s="116">
        <f>IF(ISNUMBER(Tabela2[[#This Row],[CT-e/NFS]])=TRUE,(IF(B1903&gt;30000,4,IF(B1903&lt;1000,"ND",0))),"-")</f>
        <v>4</v>
      </c>
      <c r="B1903" s="116">
        <v>46685</v>
      </c>
      <c r="C1903" s="117">
        <v>45403</v>
      </c>
      <c r="D1903" s="116">
        <v>112.98</v>
      </c>
      <c r="E1903" s="117">
        <v>45412</v>
      </c>
      <c r="F1903" s="116">
        <f>COUNTIFS($A$3:A10160,A1903,$B$3:B10160,B1903)</f>
        <v>1</v>
      </c>
      <c r="G1903" s="116"/>
    </row>
    <row r="1904" spans="1:7" x14ac:dyDescent="0.2">
      <c r="A1904" s="116">
        <f>IF(ISNUMBER(Tabela2[[#This Row],[CT-e/NFS]])=TRUE,(IF(B1904&gt;30000,4,IF(B1904&lt;1000,"ND",0))),"-")</f>
        <v>4</v>
      </c>
      <c r="B1904" s="116">
        <v>46683</v>
      </c>
      <c r="C1904" s="117">
        <v>45403</v>
      </c>
      <c r="D1904" s="116">
        <v>113.3</v>
      </c>
      <c r="E1904" s="117">
        <v>45412</v>
      </c>
      <c r="F1904" s="116">
        <f>COUNTIFS($A$3:A10161,A1904,$B$3:B10161,B1904)</f>
        <v>1</v>
      </c>
      <c r="G1904" s="116"/>
    </row>
    <row r="1905" spans="1:7" x14ac:dyDescent="0.2">
      <c r="A1905" s="116">
        <f>IF(ISNUMBER(Tabela2[[#This Row],[CT-e/NFS]])=TRUE,(IF(B1905&gt;30000,4,IF(B1905&lt;1000,"ND",0))),"-")</f>
        <v>4</v>
      </c>
      <c r="B1905" s="116">
        <v>46680</v>
      </c>
      <c r="C1905" s="117">
        <v>45403</v>
      </c>
      <c r="D1905" s="116">
        <v>61.5</v>
      </c>
      <c r="E1905" s="117">
        <v>45412</v>
      </c>
      <c r="F1905" s="116">
        <f>COUNTIFS($A$3:A10162,A1905,$B$3:B10162,B1905)</f>
        <v>1</v>
      </c>
      <c r="G1905" s="116"/>
    </row>
    <row r="1906" spans="1:7" x14ac:dyDescent="0.2">
      <c r="A1906" s="116">
        <f>IF(ISNUMBER(Tabela2[[#This Row],[CT-e/NFS]])=TRUE,(IF(B1906&gt;30000,4,IF(B1906&lt;1000,"ND",0))),"-")</f>
        <v>4</v>
      </c>
      <c r="B1906" s="116">
        <v>46681</v>
      </c>
      <c r="C1906" s="117">
        <v>45403</v>
      </c>
      <c r="D1906" s="116">
        <v>110.74</v>
      </c>
      <c r="E1906" s="117">
        <v>45412</v>
      </c>
      <c r="F1906" s="116">
        <f>COUNTIFS($A$3:A10163,A1906,$B$3:B10163,B1906)</f>
        <v>1</v>
      </c>
      <c r="G1906" s="116"/>
    </row>
    <row r="1907" spans="1:7" x14ac:dyDescent="0.2">
      <c r="A1907" s="116">
        <f>IF(ISNUMBER(Tabela2[[#This Row],[CT-e/NFS]])=TRUE,(IF(B1907&gt;30000,4,IF(B1907&lt;1000,"ND",0))),"-")</f>
        <v>4</v>
      </c>
      <c r="B1907" s="116">
        <v>46682</v>
      </c>
      <c r="C1907" s="117">
        <v>45403</v>
      </c>
      <c r="D1907" s="116">
        <v>62.78</v>
      </c>
      <c r="E1907" s="117">
        <v>45412</v>
      </c>
      <c r="F1907" s="116">
        <f>COUNTIFS($A$3:A10164,A1907,$B$3:B10164,B1907)</f>
        <v>1</v>
      </c>
      <c r="G1907" s="116"/>
    </row>
    <row r="1908" spans="1:7" x14ac:dyDescent="0.2">
      <c r="A1908" s="116">
        <f>IF(ISNUMBER(Tabela2[[#This Row],[CT-e/NFS]])=TRUE,(IF(B1908&gt;30000,4,IF(B1908&lt;1000,"ND",0))),"-")</f>
        <v>4</v>
      </c>
      <c r="B1908" s="116">
        <v>46689</v>
      </c>
      <c r="C1908" s="117">
        <v>45403</v>
      </c>
      <c r="D1908" s="116">
        <v>136.15</v>
      </c>
      <c r="E1908" s="117">
        <v>45412</v>
      </c>
      <c r="F1908" s="116">
        <f>COUNTIFS($A$3:A10165,A1908,$B$3:B10165,B1908)</f>
        <v>1</v>
      </c>
      <c r="G1908" s="116"/>
    </row>
    <row r="1909" spans="1:7" x14ac:dyDescent="0.2">
      <c r="A1909" s="116">
        <f>IF(ISNUMBER(Tabela2[[#This Row],[CT-e/NFS]])=TRUE,(IF(B1909&gt;30000,4,IF(B1909&lt;1000,"ND",0))),"-")</f>
        <v>4</v>
      </c>
      <c r="B1909" s="116">
        <v>46687</v>
      </c>
      <c r="C1909" s="117">
        <v>45403</v>
      </c>
      <c r="D1909" s="116">
        <v>404.23</v>
      </c>
      <c r="E1909" s="117">
        <v>45412</v>
      </c>
      <c r="F1909" s="116">
        <f>COUNTIFS($A$3:A10166,A1909,$B$3:B10166,B1909)</f>
        <v>1</v>
      </c>
      <c r="G1909" s="116"/>
    </row>
    <row r="1910" spans="1:7" x14ac:dyDescent="0.2">
      <c r="A1910" s="116">
        <f>IF(ISNUMBER(Tabela2[[#This Row],[CT-e/NFS]])=TRUE,(IF(B1910&gt;30000,4,IF(B1910&lt;1000,"ND",0))),"-")</f>
        <v>4</v>
      </c>
      <c r="B1910" s="116">
        <v>46684</v>
      </c>
      <c r="C1910" s="117">
        <v>45403</v>
      </c>
      <c r="D1910" s="116">
        <v>62.63</v>
      </c>
      <c r="E1910" s="117">
        <v>45412</v>
      </c>
      <c r="F1910" s="116">
        <f>COUNTIFS($A$3:A10167,A1910,$B$3:B10167,B1910)</f>
        <v>1</v>
      </c>
      <c r="G1910" s="116"/>
    </row>
    <row r="1911" spans="1:7" x14ac:dyDescent="0.2">
      <c r="A1911" s="116">
        <f>IF(ISNUMBER(Tabela2[[#This Row],[CT-e/NFS]])=TRUE,(IF(B1911&gt;30000,4,IF(B1911&lt;1000,"ND",0))),"-")</f>
        <v>4</v>
      </c>
      <c r="B1911" s="116">
        <v>46690</v>
      </c>
      <c r="C1911" s="117">
        <v>45403</v>
      </c>
      <c r="D1911" s="116">
        <v>62.1</v>
      </c>
      <c r="E1911" s="117">
        <v>45412</v>
      </c>
      <c r="F1911" s="116">
        <f>COUNTIFS($A$3:A10168,A1911,$B$3:B10168,B1911)</f>
        <v>1</v>
      </c>
      <c r="G1911" s="116"/>
    </row>
    <row r="1912" spans="1:7" x14ac:dyDescent="0.2">
      <c r="A1912" s="116">
        <f>IF(ISNUMBER(Tabela2[[#This Row],[CT-e/NFS]])=TRUE,(IF(B1912&gt;30000,4,IF(B1912&lt;1000,"ND",0))),"-")</f>
        <v>4</v>
      </c>
      <c r="B1912" s="116">
        <v>46686</v>
      </c>
      <c r="C1912" s="117">
        <v>45403</v>
      </c>
      <c r="D1912" s="116">
        <v>224</v>
      </c>
      <c r="E1912" s="117">
        <v>45412</v>
      </c>
      <c r="F1912" s="116">
        <f>COUNTIFS($A$3:A10169,A1912,$B$3:B10169,B1912)</f>
        <v>1</v>
      </c>
      <c r="G1912" s="116"/>
    </row>
    <row r="1913" spans="1:7" x14ac:dyDescent="0.2">
      <c r="A1913" s="116">
        <f>IF(ISNUMBER(Tabela2[[#This Row],[CT-e/NFS]])=TRUE,(IF(B1913&gt;30000,4,IF(B1913&lt;1000,"ND",0))),"-")</f>
        <v>4</v>
      </c>
      <c r="B1913" s="116">
        <v>46691</v>
      </c>
      <c r="C1913" s="117">
        <v>45403</v>
      </c>
      <c r="D1913" s="116">
        <v>111.93</v>
      </c>
      <c r="E1913" s="117">
        <v>45412</v>
      </c>
      <c r="F1913" s="116">
        <f>COUNTIFS($A$3:A10170,A1913,$B$3:B10170,B1913)</f>
        <v>1</v>
      </c>
      <c r="G1913" s="116"/>
    </row>
    <row r="1914" spans="1:7" x14ac:dyDescent="0.2">
      <c r="A1914" s="116">
        <f>IF(ISNUMBER(Tabela2[[#This Row],[CT-e/NFS]])=TRUE,(IF(B1914&gt;30000,4,IF(B1914&lt;1000,"ND",0))),"-")</f>
        <v>4</v>
      </c>
      <c r="B1914" s="116">
        <v>46597</v>
      </c>
      <c r="C1914" s="117">
        <v>45403</v>
      </c>
      <c r="D1914" s="116">
        <v>702.74</v>
      </c>
      <c r="E1914" s="117">
        <v>45412</v>
      </c>
      <c r="F1914" s="116">
        <f>COUNTIFS($A$3:A10171,A1914,$B$3:B10171,B1914)</f>
        <v>1</v>
      </c>
      <c r="G1914" s="116"/>
    </row>
    <row r="1915" spans="1:7" x14ac:dyDescent="0.2">
      <c r="A1915" s="116">
        <f>IF(ISNUMBER(Tabela2[[#This Row],[CT-e/NFS]])=TRUE,(IF(B1915&gt;30000,4,IF(B1915&lt;1000,"ND",0))),"-")</f>
        <v>4</v>
      </c>
      <c r="B1915" s="116">
        <v>46596</v>
      </c>
      <c r="C1915" s="117">
        <v>45403</v>
      </c>
      <c r="D1915" s="116">
        <v>473.07</v>
      </c>
      <c r="E1915" s="117">
        <v>45412</v>
      </c>
      <c r="F1915" s="116">
        <f>COUNTIFS($A$3:A10173,A1915,$B$3:B10173,B1915)</f>
        <v>1</v>
      </c>
      <c r="G1915" s="116"/>
    </row>
    <row r="1916" spans="1:7" x14ac:dyDescent="0.2">
      <c r="A1916" s="116">
        <f>IF(ISNUMBER(Tabela2[[#This Row],[CT-e/NFS]])=TRUE,(IF(B1916&gt;30000,4,IF(B1916&lt;1000,"ND",0))),"-")</f>
        <v>4</v>
      </c>
      <c r="B1916" s="116">
        <v>46598</v>
      </c>
      <c r="C1916" s="117">
        <v>45403</v>
      </c>
      <c r="D1916" s="116">
        <v>122.73</v>
      </c>
      <c r="E1916" s="117">
        <v>45412</v>
      </c>
      <c r="F1916" s="116">
        <f>COUNTIFS($A$3:A10174,A1916,$B$3:B10174,B1916)</f>
        <v>1</v>
      </c>
      <c r="G1916" s="116"/>
    </row>
    <row r="1917" spans="1:7" x14ac:dyDescent="0.2">
      <c r="A1917" s="116">
        <f>IF(ISNUMBER(Tabela2[[#This Row],[CT-e/NFS]])=TRUE,(IF(B1917&gt;30000,4,IF(B1917&lt;1000,"ND",0))),"-")</f>
        <v>4</v>
      </c>
      <c r="B1917" s="116">
        <v>46677</v>
      </c>
      <c r="C1917" s="117">
        <v>45403</v>
      </c>
      <c r="D1917" s="116">
        <v>124.03</v>
      </c>
      <c r="E1917" s="117">
        <v>45412</v>
      </c>
      <c r="F1917" s="116">
        <f>COUNTIFS($A$3:A10175,A1917,$B$3:B10175,B1917)</f>
        <v>1</v>
      </c>
      <c r="G1917" s="116"/>
    </row>
    <row r="1918" spans="1:7" x14ac:dyDescent="0.2">
      <c r="A1918" s="116">
        <f>IF(ISNUMBER(Tabela2[[#This Row],[CT-e/NFS]])=TRUE,(IF(B1918&gt;30000,4,IF(B1918&lt;1000,"ND",0))),"-")</f>
        <v>0</v>
      </c>
      <c r="B1918" s="116">
        <v>21293</v>
      </c>
      <c r="C1918" s="117">
        <v>45404</v>
      </c>
      <c r="D1918" s="116">
        <v>602.04999999999995</v>
      </c>
      <c r="E1918" s="117">
        <v>45412</v>
      </c>
      <c r="F1918" s="116">
        <f>COUNTIFS($A$3:A10174,A1918,$B$3:B10174,B1918)</f>
        <v>1</v>
      </c>
      <c r="G1918" s="116"/>
    </row>
    <row r="1919" spans="1:7" x14ac:dyDescent="0.2">
      <c r="A1919" s="116">
        <f>IF(ISNUMBER(Tabela2[[#This Row],[CT-e/NFS]])=TRUE,(IF(B1919&gt;30000,4,IF(B1919&lt;1000,"ND",0))),"-")</f>
        <v>4</v>
      </c>
      <c r="B1919" s="116">
        <v>46482</v>
      </c>
      <c r="C1919" s="117">
        <v>45404</v>
      </c>
      <c r="D1919" s="116">
        <v>107.34</v>
      </c>
      <c r="E1919" s="117">
        <v>45412</v>
      </c>
      <c r="F1919" s="116">
        <f>COUNTIFS($A$3:A10176,A1919,$B$3:B10176,B1919)</f>
        <v>1</v>
      </c>
      <c r="G1919" s="116"/>
    </row>
    <row r="1920" spans="1:7" x14ac:dyDescent="0.2">
      <c r="A1920" s="116">
        <f>IF(ISNUMBER(Tabela2[[#This Row],[CT-e/NFS]])=TRUE,(IF(B1920&gt;30000,4,IF(B1920&lt;1000,"ND",0))),"-")</f>
        <v>4</v>
      </c>
      <c r="B1920" s="116">
        <v>46483</v>
      </c>
      <c r="C1920" s="117">
        <v>45404</v>
      </c>
      <c r="D1920" s="116">
        <v>343.16</v>
      </c>
      <c r="E1920" s="117">
        <v>45412</v>
      </c>
      <c r="F1920" s="116">
        <f>COUNTIFS($A$3:A10177,A1920,$B$3:B10177,B1920)</f>
        <v>1</v>
      </c>
      <c r="G1920" s="116"/>
    </row>
    <row r="1921" spans="1:7" x14ac:dyDescent="0.2">
      <c r="A1921" s="116">
        <f>IF(ISNUMBER(Tabela2[[#This Row],[CT-e/NFS]])=TRUE,(IF(B1921&gt;30000,4,IF(B1921&lt;1000,"ND",0))),"-")</f>
        <v>4</v>
      </c>
      <c r="B1921" s="116">
        <v>46537</v>
      </c>
      <c r="C1921" s="117">
        <v>45404</v>
      </c>
      <c r="D1921" s="116">
        <v>961.82</v>
      </c>
      <c r="E1921" s="117">
        <v>45412</v>
      </c>
      <c r="F1921" s="116">
        <f>COUNTIFS($A$3:A10178,A1921,$B$3:B10178,B1921)</f>
        <v>1</v>
      </c>
      <c r="G1921" s="116"/>
    </row>
    <row r="1922" spans="1:7" x14ac:dyDescent="0.2">
      <c r="A1922" s="116">
        <f>IF(ISNUMBER(Tabela2[[#This Row],[CT-e/NFS]])=TRUE,(IF(B1922&gt;30000,4,IF(B1922&lt;1000,"ND",0))),"-")</f>
        <v>4</v>
      </c>
      <c r="B1922" s="116">
        <v>46538</v>
      </c>
      <c r="C1922" s="117">
        <v>45404</v>
      </c>
      <c r="D1922" s="116">
        <v>865.66</v>
      </c>
      <c r="E1922" s="117">
        <v>45412</v>
      </c>
      <c r="F1922" s="116">
        <f>COUNTIFS($A$3:A10179,A1922,$B$3:B10179,B1922)</f>
        <v>1</v>
      </c>
      <c r="G1922" s="116"/>
    </row>
    <row r="1923" spans="1:7" x14ac:dyDescent="0.2">
      <c r="A1923" s="116">
        <f>IF(ISNUMBER(Tabela2[[#This Row],[CT-e/NFS]])=TRUE,(IF(B1923&gt;30000,4,IF(B1923&lt;1000,"ND",0))),"-")</f>
        <v>4</v>
      </c>
      <c r="B1923" s="116">
        <v>46565</v>
      </c>
      <c r="C1923" s="117">
        <v>45404</v>
      </c>
      <c r="D1923" s="116">
        <v>388.14</v>
      </c>
      <c r="E1923" s="117">
        <v>45412</v>
      </c>
      <c r="F1923" s="116">
        <f>COUNTIFS($A$3:A10180,A1923,$B$3:B10180,B1923)</f>
        <v>1</v>
      </c>
      <c r="G1923" s="116"/>
    </row>
    <row r="1924" spans="1:7" x14ac:dyDescent="0.2">
      <c r="A1924" s="116">
        <f>IF(ISNUMBER(Tabela2[[#This Row],[CT-e/NFS]])=TRUE,(IF(B1924&gt;30000,4,IF(B1924&lt;1000,"ND",0))),"-")</f>
        <v>4</v>
      </c>
      <c r="B1924" s="116">
        <v>46566</v>
      </c>
      <c r="C1924" s="117">
        <v>45404</v>
      </c>
      <c r="D1924" s="116">
        <v>350.36</v>
      </c>
      <c r="E1924" s="117">
        <v>45412</v>
      </c>
      <c r="F1924" s="116">
        <f>COUNTIFS($A$3:A10181,A1924,$B$3:B10181,B1924)</f>
        <v>1</v>
      </c>
      <c r="G1924" s="116"/>
    </row>
    <row r="1925" spans="1:7" x14ac:dyDescent="0.2">
      <c r="A1925" s="116">
        <f>IF(ISNUMBER(Tabela2[[#This Row],[CT-e/NFS]])=TRUE,(IF(B1925&gt;30000,4,IF(B1925&lt;1000,"ND",0))),"-")</f>
        <v>4</v>
      </c>
      <c r="B1925" s="116">
        <v>46574</v>
      </c>
      <c r="C1925" s="117">
        <v>45404</v>
      </c>
      <c r="D1925" s="116">
        <v>506.07</v>
      </c>
      <c r="E1925" s="117">
        <v>45412</v>
      </c>
      <c r="F1925" s="116">
        <f>COUNTIFS($A$3:A10182,A1925,$B$3:B10182,B1925)</f>
        <v>1</v>
      </c>
      <c r="G1925" s="116"/>
    </row>
    <row r="1926" spans="1:7" x14ac:dyDescent="0.2">
      <c r="A1926" s="116">
        <f>IF(ISNUMBER(Tabela2[[#This Row],[CT-e/NFS]])=TRUE,(IF(B1926&gt;30000,4,IF(B1926&lt;1000,"ND",0))),"-")</f>
        <v>4</v>
      </c>
      <c r="B1926" s="116">
        <v>46585</v>
      </c>
      <c r="C1926" s="117">
        <v>45404</v>
      </c>
      <c r="D1926" s="116">
        <v>468.69</v>
      </c>
      <c r="E1926" s="117">
        <v>45412</v>
      </c>
      <c r="F1926" s="116">
        <f>COUNTIFS($A$3:A10183,A1926,$B$3:B10183,B1926)</f>
        <v>1</v>
      </c>
      <c r="G1926" s="116"/>
    </row>
    <row r="1927" spans="1:7" x14ac:dyDescent="0.2">
      <c r="A1927" s="116">
        <f>IF(ISNUMBER(Tabela2[[#This Row],[CT-e/NFS]])=TRUE,(IF(B1927&gt;30000,4,IF(B1927&lt;1000,"ND",0))),"-")</f>
        <v>4</v>
      </c>
      <c r="B1927" s="116">
        <v>46586</v>
      </c>
      <c r="C1927" s="117">
        <v>45404</v>
      </c>
      <c r="D1927" s="116">
        <v>258.56</v>
      </c>
      <c r="E1927" s="117">
        <v>45412</v>
      </c>
      <c r="F1927" s="116">
        <f>COUNTIFS($A$3:A10184,A1927,$B$3:B10184,B1927)</f>
        <v>1</v>
      </c>
      <c r="G1927" s="116"/>
    </row>
    <row r="1928" spans="1:7" x14ac:dyDescent="0.2">
      <c r="A1928" s="116">
        <f>IF(ISNUMBER(Tabela2[[#This Row],[CT-e/NFS]])=TRUE,(IF(B1928&gt;30000,4,IF(B1928&lt;1000,"ND",0))),"-")</f>
        <v>4</v>
      </c>
      <c r="B1928" s="116">
        <v>46592</v>
      </c>
      <c r="C1928" s="117">
        <v>45404</v>
      </c>
      <c r="D1928" s="116">
        <v>545.11</v>
      </c>
      <c r="E1928" s="117">
        <v>45412</v>
      </c>
      <c r="F1928" s="116">
        <f>COUNTIFS($A$3:A10185,A1928,$B$3:B10185,B1928)</f>
        <v>1</v>
      </c>
      <c r="G1928" s="116"/>
    </row>
    <row r="1929" spans="1:7" x14ac:dyDescent="0.2">
      <c r="A1929" s="116">
        <f>IF(ISNUMBER(Tabela2[[#This Row],[CT-e/NFS]])=TRUE,(IF(B1929&gt;30000,4,IF(B1929&lt;1000,"ND",0))),"-")</f>
        <v>4</v>
      </c>
      <c r="B1929" s="116">
        <v>46627</v>
      </c>
      <c r="C1929" s="117">
        <v>45404</v>
      </c>
      <c r="D1929" s="116">
        <v>892.41</v>
      </c>
      <c r="E1929" s="117">
        <v>45412</v>
      </c>
      <c r="F1929" s="116">
        <f>COUNTIFS($A$3:A10186,A1929,$B$3:B10186,B1929)</f>
        <v>1</v>
      </c>
      <c r="G1929" s="116"/>
    </row>
    <row r="1930" spans="1:7" x14ac:dyDescent="0.2">
      <c r="A1930" s="116">
        <f>IF(ISNUMBER(Tabela2[[#This Row],[CT-e/NFS]])=TRUE,(IF(B1930&gt;30000,4,IF(B1930&lt;1000,"ND",0))),"-")</f>
        <v>4</v>
      </c>
      <c r="B1930" s="116">
        <v>46632</v>
      </c>
      <c r="C1930" s="117">
        <v>45404</v>
      </c>
      <c r="D1930" s="116">
        <v>50.22</v>
      </c>
      <c r="E1930" s="117">
        <v>45412</v>
      </c>
      <c r="F1930" s="116">
        <f>COUNTIFS($A$3:A10187,A1930,$B$3:B10187,B1930)</f>
        <v>1</v>
      </c>
      <c r="G1930" s="116"/>
    </row>
    <row r="1931" spans="1:7" x14ac:dyDescent="0.2">
      <c r="A1931" s="116">
        <f>IF(ISNUMBER(Tabela2[[#This Row],[CT-e/NFS]])=TRUE,(IF(B1931&gt;30000,4,IF(B1931&lt;1000,"ND",0))),"-")</f>
        <v>4</v>
      </c>
      <c r="B1931" s="116">
        <v>46633</v>
      </c>
      <c r="C1931" s="117">
        <v>45404</v>
      </c>
      <c r="D1931" s="116">
        <v>102.48</v>
      </c>
      <c r="E1931" s="117">
        <v>45412</v>
      </c>
      <c r="F1931" s="116">
        <f>COUNTIFS($A$3:A10188,A1931,$B$3:B10188,B1931)</f>
        <v>1</v>
      </c>
      <c r="G1931" s="116"/>
    </row>
    <row r="1932" spans="1:7" x14ac:dyDescent="0.2">
      <c r="A1932" s="116">
        <f>IF(ISNUMBER(Tabela2[[#This Row],[CT-e/NFS]])=TRUE,(IF(B1932&gt;30000,4,IF(B1932&lt;1000,"ND",0))),"-")</f>
        <v>4</v>
      </c>
      <c r="B1932" s="116">
        <v>46634</v>
      </c>
      <c r="C1932" s="117">
        <v>45404</v>
      </c>
      <c r="D1932" s="116">
        <v>50.22</v>
      </c>
      <c r="E1932" s="117">
        <v>45412</v>
      </c>
      <c r="F1932" s="116">
        <f>COUNTIFS($A$3:A10189,A1932,$B$3:B10189,B1932)</f>
        <v>1</v>
      </c>
      <c r="G1932" s="116"/>
    </row>
    <row r="1933" spans="1:7" x14ac:dyDescent="0.2">
      <c r="A1933" s="116">
        <f>IF(ISNUMBER(Tabela2[[#This Row],[CT-e/NFS]])=TRUE,(IF(B1933&gt;30000,4,IF(B1933&lt;1000,"ND",0))),"-")</f>
        <v>4</v>
      </c>
      <c r="B1933" s="116">
        <v>46635</v>
      </c>
      <c r="C1933" s="117">
        <v>45404</v>
      </c>
      <c r="D1933" s="116">
        <v>102.48</v>
      </c>
      <c r="E1933" s="117">
        <v>45412</v>
      </c>
      <c r="F1933" s="116">
        <f>COUNTIFS($A$3:A10190,A1933,$B$3:B10190,B1933)</f>
        <v>1</v>
      </c>
      <c r="G1933" s="116"/>
    </row>
    <row r="1934" spans="1:7" x14ac:dyDescent="0.2">
      <c r="A1934" s="116">
        <f>IF(ISNUMBER(Tabela2[[#This Row],[CT-e/NFS]])=TRUE,(IF(B1934&gt;30000,4,IF(B1934&lt;1000,"ND",0))),"-")</f>
        <v>4</v>
      </c>
      <c r="B1934" s="116">
        <v>46636</v>
      </c>
      <c r="C1934" s="117">
        <v>45404</v>
      </c>
      <c r="D1934" s="116">
        <v>50.22</v>
      </c>
      <c r="E1934" s="117">
        <v>45412</v>
      </c>
      <c r="F1934" s="116">
        <f>COUNTIFS($A$3:A10191,A1934,$B$3:B10191,B1934)</f>
        <v>1</v>
      </c>
      <c r="G1934" s="116"/>
    </row>
    <row r="1935" spans="1:7" x14ac:dyDescent="0.2">
      <c r="A1935" s="116">
        <f>IF(ISNUMBER(Tabela2[[#This Row],[CT-e/NFS]])=TRUE,(IF(B1935&gt;30000,4,IF(B1935&lt;1000,"ND",0))),"-")</f>
        <v>0</v>
      </c>
      <c r="B1935" s="116">
        <v>21399</v>
      </c>
      <c r="C1935" s="117">
        <v>45400</v>
      </c>
      <c r="D1935" s="116">
        <v>92.34</v>
      </c>
      <c r="E1935" s="117">
        <v>45412</v>
      </c>
      <c r="F1935" s="116">
        <f>COUNTIFS($A$3:A10192,A1935,$B$3:B10192,B1935)</f>
        <v>1</v>
      </c>
      <c r="G1935" s="116"/>
    </row>
    <row r="1936" spans="1:7" x14ac:dyDescent="0.2">
      <c r="A1936" s="116">
        <f>IF(ISNUMBER(Tabela2[[#This Row],[CT-e/NFS]])=TRUE,(IF(B1936&gt;30000,4,IF(B1936&lt;1000,"ND",0))),"-")</f>
        <v>4</v>
      </c>
      <c r="B1936" s="116">
        <v>46880</v>
      </c>
      <c r="C1936" s="117">
        <v>45400</v>
      </c>
      <c r="D1936" s="116">
        <v>352.82</v>
      </c>
      <c r="E1936" s="117">
        <v>45412</v>
      </c>
      <c r="F1936" s="116">
        <f>COUNTIFS($A$3:A10193,A1936,$B$3:B10193,B1936)</f>
        <v>1</v>
      </c>
      <c r="G1936" s="116"/>
    </row>
    <row r="1937" spans="1:7" x14ac:dyDescent="0.2">
      <c r="A1937" s="116">
        <f>IF(ISNUMBER(Tabela2[[#This Row],[CT-e/NFS]])=TRUE,(IF(B1937&gt;30000,4,IF(B1937&lt;1000,"ND",0))),"-")</f>
        <v>4</v>
      </c>
      <c r="B1937" s="116">
        <v>46883</v>
      </c>
      <c r="C1937" s="117">
        <v>45400</v>
      </c>
      <c r="D1937" s="116">
        <v>490.8</v>
      </c>
      <c r="E1937" s="117">
        <v>45412</v>
      </c>
      <c r="F1937" s="116">
        <f>COUNTIFS($A$3:A10194,A1937,$B$3:B10194,B1937)</f>
        <v>1</v>
      </c>
      <c r="G1937" s="116"/>
    </row>
    <row r="1938" spans="1:7" x14ac:dyDescent="0.2">
      <c r="A1938" s="116">
        <f>IF(ISNUMBER(Tabela2[[#This Row],[CT-e/NFS]])=TRUE,(IF(B1938&gt;30000,4,IF(B1938&lt;1000,"ND",0))),"-")</f>
        <v>4</v>
      </c>
      <c r="B1938" s="116">
        <v>46884</v>
      </c>
      <c r="C1938" s="117">
        <v>45400</v>
      </c>
      <c r="D1938" s="116">
        <v>924.02</v>
      </c>
      <c r="E1938" s="117">
        <v>45412</v>
      </c>
      <c r="F1938" s="116">
        <f>COUNTIFS($A$3:A10195,A1938,$B$3:B10195,B1938)</f>
        <v>1</v>
      </c>
      <c r="G1938" s="116"/>
    </row>
    <row r="1939" spans="1:7" x14ac:dyDescent="0.2">
      <c r="A1939" s="116">
        <f>IF(ISNUMBER(Tabela2[[#This Row],[CT-e/NFS]])=TRUE,(IF(B1939&gt;30000,4,IF(B1939&lt;1000,"ND",0))),"-")</f>
        <v>4</v>
      </c>
      <c r="B1939" s="116">
        <v>46903</v>
      </c>
      <c r="C1939" s="117">
        <v>45400</v>
      </c>
      <c r="D1939" s="116">
        <v>127.31</v>
      </c>
      <c r="E1939" s="117">
        <v>45412</v>
      </c>
      <c r="F1939" s="116">
        <f>COUNTIFS($A$3:A10196,A1939,$B$3:B10196,B1939)</f>
        <v>1</v>
      </c>
      <c r="G1939" s="116"/>
    </row>
    <row r="1940" spans="1:7" x14ac:dyDescent="0.2">
      <c r="A1940" s="116">
        <f>IF(ISNUMBER(Tabela2[[#This Row],[CT-e/NFS]])=TRUE,(IF(B1940&gt;30000,4,IF(B1940&lt;1000,"ND",0))),"-")</f>
        <v>0</v>
      </c>
      <c r="B1940" s="116">
        <v>21419</v>
      </c>
      <c r="C1940" s="117">
        <v>45400</v>
      </c>
      <c r="D1940" s="116">
        <v>688.09</v>
      </c>
      <c r="E1940" s="117">
        <v>45412</v>
      </c>
      <c r="F1940" s="116">
        <f>COUNTIFS($A$3:A10197,A1940,$B$3:B10197,B1940)</f>
        <v>1</v>
      </c>
      <c r="G1940" s="116"/>
    </row>
    <row r="1941" spans="1:7" x14ac:dyDescent="0.2">
      <c r="A1941" s="116">
        <f>IF(ISNUMBER(Tabela2[[#This Row],[CT-e/NFS]])=TRUE,(IF(B1941&gt;30000,4,IF(B1941&lt;1000,"ND",0))),"-")</f>
        <v>4</v>
      </c>
      <c r="B1941" s="116">
        <v>47038</v>
      </c>
      <c r="C1941" s="117">
        <v>45400</v>
      </c>
      <c r="D1941" s="116">
        <v>1123</v>
      </c>
      <c r="E1941" s="117">
        <v>45412</v>
      </c>
      <c r="F1941" s="116">
        <f>COUNTIFS($A$3:A10198,A1941,$B$3:B10198,B1941)</f>
        <v>1</v>
      </c>
      <c r="G1941" s="116"/>
    </row>
    <row r="1942" spans="1:7" x14ac:dyDescent="0.2">
      <c r="A1942" s="116">
        <f>IF(ISNUMBER(Tabela2[[#This Row],[CT-e/NFS]])=TRUE,(IF(B1942&gt;30000,4,IF(B1942&lt;1000,"ND",0))),"-")</f>
        <v>4</v>
      </c>
      <c r="B1942" s="116">
        <v>47066</v>
      </c>
      <c r="C1942" s="117">
        <v>45400</v>
      </c>
      <c r="D1942" s="116">
        <v>265.74</v>
      </c>
      <c r="E1942" s="117">
        <v>45412</v>
      </c>
      <c r="F1942" s="116">
        <f>COUNTIFS($A$3:A10199,A1942,$B$3:B10199,B1942)</f>
        <v>1</v>
      </c>
      <c r="G1942" s="116"/>
    </row>
    <row r="1943" spans="1:7" x14ac:dyDescent="0.2">
      <c r="A1943" s="129">
        <f>IF(ISNUMBER(Tabela2[[#This Row],[CT-e/NFS]])=TRUE,(IF(B1943&gt;30000,4,IF(B1943&lt;1000,"ND",0))),"-")</f>
        <v>4</v>
      </c>
      <c r="B1943" s="129">
        <v>47234</v>
      </c>
      <c r="C1943" s="130">
        <v>45411</v>
      </c>
      <c r="D1943" s="129">
        <v>122.74</v>
      </c>
      <c r="E1943" s="130">
        <v>45412</v>
      </c>
      <c r="F1943" s="129">
        <f>COUNTIFS($A$3:A10199,A1943,$B$3:B10199,B1943)</f>
        <v>1</v>
      </c>
      <c r="G1943" s="129" t="s">
        <v>147</v>
      </c>
    </row>
    <row r="1944" spans="1:7" x14ac:dyDescent="0.2">
      <c r="A1944" s="129">
        <f>IF(ISNUMBER(Tabela2[[#This Row],[CT-e/NFS]])=TRUE,(IF(B1944&gt;30000,4,IF(B1944&lt;1000,"ND",0))),"-")</f>
        <v>4</v>
      </c>
      <c r="B1944" s="129">
        <v>47178</v>
      </c>
      <c r="C1944" s="130">
        <v>45411</v>
      </c>
      <c r="D1944" s="129">
        <v>125.35</v>
      </c>
      <c r="E1944" s="130">
        <v>45412</v>
      </c>
      <c r="F1944" s="129">
        <f>COUNTIFS($A$3:A10200,A1944,$B$3:B10200,B1944)</f>
        <v>1</v>
      </c>
      <c r="G1944" s="129" t="s">
        <v>147</v>
      </c>
    </row>
    <row r="1945" spans="1:7" x14ac:dyDescent="0.2">
      <c r="A1945" s="129">
        <f>IF(ISNUMBER(Tabela2[[#This Row],[CT-e/NFS]])=TRUE,(IF(B1945&gt;30000,4,IF(B1945&lt;1000,"ND",0))),"-")</f>
        <v>4</v>
      </c>
      <c r="B1945" s="129">
        <v>47179</v>
      </c>
      <c r="C1945" s="130">
        <v>45411</v>
      </c>
      <c r="D1945" s="129">
        <v>396.45</v>
      </c>
      <c r="E1945" s="130">
        <v>45412</v>
      </c>
      <c r="F1945" s="129">
        <f>COUNTIFS($A$3:A10201,A1945,$B$3:B10201,B1945)</f>
        <v>1</v>
      </c>
      <c r="G1945" s="129" t="s">
        <v>147</v>
      </c>
    </row>
    <row r="1946" spans="1:7" x14ac:dyDescent="0.2">
      <c r="A1946" s="129">
        <f>IF(ISNUMBER(Tabela2[[#This Row],[CT-e/NFS]])=TRUE,(IF(B1946&gt;30000,4,IF(B1946&lt;1000,"ND",0))),"-")</f>
        <v>4</v>
      </c>
      <c r="B1946" s="129">
        <v>47180</v>
      </c>
      <c r="C1946" s="130">
        <v>45411</v>
      </c>
      <c r="D1946" s="129">
        <v>122.77</v>
      </c>
      <c r="E1946" s="130">
        <v>45412</v>
      </c>
      <c r="F1946" s="129">
        <f>COUNTIFS($A$3:A10202,A1946,$B$3:B10202,B1946)</f>
        <v>1</v>
      </c>
      <c r="G1946" s="129" t="s">
        <v>147</v>
      </c>
    </row>
    <row r="1947" spans="1:7" x14ac:dyDescent="0.2">
      <c r="A1947" s="129">
        <f>IF(ISNUMBER(Tabela2[[#This Row],[CT-e/NFS]])=TRUE,(IF(B1947&gt;30000,4,IF(B1947&lt;1000,"ND",0))),"-")</f>
        <v>0</v>
      </c>
      <c r="B1947" s="129">
        <v>21471</v>
      </c>
      <c r="C1947" s="130">
        <v>45411</v>
      </c>
      <c r="D1947" s="129">
        <v>76.44</v>
      </c>
      <c r="E1947" s="130">
        <v>45412</v>
      </c>
      <c r="F1947" s="129">
        <f>COUNTIFS($A$3:A10203,A1947,$B$3:B10203,B1947)</f>
        <v>1</v>
      </c>
      <c r="G1947" s="129" t="s">
        <v>147</v>
      </c>
    </row>
    <row r="1948" spans="1:7" x14ac:dyDescent="0.2">
      <c r="A1948" s="129">
        <f>IF(ISNUMBER(Tabela2[[#This Row],[CT-e/NFS]])=TRUE,(IF(B1948&gt;30000,4,IF(B1948&lt;1000,"ND",0))),"-")</f>
        <v>0</v>
      </c>
      <c r="B1948" s="129">
        <v>21472</v>
      </c>
      <c r="C1948" s="130">
        <v>45411</v>
      </c>
      <c r="D1948" s="129">
        <v>76.34</v>
      </c>
      <c r="E1948" s="130">
        <v>45412</v>
      </c>
      <c r="F1948" s="129">
        <f>COUNTIFS($A$3:A10204,A1948,$B$3:B10204,B1948)</f>
        <v>1</v>
      </c>
      <c r="G1948" s="129" t="s">
        <v>147</v>
      </c>
    </row>
    <row r="1949" spans="1:7" x14ac:dyDescent="0.2">
      <c r="A1949" s="129">
        <f>IF(ISNUMBER(Tabela2[[#This Row],[CT-e/NFS]])=TRUE,(IF(B1949&gt;30000,4,IF(B1949&lt;1000,"ND",0))),"-")</f>
        <v>0</v>
      </c>
      <c r="B1949" s="129">
        <v>21486</v>
      </c>
      <c r="C1949" s="130">
        <v>45411</v>
      </c>
      <c r="D1949" s="129">
        <v>75.599999999999994</v>
      </c>
      <c r="E1949" s="130">
        <v>45412</v>
      </c>
      <c r="F1949" s="129">
        <f>COUNTIFS($A$3:A10205,A1949,$B$3:B10205,B1949)</f>
        <v>1</v>
      </c>
      <c r="G1949" s="129" t="s">
        <v>147</v>
      </c>
    </row>
    <row r="1950" spans="1:7" x14ac:dyDescent="0.2">
      <c r="A1950" s="129">
        <f>IF(ISNUMBER(Tabela2[[#This Row],[CT-e/NFS]])=TRUE,(IF(B1950&gt;30000,4,IF(B1950&lt;1000,"ND",0))),"-")</f>
        <v>4</v>
      </c>
      <c r="B1950" s="129">
        <v>47165</v>
      </c>
      <c r="C1950" s="130">
        <v>45411</v>
      </c>
      <c r="D1950" s="129">
        <v>125.34</v>
      </c>
      <c r="E1950" s="130">
        <v>45412</v>
      </c>
      <c r="F1950" s="129">
        <f>COUNTIFS($A$3:A10206,A1950,$B$3:B10206,B1950)</f>
        <v>1</v>
      </c>
      <c r="G1950" s="129" t="s">
        <v>147</v>
      </c>
    </row>
    <row r="1951" spans="1:7" x14ac:dyDescent="0.2">
      <c r="A1951" s="129">
        <f>IF(ISNUMBER(Tabela2[[#This Row],[CT-e/NFS]])=TRUE,(IF(B1951&gt;30000,4,IF(B1951&lt;1000,"ND",0))),"-")</f>
        <v>0</v>
      </c>
      <c r="B1951" s="129">
        <v>21475</v>
      </c>
      <c r="C1951" s="130">
        <v>45411</v>
      </c>
      <c r="D1951" s="129">
        <v>338.2</v>
      </c>
      <c r="E1951" s="130">
        <v>45412</v>
      </c>
      <c r="F1951" s="129">
        <f>COUNTIFS($A$3:A10207,A1951,$B$3:B10207,B1951)</f>
        <v>1</v>
      </c>
      <c r="G1951" s="129" t="s">
        <v>147</v>
      </c>
    </row>
    <row r="1952" spans="1:7" x14ac:dyDescent="0.2">
      <c r="A1952" s="129">
        <f>IF(ISNUMBER(Tabela2[[#This Row],[CT-e/NFS]])=TRUE,(IF(B1952&gt;30000,4,IF(B1952&lt;1000,"ND",0))),"-")</f>
        <v>4</v>
      </c>
      <c r="B1952" s="129">
        <v>47101</v>
      </c>
      <c r="C1952" s="130">
        <v>45411</v>
      </c>
      <c r="D1952" s="129">
        <v>125.25</v>
      </c>
      <c r="E1952" s="130">
        <v>45412</v>
      </c>
      <c r="F1952" s="129">
        <f>COUNTIFS($A$3:A10208,A1952,$B$3:B10208,B1952)</f>
        <v>1</v>
      </c>
      <c r="G1952" s="129" t="s">
        <v>147</v>
      </c>
    </row>
    <row r="1953" spans="1:7" x14ac:dyDescent="0.2">
      <c r="A1953" s="129">
        <f>IF(ISNUMBER(Tabela2[[#This Row],[CT-e/NFS]])=TRUE,(IF(B1953&gt;30000,4,IF(B1953&lt;1000,"ND",0))),"-")</f>
        <v>4</v>
      </c>
      <c r="B1953" s="129">
        <v>47102</v>
      </c>
      <c r="C1953" s="130">
        <v>45411</v>
      </c>
      <c r="D1953" s="129">
        <v>240.47</v>
      </c>
      <c r="E1953" s="130">
        <v>45412</v>
      </c>
      <c r="F1953" s="129">
        <f>COUNTIFS($A$3:A10209,A1953,$B$3:B10209,B1953)</f>
        <v>1</v>
      </c>
      <c r="G1953" s="129" t="s">
        <v>147</v>
      </c>
    </row>
    <row r="1954" spans="1:7" x14ac:dyDescent="0.2">
      <c r="A1954" s="129">
        <f>IF(ISNUMBER(Tabela2[[#This Row],[CT-e/NFS]])=TRUE,(IF(B1954&gt;30000,4,IF(B1954&lt;1000,"ND",0))),"-")</f>
        <v>4</v>
      </c>
      <c r="B1954" s="129">
        <v>47060</v>
      </c>
      <c r="C1954" s="130">
        <v>45411</v>
      </c>
      <c r="D1954" s="129">
        <v>124.34</v>
      </c>
      <c r="E1954" s="130">
        <v>45412</v>
      </c>
      <c r="F1954" s="129">
        <f>COUNTIFS($A$3:A10210,A1954,$B$3:B10210,B1954)</f>
        <v>1</v>
      </c>
      <c r="G1954" s="129" t="s">
        <v>147</v>
      </c>
    </row>
    <row r="1955" spans="1:7" x14ac:dyDescent="0.2">
      <c r="A1955" s="129">
        <f>IF(ISNUMBER(Tabela2[[#This Row],[CT-e/NFS]])=TRUE,(IF(B1955&gt;30000,4,IF(B1955&lt;1000,"ND",0))),"-")</f>
        <v>0</v>
      </c>
      <c r="B1955" s="129">
        <v>21407</v>
      </c>
      <c r="C1955" s="130">
        <v>45411</v>
      </c>
      <c r="D1955" s="129">
        <v>305.25</v>
      </c>
      <c r="E1955" s="130">
        <v>45412</v>
      </c>
      <c r="F1955" s="129">
        <f>COUNTIFS($A$3:A10211,A1955,$B$3:B10211,B1955)</f>
        <v>1</v>
      </c>
      <c r="G1955" s="129" t="s">
        <v>147</v>
      </c>
    </row>
    <row r="1956" spans="1:7" x14ac:dyDescent="0.2">
      <c r="A1956" s="116">
        <f>IF(ISNUMBER(Tabela2[[#This Row],[CT-e/NFS]])=TRUE,(IF(B1956&gt;30000,4,IF(B1956&lt;1000,"ND",0))),"-")</f>
        <v>4</v>
      </c>
      <c r="B1956" s="116">
        <v>46710</v>
      </c>
      <c r="C1956" s="117">
        <v>45413</v>
      </c>
      <c r="D1956" s="116">
        <v>126.31</v>
      </c>
      <c r="E1956" s="117">
        <v>45427</v>
      </c>
      <c r="F1956" s="116">
        <f>COUNTIFS($A$3:A10212,A1956,$B$3:B10212,B1956)</f>
        <v>1</v>
      </c>
      <c r="G1956" s="116"/>
    </row>
    <row r="1957" spans="1:7" x14ac:dyDescent="0.2">
      <c r="A1957" s="116">
        <f>IF(ISNUMBER(Tabela2[[#This Row],[CT-e/NFS]])=TRUE,(IF(B1957&gt;30000,4,IF(B1957&lt;1000,"ND",0))),"-")</f>
        <v>4</v>
      </c>
      <c r="B1957" s="116">
        <v>46693</v>
      </c>
      <c r="C1957" s="117">
        <v>45413</v>
      </c>
      <c r="D1957" s="116">
        <v>239.89</v>
      </c>
      <c r="E1957" s="117">
        <v>45427</v>
      </c>
      <c r="F1957" s="116">
        <f>COUNTIFS($A$3:A10213,A1957,$B$3:B10213,B1957)</f>
        <v>1</v>
      </c>
      <c r="G1957" s="116"/>
    </row>
    <row r="1958" spans="1:7" x14ac:dyDescent="0.2">
      <c r="A1958" s="116">
        <f>IF(ISNUMBER(Tabela2[[#This Row],[CT-e/NFS]])=TRUE,(IF(B1958&gt;30000,4,IF(B1958&lt;1000,"ND",0))),"-")</f>
        <v>4</v>
      </c>
      <c r="B1958" s="116">
        <v>46707</v>
      </c>
      <c r="C1958" s="117">
        <v>45413</v>
      </c>
      <c r="D1958" s="116">
        <v>123.06</v>
      </c>
      <c r="E1958" s="117">
        <v>45427</v>
      </c>
      <c r="F1958" s="116">
        <f>COUNTIFS($A$3:A10214,A1958,$B$3:B10214,B1958)</f>
        <v>1</v>
      </c>
      <c r="G1958" s="116"/>
    </row>
    <row r="1959" spans="1:7" x14ac:dyDescent="0.2">
      <c r="A1959" s="116">
        <f>IF(ISNUMBER(Tabela2[[#This Row],[CT-e/NFS]])=TRUE,(IF(B1959&gt;30000,4,IF(B1959&lt;1000,"ND",0))),"-")</f>
        <v>4</v>
      </c>
      <c r="B1959" s="116">
        <v>46696</v>
      </c>
      <c r="C1959" s="117">
        <v>45413</v>
      </c>
      <c r="D1959" s="116">
        <v>365.09</v>
      </c>
      <c r="E1959" s="117">
        <v>45427</v>
      </c>
      <c r="F1959" s="116">
        <f>COUNTIFS($A$3:A10215,A1959,$B$3:B10215,B1959)</f>
        <v>1</v>
      </c>
      <c r="G1959" s="116"/>
    </row>
    <row r="1960" spans="1:7" x14ac:dyDescent="0.2">
      <c r="A1960" s="116">
        <f>IF(ISNUMBER(Tabela2[[#This Row],[CT-e/NFS]])=TRUE,(IF(B1960&gt;30000,4,IF(B1960&lt;1000,"ND",0))),"-")</f>
        <v>4</v>
      </c>
      <c r="B1960" s="116">
        <v>46711</v>
      </c>
      <c r="C1960" s="117">
        <v>45413</v>
      </c>
      <c r="D1960" s="116">
        <v>110.85</v>
      </c>
      <c r="E1960" s="117">
        <v>45427</v>
      </c>
      <c r="F1960" s="116">
        <f>COUNTIFS($A$3:A10216,A1960,$B$3:B10216,B1960)</f>
        <v>1</v>
      </c>
      <c r="G1960" s="116"/>
    </row>
    <row r="1961" spans="1:7" x14ac:dyDescent="0.2">
      <c r="A1961" s="116">
        <f>IF(ISNUMBER(Tabela2[[#This Row],[CT-e/NFS]])=TRUE,(IF(B1961&gt;30000,4,IF(B1961&lt;1000,"ND",0))),"-")</f>
        <v>4</v>
      </c>
      <c r="B1961" s="116">
        <v>46708</v>
      </c>
      <c r="C1961" s="117">
        <v>45413</v>
      </c>
      <c r="D1961" s="116">
        <v>212.63</v>
      </c>
      <c r="E1961" s="117">
        <v>45427</v>
      </c>
      <c r="F1961" s="116">
        <f>COUNTIFS($A$3:A10217,A1961,$B$3:B10217,B1961)</f>
        <v>1</v>
      </c>
      <c r="G1961" s="116"/>
    </row>
    <row r="1962" spans="1:7" x14ac:dyDescent="0.2">
      <c r="A1962" s="116">
        <f>IF(ISNUMBER(Tabela2[[#This Row],[CT-e/NFS]])=TRUE,(IF(B1962&gt;30000,4,IF(B1962&lt;1000,"ND",0))),"-")</f>
        <v>4</v>
      </c>
      <c r="B1962" s="116">
        <v>46712</v>
      </c>
      <c r="C1962" s="117">
        <v>45413</v>
      </c>
      <c r="D1962" s="116">
        <v>61.56</v>
      </c>
      <c r="E1962" s="117">
        <v>45427</v>
      </c>
      <c r="F1962" s="116">
        <f>COUNTIFS($A$3:A10218,A1962,$B$3:B10218,B1962)</f>
        <v>1</v>
      </c>
      <c r="G1962" s="116"/>
    </row>
    <row r="1963" spans="1:7" x14ac:dyDescent="0.2">
      <c r="A1963" s="116">
        <f>IF(ISNUMBER(Tabela2[[#This Row],[CT-e/NFS]])=TRUE,(IF(B1963&gt;30000,4,IF(B1963&lt;1000,"ND",0))),"-")</f>
        <v>4</v>
      </c>
      <c r="B1963" s="116">
        <v>46695</v>
      </c>
      <c r="C1963" s="117">
        <v>45413</v>
      </c>
      <c r="D1963" s="116">
        <v>529.20000000000005</v>
      </c>
      <c r="E1963" s="117">
        <v>45427</v>
      </c>
      <c r="F1963" s="116">
        <f>COUNTIFS($A$3:A10219,A1963,$B$3:B10219,B1963)</f>
        <v>1</v>
      </c>
      <c r="G1963" s="116"/>
    </row>
    <row r="1964" spans="1:7" x14ac:dyDescent="0.2">
      <c r="A1964" s="116">
        <f>IF(ISNUMBER(Tabela2[[#This Row],[CT-e/NFS]])=TRUE,(IF(B1964&gt;30000,4,IF(B1964&lt;1000,"ND",0))),"-")</f>
        <v>4</v>
      </c>
      <c r="B1964" s="116">
        <v>46692</v>
      </c>
      <c r="C1964" s="117">
        <v>45413</v>
      </c>
      <c r="D1964" s="116">
        <v>238.84</v>
      </c>
      <c r="E1964" s="117">
        <v>45427</v>
      </c>
      <c r="F1964" s="116">
        <f>COUNTIFS($A$3:A10220,A1964,$B$3:B10220,B1964)</f>
        <v>1</v>
      </c>
      <c r="G1964" s="116"/>
    </row>
    <row r="1965" spans="1:7" x14ac:dyDescent="0.2">
      <c r="A1965" s="116">
        <f>IF(ISNUMBER(Tabela2[[#This Row],[CT-e/NFS]])=TRUE,(IF(B1965&gt;30000,4,IF(B1965&lt;1000,"ND",0))),"-")</f>
        <v>4</v>
      </c>
      <c r="B1965" s="116">
        <v>46700</v>
      </c>
      <c r="C1965" s="117">
        <v>45413</v>
      </c>
      <c r="D1965" s="116">
        <v>124.41</v>
      </c>
      <c r="E1965" s="117">
        <v>45427</v>
      </c>
      <c r="F1965" s="116">
        <f>COUNTIFS($A$3:A10221,A1965,$B$3:B10221,B1965)</f>
        <v>1</v>
      </c>
      <c r="G1965" s="116"/>
    </row>
    <row r="1966" spans="1:7" x14ac:dyDescent="0.2">
      <c r="A1966" s="116">
        <f>IF(ISNUMBER(Tabela2[[#This Row],[CT-e/NFS]])=TRUE,(IF(B1966&gt;30000,4,IF(B1966&lt;1000,"ND",0))),"-")</f>
        <v>4</v>
      </c>
      <c r="B1966" s="116">
        <v>46701</v>
      </c>
      <c r="C1966" s="117">
        <v>45413</v>
      </c>
      <c r="D1966" s="116">
        <v>123.86</v>
      </c>
      <c r="E1966" s="117">
        <v>45427</v>
      </c>
      <c r="F1966" s="116">
        <f>COUNTIFS($A$3:A10222,A1966,$B$3:B10222,B1966)</f>
        <v>1</v>
      </c>
      <c r="G1966" s="116"/>
    </row>
    <row r="1967" spans="1:7" x14ac:dyDescent="0.2">
      <c r="A1967" s="116">
        <f>IF(ISNUMBER(Tabela2[[#This Row],[CT-e/NFS]])=TRUE,(IF(B1967&gt;30000,4,IF(B1967&lt;1000,"ND",0))),"-")</f>
        <v>4</v>
      </c>
      <c r="B1967" s="116">
        <v>46697</v>
      </c>
      <c r="C1967" s="117">
        <v>45413</v>
      </c>
      <c r="D1967" s="116">
        <v>125.69</v>
      </c>
      <c r="E1967" s="117">
        <v>45427</v>
      </c>
      <c r="F1967" s="116">
        <f>COUNTIFS($A$3:A10223,A1967,$B$3:B10223,B1967)</f>
        <v>1</v>
      </c>
      <c r="G1967" s="116"/>
    </row>
    <row r="1968" spans="1:7" x14ac:dyDescent="0.2">
      <c r="A1968" s="116">
        <f>IF(ISNUMBER(Tabela2[[#This Row],[CT-e/NFS]])=TRUE,(IF(B1968&gt;30000,4,IF(B1968&lt;1000,"ND",0))),"-")</f>
        <v>4</v>
      </c>
      <c r="B1968" s="116">
        <v>46702</v>
      </c>
      <c r="C1968" s="117">
        <v>45413</v>
      </c>
      <c r="D1968" s="116">
        <v>124.33</v>
      </c>
      <c r="E1968" s="117">
        <v>45427</v>
      </c>
      <c r="F1968" s="116">
        <f>COUNTIFS($A$3:A10224,A1968,$B$3:B10224,B1968)</f>
        <v>1</v>
      </c>
      <c r="G1968" s="116"/>
    </row>
    <row r="1969" spans="1:7" x14ac:dyDescent="0.2">
      <c r="A1969" s="116">
        <f>IF(ISNUMBER(Tabela2[[#This Row],[CT-e/NFS]])=TRUE,(IF(B1969&gt;30000,4,IF(B1969&lt;1000,"ND",0))),"-")</f>
        <v>4</v>
      </c>
      <c r="B1969" s="116">
        <v>46694</v>
      </c>
      <c r="C1969" s="117">
        <v>45413</v>
      </c>
      <c r="D1969" s="116">
        <v>246.33</v>
      </c>
      <c r="E1969" s="117">
        <v>45427</v>
      </c>
      <c r="F1969" s="116">
        <f>COUNTIFS($A$3:A10225,A1969,$B$3:B10225,B1969)</f>
        <v>1</v>
      </c>
      <c r="G1969" s="116"/>
    </row>
    <row r="1970" spans="1:7" x14ac:dyDescent="0.2">
      <c r="A1970" s="116">
        <f>IF(ISNUMBER(Tabela2[[#This Row],[CT-e/NFS]])=TRUE,(IF(B1970&gt;30000,4,IF(B1970&lt;1000,"ND",0))),"-")</f>
        <v>4</v>
      </c>
      <c r="B1970" s="116">
        <v>46698</v>
      </c>
      <c r="C1970" s="117">
        <v>45413</v>
      </c>
      <c r="D1970" s="116">
        <v>238.86</v>
      </c>
      <c r="E1970" s="117">
        <v>45427</v>
      </c>
      <c r="F1970" s="116">
        <f>COUNTIFS($A$3:A10226,A1970,$B$3:B10226,B1970)</f>
        <v>1</v>
      </c>
      <c r="G1970" s="116"/>
    </row>
    <row r="1971" spans="1:7" x14ac:dyDescent="0.2">
      <c r="A1971" s="116">
        <f>IF(ISNUMBER(Tabela2[[#This Row],[CT-e/NFS]])=TRUE,(IF(B1971&gt;30000,4,IF(B1971&lt;1000,"ND",0))),"-")</f>
        <v>4</v>
      </c>
      <c r="B1971" s="116">
        <v>46709</v>
      </c>
      <c r="C1971" s="117">
        <v>45413</v>
      </c>
      <c r="D1971" s="116">
        <v>123.99</v>
      </c>
      <c r="E1971" s="117">
        <v>45427</v>
      </c>
      <c r="F1971" s="116">
        <f>COUNTIFS($A$3:A10227,A1971,$B$3:B10227,B1971)</f>
        <v>1</v>
      </c>
      <c r="G1971" s="116"/>
    </row>
    <row r="1972" spans="1:7" x14ac:dyDescent="0.2">
      <c r="A1972" s="116">
        <f>IF(ISNUMBER(Tabela2[[#This Row],[CT-e/NFS]])=TRUE,(IF(B1972&gt;30000,4,IF(B1972&lt;1000,"ND",0))),"-")</f>
        <v>4</v>
      </c>
      <c r="B1972" s="116">
        <v>46706</v>
      </c>
      <c r="C1972" s="117">
        <v>45413</v>
      </c>
      <c r="D1972" s="116">
        <v>125.03</v>
      </c>
      <c r="E1972" s="117">
        <v>45427</v>
      </c>
      <c r="F1972" s="116">
        <f>COUNTIFS($A$3:A10228,A1972,$B$3:B10228,B1972)</f>
        <v>1</v>
      </c>
      <c r="G1972" s="116"/>
    </row>
    <row r="1973" spans="1:7" x14ac:dyDescent="0.2">
      <c r="A1973" s="116">
        <f>IF(ISNUMBER(Tabela2[[#This Row],[CT-e/NFS]])=TRUE,(IF(B1973&gt;30000,4,IF(B1973&lt;1000,"ND",0))),"-")</f>
        <v>4</v>
      </c>
      <c r="B1973" s="116">
        <v>46705</v>
      </c>
      <c r="C1973" s="117">
        <v>45413</v>
      </c>
      <c r="D1973" s="116">
        <v>279.91000000000003</v>
      </c>
      <c r="E1973" s="117">
        <v>45427</v>
      </c>
      <c r="F1973" s="116">
        <f>COUNTIFS($A$3:A10229,A1973,$B$3:B10229,B1973)</f>
        <v>1</v>
      </c>
      <c r="G1973" s="116"/>
    </row>
    <row r="1974" spans="1:7" x14ac:dyDescent="0.2">
      <c r="A1974" s="116">
        <f>IF(ISNUMBER(Tabela2[[#This Row],[CT-e/NFS]])=TRUE,(IF(B1974&gt;30000,4,IF(B1974&lt;1000,"ND",0))),"-")</f>
        <v>4</v>
      </c>
      <c r="B1974" s="116">
        <v>46703</v>
      </c>
      <c r="C1974" s="117">
        <v>45413</v>
      </c>
      <c r="D1974" s="116">
        <v>122.89</v>
      </c>
      <c r="E1974" s="117">
        <v>45427</v>
      </c>
      <c r="F1974" s="116">
        <f>COUNTIFS($A$3:A10230,A1974,$B$3:B10230,B1974)</f>
        <v>1</v>
      </c>
      <c r="G1974" s="116"/>
    </row>
    <row r="1975" spans="1:7" x14ac:dyDescent="0.2">
      <c r="A1975" s="116">
        <f>IF(ISNUMBER(Tabela2[[#This Row],[CT-e/NFS]])=TRUE,(IF(B1975&gt;30000,4,IF(B1975&lt;1000,"ND",0))),"-")</f>
        <v>4</v>
      </c>
      <c r="B1975" s="116">
        <v>46713</v>
      </c>
      <c r="C1975" s="117">
        <v>45413</v>
      </c>
      <c r="D1975" s="116">
        <v>585.70000000000005</v>
      </c>
      <c r="E1975" s="117">
        <v>45427</v>
      </c>
      <c r="F1975" s="116">
        <f>COUNTIFS($A$3:A10231,A1975,$B$3:B10231,B1975)</f>
        <v>1</v>
      </c>
      <c r="G1975" s="116"/>
    </row>
    <row r="1976" spans="1:7" x14ac:dyDescent="0.2">
      <c r="A1976" s="116">
        <f>IF(ISNUMBER(Tabela2[[#This Row],[CT-e/NFS]])=TRUE,(IF(B1976&gt;30000,4,IF(B1976&lt;1000,"ND",0))),"-")</f>
        <v>4</v>
      </c>
      <c r="B1976" s="116">
        <v>46704</v>
      </c>
      <c r="C1976" s="117">
        <v>45413</v>
      </c>
      <c r="D1976" s="116">
        <v>124.38</v>
      </c>
      <c r="E1976" s="117">
        <v>45427</v>
      </c>
      <c r="F1976" s="116">
        <f>COUNTIFS($A$3:A10232,A1976,$B$3:B10232,B1976)</f>
        <v>1</v>
      </c>
      <c r="G1976" s="116"/>
    </row>
    <row r="1977" spans="1:7" x14ac:dyDescent="0.2">
      <c r="A1977" s="116">
        <f>IF(ISNUMBER(Tabela2[[#This Row],[CT-e/NFS]])=TRUE,(IF(B1977&gt;30000,4,IF(B1977&lt;1000,"ND",0))),"-")</f>
        <v>4</v>
      </c>
      <c r="B1977" s="116">
        <v>46699</v>
      </c>
      <c r="C1977" s="117">
        <v>45413</v>
      </c>
      <c r="D1977" s="116">
        <v>161.59</v>
      </c>
      <c r="E1977" s="117">
        <v>45427</v>
      </c>
      <c r="F1977" s="116">
        <f>COUNTIFS($A$3:A10233,A1977,$B$3:B10233,B1977)</f>
        <v>1</v>
      </c>
      <c r="G1977" s="116"/>
    </row>
    <row r="1978" spans="1:7" x14ac:dyDescent="0.2">
      <c r="A1978" s="116">
        <f>IF(ISNUMBER(Tabela2[[#This Row],[CT-e/NFS]])=TRUE,(IF(B1978&gt;30000,4,IF(B1978&lt;1000,"ND",0))),"-")</f>
        <v>4</v>
      </c>
      <c r="B1978" s="116">
        <v>46716</v>
      </c>
      <c r="C1978" s="117">
        <v>45413</v>
      </c>
      <c r="D1978" s="116">
        <v>512.13</v>
      </c>
      <c r="E1978" s="117">
        <v>45427</v>
      </c>
      <c r="F1978" s="116">
        <f>COUNTIFS($A$3:A10234,A1978,$B$3:B10234,B1978)</f>
        <v>1</v>
      </c>
      <c r="G1978" s="116"/>
    </row>
    <row r="1979" spans="1:7" x14ac:dyDescent="0.2">
      <c r="A1979" s="116">
        <f>IF(ISNUMBER(Tabela2[[#This Row],[CT-e/NFS]])=TRUE,(IF(B1979&gt;30000,4,IF(B1979&lt;1000,"ND",0))),"-")</f>
        <v>4</v>
      </c>
      <c r="B1979" s="116">
        <v>46715</v>
      </c>
      <c r="C1979" s="117">
        <v>45413</v>
      </c>
      <c r="D1979" s="116">
        <v>590.52</v>
      </c>
      <c r="E1979" s="117">
        <v>45427</v>
      </c>
      <c r="F1979" s="116">
        <f>COUNTIFS($A$3:A10235,A1979,$B$3:B10235,B1979)</f>
        <v>1</v>
      </c>
      <c r="G1979" s="116"/>
    </row>
    <row r="1980" spans="1:7" x14ac:dyDescent="0.2">
      <c r="A1980" s="116">
        <f>IF(ISNUMBER(Tabela2[[#This Row],[CT-e/NFS]])=TRUE,(IF(B1980&gt;30000,4,IF(B1980&lt;1000,"ND",0))),"-")</f>
        <v>4</v>
      </c>
      <c r="B1980" s="116">
        <v>46714</v>
      </c>
      <c r="C1980" s="117">
        <v>45413</v>
      </c>
      <c r="D1980" s="116">
        <v>655.65</v>
      </c>
      <c r="E1980" s="117">
        <v>45427</v>
      </c>
      <c r="F1980" s="116">
        <f>COUNTIFS($A$3:A10236,A1980,$B$3:B10236,B1980)</f>
        <v>1</v>
      </c>
      <c r="G1980" s="116"/>
    </row>
    <row r="1981" spans="1:7" x14ac:dyDescent="0.2">
      <c r="A1981" s="116">
        <f>IF(ISNUMBER(Tabela2[[#This Row],[CT-e/NFS]])=TRUE,(IF(B1981&gt;30000,4,IF(B1981&lt;1000,"ND",0))),"-")</f>
        <v>4</v>
      </c>
      <c r="B1981" s="116">
        <v>46717</v>
      </c>
      <c r="C1981" s="117">
        <v>45413</v>
      </c>
      <c r="D1981" s="116">
        <v>1197.58</v>
      </c>
      <c r="E1981" s="117">
        <v>45427</v>
      </c>
      <c r="F1981" s="116">
        <f>COUNTIFS($A$3:A10237,A1981,$B$3:B10237,B1981)</f>
        <v>1</v>
      </c>
      <c r="G1981" s="116"/>
    </row>
    <row r="1982" spans="1:7" x14ac:dyDescent="0.2">
      <c r="A1982" s="116">
        <f>IF(ISNUMBER(Tabela2[[#This Row],[CT-e/NFS]])=TRUE,(IF(B1982&gt;30000,4,IF(B1982&lt;1000,"ND",0))),"-")</f>
        <v>4</v>
      </c>
      <c r="B1982" s="116">
        <v>46730</v>
      </c>
      <c r="C1982" s="117">
        <v>45413</v>
      </c>
      <c r="D1982" s="116">
        <v>493.34</v>
      </c>
      <c r="E1982" s="117">
        <v>45427</v>
      </c>
      <c r="F1982" s="116">
        <f>COUNTIFS($A$3:A10238,A1982,$B$3:B10238,B1982)</f>
        <v>1</v>
      </c>
      <c r="G1982" s="116"/>
    </row>
    <row r="1983" spans="1:7" x14ac:dyDescent="0.2">
      <c r="A1983" s="116">
        <f>IF(ISNUMBER(Tabela2[[#This Row],[CT-e/NFS]])=TRUE,(IF(B1983&gt;30000,4,IF(B1983&lt;1000,"ND",0))),"-")</f>
        <v>4</v>
      </c>
      <c r="B1983" s="116">
        <v>46725</v>
      </c>
      <c r="C1983" s="117">
        <v>45413</v>
      </c>
      <c r="D1983" s="116">
        <v>646.36</v>
      </c>
      <c r="E1983" s="117">
        <v>45427</v>
      </c>
      <c r="F1983" s="116">
        <f>COUNTIFS($A$3:A10239,A1983,$B$3:B10239,B1983)</f>
        <v>1</v>
      </c>
      <c r="G1983" s="116"/>
    </row>
    <row r="1984" spans="1:7" x14ac:dyDescent="0.2">
      <c r="A1984" s="116">
        <f>IF(ISNUMBER(Tabela2[[#This Row],[CT-e/NFS]])=TRUE,(IF(B1984&gt;30000,4,IF(B1984&lt;1000,"ND",0))),"-")</f>
        <v>4</v>
      </c>
      <c r="B1984" s="116">
        <v>46728</v>
      </c>
      <c r="C1984" s="117">
        <v>45413</v>
      </c>
      <c r="D1984" s="116">
        <v>122.89</v>
      </c>
      <c r="E1984" s="117">
        <v>45427</v>
      </c>
      <c r="F1984" s="116">
        <f>COUNTIFS($A$3:A10240,A1984,$B$3:B10240,B1984)</f>
        <v>1</v>
      </c>
      <c r="G1984" s="116"/>
    </row>
    <row r="1985" spans="1:7" x14ac:dyDescent="0.2">
      <c r="A1985" s="116">
        <f>IF(ISNUMBER(Tabela2[[#This Row],[CT-e/NFS]])=TRUE,(IF(B1985&gt;30000,4,IF(B1985&lt;1000,"ND",0))),"-")</f>
        <v>4</v>
      </c>
      <c r="B1985" s="116">
        <v>46727</v>
      </c>
      <c r="C1985" s="117">
        <v>45413</v>
      </c>
      <c r="D1985" s="116">
        <v>126.31</v>
      </c>
      <c r="E1985" s="117">
        <v>45427</v>
      </c>
      <c r="F1985" s="116">
        <f>COUNTIFS($A$3:A10241,A1985,$B$3:B10241,B1985)</f>
        <v>1</v>
      </c>
      <c r="G1985" s="116"/>
    </row>
    <row r="1986" spans="1:7" x14ac:dyDescent="0.2">
      <c r="A1986" s="116">
        <f>IF(ISNUMBER(Tabela2[[#This Row],[CT-e/NFS]])=TRUE,(IF(B1986&gt;30000,4,IF(B1986&lt;1000,"ND",0))),"-")</f>
        <v>4</v>
      </c>
      <c r="B1986" s="116">
        <v>46731</v>
      </c>
      <c r="C1986" s="117">
        <v>45413</v>
      </c>
      <c r="D1986" s="116">
        <v>123.26</v>
      </c>
      <c r="E1986" s="117">
        <v>45427</v>
      </c>
      <c r="F1986" s="116">
        <f>COUNTIFS($A$3:A10242,A1986,$B$3:B10242,B1986)</f>
        <v>1</v>
      </c>
      <c r="G1986" s="116"/>
    </row>
    <row r="1987" spans="1:7" x14ac:dyDescent="0.2">
      <c r="A1987" s="116">
        <f>IF(ISNUMBER(Tabela2[[#This Row],[CT-e/NFS]])=TRUE,(IF(B1987&gt;30000,4,IF(B1987&lt;1000,"ND",0))),"-")</f>
        <v>4</v>
      </c>
      <c r="B1987" s="116">
        <v>46721</v>
      </c>
      <c r="C1987" s="117">
        <v>45413</v>
      </c>
      <c r="D1987" s="116">
        <v>2616.02</v>
      </c>
      <c r="E1987" s="117">
        <v>45427</v>
      </c>
      <c r="F1987" s="116">
        <f>COUNTIFS($A$3:A10243,A1987,$B$3:B10243,B1987)</f>
        <v>1</v>
      </c>
      <c r="G1987" s="116"/>
    </row>
    <row r="1988" spans="1:7" x14ac:dyDescent="0.2">
      <c r="A1988" s="116">
        <f>IF(ISNUMBER(Tabela2[[#This Row],[CT-e/NFS]])=TRUE,(IF(B1988&gt;30000,4,IF(B1988&lt;1000,"ND",0))),"-")</f>
        <v>4</v>
      </c>
      <c r="B1988" s="116">
        <v>46733</v>
      </c>
      <c r="C1988" s="117">
        <v>45413</v>
      </c>
      <c r="D1988" s="116">
        <v>124.18</v>
      </c>
      <c r="E1988" s="117">
        <v>45427</v>
      </c>
      <c r="F1988" s="116">
        <f>COUNTIFS($A$3:A10244,A1988,$B$3:B10244,B1988)</f>
        <v>1</v>
      </c>
      <c r="G1988" s="116"/>
    </row>
    <row r="1989" spans="1:7" x14ac:dyDescent="0.2">
      <c r="A1989" s="116">
        <f>IF(ISNUMBER(Tabela2[[#This Row],[CT-e/NFS]])=TRUE,(IF(B1989&gt;30000,4,IF(B1989&lt;1000,"ND",0))),"-")</f>
        <v>4</v>
      </c>
      <c r="B1989" s="116">
        <v>46734</v>
      </c>
      <c r="C1989" s="117">
        <v>45413</v>
      </c>
      <c r="D1989" s="116">
        <v>189.68</v>
      </c>
      <c r="E1989" s="117">
        <v>45427</v>
      </c>
      <c r="F1989" s="116">
        <f>COUNTIFS($A$3:A10245,A1989,$B$3:B10245,B1989)</f>
        <v>1</v>
      </c>
      <c r="G1989" s="116"/>
    </row>
    <row r="1990" spans="1:7" x14ac:dyDescent="0.2">
      <c r="A1990" s="116">
        <f>IF(ISNUMBER(Tabela2[[#This Row],[CT-e/NFS]])=TRUE,(IF(B1990&gt;30000,4,IF(B1990&lt;1000,"ND",0))),"-")</f>
        <v>4</v>
      </c>
      <c r="B1990" s="116">
        <v>46726</v>
      </c>
      <c r="C1990" s="117">
        <v>45413</v>
      </c>
      <c r="D1990" s="116">
        <v>124.15</v>
      </c>
      <c r="E1990" s="117">
        <v>45427</v>
      </c>
      <c r="F1990" s="116">
        <f>COUNTIFS($A$3:A10246,A1990,$B$3:B10246,B1990)</f>
        <v>1</v>
      </c>
      <c r="G1990" s="116"/>
    </row>
    <row r="1991" spans="1:7" x14ac:dyDescent="0.2">
      <c r="A1991" s="116">
        <f>IF(ISNUMBER(Tabela2[[#This Row],[CT-e/NFS]])=TRUE,(IF(B1991&gt;30000,4,IF(B1991&lt;1000,"ND",0))),"-")</f>
        <v>4</v>
      </c>
      <c r="B1991" s="116">
        <v>46720</v>
      </c>
      <c r="C1991" s="117">
        <v>45413</v>
      </c>
      <c r="D1991" s="116">
        <v>246.33</v>
      </c>
      <c r="E1991" s="117">
        <v>45427</v>
      </c>
      <c r="F1991" s="116">
        <f>COUNTIFS($A$3:A10247,A1991,$B$3:B10247,B1991)</f>
        <v>1</v>
      </c>
      <c r="G1991" s="116"/>
    </row>
    <row r="1992" spans="1:7" x14ac:dyDescent="0.2">
      <c r="A1992" s="116">
        <f>IF(ISNUMBER(Tabela2[[#This Row],[CT-e/NFS]])=TRUE,(IF(B1992&gt;30000,4,IF(B1992&lt;1000,"ND",0))),"-")</f>
        <v>4</v>
      </c>
      <c r="B1992" s="116">
        <v>46732</v>
      </c>
      <c r="C1992" s="117">
        <v>45413</v>
      </c>
      <c r="D1992" s="116">
        <v>86.77</v>
      </c>
      <c r="E1992" s="117">
        <v>45427</v>
      </c>
      <c r="F1992" s="116">
        <f>COUNTIFS($A$3:A10248,A1992,$B$3:B10248,B1992)</f>
        <v>1</v>
      </c>
      <c r="G1992" s="116"/>
    </row>
    <row r="1993" spans="1:7" x14ac:dyDescent="0.2">
      <c r="A1993" s="116">
        <f>IF(ISNUMBER(Tabela2[[#This Row],[CT-e/NFS]])=TRUE,(IF(B1993&gt;30000,4,IF(B1993&lt;1000,"ND",0))),"-")</f>
        <v>4</v>
      </c>
      <c r="B1993" s="116">
        <v>46724</v>
      </c>
      <c r="C1993" s="117">
        <v>45413</v>
      </c>
      <c r="D1993" s="116">
        <v>124.15</v>
      </c>
      <c r="E1993" s="117">
        <v>45427</v>
      </c>
      <c r="F1993" s="116">
        <f>COUNTIFS($A$3:A10249,A1993,$B$3:B10249,B1993)</f>
        <v>1</v>
      </c>
      <c r="G1993" s="116"/>
    </row>
    <row r="1994" spans="1:7" x14ac:dyDescent="0.2">
      <c r="A1994" s="116">
        <f>IF(ISNUMBER(Tabela2[[#This Row],[CT-e/NFS]])=TRUE,(IF(B1994&gt;30000,4,IF(B1994&lt;1000,"ND",0))),"-")</f>
        <v>4</v>
      </c>
      <c r="B1994" s="116">
        <v>46723</v>
      </c>
      <c r="C1994" s="117">
        <v>45413</v>
      </c>
      <c r="D1994" s="116">
        <v>125.35</v>
      </c>
      <c r="E1994" s="117">
        <v>45427</v>
      </c>
      <c r="F1994" s="116">
        <f>COUNTIFS($A$3:A10250,A1994,$B$3:B10250,B1994)</f>
        <v>1</v>
      </c>
      <c r="G1994" s="116"/>
    </row>
    <row r="1995" spans="1:7" x14ac:dyDescent="0.2">
      <c r="A1995" s="116">
        <f>IF(ISNUMBER(Tabela2[[#This Row],[CT-e/NFS]])=TRUE,(IF(B1995&gt;30000,4,IF(B1995&lt;1000,"ND",0))),"-")</f>
        <v>4</v>
      </c>
      <c r="B1995" s="116">
        <v>46722</v>
      </c>
      <c r="C1995" s="117">
        <v>45413</v>
      </c>
      <c r="D1995" s="116">
        <v>278.64999999999998</v>
      </c>
      <c r="E1995" s="117">
        <v>45427</v>
      </c>
      <c r="F1995" s="116">
        <f>COUNTIFS($A$3:A10251,A1995,$B$3:B10251,B1995)</f>
        <v>1</v>
      </c>
      <c r="G1995" s="116"/>
    </row>
    <row r="1996" spans="1:7" x14ac:dyDescent="0.2">
      <c r="A1996" s="116">
        <f>IF(ISNUMBER(Tabela2[[#This Row],[CT-e/NFS]])=TRUE,(IF(B1996&gt;30000,4,IF(B1996&lt;1000,"ND",0))),"-")</f>
        <v>4</v>
      </c>
      <c r="B1996" s="116">
        <v>46719</v>
      </c>
      <c r="C1996" s="117">
        <v>45413</v>
      </c>
      <c r="D1996" s="116">
        <v>854.27</v>
      </c>
      <c r="E1996" s="117">
        <v>45427</v>
      </c>
      <c r="F1996" s="116">
        <f>COUNTIFS($A$3:A10252,A1996,$B$3:B10252,B1996)</f>
        <v>1</v>
      </c>
      <c r="G1996" s="116"/>
    </row>
    <row r="1997" spans="1:7" x14ac:dyDescent="0.2">
      <c r="A1997" s="116">
        <f>IF(ISNUMBER(Tabela2[[#This Row],[CT-e/NFS]])=TRUE,(IF(B1997&gt;30000,4,IF(B1997&lt;1000,"ND",0))),"-")</f>
        <v>4</v>
      </c>
      <c r="B1997" s="116">
        <v>46739</v>
      </c>
      <c r="C1997" s="117">
        <v>45413</v>
      </c>
      <c r="D1997" s="116">
        <v>3191.16</v>
      </c>
      <c r="E1997" s="117">
        <v>45427</v>
      </c>
      <c r="F1997" s="116">
        <f>COUNTIFS($A$3:A10253,A1997,$B$3:B10253,B1997)</f>
        <v>1</v>
      </c>
      <c r="G1997" s="116"/>
    </row>
    <row r="1998" spans="1:7" x14ac:dyDescent="0.2">
      <c r="A1998" s="116">
        <f>IF(ISNUMBER(Tabela2[[#This Row],[CT-e/NFS]])=TRUE,(IF(B1998&gt;30000,4,IF(B1998&lt;1000,"ND",0))),"-")</f>
        <v>0</v>
      </c>
      <c r="B1998" s="116">
        <v>21323</v>
      </c>
      <c r="C1998" s="117">
        <v>45413</v>
      </c>
      <c r="D1998" s="116">
        <v>320.76</v>
      </c>
      <c r="E1998" s="117">
        <v>45427</v>
      </c>
      <c r="F1998" s="116">
        <f>COUNTIFS($A$3:A10254,A1998,$B$3:B10254,B1998)</f>
        <v>1</v>
      </c>
      <c r="G1998" s="116"/>
    </row>
    <row r="1999" spans="1:7" x14ac:dyDescent="0.2">
      <c r="A1999" s="116">
        <f>IF(ISNUMBER(Tabela2[[#This Row],[CT-e/NFS]])=TRUE,(IF(B1999&gt;30000,4,IF(B1999&lt;1000,"ND",0))),"-")</f>
        <v>0</v>
      </c>
      <c r="B1999" s="116">
        <v>21327</v>
      </c>
      <c r="C1999" s="117">
        <v>45413</v>
      </c>
      <c r="D1999" s="116">
        <v>279.43</v>
      </c>
      <c r="E1999" s="117">
        <v>45427</v>
      </c>
      <c r="F1999" s="116">
        <f>COUNTIFS($A$3:A10255,A1999,$B$3:B10255,B1999)</f>
        <v>1</v>
      </c>
      <c r="G1999" s="116"/>
    </row>
    <row r="2000" spans="1:7" x14ac:dyDescent="0.2">
      <c r="A2000" s="116">
        <f>IF(ISNUMBER(Tabela2[[#This Row],[CT-e/NFS]])=TRUE,(IF(B2000&gt;30000,4,IF(B2000&lt;1000,"ND",0))),"-")</f>
        <v>0</v>
      </c>
      <c r="B2000" s="116">
        <v>21324</v>
      </c>
      <c r="C2000" s="117">
        <v>45413</v>
      </c>
      <c r="D2000" s="116">
        <v>166.02</v>
      </c>
      <c r="E2000" s="117">
        <v>45427</v>
      </c>
      <c r="F2000" s="116">
        <f>COUNTIFS($A$3:A10256,A2000,$B$3:B10256,B2000)</f>
        <v>1</v>
      </c>
      <c r="G2000" s="116"/>
    </row>
    <row r="2001" spans="1:7" x14ac:dyDescent="0.2">
      <c r="A2001" s="116">
        <f>IF(ISNUMBER(Tabela2[[#This Row],[CT-e/NFS]])=TRUE,(IF(B2001&gt;30000,4,IF(B2001&lt;1000,"ND",0))),"-")</f>
        <v>0</v>
      </c>
      <c r="B2001" s="116">
        <v>21325</v>
      </c>
      <c r="C2001" s="117">
        <v>45413</v>
      </c>
      <c r="D2001" s="116">
        <v>76.47</v>
      </c>
      <c r="E2001" s="117">
        <v>45427</v>
      </c>
      <c r="F2001" s="116">
        <f>COUNTIFS($A$3:A10257,A2001,$B$3:B10257,B2001)</f>
        <v>1</v>
      </c>
      <c r="G2001" s="116"/>
    </row>
    <row r="2002" spans="1:7" x14ac:dyDescent="0.2">
      <c r="A2002" s="116">
        <f>IF(ISNUMBER(Tabela2[[#This Row],[CT-e/NFS]])=TRUE,(IF(B2002&gt;30000,4,IF(B2002&lt;1000,"ND",0))),"-")</f>
        <v>0</v>
      </c>
      <c r="B2002" s="116">
        <v>21326</v>
      </c>
      <c r="C2002" s="117">
        <v>45413</v>
      </c>
      <c r="D2002" s="116">
        <v>76.36</v>
      </c>
      <c r="E2002" s="117">
        <v>45427</v>
      </c>
      <c r="F2002" s="116">
        <f>COUNTIFS($A$3:A10258,A2002,$B$3:B10258,B2002)</f>
        <v>1</v>
      </c>
      <c r="G2002" s="116"/>
    </row>
    <row r="2003" spans="1:7" x14ac:dyDescent="0.2">
      <c r="A2003" s="116">
        <f>IF(ISNUMBER(Tabela2[[#This Row],[CT-e/NFS]])=TRUE,(IF(B2003&gt;30000,4,IF(B2003&lt;1000,"ND",0))),"-")</f>
        <v>0</v>
      </c>
      <c r="B2003" s="116">
        <v>21329</v>
      </c>
      <c r="C2003" s="117">
        <v>45413</v>
      </c>
      <c r="D2003" s="116">
        <v>76.39</v>
      </c>
      <c r="E2003" s="117">
        <v>45427</v>
      </c>
      <c r="F2003" s="116">
        <f>COUNTIFS($A$3:A10259,A2003,$B$3:B10259,B2003)</f>
        <v>1</v>
      </c>
      <c r="G2003" s="116"/>
    </row>
    <row r="2004" spans="1:7" x14ac:dyDescent="0.2">
      <c r="A2004" s="116">
        <f>IF(ISNUMBER(Tabela2[[#This Row],[CT-e/NFS]])=TRUE,(IF(B2004&gt;30000,4,IF(B2004&lt;1000,"ND",0))),"-")</f>
        <v>0</v>
      </c>
      <c r="B2004" s="116">
        <v>21331</v>
      </c>
      <c r="C2004" s="117">
        <v>45413</v>
      </c>
      <c r="D2004" s="116">
        <v>80.8</v>
      </c>
      <c r="E2004" s="117">
        <v>45427</v>
      </c>
      <c r="F2004" s="116">
        <f>COUNTIFS($A$3:A10260,A2004,$B$3:B10260,B2004)</f>
        <v>1</v>
      </c>
      <c r="G2004" s="116"/>
    </row>
    <row r="2005" spans="1:7" x14ac:dyDescent="0.2">
      <c r="A2005" s="116">
        <f>IF(ISNUMBER(Tabela2[[#This Row],[CT-e/NFS]])=TRUE,(IF(B2005&gt;30000,4,IF(B2005&lt;1000,"ND",0))),"-")</f>
        <v>0</v>
      </c>
      <c r="B2005" s="116">
        <v>21330</v>
      </c>
      <c r="C2005" s="117">
        <v>45413</v>
      </c>
      <c r="D2005" s="116">
        <v>128.04</v>
      </c>
      <c r="E2005" s="117">
        <v>45427</v>
      </c>
      <c r="F2005" s="116">
        <f>COUNTIFS($A$3:A10261,A2005,$B$3:B10261,B2005)</f>
        <v>1</v>
      </c>
      <c r="G2005" s="116"/>
    </row>
    <row r="2006" spans="1:7" x14ac:dyDescent="0.2">
      <c r="A2006" s="116">
        <f>IF(ISNUMBER(Tabela2[[#This Row],[CT-e/NFS]])=TRUE,(IF(B2006&gt;30000,4,IF(B2006&lt;1000,"ND",0))),"-")</f>
        <v>0</v>
      </c>
      <c r="B2006" s="116">
        <v>21332</v>
      </c>
      <c r="C2006" s="117">
        <v>45413</v>
      </c>
      <c r="D2006" s="116">
        <v>97.96</v>
      </c>
      <c r="E2006" s="117">
        <v>45427</v>
      </c>
      <c r="F2006" s="116">
        <f>COUNTIFS($A$3:A10262,A2006,$B$3:B10262,B2006)</f>
        <v>1</v>
      </c>
      <c r="G2006" s="116"/>
    </row>
    <row r="2007" spans="1:7" x14ac:dyDescent="0.2">
      <c r="A2007" s="116">
        <f>IF(ISNUMBER(Tabela2[[#This Row],[CT-e/NFS]])=TRUE,(IF(B2007&gt;30000,4,IF(B2007&lt;1000,"ND",0))),"-")</f>
        <v>0</v>
      </c>
      <c r="B2007" s="116">
        <v>21334</v>
      </c>
      <c r="C2007" s="117">
        <v>45413</v>
      </c>
      <c r="D2007" s="116">
        <v>76.41</v>
      </c>
      <c r="E2007" s="117">
        <v>45427</v>
      </c>
      <c r="F2007" s="116">
        <f>COUNTIFS($A$3:A10263,A2007,$B$3:B10263,B2007)</f>
        <v>1</v>
      </c>
      <c r="G2007" s="116"/>
    </row>
    <row r="2008" spans="1:7" x14ac:dyDescent="0.2">
      <c r="A2008" s="116">
        <f>IF(ISNUMBER(Tabela2[[#This Row],[CT-e/NFS]])=TRUE,(IF(B2008&gt;30000,4,IF(B2008&lt;1000,"ND",0))),"-")</f>
        <v>0</v>
      </c>
      <c r="B2008" s="116">
        <v>21333</v>
      </c>
      <c r="C2008" s="117">
        <v>45413</v>
      </c>
      <c r="D2008" s="116">
        <v>77.63</v>
      </c>
      <c r="E2008" s="117">
        <v>45427</v>
      </c>
      <c r="F2008" s="116">
        <f>COUNTIFS($A$3:A10264,A2008,$B$3:B10264,B2008)</f>
        <v>1</v>
      </c>
      <c r="G2008" s="116"/>
    </row>
    <row r="2009" spans="1:7" x14ac:dyDescent="0.2">
      <c r="A2009" s="116">
        <f>IF(ISNUMBER(Tabela2[[#This Row],[CT-e/NFS]])=TRUE,(IF(B2009&gt;30000,4,IF(B2009&lt;1000,"ND",0))),"-")</f>
        <v>0</v>
      </c>
      <c r="B2009" s="116">
        <v>21336</v>
      </c>
      <c r="C2009" s="117">
        <v>45413</v>
      </c>
      <c r="D2009" s="116">
        <v>454.8</v>
      </c>
      <c r="E2009" s="117">
        <v>45427</v>
      </c>
      <c r="F2009" s="116">
        <f>COUNTIFS($A$3:A10265,A2009,$B$3:B10265,B2009)</f>
        <v>1</v>
      </c>
      <c r="G2009" s="116"/>
    </row>
    <row r="2010" spans="1:7" x14ac:dyDescent="0.2">
      <c r="A2010" s="116">
        <f>IF(ISNUMBER(Tabela2[[#This Row],[CT-e/NFS]])=TRUE,(IF(B2010&gt;30000,4,IF(B2010&lt;1000,"ND",0))),"-")</f>
        <v>0</v>
      </c>
      <c r="B2010" s="116">
        <v>21335</v>
      </c>
      <c r="C2010" s="117">
        <v>45413</v>
      </c>
      <c r="D2010" s="116">
        <v>77.069999999999993</v>
      </c>
      <c r="E2010" s="117">
        <v>45427</v>
      </c>
      <c r="F2010" s="116">
        <f>COUNTIFS($A$3:A10266,A2010,$B$3:B10266,B2010)</f>
        <v>1</v>
      </c>
      <c r="G2010" s="116"/>
    </row>
    <row r="2011" spans="1:7" x14ac:dyDescent="0.2">
      <c r="A2011" s="116">
        <f>IF(ISNUMBER(Tabela2[[#This Row],[CT-e/NFS]])=TRUE,(IF(B2011&gt;30000,4,IF(B2011&lt;1000,"ND",0))),"-")</f>
        <v>4</v>
      </c>
      <c r="B2011" s="116">
        <v>46741</v>
      </c>
      <c r="C2011" s="117">
        <v>45413</v>
      </c>
      <c r="D2011" s="116">
        <v>1153.5999999999999</v>
      </c>
      <c r="E2011" s="117">
        <v>45427</v>
      </c>
      <c r="F2011" s="116">
        <f>COUNTIFS($A$3:A10267,A2011,$B$3:B10267,B2011)</f>
        <v>1</v>
      </c>
      <c r="G2011" s="116"/>
    </row>
    <row r="2012" spans="1:7" x14ac:dyDescent="0.2">
      <c r="A2012" s="116">
        <f>IF(ISNUMBER(Tabela2[[#This Row],[CT-e/NFS]])=TRUE,(IF(B2012&gt;30000,4,IF(B2012&lt;1000,"ND",0))),"-")</f>
        <v>4</v>
      </c>
      <c r="B2012" s="116">
        <v>46742</v>
      </c>
      <c r="C2012" s="117">
        <v>45413</v>
      </c>
      <c r="D2012" s="116">
        <v>538.76</v>
      </c>
      <c r="E2012" s="117">
        <v>45427</v>
      </c>
      <c r="F2012" s="116">
        <f>COUNTIFS($A$3:A10268,A2012,$B$3:B10268,B2012)</f>
        <v>1</v>
      </c>
      <c r="G2012" s="116"/>
    </row>
    <row r="2013" spans="1:7" x14ac:dyDescent="0.2">
      <c r="A2013" s="116">
        <f>IF(ISNUMBER(Tabela2[[#This Row],[CT-e/NFS]])=TRUE,(IF(B2013&gt;30000,4,IF(B2013&lt;1000,"ND",0))),"-")</f>
        <v>4</v>
      </c>
      <c r="B2013" s="116">
        <v>46754</v>
      </c>
      <c r="C2013" s="117">
        <v>45413</v>
      </c>
      <c r="D2013" s="116">
        <v>194.13</v>
      </c>
      <c r="E2013" s="117">
        <v>45427</v>
      </c>
      <c r="F2013" s="116">
        <f>COUNTIFS($A$3:A10269,A2013,$B$3:B10269,B2013)</f>
        <v>1</v>
      </c>
      <c r="G2013" s="116"/>
    </row>
    <row r="2014" spans="1:7" x14ac:dyDescent="0.2">
      <c r="A2014" s="116">
        <f>IF(ISNUMBER(Tabela2[[#This Row],[CT-e/NFS]])=TRUE,(IF(B2014&gt;30000,4,IF(B2014&lt;1000,"ND",0))),"-")</f>
        <v>4</v>
      </c>
      <c r="B2014" s="116">
        <v>46760</v>
      </c>
      <c r="C2014" s="117">
        <v>45413</v>
      </c>
      <c r="D2014" s="116">
        <v>591.72</v>
      </c>
      <c r="E2014" s="117">
        <v>45427</v>
      </c>
      <c r="F2014" s="116">
        <f>COUNTIFS($A$3:A10270,A2014,$B$3:B10270,B2014)</f>
        <v>1</v>
      </c>
      <c r="G2014" s="116"/>
    </row>
    <row r="2015" spans="1:7" x14ac:dyDescent="0.2">
      <c r="A2015" s="116">
        <f>IF(ISNUMBER(Tabela2[[#This Row],[CT-e/NFS]])=TRUE,(IF(B2015&gt;30000,4,IF(B2015&lt;1000,"ND",0))),"-")</f>
        <v>4</v>
      </c>
      <c r="B2015" s="116">
        <v>46748</v>
      </c>
      <c r="C2015" s="117">
        <v>45413</v>
      </c>
      <c r="D2015" s="116">
        <v>123.89</v>
      </c>
      <c r="E2015" s="117">
        <v>45427</v>
      </c>
      <c r="F2015" s="116">
        <f>COUNTIFS($A$3:A10271,A2015,$B$3:B10271,B2015)</f>
        <v>1</v>
      </c>
      <c r="G2015" s="116"/>
    </row>
    <row r="2016" spans="1:7" x14ac:dyDescent="0.2">
      <c r="A2016" s="116">
        <f>IF(ISNUMBER(Tabela2[[#This Row],[CT-e/NFS]])=TRUE,(IF(B2016&gt;30000,4,IF(B2016&lt;1000,"ND",0))),"-")</f>
        <v>4</v>
      </c>
      <c r="B2016" s="116">
        <v>46746</v>
      </c>
      <c r="C2016" s="117">
        <v>45413</v>
      </c>
      <c r="D2016" s="116">
        <v>123.51</v>
      </c>
      <c r="E2016" s="117">
        <v>45427</v>
      </c>
      <c r="F2016" s="116">
        <f>COUNTIFS($A$3:A10272,A2016,$B$3:B10272,B2016)</f>
        <v>1</v>
      </c>
      <c r="G2016" s="116"/>
    </row>
    <row r="2017" spans="1:7" x14ac:dyDescent="0.2">
      <c r="A2017" s="116">
        <f>IF(ISNUMBER(Tabela2[[#This Row],[CT-e/NFS]])=TRUE,(IF(B2017&gt;30000,4,IF(B2017&lt;1000,"ND",0))),"-")</f>
        <v>4</v>
      </c>
      <c r="B2017" s="116">
        <v>46745</v>
      </c>
      <c r="C2017" s="117">
        <v>45413</v>
      </c>
      <c r="D2017" s="116">
        <v>125.25</v>
      </c>
      <c r="E2017" s="117">
        <v>45427</v>
      </c>
      <c r="F2017" s="116">
        <f>COUNTIFS($A$3:A10273,A2017,$B$3:B10273,B2017)</f>
        <v>1</v>
      </c>
      <c r="G2017" s="116"/>
    </row>
    <row r="2018" spans="1:7" x14ac:dyDescent="0.2">
      <c r="A2018" s="116">
        <f>IF(ISNUMBER(Tabela2[[#This Row],[CT-e/NFS]])=TRUE,(IF(B2018&gt;30000,4,IF(B2018&lt;1000,"ND",0))),"-")</f>
        <v>4</v>
      </c>
      <c r="B2018" s="116">
        <v>46761</v>
      </c>
      <c r="C2018" s="117">
        <v>45413</v>
      </c>
      <c r="D2018" s="116">
        <v>609.98</v>
      </c>
      <c r="E2018" s="117">
        <v>45427</v>
      </c>
      <c r="F2018" s="116">
        <f>COUNTIFS($A$3:A10274,A2018,$B$3:B10274,B2018)</f>
        <v>1</v>
      </c>
      <c r="G2018" s="116"/>
    </row>
    <row r="2019" spans="1:7" x14ac:dyDescent="0.2">
      <c r="A2019" s="116">
        <f>IF(ISNUMBER(Tabela2[[#This Row],[CT-e/NFS]])=TRUE,(IF(B2019&gt;30000,4,IF(B2019&lt;1000,"ND",0))),"-")</f>
        <v>4</v>
      </c>
      <c r="B2019" s="116">
        <v>46749</v>
      </c>
      <c r="C2019" s="117">
        <v>45413</v>
      </c>
      <c r="D2019" s="116">
        <v>123.22</v>
      </c>
      <c r="E2019" s="117">
        <v>45427</v>
      </c>
      <c r="F2019" s="116">
        <f>COUNTIFS($A$3:A10275,A2019,$B$3:B10275,B2019)</f>
        <v>1</v>
      </c>
      <c r="G2019" s="116"/>
    </row>
    <row r="2020" spans="1:7" x14ac:dyDescent="0.2">
      <c r="A2020" s="116">
        <f>IF(ISNUMBER(Tabela2[[#This Row],[CT-e/NFS]])=TRUE,(IF(B2020&gt;30000,4,IF(B2020&lt;1000,"ND",0))),"-")</f>
        <v>4</v>
      </c>
      <c r="B2020" s="116">
        <v>46744</v>
      </c>
      <c r="C2020" s="117">
        <v>45413</v>
      </c>
      <c r="D2020" s="116">
        <v>124.16</v>
      </c>
      <c r="E2020" s="117">
        <v>45427</v>
      </c>
      <c r="F2020" s="116">
        <f>COUNTIFS($A$3:A10276,A2020,$B$3:B10276,B2020)</f>
        <v>1</v>
      </c>
      <c r="G2020" s="116"/>
    </row>
    <row r="2021" spans="1:7" x14ac:dyDescent="0.2">
      <c r="A2021" s="116">
        <f>IF(ISNUMBER(Tabela2[[#This Row],[CT-e/NFS]])=TRUE,(IF(B2021&gt;30000,4,IF(B2021&lt;1000,"ND",0))),"-")</f>
        <v>4</v>
      </c>
      <c r="B2021" s="116">
        <v>46752</v>
      </c>
      <c r="C2021" s="117">
        <v>45413</v>
      </c>
      <c r="D2021" s="116">
        <v>123.51</v>
      </c>
      <c r="E2021" s="117">
        <v>45427</v>
      </c>
      <c r="F2021" s="116">
        <f>COUNTIFS($A$3:A10277,A2021,$B$3:B10277,B2021)</f>
        <v>1</v>
      </c>
      <c r="G2021" s="116"/>
    </row>
    <row r="2022" spans="1:7" x14ac:dyDescent="0.2">
      <c r="A2022" s="116">
        <f>IF(ISNUMBER(Tabela2[[#This Row],[CT-e/NFS]])=TRUE,(IF(B2022&gt;30000,4,IF(B2022&lt;1000,"ND",0))),"-")</f>
        <v>4</v>
      </c>
      <c r="B2022" s="116">
        <v>46753</v>
      </c>
      <c r="C2022" s="117">
        <v>45413</v>
      </c>
      <c r="D2022" s="116">
        <v>237.22</v>
      </c>
      <c r="E2022" s="117">
        <v>45427</v>
      </c>
      <c r="F2022" s="116">
        <f>COUNTIFS($A$3:A10278,A2022,$B$3:B10278,B2022)</f>
        <v>1</v>
      </c>
      <c r="G2022" s="116"/>
    </row>
    <row r="2023" spans="1:7" x14ac:dyDescent="0.2">
      <c r="A2023" s="116">
        <f>IF(ISNUMBER(Tabela2[[#This Row],[CT-e/NFS]])=TRUE,(IF(B2023&gt;30000,4,IF(B2023&lt;1000,"ND",0))),"-")</f>
        <v>4</v>
      </c>
      <c r="B2023" s="116">
        <v>46743</v>
      </c>
      <c r="C2023" s="117">
        <v>45413</v>
      </c>
      <c r="D2023" s="116">
        <v>125.13</v>
      </c>
      <c r="E2023" s="117">
        <v>45427</v>
      </c>
      <c r="F2023" s="116">
        <f>COUNTIFS($A$3:A10279,A2023,$B$3:B10279,B2023)</f>
        <v>1</v>
      </c>
      <c r="G2023" s="116"/>
    </row>
    <row r="2024" spans="1:7" x14ac:dyDescent="0.2">
      <c r="A2024" s="116">
        <f>IF(ISNUMBER(Tabela2[[#This Row],[CT-e/NFS]])=TRUE,(IF(B2024&gt;30000,4,IF(B2024&lt;1000,"ND",0))),"-")</f>
        <v>4</v>
      </c>
      <c r="B2024" s="116">
        <v>46747</v>
      </c>
      <c r="C2024" s="117">
        <v>45413</v>
      </c>
      <c r="D2024" s="116">
        <v>159.82</v>
      </c>
      <c r="E2024" s="117">
        <v>45427</v>
      </c>
      <c r="F2024" s="116">
        <f>COUNTIFS($A$3:A10280,A2024,$B$3:B10280,B2024)</f>
        <v>1</v>
      </c>
      <c r="G2024" s="116"/>
    </row>
    <row r="2025" spans="1:7" x14ac:dyDescent="0.2">
      <c r="A2025" s="116">
        <f>IF(ISNUMBER(Tabela2[[#This Row],[CT-e/NFS]])=TRUE,(IF(B2025&gt;30000,4,IF(B2025&lt;1000,"ND",0))),"-")</f>
        <v>4</v>
      </c>
      <c r="B2025" s="116">
        <v>46751</v>
      </c>
      <c r="C2025" s="117">
        <v>45413</v>
      </c>
      <c r="D2025" s="116">
        <v>571.45000000000005</v>
      </c>
      <c r="E2025" s="117">
        <v>45427</v>
      </c>
      <c r="F2025" s="116">
        <f>COUNTIFS($A$3:A10281,A2025,$B$3:B10281,B2025)</f>
        <v>1</v>
      </c>
      <c r="G2025" s="116"/>
    </row>
    <row r="2026" spans="1:7" x14ac:dyDescent="0.2">
      <c r="A2026" s="116">
        <f>IF(ISNUMBER(Tabela2[[#This Row],[CT-e/NFS]])=TRUE,(IF(B2026&gt;30000,4,IF(B2026&lt;1000,"ND",0))),"-")</f>
        <v>4</v>
      </c>
      <c r="B2026" s="116">
        <v>46750</v>
      </c>
      <c r="C2026" s="117">
        <v>45413</v>
      </c>
      <c r="D2026" s="116">
        <v>246.33</v>
      </c>
      <c r="E2026" s="117">
        <v>45427</v>
      </c>
      <c r="F2026" s="116">
        <f>COUNTIFS($A$3:A10282,A2026,$B$3:B10282,B2026)</f>
        <v>1</v>
      </c>
      <c r="G2026" s="116"/>
    </row>
    <row r="2027" spans="1:7" x14ac:dyDescent="0.2">
      <c r="A2027" s="116">
        <f>IF(ISNUMBER(Tabela2[[#This Row],[CT-e/NFS]])=TRUE,(IF(B2027&gt;30000,4,IF(B2027&lt;1000,"ND",0))),"-")</f>
        <v>0</v>
      </c>
      <c r="B2027" s="116">
        <v>21328</v>
      </c>
      <c r="C2027" s="117">
        <v>45413</v>
      </c>
      <c r="D2027" s="116">
        <v>955.15</v>
      </c>
      <c r="E2027" s="117">
        <v>45427</v>
      </c>
      <c r="F2027" s="116">
        <f>COUNTIFS($A$3:A10283,A2027,$B$3:B10283,B2027)</f>
        <v>1</v>
      </c>
      <c r="G2027" s="116"/>
    </row>
    <row r="2028" spans="1:7" x14ac:dyDescent="0.2">
      <c r="A2028" s="116">
        <f>IF(ISNUMBER(Tabela2[[#This Row],[CT-e/NFS]])=TRUE,(IF(B2028&gt;30000,4,IF(B2028&lt;1000,"ND",0))),"-")</f>
        <v>4</v>
      </c>
      <c r="B2028" s="116">
        <v>46768</v>
      </c>
      <c r="C2028" s="117">
        <v>45413</v>
      </c>
      <c r="D2028" s="116">
        <v>687.22</v>
      </c>
      <c r="E2028" s="117">
        <v>45427</v>
      </c>
      <c r="F2028" s="116">
        <f>COUNTIFS($A$3:A10284,A2028,$B$3:B10284,B2028)</f>
        <v>1</v>
      </c>
      <c r="G2028" s="116"/>
    </row>
    <row r="2029" spans="1:7" x14ac:dyDescent="0.2">
      <c r="A2029" s="116">
        <f>IF(ISNUMBER(Tabela2[[#This Row],[CT-e/NFS]])=TRUE,(IF(B2029&gt;30000,4,IF(B2029&lt;1000,"ND",0))),"-")</f>
        <v>4</v>
      </c>
      <c r="B2029" s="116">
        <v>46757</v>
      </c>
      <c r="C2029" s="117">
        <v>45413</v>
      </c>
      <c r="D2029" s="116">
        <v>62.09</v>
      </c>
      <c r="E2029" s="117">
        <v>45427</v>
      </c>
      <c r="F2029" s="116">
        <f>COUNTIFS($A$3:A10285,A2029,$B$3:B10285,B2029)</f>
        <v>1</v>
      </c>
      <c r="G2029" s="116"/>
    </row>
    <row r="2030" spans="1:7" x14ac:dyDescent="0.2">
      <c r="A2030" s="116">
        <f>IF(ISNUMBER(Tabela2[[#This Row],[CT-e/NFS]])=TRUE,(IF(B2030&gt;30000,4,IF(B2030&lt;1000,"ND",0))),"-")</f>
        <v>4</v>
      </c>
      <c r="B2030" s="116">
        <v>46758</v>
      </c>
      <c r="C2030" s="117">
        <v>45413</v>
      </c>
      <c r="D2030" s="116">
        <v>176.14</v>
      </c>
      <c r="E2030" s="117">
        <v>45427</v>
      </c>
      <c r="F2030" s="116">
        <f>COUNTIFS($A$3:A10286,A2030,$B$3:B10286,B2030)</f>
        <v>1</v>
      </c>
      <c r="G2030" s="116"/>
    </row>
    <row r="2031" spans="1:7" x14ac:dyDescent="0.2">
      <c r="A2031" s="116">
        <f>IF(ISNUMBER(Tabela2[[#This Row],[CT-e/NFS]])=TRUE,(IF(B2031&gt;30000,4,IF(B2031&lt;1000,"ND",0))),"-")</f>
        <v>4</v>
      </c>
      <c r="B2031" s="116">
        <v>46759</v>
      </c>
      <c r="C2031" s="117">
        <v>45413</v>
      </c>
      <c r="D2031" s="116">
        <v>609.98</v>
      </c>
      <c r="E2031" s="117">
        <v>45427</v>
      </c>
      <c r="F2031" s="116">
        <f>COUNTIFS($A$3:A10287,A2031,$B$3:B10287,B2031)</f>
        <v>1</v>
      </c>
      <c r="G2031" s="116"/>
    </row>
    <row r="2032" spans="1:7" x14ac:dyDescent="0.2">
      <c r="A2032" s="116">
        <f>IF(ISNUMBER(Tabela2[[#This Row],[CT-e/NFS]])=TRUE,(IF(B2032&gt;30000,4,IF(B2032&lt;1000,"ND",0))),"-")</f>
        <v>4</v>
      </c>
      <c r="B2032" s="116">
        <v>46767</v>
      </c>
      <c r="C2032" s="117">
        <v>45413</v>
      </c>
      <c r="D2032" s="116">
        <v>12477.08</v>
      </c>
      <c r="E2032" s="117">
        <v>45427</v>
      </c>
      <c r="F2032" s="116">
        <f>COUNTIFS($A$3:A10288,A2032,$B$3:B10288,B2032)</f>
        <v>1</v>
      </c>
      <c r="G2032" s="116"/>
    </row>
    <row r="2033" spans="1:7" x14ac:dyDescent="0.2">
      <c r="A2033" s="116">
        <f>IF(ISNUMBER(Tabela2[[#This Row],[CT-e/NFS]])=TRUE,(IF(B2033&gt;30000,4,IF(B2033&lt;1000,"ND",0))),"-")</f>
        <v>4</v>
      </c>
      <c r="B2033" s="116">
        <v>46766</v>
      </c>
      <c r="C2033" s="117">
        <v>45413</v>
      </c>
      <c r="D2033" s="116">
        <v>12174.63</v>
      </c>
      <c r="E2033" s="117">
        <v>45427</v>
      </c>
      <c r="F2033" s="116">
        <f>COUNTIFS($A$3:A10289,A2033,$B$3:B10289,B2033)</f>
        <v>1</v>
      </c>
      <c r="G2033" s="116"/>
    </row>
    <row r="2034" spans="1:7" x14ac:dyDescent="0.2">
      <c r="A2034" s="116">
        <f>IF(ISNUMBER(Tabela2[[#This Row],[CT-e/NFS]])=TRUE,(IF(B2034&gt;30000,4,IF(B2034&lt;1000,"ND",0))),"-")</f>
        <v>4</v>
      </c>
      <c r="B2034" s="116">
        <v>46786</v>
      </c>
      <c r="C2034" s="117">
        <v>45413</v>
      </c>
      <c r="D2034" s="116">
        <v>663.13</v>
      </c>
      <c r="E2034" s="117">
        <v>45427</v>
      </c>
      <c r="F2034" s="116">
        <f>COUNTIFS($A$3:A10290,A2034,$B$3:B10290,B2034)</f>
        <v>1</v>
      </c>
      <c r="G2034" s="116"/>
    </row>
    <row r="2035" spans="1:7" x14ac:dyDescent="0.2">
      <c r="A2035" s="116">
        <f>IF(ISNUMBER(Tabela2[[#This Row],[CT-e/NFS]])=TRUE,(IF(B2035&gt;30000,4,IF(B2035&lt;1000,"ND",0))),"-")</f>
        <v>4</v>
      </c>
      <c r="B2035" s="116">
        <v>46777</v>
      </c>
      <c r="C2035" s="117">
        <v>45413</v>
      </c>
      <c r="D2035" s="116">
        <v>368.67</v>
      </c>
      <c r="E2035" s="117">
        <v>45427</v>
      </c>
      <c r="F2035" s="116">
        <f>COUNTIFS($A$3:A10291,A2035,$B$3:B10291,B2035)</f>
        <v>1</v>
      </c>
      <c r="G2035" s="116"/>
    </row>
    <row r="2036" spans="1:7" x14ac:dyDescent="0.2">
      <c r="A2036" s="116">
        <f>IF(ISNUMBER(Tabela2[[#This Row],[CT-e/NFS]])=TRUE,(IF(B2036&gt;30000,4,IF(B2036&lt;1000,"ND",0))),"-")</f>
        <v>4</v>
      </c>
      <c r="B2036" s="116">
        <v>46785</v>
      </c>
      <c r="C2036" s="117">
        <v>45413</v>
      </c>
      <c r="D2036" s="116">
        <v>241.85</v>
      </c>
      <c r="E2036" s="117">
        <v>45427</v>
      </c>
      <c r="F2036" s="116">
        <f>COUNTIFS($A$3:A10292,A2036,$B$3:B10292,B2036)</f>
        <v>1</v>
      </c>
      <c r="G2036" s="116"/>
    </row>
    <row r="2037" spans="1:7" x14ac:dyDescent="0.2">
      <c r="A2037" s="116">
        <f>IF(ISNUMBER(Tabela2[[#This Row],[CT-e/NFS]])=TRUE,(IF(B2037&gt;30000,4,IF(B2037&lt;1000,"ND",0))),"-")</f>
        <v>4</v>
      </c>
      <c r="B2037" s="116">
        <v>46775</v>
      </c>
      <c r="C2037" s="117">
        <v>45413</v>
      </c>
      <c r="D2037" s="116">
        <v>125.81</v>
      </c>
      <c r="E2037" s="117">
        <v>45427</v>
      </c>
      <c r="F2037" s="116">
        <f>COUNTIFS($A$3:A10293,A2037,$B$3:B10293,B2037)</f>
        <v>1</v>
      </c>
      <c r="G2037" s="116"/>
    </row>
    <row r="2038" spans="1:7" x14ac:dyDescent="0.2">
      <c r="A2038" s="116">
        <f>IF(ISNUMBER(Tabela2[[#This Row],[CT-e/NFS]])=TRUE,(IF(B2038&gt;30000,4,IF(B2038&lt;1000,"ND",0))),"-")</f>
        <v>4</v>
      </c>
      <c r="B2038" s="116">
        <v>46776</v>
      </c>
      <c r="C2038" s="117">
        <v>45413</v>
      </c>
      <c r="D2038" s="116">
        <v>241.26</v>
      </c>
      <c r="E2038" s="117">
        <v>45427</v>
      </c>
      <c r="F2038" s="116">
        <f>COUNTIFS($A$3:A10294,A2038,$B$3:B10294,B2038)</f>
        <v>1</v>
      </c>
      <c r="G2038" s="116"/>
    </row>
    <row r="2039" spans="1:7" x14ac:dyDescent="0.2">
      <c r="A2039" s="116">
        <f>IF(ISNUMBER(Tabela2[[#This Row],[CT-e/NFS]])=TRUE,(IF(B2039&gt;30000,4,IF(B2039&lt;1000,"ND",0))),"-")</f>
        <v>4</v>
      </c>
      <c r="B2039" s="116">
        <v>46780</v>
      </c>
      <c r="C2039" s="117">
        <v>45413</v>
      </c>
      <c r="D2039" s="116">
        <v>135.97999999999999</v>
      </c>
      <c r="E2039" s="117">
        <v>45427</v>
      </c>
      <c r="F2039" s="116">
        <f>COUNTIFS($A$3:A10295,A2039,$B$3:B10295,B2039)</f>
        <v>1</v>
      </c>
      <c r="G2039" s="116"/>
    </row>
    <row r="2040" spans="1:7" x14ac:dyDescent="0.2">
      <c r="A2040" s="116">
        <f>IF(ISNUMBER(Tabela2[[#This Row],[CT-e/NFS]])=TRUE,(IF(B2040&gt;30000,4,IF(B2040&lt;1000,"ND",0))),"-")</f>
        <v>4</v>
      </c>
      <c r="B2040" s="116">
        <v>46774</v>
      </c>
      <c r="C2040" s="117">
        <v>45413</v>
      </c>
      <c r="D2040" s="116">
        <v>338.94</v>
      </c>
      <c r="E2040" s="117">
        <v>45427</v>
      </c>
      <c r="F2040" s="116">
        <f>COUNTIFS($A$3:A10296,A2040,$B$3:B10296,B2040)</f>
        <v>1</v>
      </c>
      <c r="G2040" s="116"/>
    </row>
    <row r="2041" spans="1:7" x14ac:dyDescent="0.2">
      <c r="A2041" s="116">
        <f>IF(ISNUMBER(Tabela2[[#This Row],[CT-e/NFS]])=TRUE,(IF(B2041&gt;30000,4,IF(B2041&lt;1000,"ND",0))),"-")</f>
        <v>4</v>
      </c>
      <c r="B2041" s="116">
        <v>46778</v>
      </c>
      <c r="C2041" s="117">
        <v>45413</v>
      </c>
      <c r="D2041" s="116">
        <v>123.89</v>
      </c>
      <c r="E2041" s="117">
        <v>45427</v>
      </c>
      <c r="F2041" s="116">
        <f>COUNTIFS($A$3:A10297,A2041,$B$3:B10297,B2041)</f>
        <v>1</v>
      </c>
      <c r="G2041" s="116"/>
    </row>
    <row r="2042" spans="1:7" x14ac:dyDescent="0.2">
      <c r="A2042" s="116">
        <f>IF(ISNUMBER(Tabela2[[#This Row],[CT-e/NFS]])=TRUE,(IF(B2042&gt;30000,4,IF(B2042&lt;1000,"ND",0))),"-")</f>
        <v>4</v>
      </c>
      <c r="B2042" s="116">
        <v>46781</v>
      </c>
      <c r="C2042" s="117">
        <v>45413</v>
      </c>
      <c r="D2042" s="116">
        <v>123.89</v>
      </c>
      <c r="E2042" s="117">
        <v>45427</v>
      </c>
      <c r="F2042" s="116">
        <f>COUNTIFS($A$3:A10298,A2042,$B$3:B10298,B2042)</f>
        <v>1</v>
      </c>
      <c r="G2042" s="116"/>
    </row>
    <row r="2043" spans="1:7" x14ac:dyDescent="0.2">
      <c r="A2043" s="116">
        <f>IF(ISNUMBER(Tabela2[[#This Row],[CT-e/NFS]])=TRUE,(IF(B2043&gt;30000,4,IF(B2043&lt;1000,"ND",0))),"-")</f>
        <v>4</v>
      </c>
      <c r="B2043" s="116">
        <v>46779</v>
      </c>
      <c r="C2043" s="117">
        <v>45413</v>
      </c>
      <c r="D2043" s="116">
        <v>124.03</v>
      </c>
      <c r="E2043" s="117">
        <v>45427</v>
      </c>
      <c r="F2043" s="116">
        <f>COUNTIFS($A$3:A10299,A2043,$B$3:B10299,B2043)</f>
        <v>1</v>
      </c>
      <c r="G2043" s="116"/>
    </row>
    <row r="2044" spans="1:7" x14ac:dyDescent="0.2">
      <c r="A2044" s="116">
        <f>IF(ISNUMBER(Tabela2[[#This Row],[CT-e/NFS]])=TRUE,(IF(B2044&gt;30000,4,IF(B2044&lt;1000,"ND",0))),"-")</f>
        <v>4</v>
      </c>
      <c r="B2044" s="116">
        <v>46784</v>
      </c>
      <c r="C2044" s="117">
        <v>45413</v>
      </c>
      <c r="D2044" s="116">
        <v>123.89</v>
      </c>
      <c r="E2044" s="117">
        <v>45427</v>
      </c>
      <c r="F2044" s="116">
        <f>COUNTIFS($A$3:A10300,A2044,$B$3:B10300,B2044)</f>
        <v>1</v>
      </c>
      <c r="G2044" s="116"/>
    </row>
    <row r="2045" spans="1:7" x14ac:dyDescent="0.2">
      <c r="A2045" s="116">
        <f>IF(ISNUMBER(Tabela2[[#This Row],[CT-e/NFS]])=TRUE,(IF(B2045&gt;30000,4,IF(B2045&lt;1000,"ND",0))),"-")</f>
        <v>4</v>
      </c>
      <c r="B2045" s="116">
        <v>46771</v>
      </c>
      <c r="C2045" s="117">
        <v>45413</v>
      </c>
      <c r="D2045" s="116">
        <v>126.5</v>
      </c>
      <c r="E2045" s="117">
        <v>45427</v>
      </c>
      <c r="F2045" s="116">
        <f>COUNTIFS($A$3:A10301,A2045,$B$3:B10301,B2045)</f>
        <v>1</v>
      </c>
      <c r="G2045" s="116"/>
    </row>
    <row r="2046" spans="1:7" x14ac:dyDescent="0.2">
      <c r="A2046" s="116">
        <f>IF(ISNUMBER(Tabela2[[#This Row],[CT-e/NFS]])=TRUE,(IF(B2046&gt;30000,4,IF(B2046&lt;1000,"ND",0))),"-")</f>
        <v>4</v>
      </c>
      <c r="B2046" s="116">
        <v>46773</v>
      </c>
      <c r="C2046" s="117">
        <v>45413</v>
      </c>
      <c r="D2046" s="116">
        <v>123.94</v>
      </c>
      <c r="E2046" s="117">
        <v>45427</v>
      </c>
      <c r="F2046" s="116">
        <f>COUNTIFS($A$3:A10302,A2046,$B$3:B10302,B2046)</f>
        <v>1</v>
      </c>
      <c r="G2046" s="116"/>
    </row>
    <row r="2047" spans="1:7" x14ac:dyDescent="0.2">
      <c r="A2047" s="116">
        <f>IF(ISNUMBER(Tabela2[[#This Row],[CT-e/NFS]])=TRUE,(IF(B2047&gt;30000,4,IF(B2047&lt;1000,"ND",0))),"-")</f>
        <v>4</v>
      </c>
      <c r="B2047" s="116">
        <v>46769</v>
      </c>
      <c r="C2047" s="117">
        <v>45413</v>
      </c>
      <c r="D2047" s="116">
        <v>798.27</v>
      </c>
      <c r="E2047" s="117">
        <v>45427</v>
      </c>
      <c r="F2047" s="116">
        <f>COUNTIFS($A$3:A10303,A2047,$B$3:B10303,B2047)</f>
        <v>1</v>
      </c>
      <c r="G2047" s="116"/>
    </row>
    <row r="2048" spans="1:7" x14ac:dyDescent="0.2">
      <c r="A2048" s="116">
        <f>IF(ISNUMBER(Tabela2[[#This Row],[CT-e/NFS]])=TRUE,(IF(B2048&gt;30000,4,IF(B2048&lt;1000,"ND",0))),"-")</f>
        <v>4</v>
      </c>
      <c r="B2048" s="116">
        <v>46783</v>
      </c>
      <c r="C2048" s="117">
        <v>45413</v>
      </c>
      <c r="D2048" s="116">
        <v>123.86</v>
      </c>
      <c r="E2048" s="117">
        <v>45427</v>
      </c>
      <c r="F2048" s="116">
        <f>COUNTIFS($A$3:A10304,A2048,$B$3:B10304,B2048)</f>
        <v>1</v>
      </c>
      <c r="G2048" s="116"/>
    </row>
    <row r="2049" spans="1:7" x14ac:dyDescent="0.2">
      <c r="A2049" s="116">
        <f>IF(ISNUMBER(Tabela2[[#This Row],[CT-e/NFS]])=TRUE,(IF(B2049&gt;30000,4,IF(B2049&lt;1000,"ND",0))),"-")</f>
        <v>4</v>
      </c>
      <c r="B2049" s="116">
        <v>46782</v>
      </c>
      <c r="C2049" s="117">
        <v>45413</v>
      </c>
      <c r="D2049" s="116">
        <v>126.27</v>
      </c>
      <c r="E2049" s="117">
        <v>45427</v>
      </c>
      <c r="F2049" s="116">
        <f>COUNTIFS($A$3:A10305,A2049,$B$3:B10305,B2049)</f>
        <v>1</v>
      </c>
      <c r="G2049" s="116"/>
    </row>
    <row r="2050" spans="1:7" x14ac:dyDescent="0.2">
      <c r="A2050" s="116">
        <f>IF(ISNUMBER(Tabela2[[#This Row],[CT-e/NFS]])=TRUE,(IF(B2050&gt;30000,4,IF(B2050&lt;1000,"ND",0))),"-")</f>
        <v>4</v>
      </c>
      <c r="B2050" s="116">
        <v>46770</v>
      </c>
      <c r="C2050" s="117">
        <v>45413</v>
      </c>
      <c r="D2050" s="116">
        <v>666.68</v>
      </c>
      <c r="E2050" s="117">
        <v>45427</v>
      </c>
      <c r="F2050" s="116">
        <f>COUNTIFS($A$3:A10306,A2050,$B$3:B10306,B2050)</f>
        <v>1</v>
      </c>
      <c r="G2050" s="116"/>
    </row>
    <row r="2051" spans="1:7" x14ac:dyDescent="0.2">
      <c r="A2051" s="116">
        <f>IF(ISNUMBER(Tabela2[[#This Row],[CT-e/NFS]])=TRUE,(IF(B2051&gt;30000,4,IF(B2051&lt;1000,"ND",0))),"-")</f>
        <v>4</v>
      </c>
      <c r="B2051" s="116">
        <v>46772</v>
      </c>
      <c r="C2051" s="117">
        <v>45413</v>
      </c>
      <c r="D2051" s="116">
        <v>202.03</v>
      </c>
      <c r="E2051" s="117">
        <v>45427</v>
      </c>
      <c r="F2051" s="116">
        <f>COUNTIFS($A$3:A10307,A2051,$B$3:B10307,B2051)</f>
        <v>1</v>
      </c>
      <c r="G2051" s="116"/>
    </row>
    <row r="2052" spans="1:7" x14ac:dyDescent="0.2">
      <c r="A2052" s="116">
        <f>IF(ISNUMBER(Tabela2[[#This Row],[CT-e/NFS]])=TRUE,(IF(B2052&gt;30000,4,IF(B2052&lt;1000,"ND",0))),"-")</f>
        <v>4</v>
      </c>
      <c r="B2052" s="116">
        <v>46792</v>
      </c>
      <c r="C2052" s="117">
        <v>45413</v>
      </c>
      <c r="D2052" s="116">
        <v>1412.03</v>
      </c>
      <c r="E2052" s="117">
        <v>45427</v>
      </c>
      <c r="F2052" s="116">
        <f>COUNTIFS($A$3:A10308,A2052,$B$3:B10308,B2052)</f>
        <v>1</v>
      </c>
      <c r="G2052" s="116"/>
    </row>
    <row r="2053" spans="1:7" x14ac:dyDescent="0.2">
      <c r="A2053" s="116">
        <f>IF(ISNUMBER(Tabela2[[#This Row],[CT-e/NFS]])=TRUE,(IF(B2053&gt;30000,4,IF(B2053&lt;1000,"ND",0))),"-")</f>
        <v>4</v>
      </c>
      <c r="B2053" s="116">
        <v>46793</v>
      </c>
      <c r="C2053" s="117">
        <v>45413</v>
      </c>
      <c r="D2053" s="116">
        <v>346.26</v>
      </c>
      <c r="E2053" s="117">
        <v>45427</v>
      </c>
      <c r="F2053" s="116">
        <f>COUNTIFS($A$3:A10309,A2053,$B$3:B10309,B2053)</f>
        <v>1</v>
      </c>
      <c r="G2053" s="116"/>
    </row>
    <row r="2054" spans="1:7" x14ac:dyDescent="0.2">
      <c r="A2054" s="116">
        <f>IF(ISNUMBER(Tabela2[[#This Row],[CT-e/NFS]])=TRUE,(IF(B2054&gt;30000,4,IF(B2054&lt;1000,"ND",0))),"-")</f>
        <v>4</v>
      </c>
      <c r="B2054" s="116">
        <v>46795</v>
      </c>
      <c r="C2054" s="117">
        <v>45413</v>
      </c>
      <c r="D2054" s="116">
        <v>618.48</v>
      </c>
      <c r="E2054" s="117">
        <v>45427</v>
      </c>
      <c r="F2054" s="116">
        <f>COUNTIFS($A$3:A10310,A2054,$B$3:B10310,B2054)</f>
        <v>1</v>
      </c>
      <c r="G2054" s="116"/>
    </row>
    <row r="2055" spans="1:7" x14ac:dyDescent="0.2">
      <c r="A2055" s="116">
        <f>IF(ISNUMBER(Tabela2[[#This Row],[CT-e/NFS]])=TRUE,(IF(B2055&gt;30000,4,IF(B2055&lt;1000,"ND",0))),"-")</f>
        <v>4</v>
      </c>
      <c r="B2055" s="116">
        <v>46794</v>
      </c>
      <c r="C2055" s="117">
        <v>45413</v>
      </c>
      <c r="D2055" s="116">
        <v>519.25</v>
      </c>
      <c r="E2055" s="117">
        <v>45427</v>
      </c>
      <c r="F2055" s="116">
        <f>COUNTIFS($A$3:A10311,A2055,$B$3:B10311,B2055)</f>
        <v>1</v>
      </c>
      <c r="G2055" s="116"/>
    </row>
    <row r="2056" spans="1:7" x14ac:dyDescent="0.2">
      <c r="A2056" s="116">
        <f>IF(ISNUMBER(Tabela2[[#This Row],[CT-e/NFS]])=TRUE,(IF(B2056&gt;30000,4,IF(B2056&lt;1000,"ND",0))),"-")</f>
        <v>4</v>
      </c>
      <c r="B2056" s="116">
        <v>46789</v>
      </c>
      <c r="C2056" s="117">
        <v>45413</v>
      </c>
      <c r="D2056" s="116">
        <v>609.98</v>
      </c>
      <c r="E2056" s="117">
        <v>45427</v>
      </c>
      <c r="F2056" s="116">
        <f>COUNTIFS($A$3:A10312,A2056,$B$3:B10312,B2056)</f>
        <v>1</v>
      </c>
      <c r="G2056" s="116"/>
    </row>
    <row r="2057" spans="1:7" x14ac:dyDescent="0.2">
      <c r="A2057" s="116">
        <f>IF(ISNUMBER(Tabela2[[#This Row],[CT-e/NFS]])=TRUE,(IF(B2057&gt;30000,4,IF(B2057&lt;1000,"ND",0))),"-")</f>
        <v>4</v>
      </c>
      <c r="B2057" s="116">
        <v>46799</v>
      </c>
      <c r="C2057" s="117">
        <v>45413</v>
      </c>
      <c r="D2057" s="116">
        <v>124.36</v>
      </c>
      <c r="E2057" s="117">
        <v>45427</v>
      </c>
      <c r="F2057" s="116">
        <f>COUNTIFS($A$3:A10313,A2057,$B$3:B10313,B2057)</f>
        <v>1</v>
      </c>
      <c r="G2057" s="116"/>
    </row>
    <row r="2058" spans="1:7" x14ac:dyDescent="0.2">
      <c r="A2058" s="116">
        <f>IF(ISNUMBER(Tabela2[[#This Row],[CT-e/NFS]])=TRUE,(IF(B2058&gt;30000,4,IF(B2058&lt;1000,"ND",0))),"-")</f>
        <v>4</v>
      </c>
      <c r="B2058" s="116">
        <v>46797</v>
      </c>
      <c r="C2058" s="117">
        <v>45413</v>
      </c>
      <c r="D2058" s="116">
        <v>124.15</v>
      </c>
      <c r="E2058" s="117">
        <v>45427</v>
      </c>
      <c r="F2058" s="116">
        <f>COUNTIFS($A$3:A10314,A2058,$B$3:B10314,B2058)</f>
        <v>1</v>
      </c>
      <c r="G2058" s="116"/>
    </row>
    <row r="2059" spans="1:7" x14ac:dyDescent="0.2">
      <c r="A2059" s="116">
        <f>IF(ISNUMBER(Tabela2[[#This Row],[CT-e/NFS]])=TRUE,(IF(B2059&gt;30000,4,IF(B2059&lt;1000,"ND",0))),"-")</f>
        <v>4</v>
      </c>
      <c r="B2059" s="116">
        <v>46798</v>
      </c>
      <c r="C2059" s="117">
        <v>45413</v>
      </c>
      <c r="D2059" s="116">
        <v>125.8</v>
      </c>
      <c r="E2059" s="117">
        <v>45427</v>
      </c>
      <c r="F2059" s="116">
        <f>COUNTIFS($A$3:A10315,A2059,$B$3:B10315,B2059)</f>
        <v>1</v>
      </c>
      <c r="G2059" s="116"/>
    </row>
    <row r="2060" spans="1:7" x14ac:dyDescent="0.2">
      <c r="A2060" s="116">
        <f>IF(ISNUMBER(Tabela2[[#This Row],[CT-e/NFS]])=TRUE,(IF(B2060&gt;30000,4,IF(B2060&lt;1000,"ND",0))),"-")</f>
        <v>4</v>
      </c>
      <c r="B2060" s="116">
        <v>46800</v>
      </c>
      <c r="C2060" s="117">
        <v>45413</v>
      </c>
      <c r="D2060" s="116">
        <v>125.36</v>
      </c>
      <c r="E2060" s="117">
        <v>45427</v>
      </c>
      <c r="F2060" s="116">
        <f>COUNTIFS($A$3:A10316,A2060,$B$3:B10316,B2060)</f>
        <v>1</v>
      </c>
      <c r="G2060" s="116"/>
    </row>
    <row r="2061" spans="1:7" x14ac:dyDescent="0.2">
      <c r="A2061" s="116">
        <f>IF(ISNUMBER(Tabela2[[#This Row],[CT-e/NFS]])=TRUE,(IF(B2061&gt;30000,4,IF(B2061&lt;1000,"ND",0))),"-")</f>
        <v>4</v>
      </c>
      <c r="B2061" s="116">
        <v>46796</v>
      </c>
      <c r="C2061" s="117">
        <v>45413</v>
      </c>
      <c r="D2061" s="116">
        <v>286.95</v>
      </c>
      <c r="E2061" s="117">
        <v>45427</v>
      </c>
      <c r="F2061" s="116">
        <f>COUNTIFS($A$3:A10317,A2061,$B$3:B10317,B2061)</f>
        <v>1</v>
      </c>
      <c r="G2061" s="116"/>
    </row>
    <row r="2062" spans="1:7" x14ac:dyDescent="0.2">
      <c r="A2062" s="116">
        <f>IF(ISNUMBER(Tabela2[[#This Row],[CT-e/NFS]])=TRUE,(IF(B2062&gt;30000,4,IF(B2062&lt;1000,"ND",0))),"-")</f>
        <v>4</v>
      </c>
      <c r="B2062" s="116">
        <v>46801</v>
      </c>
      <c r="C2062" s="117">
        <v>45413</v>
      </c>
      <c r="D2062" s="116">
        <v>124.22</v>
      </c>
      <c r="E2062" s="117">
        <v>45427</v>
      </c>
      <c r="F2062" s="116">
        <f>COUNTIFS($A$3:A10318,A2062,$B$3:B10318,B2062)</f>
        <v>1</v>
      </c>
      <c r="G2062" s="116"/>
    </row>
    <row r="2063" spans="1:7" x14ac:dyDescent="0.2">
      <c r="A2063" s="116">
        <f>IF(ISNUMBER(Tabela2[[#This Row],[CT-e/NFS]])=TRUE,(IF(B2063&gt;30000,4,IF(B2063&lt;1000,"ND",0))),"-")</f>
        <v>0</v>
      </c>
      <c r="B2063" s="116">
        <v>21344</v>
      </c>
      <c r="C2063" s="117">
        <v>45413</v>
      </c>
      <c r="D2063" s="116">
        <v>64.02</v>
      </c>
      <c r="E2063" s="117">
        <v>45427</v>
      </c>
      <c r="F2063" s="116">
        <f>COUNTIFS($A$3:A10319,A2063,$B$3:B10319,B2063)</f>
        <v>1</v>
      </c>
      <c r="G2063" s="116"/>
    </row>
    <row r="2064" spans="1:7" x14ac:dyDescent="0.2">
      <c r="A2064" s="116">
        <f>IF(ISNUMBER(Tabela2[[#This Row],[CT-e/NFS]])=TRUE,(IF(B2064&gt;30000,4,IF(B2064&lt;1000,"ND",0))),"-")</f>
        <v>0</v>
      </c>
      <c r="B2064" s="116">
        <v>21322</v>
      </c>
      <c r="C2064" s="117">
        <v>45413</v>
      </c>
      <c r="D2064" s="116">
        <v>844.3</v>
      </c>
      <c r="E2064" s="117">
        <v>45427</v>
      </c>
      <c r="F2064" s="116">
        <f>COUNTIFS($A$3:A10320,A2064,$B$3:B10320,B2064)</f>
        <v>1</v>
      </c>
      <c r="G2064" s="116"/>
    </row>
    <row r="2065" spans="1:7" x14ac:dyDescent="0.2">
      <c r="A2065" s="116">
        <f>IF(ISNUMBER(Tabela2[[#This Row],[CT-e/NFS]])=TRUE,(IF(B2065&gt;30000,4,IF(B2065&lt;1000,"ND",0))),"-")</f>
        <v>0</v>
      </c>
      <c r="B2065" s="116">
        <v>21321</v>
      </c>
      <c r="C2065" s="117">
        <v>45413</v>
      </c>
      <c r="D2065" s="116">
        <v>38.14</v>
      </c>
      <c r="E2065" s="117">
        <v>45427</v>
      </c>
      <c r="F2065" s="116">
        <f>COUNTIFS($A$3:A10321,A2065,$B$3:B10321,B2065)</f>
        <v>1</v>
      </c>
      <c r="G2065" s="116"/>
    </row>
    <row r="2066" spans="1:7" x14ac:dyDescent="0.2">
      <c r="A2066" s="116">
        <f>IF(ISNUMBER(Tabela2[[#This Row],[CT-e/NFS]])=TRUE,(IF(B2066&gt;30000,4,IF(B2066&lt;1000,"ND",0))),"-")</f>
        <v>0</v>
      </c>
      <c r="B2066" s="116">
        <v>21340</v>
      </c>
      <c r="C2066" s="117">
        <v>45413</v>
      </c>
      <c r="D2066" s="116">
        <v>38.14</v>
      </c>
      <c r="E2066" s="117">
        <v>45427</v>
      </c>
      <c r="F2066" s="116">
        <f>COUNTIFS($A$3:A10322,A2066,$B$3:B10322,B2066)</f>
        <v>1</v>
      </c>
      <c r="G2066" s="116"/>
    </row>
    <row r="2067" spans="1:7" x14ac:dyDescent="0.2">
      <c r="A2067" s="116">
        <f>IF(ISNUMBER(Tabela2[[#This Row],[CT-e/NFS]])=TRUE,(IF(B2067&gt;30000,4,IF(B2067&lt;1000,"ND",0))),"-")</f>
        <v>0</v>
      </c>
      <c r="B2067" s="116">
        <v>21341</v>
      </c>
      <c r="C2067" s="117">
        <v>45413</v>
      </c>
      <c r="D2067" s="116">
        <v>38.18</v>
      </c>
      <c r="E2067" s="117">
        <v>45427</v>
      </c>
      <c r="F2067" s="116">
        <f>COUNTIFS($A$3:A10323,A2067,$B$3:B10323,B2067)</f>
        <v>1</v>
      </c>
      <c r="G2067" s="116"/>
    </row>
    <row r="2068" spans="1:7" x14ac:dyDescent="0.2">
      <c r="A2068" s="116">
        <f>IF(ISNUMBER(Tabela2[[#This Row],[CT-e/NFS]])=TRUE,(IF(B2068&gt;30000,4,IF(B2068&lt;1000,"ND",0))),"-")</f>
        <v>0</v>
      </c>
      <c r="B2068" s="116">
        <v>21342</v>
      </c>
      <c r="C2068" s="117">
        <v>45413</v>
      </c>
      <c r="D2068" s="116">
        <v>146.43</v>
      </c>
      <c r="E2068" s="117">
        <v>45427</v>
      </c>
      <c r="F2068" s="116">
        <f>COUNTIFS($A$3:A10324,A2068,$B$3:B10324,B2068)</f>
        <v>1</v>
      </c>
      <c r="G2068" s="116"/>
    </row>
    <row r="2069" spans="1:7" x14ac:dyDescent="0.2">
      <c r="A2069" s="116">
        <f>IF(ISNUMBER(Tabela2[[#This Row],[CT-e/NFS]])=TRUE,(IF(B2069&gt;30000,4,IF(B2069&lt;1000,"ND",0))),"-")</f>
        <v>0</v>
      </c>
      <c r="B2069" s="116">
        <v>21339</v>
      </c>
      <c r="C2069" s="117">
        <v>45413</v>
      </c>
      <c r="D2069" s="116">
        <v>264.37</v>
      </c>
      <c r="E2069" s="117">
        <v>45427</v>
      </c>
      <c r="F2069" s="116">
        <f>COUNTIFS($A$3:A10325,A2069,$B$3:B10325,B2069)</f>
        <v>1</v>
      </c>
      <c r="G2069" s="116"/>
    </row>
    <row r="2070" spans="1:7" x14ac:dyDescent="0.2">
      <c r="A2070" s="116">
        <f>IF(ISNUMBER(Tabela2[[#This Row],[CT-e/NFS]])=TRUE,(IF(B2070&gt;30000,4,IF(B2070&lt;1000,"ND",0))),"-")</f>
        <v>0</v>
      </c>
      <c r="B2070" s="116">
        <v>21337</v>
      </c>
      <c r="C2070" s="117">
        <v>45413</v>
      </c>
      <c r="D2070" s="116">
        <v>68.72</v>
      </c>
      <c r="E2070" s="117">
        <v>45427</v>
      </c>
      <c r="F2070" s="116">
        <f>COUNTIFS($A$3:A10326,A2070,$B$3:B10326,B2070)</f>
        <v>1</v>
      </c>
      <c r="G2070" s="116"/>
    </row>
    <row r="2071" spans="1:7" x14ac:dyDescent="0.2">
      <c r="A2071" s="116">
        <f>IF(ISNUMBER(Tabela2[[#This Row],[CT-e/NFS]])=TRUE,(IF(B2071&gt;30000,4,IF(B2071&lt;1000,"ND",0))),"-")</f>
        <v>0</v>
      </c>
      <c r="B2071" s="116">
        <v>21338</v>
      </c>
      <c r="C2071" s="117">
        <v>45413</v>
      </c>
      <c r="D2071" s="116">
        <v>68.8</v>
      </c>
      <c r="E2071" s="117">
        <v>45427</v>
      </c>
      <c r="F2071" s="116">
        <f>COUNTIFS($A$3:A10327,A2071,$B$3:B10327,B2071)</f>
        <v>1</v>
      </c>
      <c r="G2071" s="116"/>
    </row>
    <row r="2072" spans="1:7" x14ac:dyDescent="0.2">
      <c r="A2072" s="116">
        <f>IF(ISNUMBER(Tabela2[[#This Row],[CT-e/NFS]])=TRUE,(IF(B2072&gt;30000,4,IF(B2072&lt;1000,"ND",0))),"-")</f>
        <v>4</v>
      </c>
      <c r="B2072" s="116">
        <v>46803</v>
      </c>
      <c r="C2072" s="117">
        <v>45413</v>
      </c>
      <c r="D2072" s="116">
        <v>61.53</v>
      </c>
      <c r="E2072" s="117">
        <v>45427</v>
      </c>
      <c r="F2072" s="116">
        <f>COUNTIFS($A$3:A10328,A2072,$B$3:B10328,B2072)</f>
        <v>1</v>
      </c>
      <c r="G2072" s="116"/>
    </row>
    <row r="2073" spans="1:7" x14ac:dyDescent="0.2">
      <c r="A2073" s="116">
        <f>IF(ISNUMBER(Tabela2[[#This Row],[CT-e/NFS]])=TRUE,(IF(B2073&gt;30000,4,IF(B2073&lt;1000,"ND",0))),"-")</f>
        <v>0</v>
      </c>
      <c r="B2073" s="116">
        <v>21346</v>
      </c>
      <c r="C2073" s="117">
        <v>45413</v>
      </c>
      <c r="D2073" s="116">
        <v>115.59</v>
      </c>
      <c r="E2073" s="117">
        <v>45427</v>
      </c>
      <c r="F2073" s="116">
        <f>COUNTIFS($A$3:A10329,A2073,$B$3:B10329,B2073)</f>
        <v>1</v>
      </c>
      <c r="G2073" s="116"/>
    </row>
    <row r="2074" spans="1:7" x14ac:dyDescent="0.2">
      <c r="A2074" s="116">
        <f>IF(ISNUMBER(Tabela2[[#This Row],[CT-e/NFS]])=TRUE,(IF(B2074&gt;30000,4,IF(B2074&lt;1000,"ND",0))),"-")</f>
        <v>0</v>
      </c>
      <c r="B2074" s="116">
        <v>21343</v>
      </c>
      <c r="C2074" s="117">
        <v>45413</v>
      </c>
      <c r="D2074" s="116">
        <v>40.479999999999997</v>
      </c>
      <c r="E2074" s="117">
        <v>45427</v>
      </c>
      <c r="F2074" s="116">
        <f>COUNTIFS($A$3:A10330,A2074,$B$3:B10330,B2074)</f>
        <v>1</v>
      </c>
      <c r="G2074" s="116"/>
    </row>
    <row r="2075" spans="1:7" x14ac:dyDescent="0.2">
      <c r="A2075" s="116">
        <f>IF(ISNUMBER(Tabela2[[#This Row],[CT-e/NFS]])=TRUE,(IF(B2075&gt;30000,4,IF(B2075&lt;1000,"ND",0))),"-")</f>
        <v>4</v>
      </c>
      <c r="B2075" s="116">
        <v>46729</v>
      </c>
      <c r="C2075" s="117">
        <v>45413</v>
      </c>
      <c r="D2075" s="116">
        <v>803.49</v>
      </c>
      <c r="E2075" s="117">
        <v>45427</v>
      </c>
      <c r="F2075" s="116">
        <f>COUNTIFS($A$3:A10331,A2075,$B$3:B10331,B2075)</f>
        <v>1</v>
      </c>
      <c r="G2075" s="116"/>
    </row>
    <row r="2076" spans="1:7" x14ac:dyDescent="0.2">
      <c r="A2076" s="116">
        <f>IF(ISNUMBER(Tabela2[[#This Row],[CT-e/NFS]])=TRUE,(IF(B2076&gt;30000,4,IF(B2076&lt;1000,"ND",0))),"-")</f>
        <v>4</v>
      </c>
      <c r="B2076" s="116">
        <v>46805</v>
      </c>
      <c r="C2076" s="117">
        <v>45413</v>
      </c>
      <c r="D2076" s="116">
        <v>176.14</v>
      </c>
      <c r="E2076" s="117">
        <v>45427</v>
      </c>
      <c r="F2076" s="116">
        <f>COUNTIFS($A$3:A10332,A2076,$B$3:B10332,B2076)</f>
        <v>1</v>
      </c>
      <c r="G2076" s="116"/>
    </row>
    <row r="2077" spans="1:7" x14ac:dyDescent="0.2">
      <c r="A2077" s="116">
        <f>IF(ISNUMBER(Tabela2[[#This Row],[CT-e/NFS]])=TRUE,(IF(B2077&gt;30000,4,IF(B2077&lt;1000,"ND",0))),"-")</f>
        <v>4</v>
      </c>
      <c r="B2077" s="116">
        <v>46814</v>
      </c>
      <c r="C2077" s="117">
        <v>45413</v>
      </c>
      <c r="D2077" s="116">
        <v>355.11</v>
      </c>
      <c r="E2077" s="117">
        <v>45427</v>
      </c>
      <c r="F2077" s="116">
        <f>COUNTIFS($A$3:A10333,A2077,$B$3:B10333,B2077)</f>
        <v>1</v>
      </c>
      <c r="G2077" s="116"/>
    </row>
    <row r="2078" spans="1:7" x14ac:dyDescent="0.2">
      <c r="A2078" s="116">
        <f>IF(ISNUMBER(Tabela2[[#This Row],[CT-e/NFS]])=TRUE,(IF(B2078&gt;30000,4,IF(B2078&lt;1000,"ND",0))),"-")</f>
        <v>4</v>
      </c>
      <c r="B2078" s="116">
        <v>46810</v>
      </c>
      <c r="C2078" s="117">
        <v>45413</v>
      </c>
      <c r="D2078" s="116">
        <v>307.42</v>
      </c>
      <c r="E2078" s="117">
        <v>45427</v>
      </c>
      <c r="F2078" s="116">
        <f>COUNTIFS($A$3:A10334,A2078,$B$3:B10334,B2078)</f>
        <v>1</v>
      </c>
      <c r="G2078" s="116"/>
    </row>
    <row r="2079" spans="1:7" x14ac:dyDescent="0.2">
      <c r="A2079" s="116">
        <f>IF(ISNUMBER(Tabela2[[#This Row],[CT-e/NFS]])=TRUE,(IF(B2079&gt;30000,4,IF(B2079&lt;1000,"ND",0))),"-")</f>
        <v>4</v>
      </c>
      <c r="B2079" s="116">
        <v>46816</v>
      </c>
      <c r="C2079" s="117">
        <v>45413</v>
      </c>
      <c r="D2079" s="116">
        <v>227.08</v>
      </c>
      <c r="E2079" s="117">
        <v>45427</v>
      </c>
      <c r="F2079" s="116">
        <f>COUNTIFS($A$3:A10335,A2079,$B$3:B10335,B2079)</f>
        <v>1</v>
      </c>
      <c r="G2079" s="116"/>
    </row>
    <row r="2080" spans="1:7" x14ac:dyDescent="0.2">
      <c r="A2080" s="116">
        <f>IF(ISNUMBER(Tabela2[[#This Row],[CT-e/NFS]])=TRUE,(IF(B2080&gt;30000,4,IF(B2080&lt;1000,"ND",0))),"-")</f>
        <v>4</v>
      </c>
      <c r="B2080" s="116">
        <v>46812</v>
      </c>
      <c r="C2080" s="117">
        <v>45413</v>
      </c>
      <c r="D2080" s="116">
        <v>238.13</v>
      </c>
      <c r="E2080" s="117">
        <v>45427</v>
      </c>
      <c r="F2080" s="116">
        <f>COUNTIFS($A$3:A10336,A2080,$B$3:B10336,B2080)</f>
        <v>1</v>
      </c>
      <c r="G2080" s="116"/>
    </row>
    <row r="2081" spans="1:7" x14ac:dyDescent="0.2">
      <c r="A2081" s="116">
        <f>IF(ISNUMBER(Tabela2[[#This Row],[CT-e/NFS]])=TRUE,(IF(B2081&gt;30000,4,IF(B2081&lt;1000,"ND",0))),"-")</f>
        <v>0</v>
      </c>
      <c r="B2081" s="116">
        <v>21345</v>
      </c>
      <c r="C2081" s="117">
        <v>45413</v>
      </c>
      <c r="D2081" s="116">
        <v>72.94</v>
      </c>
      <c r="E2081" s="117">
        <v>45427</v>
      </c>
      <c r="F2081" s="116">
        <f>COUNTIFS($A$3:A10337,A2081,$B$3:B10337,B2081)</f>
        <v>1</v>
      </c>
      <c r="G2081" s="116"/>
    </row>
    <row r="2082" spans="1:7" x14ac:dyDescent="0.2">
      <c r="A2082" s="116">
        <f>IF(ISNUMBER(Tabela2[[#This Row],[CT-e/NFS]])=TRUE,(IF(B2082&gt;30000,4,IF(B2082&lt;1000,"ND",0))),"-")</f>
        <v>4</v>
      </c>
      <c r="B2082" s="116">
        <v>46815</v>
      </c>
      <c r="C2082" s="117">
        <v>45413</v>
      </c>
      <c r="D2082" s="116">
        <v>123.51</v>
      </c>
      <c r="E2082" s="117">
        <v>45427</v>
      </c>
      <c r="F2082" s="116">
        <f>COUNTIFS($A$3:A10338,A2082,$B$3:B10338,B2082)</f>
        <v>1</v>
      </c>
      <c r="G2082" s="116"/>
    </row>
    <row r="2083" spans="1:7" x14ac:dyDescent="0.2">
      <c r="A2083" s="116">
        <f>IF(ISNUMBER(Tabela2[[#This Row],[CT-e/NFS]])=TRUE,(IF(B2083&gt;30000,4,IF(B2083&lt;1000,"ND",0))),"-")</f>
        <v>4</v>
      </c>
      <c r="B2083" s="116">
        <v>46813</v>
      </c>
      <c r="C2083" s="117">
        <v>45413</v>
      </c>
      <c r="D2083" s="116">
        <v>123.97</v>
      </c>
      <c r="E2083" s="117">
        <v>45427</v>
      </c>
      <c r="F2083" s="116">
        <f>COUNTIFS($A$3:A10339,A2083,$B$3:B10339,B2083)</f>
        <v>1</v>
      </c>
      <c r="G2083" s="116"/>
    </row>
    <row r="2084" spans="1:7" x14ac:dyDescent="0.2">
      <c r="A2084" s="116">
        <f>IF(ISNUMBER(Tabela2[[#This Row],[CT-e/NFS]])=TRUE,(IF(B2084&gt;30000,4,IF(B2084&lt;1000,"ND",0))),"-")</f>
        <v>4</v>
      </c>
      <c r="B2084" s="116">
        <v>46809</v>
      </c>
      <c r="C2084" s="117">
        <v>45413</v>
      </c>
      <c r="D2084" s="116">
        <v>318.95</v>
      </c>
      <c r="E2084" s="117">
        <v>45427</v>
      </c>
      <c r="F2084" s="116">
        <f>COUNTIFS($A$3:A10340,A2084,$B$3:B10340,B2084)</f>
        <v>1</v>
      </c>
      <c r="G2084" s="116"/>
    </row>
    <row r="2085" spans="1:7" x14ac:dyDescent="0.2">
      <c r="A2085" s="116">
        <f>IF(ISNUMBER(Tabela2[[#This Row],[CT-e/NFS]])=TRUE,(IF(B2085&gt;30000,4,IF(B2085&lt;1000,"ND",0))),"-")</f>
        <v>4</v>
      </c>
      <c r="B2085" s="116">
        <v>46817</v>
      </c>
      <c r="C2085" s="117">
        <v>45413</v>
      </c>
      <c r="D2085" s="116">
        <v>124.38</v>
      </c>
      <c r="E2085" s="117">
        <v>45427</v>
      </c>
      <c r="F2085" s="116">
        <f>COUNTIFS($A$3:A10341,A2085,$B$3:B10341,B2085)</f>
        <v>1</v>
      </c>
      <c r="G2085" s="116"/>
    </row>
    <row r="2086" spans="1:7" x14ac:dyDescent="0.2">
      <c r="A2086" s="116">
        <f>IF(ISNUMBER(Tabela2[[#This Row],[CT-e/NFS]])=TRUE,(IF(B2086&gt;30000,4,IF(B2086&lt;1000,"ND",0))),"-")</f>
        <v>4</v>
      </c>
      <c r="B2086" s="116">
        <v>46808</v>
      </c>
      <c r="C2086" s="117">
        <v>45413</v>
      </c>
      <c r="D2086" s="116">
        <v>160.6</v>
      </c>
      <c r="E2086" s="117">
        <v>45427</v>
      </c>
      <c r="F2086" s="116">
        <f>COUNTIFS($A$3:A10342,A2086,$B$3:B10342,B2086)</f>
        <v>1</v>
      </c>
      <c r="G2086" s="116"/>
    </row>
    <row r="2087" spans="1:7" x14ac:dyDescent="0.2">
      <c r="A2087" s="116">
        <f>IF(ISNUMBER(Tabela2[[#This Row],[CT-e/NFS]])=TRUE,(IF(B2087&gt;30000,4,IF(B2087&lt;1000,"ND",0))),"-")</f>
        <v>4</v>
      </c>
      <c r="B2087" s="116">
        <v>46811</v>
      </c>
      <c r="C2087" s="117">
        <v>45413</v>
      </c>
      <c r="D2087" s="116">
        <v>156.94999999999999</v>
      </c>
      <c r="E2087" s="117">
        <v>45427</v>
      </c>
      <c r="F2087" s="116">
        <f>COUNTIFS($A$3:A10343,A2087,$B$3:B10343,B2087)</f>
        <v>1</v>
      </c>
      <c r="G2087" s="116"/>
    </row>
    <row r="2088" spans="1:7" x14ac:dyDescent="0.2">
      <c r="A2088" s="116">
        <f>IF(ISNUMBER(Tabela2[[#This Row],[CT-e/NFS]])=TRUE,(IF(B2088&gt;30000,4,IF(B2088&lt;1000,"ND",0))),"-")</f>
        <v>4</v>
      </c>
      <c r="B2088" s="116">
        <v>46807</v>
      </c>
      <c r="C2088" s="117">
        <v>45413</v>
      </c>
      <c r="D2088" s="116">
        <v>125.36</v>
      </c>
      <c r="E2088" s="117">
        <v>45427</v>
      </c>
      <c r="F2088" s="116">
        <f>COUNTIFS($A$3:A10344,A2088,$B$3:B10344,B2088)</f>
        <v>1</v>
      </c>
      <c r="G2088" s="116"/>
    </row>
    <row r="2089" spans="1:7" x14ac:dyDescent="0.2">
      <c r="A2089" s="116">
        <f>IF(ISNUMBER(Tabela2[[#This Row],[CT-e/NFS]])=TRUE,(IF(B2089&gt;30000,4,IF(B2089&lt;1000,"ND",0))),"-")</f>
        <v>4</v>
      </c>
      <c r="B2089" s="116">
        <v>46818</v>
      </c>
      <c r="C2089" s="117">
        <v>45413</v>
      </c>
      <c r="D2089" s="116">
        <v>124.15</v>
      </c>
      <c r="E2089" s="117">
        <v>45427</v>
      </c>
      <c r="F2089" s="116">
        <f>COUNTIFS($A$3:A10345,A2089,$B$3:B10345,B2089)</f>
        <v>1</v>
      </c>
      <c r="G2089" s="116"/>
    </row>
    <row r="2090" spans="1:7" x14ac:dyDescent="0.2">
      <c r="A2090" s="116">
        <f>IF(ISNUMBER(Tabela2[[#This Row],[CT-e/NFS]])=TRUE,(IF(B2090&gt;30000,4,IF(B2090&lt;1000,"ND",0))),"-")</f>
        <v>4</v>
      </c>
      <c r="B2090" s="116">
        <v>46718</v>
      </c>
      <c r="C2090" s="117">
        <v>45413</v>
      </c>
      <c r="D2090" s="116">
        <v>560.72</v>
      </c>
      <c r="E2090" s="117">
        <v>45427</v>
      </c>
      <c r="F2090" s="116">
        <f>COUNTIFS($A$3:A10346,A2090,$B$3:B10346,B2090)</f>
        <v>1</v>
      </c>
      <c r="G2090" s="116"/>
    </row>
    <row r="2091" spans="1:7" x14ac:dyDescent="0.2">
      <c r="A2091" s="116">
        <f>IF(ISNUMBER(Tabela2[[#This Row],[CT-e/NFS]])=TRUE,(IF(B2091&gt;30000,4,IF(B2091&lt;1000,"ND",0))),"-")</f>
        <v>4</v>
      </c>
      <c r="B2091" s="116">
        <v>46791</v>
      </c>
      <c r="C2091" s="117">
        <v>45413</v>
      </c>
      <c r="D2091" s="116">
        <v>63.15</v>
      </c>
      <c r="E2091" s="117">
        <v>45427</v>
      </c>
      <c r="F2091" s="116">
        <f>COUNTIFS($A$3:A10347,A2091,$B$3:B10347,B2091)</f>
        <v>1</v>
      </c>
      <c r="G2091" s="116"/>
    </row>
    <row r="2092" spans="1:7" x14ac:dyDescent="0.2">
      <c r="A2092" s="116">
        <f>IF(ISNUMBER(Tabela2[[#This Row],[CT-e/NFS]])=TRUE,(IF(B2092&gt;30000,4,IF(B2092&lt;1000,"ND",0))),"-")</f>
        <v>4</v>
      </c>
      <c r="B2092" s="116">
        <v>46821</v>
      </c>
      <c r="C2092" s="117">
        <v>45413</v>
      </c>
      <c r="D2092" s="116">
        <v>122.74</v>
      </c>
      <c r="E2092" s="117">
        <v>45427</v>
      </c>
      <c r="F2092" s="116">
        <f>COUNTIFS($A$3:A10348,A2092,$B$3:B10348,B2092)</f>
        <v>1</v>
      </c>
      <c r="G2092" s="116"/>
    </row>
    <row r="2093" spans="1:7" x14ac:dyDescent="0.2">
      <c r="A2093" s="116">
        <f>IF(ISNUMBER(Tabela2[[#This Row],[CT-e/NFS]])=TRUE,(IF(B2093&gt;30000,4,IF(B2093&lt;1000,"ND",0))),"-")</f>
        <v>4</v>
      </c>
      <c r="B2093" s="116">
        <v>46823</v>
      </c>
      <c r="C2093" s="117">
        <v>45413</v>
      </c>
      <c r="D2093" s="116">
        <v>730.85</v>
      </c>
      <c r="E2093" s="117">
        <v>45427</v>
      </c>
      <c r="F2093" s="116">
        <f>COUNTIFS($A$3:A10349,A2093,$B$3:B10349,B2093)</f>
        <v>1</v>
      </c>
      <c r="G2093" s="116"/>
    </row>
    <row r="2094" spans="1:7" x14ac:dyDescent="0.2">
      <c r="A2094" s="116">
        <f>IF(ISNUMBER(Tabela2[[#This Row],[CT-e/NFS]])=TRUE,(IF(B2094&gt;30000,4,IF(B2094&lt;1000,"ND",0))),"-")</f>
        <v>4</v>
      </c>
      <c r="B2094" s="116">
        <v>46825</v>
      </c>
      <c r="C2094" s="117">
        <v>45413</v>
      </c>
      <c r="D2094" s="116">
        <v>966.85</v>
      </c>
      <c r="E2094" s="117">
        <v>45427</v>
      </c>
      <c r="F2094" s="116">
        <f>COUNTIFS($A$3:A10350,A2094,$B$3:B10350,B2094)</f>
        <v>1</v>
      </c>
      <c r="G2094" s="116"/>
    </row>
    <row r="2095" spans="1:7" x14ac:dyDescent="0.2">
      <c r="A2095" s="116">
        <f>IF(ISNUMBER(Tabela2[[#This Row],[CT-e/NFS]])=TRUE,(IF(B2095&gt;30000,4,IF(B2095&lt;1000,"ND",0))),"-")</f>
        <v>4</v>
      </c>
      <c r="B2095" s="116">
        <v>46827</v>
      </c>
      <c r="C2095" s="117">
        <v>45413</v>
      </c>
      <c r="D2095" s="116">
        <v>1137.73</v>
      </c>
      <c r="E2095" s="117">
        <v>45427</v>
      </c>
      <c r="F2095" s="116">
        <f>COUNTIFS($A$3:A10351,A2095,$B$3:B10351,B2095)</f>
        <v>1</v>
      </c>
      <c r="G2095" s="116"/>
    </row>
    <row r="2096" spans="1:7" x14ac:dyDescent="0.2">
      <c r="A2096" s="116">
        <f>IF(ISNUMBER(Tabela2[[#This Row],[CT-e/NFS]])=TRUE,(IF(B2096&gt;30000,4,IF(B2096&lt;1000,"ND",0))),"-")</f>
        <v>4</v>
      </c>
      <c r="B2096" s="116">
        <v>46824</v>
      </c>
      <c r="C2096" s="117">
        <v>45413</v>
      </c>
      <c r="D2096" s="116">
        <v>413.89</v>
      </c>
      <c r="E2096" s="117">
        <v>45427</v>
      </c>
      <c r="F2096" s="116">
        <f>COUNTIFS($A$3:A10352,A2096,$B$3:B10352,B2096)</f>
        <v>1</v>
      </c>
      <c r="G2096" s="116"/>
    </row>
    <row r="2097" spans="1:7" x14ac:dyDescent="0.2">
      <c r="A2097" s="116">
        <f>IF(ISNUMBER(Tabela2[[#This Row],[CT-e/NFS]])=TRUE,(IF(B2097&gt;30000,4,IF(B2097&lt;1000,"ND",0))),"-")</f>
        <v>4</v>
      </c>
      <c r="B2097" s="116">
        <v>46826</v>
      </c>
      <c r="C2097" s="117">
        <v>45413</v>
      </c>
      <c r="D2097" s="116">
        <v>377.57</v>
      </c>
      <c r="E2097" s="117">
        <v>45427</v>
      </c>
      <c r="F2097" s="116">
        <f>COUNTIFS($A$3:A10353,A2097,$B$3:B10353,B2097)</f>
        <v>1</v>
      </c>
      <c r="G2097" s="116"/>
    </row>
    <row r="2098" spans="1:7" x14ac:dyDescent="0.2">
      <c r="A2098" s="116">
        <f>IF(ISNUMBER(Tabela2[[#This Row],[CT-e/NFS]])=TRUE,(IF(B2098&gt;30000,4,IF(B2098&lt;1000,"ND",0))),"-")</f>
        <v>4</v>
      </c>
      <c r="B2098" s="116">
        <v>46822</v>
      </c>
      <c r="C2098" s="117">
        <v>45413</v>
      </c>
      <c r="D2098" s="116">
        <v>931.82</v>
      </c>
      <c r="E2098" s="117">
        <v>45427</v>
      </c>
      <c r="F2098" s="116">
        <f>COUNTIFS($A$3:A10354,A2098,$B$3:B10354,B2098)</f>
        <v>1</v>
      </c>
      <c r="G2098" s="116"/>
    </row>
    <row r="2099" spans="1:7" x14ac:dyDescent="0.2">
      <c r="A2099" s="116">
        <f>IF(ISNUMBER(Tabela2[[#This Row],[CT-e/NFS]])=TRUE,(IF(B2099&gt;30000,4,IF(B2099&lt;1000,"ND",0))),"-")</f>
        <v>4</v>
      </c>
      <c r="B2099" s="116">
        <v>46832</v>
      </c>
      <c r="C2099" s="117">
        <v>45413</v>
      </c>
      <c r="D2099" s="116">
        <v>124.42</v>
      </c>
      <c r="E2099" s="117">
        <v>45427</v>
      </c>
      <c r="F2099" s="116">
        <f>COUNTIFS($A$3:A10355,A2099,$B$3:B10355,B2099)</f>
        <v>1</v>
      </c>
      <c r="G2099" s="116"/>
    </row>
    <row r="2100" spans="1:7" x14ac:dyDescent="0.2">
      <c r="A2100" s="116">
        <f>IF(ISNUMBER(Tabela2[[#This Row],[CT-e/NFS]])=TRUE,(IF(B2100&gt;30000,4,IF(B2100&lt;1000,"ND",0))),"-")</f>
        <v>4</v>
      </c>
      <c r="B2100" s="116">
        <v>46833</v>
      </c>
      <c r="C2100" s="117">
        <v>45413</v>
      </c>
      <c r="D2100" s="116">
        <v>125.25</v>
      </c>
      <c r="E2100" s="117">
        <v>45427</v>
      </c>
      <c r="F2100" s="116">
        <f>COUNTIFS($A$3:A10356,A2100,$B$3:B10356,B2100)</f>
        <v>1</v>
      </c>
      <c r="G2100" s="116"/>
    </row>
    <row r="2101" spans="1:7" x14ac:dyDescent="0.2">
      <c r="A2101" s="116">
        <f>IF(ISNUMBER(Tabela2[[#This Row],[CT-e/NFS]])=TRUE,(IF(B2101&gt;30000,4,IF(B2101&lt;1000,"ND",0))),"-")</f>
        <v>4</v>
      </c>
      <c r="B2101" s="116">
        <v>46835</v>
      </c>
      <c r="C2101" s="117">
        <v>45413</v>
      </c>
      <c r="D2101" s="116">
        <v>125.07</v>
      </c>
      <c r="E2101" s="117">
        <v>45427</v>
      </c>
      <c r="F2101" s="116">
        <f>COUNTIFS($A$3:A10357,A2101,$B$3:B10357,B2101)</f>
        <v>1</v>
      </c>
      <c r="G2101" s="116"/>
    </row>
    <row r="2102" spans="1:7" x14ac:dyDescent="0.2">
      <c r="A2102" s="116">
        <f>IF(ISNUMBER(Tabela2[[#This Row],[CT-e/NFS]])=TRUE,(IF(B2102&gt;30000,4,IF(B2102&lt;1000,"ND",0))),"-")</f>
        <v>4</v>
      </c>
      <c r="B2102" s="116">
        <v>46838</v>
      </c>
      <c r="C2102" s="117">
        <v>45413</v>
      </c>
      <c r="D2102" s="116">
        <v>124.42</v>
      </c>
      <c r="E2102" s="117">
        <v>45427</v>
      </c>
      <c r="F2102" s="116">
        <f>COUNTIFS($A$3:A10358,A2102,$B$3:B10358,B2102)</f>
        <v>1</v>
      </c>
      <c r="G2102" s="116"/>
    </row>
    <row r="2103" spans="1:7" x14ac:dyDescent="0.2">
      <c r="A2103" s="116">
        <f>IF(ISNUMBER(Tabela2[[#This Row],[CT-e/NFS]])=TRUE,(IF(B2103&gt;30000,4,IF(B2103&lt;1000,"ND",0))),"-")</f>
        <v>4</v>
      </c>
      <c r="B2103" s="116">
        <v>46828</v>
      </c>
      <c r="C2103" s="117">
        <v>45413</v>
      </c>
      <c r="D2103" s="116">
        <v>181.33</v>
      </c>
      <c r="E2103" s="117">
        <v>45427</v>
      </c>
      <c r="F2103" s="116">
        <f>COUNTIFS($A$3:A10359,A2103,$B$3:B10359,B2103)</f>
        <v>1</v>
      </c>
      <c r="G2103" s="116"/>
    </row>
    <row r="2104" spans="1:7" x14ac:dyDescent="0.2">
      <c r="A2104" s="116">
        <f>IF(ISNUMBER(Tabela2[[#This Row],[CT-e/NFS]])=TRUE,(IF(B2104&gt;30000,4,IF(B2104&lt;1000,"ND",0))),"-")</f>
        <v>4</v>
      </c>
      <c r="B2104" s="116">
        <v>46831</v>
      </c>
      <c r="C2104" s="117">
        <v>45413</v>
      </c>
      <c r="D2104" s="116">
        <v>210.11</v>
      </c>
      <c r="E2104" s="117">
        <v>45427</v>
      </c>
      <c r="F2104" s="116">
        <f>COUNTIFS($A$3:A10360,A2104,$B$3:B10360,B2104)</f>
        <v>1</v>
      </c>
      <c r="G2104" s="116"/>
    </row>
    <row r="2105" spans="1:7" x14ac:dyDescent="0.2">
      <c r="A2105" s="116">
        <f>IF(ISNUMBER(Tabela2[[#This Row],[CT-e/NFS]])=TRUE,(IF(B2105&gt;30000,4,IF(B2105&lt;1000,"ND",0))),"-")</f>
        <v>4</v>
      </c>
      <c r="B2105" s="116">
        <v>46829</v>
      </c>
      <c r="C2105" s="117">
        <v>45413</v>
      </c>
      <c r="D2105" s="116">
        <v>122.92</v>
      </c>
      <c r="E2105" s="117">
        <v>45427</v>
      </c>
      <c r="F2105" s="116">
        <f>COUNTIFS($A$3:A10361,A2105,$B$3:B10361,B2105)</f>
        <v>1</v>
      </c>
      <c r="G2105" s="116"/>
    </row>
    <row r="2106" spans="1:7" x14ac:dyDescent="0.2">
      <c r="A2106" s="116">
        <f>IF(ISNUMBER(Tabela2[[#This Row],[CT-e/NFS]])=TRUE,(IF(B2106&gt;30000,4,IF(B2106&lt;1000,"ND",0))),"-")</f>
        <v>4</v>
      </c>
      <c r="B2106" s="116">
        <v>46830</v>
      </c>
      <c r="C2106" s="117">
        <v>45413</v>
      </c>
      <c r="D2106" s="116">
        <v>252.74</v>
      </c>
      <c r="E2106" s="117">
        <v>45427</v>
      </c>
      <c r="F2106" s="116">
        <f>COUNTIFS($A$3:A10362,A2106,$B$3:B10362,B2106)</f>
        <v>1</v>
      </c>
      <c r="G2106" s="116"/>
    </row>
    <row r="2107" spans="1:7" x14ac:dyDescent="0.2">
      <c r="A2107" s="116">
        <f>IF(ISNUMBER(Tabela2[[#This Row],[CT-e/NFS]])=TRUE,(IF(B2107&gt;30000,4,IF(B2107&lt;1000,"ND",0))),"-")</f>
        <v>4</v>
      </c>
      <c r="B2107" s="116">
        <v>46837</v>
      </c>
      <c r="C2107" s="117">
        <v>45413</v>
      </c>
      <c r="D2107" s="116">
        <v>798.27</v>
      </c>
      <c r="E2107" s="117">
        <v>45427</v>
      </c>
      <c r="F2107" s="116">
        <f>COUNTIFS($A$3:A10363,A2107,$B$3:B10363,B2107)</f>
        <v>1</v>
      </c>
      <c r="G2107" s="116"/>
    </row>
    <row r="2108" spans="1:7" x14ac:dyDescent="0.2">
      <c r="A2108" s="116">
        <f>IF(ISNUMBER(Tabela2[[#This Row],[CT-e/NFS]])=TRUE,(IF(B2108&gt;30000,4,IF(B2108&lt;1000,"ND",0))),"-")</f>
        <v>4</v>
      </c>
      <c r="B2108" s="116">
        <v>46834</v>
      </c>
      <c r="C2108" s="117">
        <v>45413</v>
      </c>
      <c r="D2108" s="116">
        <v>239.28</v>
      </c>
      <c r="E2108" s="117">
        <v>45427</v>
      </c>
      <c r="F2108" s="116">
        <f>COUNTIFS($A$3:A10364,A2108,$B$3:B10364,B2108)</f>
        <v>1</v>
      </c>
      <c r="G2108" s="116"/>
    </row>
    <row r="2109" spans="1:7" x14ac:dyDescent="0.2">
      <c r="A2109" s="116">
        <f>IF(ISNUMBER(Tabela2[[#This Row],[CT-e/NFS]])=TRUE,(IF(B2109&gt;30000,4,IF(B2109&lt;1000,"ND",0))),"-")</f>
        <v>4</v>
      </c>
      <c r="B2109" s="116">
        <v>46841</v>
      </c>
      <c r="C2109" s="117">
        <v>45413</v>
      </c>
      <c r="D2109" s="116">
        <v>176.14</v>
      </c>
      <c r="E2109" s="117">
        <v>45427</v>
      </c>
      <c r="F2109" s="116">
        <f>COUNTIFS($A$3:A10365,A2109,$B$3:B10365,B2109)</f>
        <v>1</v>
      </c>
      <c r="G2109" s="116"/>
    </row>
    <row r="2110" spans="1:7" x14ac:dyDescent="0.2">
      <c r="A2110" s="116">
        <f>IF(ISNUMBER(Tabela2[[#This Row],[CT-e/NFS]])=TRUE,(IF(B2110&gt;30000,4,IF(B2110&lt;1000,"ND",0))),"-")</f>
        <v>4</v>
      </c>
      <c r="B2110" s="116">
        <v>46836</v>
      </c>
      <c r="C2110" s="117">
        <v>45413</v>
      </c>
      <c r="D2110" s="116">
        <v>1245.6099999999999</v>
      </c>
      <c r="E2110" s="117">
        <v>45427</v>
      </c>
      <c r="F2110" s="116">
        <f>COUNTIFS($A$3:A10366,A2110,$B$3:B10366,B2110)</f>
        <v>1</v>
      </c>
      <c r="G2110" s="116"/>
    </row>
    <row r="2111" spans="1:7" x14ac:dyDescent="0.2">
      <c r="A2111" s="116">
        <f>IF(ISNUMBER(Tabela2[[#This Row],[CT-e/NFS]])=TRUE,(IF(B2111&gt;30000,4,IF(B2111&lt;1000,"ND",0))),"-")</f>
        <v>4</v>
      </c>
      <c r="B2111" s="116">
        <v>46790</v>
      </c>
      <c r="C2111" s="117">
        <v>45413</v>
      </c>
      <c r="D2111" s="116">
        <v>467.33</v>
      </c>
      <c r="E2111" s="117">
        <v>45427</v>
      </c>
      <c r="F2111" s="116">
        <f>COUNTIFS($A$3:A10367,A2111,$B$3:B10367,B2111)</f>
        <v>1</v>
      </c>
      <c r="G2111" s="116"/>
    </row>
    <row r="2112" spans="1:7" x14ac:dyDescent="0.2">
      <c r="A2112" s="116">
        <f>IF(ISNUMBER(Tabela2[[#This Row],[CT-e/NFS]])=TRUE,(IF(B2112&gt;30000,4,IF(B2112&lt;1000,"ND",0))),"-")</f>
        <v>4</v>
      </c>
      <c r="B2112" s="116">
        <v>46842</v>
      </c>
      <c r="C2112" s="117">
        <v>45413</v>
      </c>
      <c r="D2112" s="116">
        <v>609.98</v>
      </c>
      <c r="E2112" s="117">
        <v>45427</v>
      </c>
      <c r="F2112" s="116">
        <f>COUNTIFS($A$3:A10368,A2112,$B$3:B10368,B2112)</f>
        <v>1</v>
      </c>
      <c r="G2112" s="116"/>
    </row>
    <row r="2113" spans="1:7" x14ac:dyDescent="0.2">
      <c r="A2113" s="116">
        <f>IF(ISNUMBER(Tabela2[[#This Row],[CT-e/NFS]])=TRUE,(IF(B2113&gt;30000,4,IF(B2113&lt;1000,"ND",0))),"-")</f>
        <v>4</v>
      </c>
      <c r="B2113" s="116">
        <v>46738</v>
      </c>
      <c r="C2113" s="117">
        <v>45413</v>
      </c>
      <c r="D2113" s="116">
        <v>1137.73</v>
      </c>
      <c r="E2113" s="117">
        <v>45427</v>
      </c>
      <c r="F2113" s="116">
        <f>COUNTIFS($A$3:A10369,A2113,$B$3:B10369,B2113)</f>
        <v>1</v>
      </c>
      <c r="G2113" s="116"/>
    </row>
    <row r="2114" spans="1:7" x14ac:dyDescent="0.2">
      <c r="A2114" s="116">
        <f>IF(ISNUMBER(Tabela2[[#This Row],[CT-e/NFS]])=TRUE,(IF(B2114&gt;30000,4,IF(B2114&lt;1000,"ND",0))),"-")</f>
        <v>4</v>
      </c>
      <c r="B2114" s="116">
        <v>46764</v>
      </c>
      <c r="C2114" s="117">
        <v>45413</v>
      </c>
      <c r="D2114" s="116">
        <v>1082.1400000000001</v>
      </c>
      <c r="E2114" s="117">
        <v>45427</v>
      </c>
      <c r="F2114" s="116">
        <f>COUNTIFS($A$3:A10370,A2114,$B$3:B10370,B2114)</f>
        <v>1</v>
      </c>
      <c r="G2114" s="116"/>
    </row>
    <row r="2115" spans="1:7" x14ac:dyDescent="0.2">
      <c r="A2115" s="116">
        <f>IF(ISNUMBER(Tabela2[[#This Row],[CT-e/NFS]])=TRUE,(IF(B2115&gt;30000,4,IF(B2115&lt;1000,"ND",0))),"-")</f>
        <v>4</v>
      </c>
      <c r="B2115" s="116">
        <v>46804</v>
      </c>
      <c r="C2115" s="117">
        <v>45413</v>
      </c>
      <c r="D2115" s="116">
        <v>585.70000000000005</v>
      </c>
      <c r="E2115" s="117">
        <v>45427</v>
      </c>
      <c r="F2115" s="116">
        <f>COUNTIFS($A$3:A10371,A2115,$B$3:B10371,B2115)</f>
        <v>1</v>
      </c>
      <c r="G2115" s="116"/>
    </row>
    <row r="2116" spans="1:7" x14ac:dyDescent="0.2">
      <c r="A2116" s="116">
        <f>IF(ISNUMBER(Tabela2[[#This Row],[CT-e/NFS]])=TRUE,(IF(B2116&gt;30000,4,IF(B2116&lt;1000,"ND",0))),"-")</f>
        <v>4</v>
      </c>
      <c r="B2116" s="116">
        <v>46855</v>
      </c>
      <c r="C2116" s="117">
        <v>45423</v>
      </c>
      <c r="D2116" s="116">
        <v>1137.73</v>
      </c>
      <c r="E2116" s="117">
        <v>45427</v>
      </c>
      <c r="F2116" s="116">
        <f>COUNTIFS($A$3:A10372,A2116,$B$3:B10372,B2116)</f>
        <v>1</v>
      </c>
      <c r="G2116" s="116"/>
    </row>
    <row r="2117" spans="1:7" x14ac:dyDescent="0.2">
      <c r="A2117" s="116">
        <f>IF(ISNUMBER(Tabela2[[#This Row],[CT-e/NFS]])=TRUE,(IF(B2117&gt;30000,4,IF(B2117&lt;1000,"ND",0))),"-")</f>
        <v>4</v>
      </c>
      <c r="B2117" s="116">
        <v>46845</v>
      </c>
      <c r="C2117" s="117">
        <v>45423</v>
      </c>
      <c r="D2117" s="116">
        <v>122.92</v>
      </c>
      <c r="E2117" s="117">
        <v>45427</v>
      </c>
      <c r="F2117" s="116">
        <f>COUNTIFS($A$3:A10373,A2117,$B$3:B10373,B2117)</f>
        <v>1</v>
      </c>
      <c r="G2117" s="116"/>
    </row>
    <row r="2118" spans="1:7" x14ac:dyDescent="0.2">
      <c r="A2118" s="116">
        <f>IF(ISNUMBER(Tabela2[[#This Row],[CT-e/NFS]])=TRUE,(IF(B2118&gt;30000,4,IF(B2118&lt;1000,"ND",0))),"-")</f>
        <v>4</v>
      </c>
      <c r="B2118" s="116">
        <v>46853</v>
      </c>
      <c r="C2118" s="117">
        <v>45423</v>
      </c>
      <c r="D2118" s="116">
        <v>124.07</v>
      </c>
      <c r="E2118" s="117">
        <v>45427</v>
      </c>
      <c r="F2118" s="116">
        <f>COUNTIFS($A$3:A10374,A2118,$B$3:B10374,B2118)</f>
        <v>1</v>
      </c>
      <c r="G2118" s="116"/>
    </row>
    <row r="2119" spans="1:7" x14ac:dyDescent="0.2">
      <c r="A2119" s="116">
        <f>IF(ISNUMBER(Tabela2[[#This Row],[CT-e/NFS]])=TRUE,(IF(B2119&gt;30000,4,IF(B2119&lt;1000,"ND",0))),"-")</f>
        <v>4</v>
      </c>
      <c r="B2119" s="116">
        <v>46848</v>
      </c>
      <c r="C2119" s="117">
        <v>45423</v>
      </c>
      <c r="D2119" s="116">
        <v>123.26</v>
      </c>
      <c r="E2119" s="117">
        <v>45427</v>
      </c>
      <c r="F2119" s="116">
        <f>COUNTIFS($A$3:A10375,A2119,$B$3:B10375,B2119)</f>
        <v>1</v>
      </c>
      <c r="G2119" s="116"/>
    </row>
    <row r="2120" spans="1:7" x14ac:dyDescent="0.2">
      <c r="A2120" s="116">
        <f>IF(ISNUMBER(Tabela2[[#This Row],[CT-e/NFS]])=TRUE,(IF(B2120&gt;30000,4,IF(B2120&lt;1000,"ND",0))),"-")</f>
        <v>4</v>
      </c>
      <c r="B2120" s="116">
        <v>46844</v>
      </c>
      <c r="C2120" s="117">
        <v>45423</v>
      </c>
      <c r="D2120" s="116">
        <v>135.97999999999999</v>
      </c>
      <c r="E2120" s="117">
        <v>45427</v>
      </c>
      <c r="F2120" s="116">
        <f>COUNTIFS($A$3:A10376,A2120,$B$3:B10376,B2120)</f>
        <v>1</v>
      </c>
      <c r="G2120" s="116"/>
    </row>
    <row r="2121" spans="1:7" x14ac:dyDescent="0.2">
      <c r="A2121" s="116">
        <f>IF(ISNUMBER(Tabela2[[#This Row],[CT-e/NFS]])=TRUE,(IF(B2121&gt;30000,4,IF(B2121&lt;1000,"ND",0))),"-")</f>
        <v>4</v>
      </c>
      <c r="B2121" s="116">
        <v>46850</v>
      </c>
      <c r="C2121" s="117">
        <v>45423</v>
      </c>
      <c r="D2121" s="116">
        <v>223.42</v>
      </c>
      <c r="E2121" s="117">
        <v>45427</v>
      </c>
      <c r="F2121" s="116">
        <f>COUNTIFS($A$3:A10377,A2121,$B$3:B10377,B2121)</f>
        <v>1</v>
      </c>
      <c r="G2121" s="116"/>
    </row>
    <row r="2122" spans="1:7" x14ac:dyDescent="0.2">
      <c r="A2122" s="116">
        <f>IF(ISNUMBER(Tabela2[[#This Row],[CT-e/NFS]])=TRUE,(IF(B2122&gt;30000,4,IF(B2122&lt;1000,"ND",0))),"-")</f>
        <v>4</v>
      </c>
      <c r="B2122" s="116">
        <v>46843</v>
      </c>
      <c r="C2122" s="117">
        <v>45423</v>
      </c>
      <c r="D2122" s="116">
        <v>124.39</v>
      </c>
      <c r="E2122" s="117">
        <v>45427</v>
      </c>
      <c r="F2122" s="116">
        <f>COUNTIFS($A$3:A10378,A2122,$B$3:B10378,B2122)</f>
        <v>1</v>
      </c>
      <c r="G2122" s="116"/>
    </row>
    <row r="2123" spans="1:7" x14ac:dyDescent="0.2">
      <c r="A2123" s="116">
        <f>IF(ISNUMBER(Tabela2[[#This Row],[CT-e/NFS]])=TRUE,(IF(B2123&gt;30000,4,IF(B2123&lt;1000,"ND",0))),"-")</f>
        <v>4</v>
      </c>
      <c r="B2123" s="116">
        <v>46859</v>
      </c>
      <c r="C2123" s="117">
        <v>45423</v>
      </c>
      <c r="D2123" s="116">
        <v>122.73</v>
      </c>
      <c r="E2123" s="117">
        <v>45427</v>
      </c>
      <c r="F2123" s="116">
        <f>COUNTIFS($A$3:A10379,A2123,$B$3:B10379,B2123)</f>
        <v>1</v>
      </c>
      <c r="G2123" s="116"/>
    </row>
    <row r="2124" spans="1:7" x14ac:dyDescent="0.2">
      <c r="A2124" s="116">
        <f>IF(ISNUMBER(Tabela2[[#This Row],[CT-e/NFS]])=TRUE,(IF(B2124&gt;30000,4,IF(B2124&lt;1000,"ND",0))),"-")</f>
        <v>4</v>
      </c>
      <c r="B2124" s="116">
        <v>46849</v>
      </c>
      <c r="C2124" s="117">
        <v>45423</v>
      </c>
      <c r="D2124" s="116">
        <v>126.66</v>
      </c>
      <c r="E2124" s="117">
        <v>45427</v>
      </c>
      <c r="F2124" s="116">
        <f>COUNTIFS($A$3:A10380,A2124,$B$3:B10380,B2124)</f>
        <v>1</v>
      </c>
      <c r="G2124" s="116"/>
    </row>
    <row r="2125" spans="1:7" x14ac:dyDescent="0.2">
      <c r="A2125" s="116">
        <f>IF(ISNUMBER(Tabela2[[#This Row],[CT-e/NFS]])=TRUE,(IF(B2125&gt;30000,4,IF(B2125&lt;1000,"ND",0))),"-")</f>
        <v>4</v>
      </c>
      <c r="B2125" s="116">
        <v>46851</v>
      </c>
      <c r="C2125" s="117">
        <v>45423</v>
      </c>
      <c r="D2125" s="116">
        <v>396.45</v>
      </c>
      <c r="E2125" s="117">
        <v>45427</v>
      </c>
      <c r="F2125" s="116">
        <f>COUNTIFS($A$3:A10381,A2125,$B$3:B10381,B2125)</f>
        <v>1</v>
      </c>
      <c r="G2125" s="116"/>
    </row>
    <row r="2126" spans="1:7" x14ac:dyDescent="0.2">
      <c r="A2126" s="116">
        <f>IF(ISNUMBER(Tabela2[[#This Row],[CT-e/NFS]])=TRUE,(IF(B2126&gt;30000,4,IF(B2126&lt;1000,"ND",0))),"-")</f>
        <v>4</v>
      </c>
      <c r="B2126" s="116">
        <v>46847</v>
      </c>
      <c r="C2126" s="117">
        <v>45423</v>
      </c>
      <c r="D2126" s="116">
        <v>124.09</v>
      </c>
      <c r="E2126" s="117">
        <v>45427</v>
      </c>
      <c r="F2126" s="116">
        <f>COUNTIFS($A$3:A10382,A2126,$B$3:B10382,B2126)</f>
        <v>1</v>
      </c>
      <c r="G2126" s="116"/>
    </row>
    <row r="2127" spans="1:7" x14ac:dyDescent="0.2">
      <c r="A2127" s="116">
        <f>IF(ISNUMBER(Tabela2[[#This Row],[CT-e/NFS]])=TRUE,(IF(B2127&gt;30000,4,IF(B2127&lt;1000,"ND",0))),"-")</f>
        <v>4</v>
      </c>
      <c r="B2127" s="116">
        <v>46852</v>
      </c>
      <c r="C2127" s="117">
        <v>45423</v>
      </c>
      <c r="D2127" s="116">
        <v>584.91999999999996</v>
      </c>
      <c r="E2127" s="117">
        <v>45427</v>
      </c>
      <c r="F2127" s="116">
        <f>COUNTIFS($A$3:A10383,A2127,$B$3:B10383,B2127)</f>
        <v>1</v>
      </c>
      <c r="G2127" s="116"/>
    </row>
    <row r="2128" spans="1:7" x14ac:dyDescent="0.2">
      <c r="A2128" s="116">
        <f>IF(ISNUMBER(Tabela2[[#This Row],[CT-e/NFS]])=TRUE,(IF(B2128&gt;30000,4,IF(B2128&lt;1000,"ND",0))),"-")</f>
        <v>0</v>
      </c>
      <c r="B2128" s="116">
        <v>21363</v>
      </c>
      <c r="C2128" s="117">
        <v>45423</v>
      </c>
      <c r="D2128" s="116">
        <v>76.349999999999994</v>
      </c>
      <c r="E2128" s="117">
        <v>45427</v>
      </c>
      <c r="F2128" s="116">
        <f>COUNTIFS($A$3:A10385,A2128,$B$3:B10385,B2128)</f>
        <v>1</v>
      </c>
      <c r="G2128" s="116"/>
    </row>
    <row r="2129" spans="1:7" x14ac:dyDescent="0.2">
      <c r="A2129" s="116">
        <f>IF(ISNUMBER(Tabela2[[#This Row],[CT-e/NFS]])=TRUE,(IF(B2129&gt;30000,4,IF(B2129&lt;1000,"ND",0))),"-")</f>
        <v>0</v>
      </c>
      <c r="B2129" s="116">
        <v>21364</v>
      </c>
      <c r="C2129" s="117">
        <v>45423</v>
      </c>
      <c r="D2129" s="116">
        <v>76.48</v>
      </c>
      <c r="E2129" s="117">
        <v>45427</v>
      </c>
      <c r="F2129" s="116">
        <f>COUNTIFS($A$3:A10386,A2129,$B$3:B10386,B2129)</f>
        <v>1</v>
      </c>
      <c r="G2129" s="116"/>
    </row>
    <row r="2130" spans="1:7" x14ac:dyDescent="0.2">
      <c r="A2130" s="116">
        <f>IF(ISNUMBER(Tabela2[[#This Row],[CT-e/NFS]])=TRUE,(IF(B2130&gt;30000,4,IF(B2130&lt;1000,"ND",0))),"-")</f>
        <v>0</v>
      </c>
      <c r="B2130" s="116">
        <v>21365</v>
      </c>
      <c r="C2130" s="117">
        <v>45423</v>
      </c>
      <c r="D2130" s="116">
        <v>167.23</v>
      </c>
      <c r="E2130" s="117">
        <v>45427</v>
      </c>
      <c r="F2130" s="116">
        <f>COUNTIFS($A$3:A10387,A2130,$B$3:B10387,B2130)</f>
        <v>1</v>
      </c>
      <c r="G2130" s="116"/>
    </row>
    <row r="2131" spans="1:7" x14ac:dyDescent="0.2">
      <c r="A2131" s="116">
        <f>IF(ISNUMBER(Tabela2[[#This Row],[CT-e/NFS]])=TRUE,(IF(B2131&gt;30000,4,IF(B2131&lt;1000,"ND",0))),"-")</f>
        <v>0</v>
      </c>
      <c r="B2131" s="116">
        <v>21369</v>
      </c>
      <c r="C2131" s="117">
        <v>45423</v>
      </c>
      <c r="D2131" s="116">
        <v>844.3</v>
      </c>
      <c r="E2131" s="117">
        <v>45427</v>
      </c>
      <c r="F2131" s="116">
        <f>COUNTIFS($A$3:A10388,A2131,$B$3:B10388,B2131)</f>
        <v>1</v>
      </c>
      <c r="G2131" s="116"/>
    </row>
    <row r="2132" spans="1:7" x14ac:dyDescent="0.2">
      <c r="A2132" s="116">
        <f>IF(ISNUMBER(Tabela2[[#This Row],[CT-e/NFS]])=TRUE,(IF(B2132&gt;30000,4,IF(B2132&lt;1000,"ND",0))),"-")</f>
        <v>0</v>
      </c>
      <c r="B2132" s="116">
        <v>21366</v>
      </c>
      <c r="C2132" s="117">
        <v>45423</v>
      </c>
      <c r="D2132" s="116">
        <v>338.2</v>
      </c>
      <c r="E2132" s="117">
        <v>45427</v>
      </c>
      <c r="F2132" s="116">
        <f>COUNTIFS($A$3:A10391,A2132,$B$3:B10391,B2132)</f>
        <v>1</v>
      </c>
      <c r="G2132" s="116"/>
    </row>
    <row r="2133" spans="1:7" x14ac:dyDescent="0.2">
      <c r="A2133" s="116">
        <f>IF(ISNUMBER(Tabela2[[#This Row],[CT-e/NFS]])=TRUE,(IF(B2133&gt;30000,4,IF(B2133&lt;1000,"ND",0))),"-")</f>
        <v>0</v>
      </c>
      <c r="B2133" s="116">
        <v>21367</v>
      </c>
      <c r="C2133" s="117">
        <v>45423</v>
      </c>
      <c r="D2133" s="116">
        <v>122.46</v>
      </c>
      <c r="E2133" s="117">
        <v>45427</v>
      </c>
      <c r="F2133" s="116">
        <f>COUNTIFS($A$3:A10392,A2133,$B$3:B10392,B2133)</f>
        <v>1</v>
      </c>
      <c r="G2133" s="116"/>
    </row>
    <row r="2134" spans="1:7" x14ac:dyDescent="0.2">
      <c r="A2134" s="116">
        <f>IF(ISNUMBER(Tabela2[[#This Row],[CT-e/NFS]])=TRUE,(IF(B2134&gt;30000,4,IF(B2134&lt;1000,"ND",0))),"-")</f>
        <v>0</v>
      </c>
      <c r="B2134" s="116">
        <v>21368</v>
      </c>
      <c r="C2134" s="117">
        <v>45423</v>
      </c>
      <c r="D2134" s="116">
        <v>76.34</v>
      </c>
      <c r="E2134" s="117">
        <v>45427</v>
      </c>
      <c r="F2134" s="116">
        <f>COUNTIFS($A$3:A10393,A2134,$B$3:B10393,B2134)</f>
        <v>1</v>
      </c>
      <c r="G2134" s="116"/>
    </row>
    <row r="2135" spans="1:7" x14ac:dyDescent="0.2">
      <c r="A2135" s="116">
        <f>IF(ISNUMBER(Tabela2[[#This Row],[CT-e/NFS]])=TRUE,(IF(B2135&gt;30000,4,IF(B2135&lt;1000,"ND",0))),"-")</f>
        <v>0</v>
      </c>
      <c r="B2135" s="116">
        <v>21372</v>
      </c>
      <c r="C2135" s="117">
        <v>45423</v>
      </c>
      <c r="D2135" s="116">
        <v>76.47</v>
      </c>
      <c r="E2135" s="117">
        <v>45427</v>
      </c>
      <c r="F2135" s="116">
        <f>COUNTIFS($A$3:A10394,A2135,$B$3:B10394,B2135)</f>
        <v>1</v>
      </c>
      <c r="G2135" s="116"/>
    </row>
    <row r="2136" spans="1:7" x14ac:dyDescent="0.2">
      <c r="A2136" s="116">
        <f>IF(ISNUMBER(Tabela2[[#This Row],[CT-e/NFS]])=TRUE,(IF(B2136&gt;30000,4,IF(B2136&lt;1000,"ND",0))),"-")</f>
        <v>0</v>
      </c>
      <c r="B2136" s="116">
        <v>21373</v>
      </c>
      <c r="C2136" s="117">
        <v>45423</v>
      </c>
      <c r="D2136" s="116">
        <v>76.8</v>
      </c>
      <c r="E2136" s="117">
        <v>45427</v>
      </c>
      <c r="F2136" s="116">
        <f>COUNTIFS($A$3:A10395,A2136,$B$3:B10395,B2136)</f>
        <v>1</v>
      </c>
      <c r="G2136" s="116"/>
    </row>
    <row r="2137" spans="1:7" x14ac:dyDescent="0.2">
      <c r="A2137" s="116">
        <f>IF(ISNUMBER(Tabela2[[#This Row],[CT-e/NFS]])=TRUE,(IF(B2137&gt;30000,4,IF(B2137&lt;1000,"ND",0))),"-")</f>
        <v>0</v>
      </c>
      <c r="B2137" s="116">
        <v>21352</v>
      </c>
      <c r="C2137" s="117">
        <v>45423</v>
      </c>
      <c r="D2137" s="116">
        <v>76.52</v>
      </c>
      <c r="E2137" s="117">
        <v>45427</v>
      </c>
      <c r="F2137" s="116">
        <f>COUNTIFS($A$3:A10396,A2137,$B$3:B10396,B2137)</f>
        <v>1</v>
      </c>
      <c r="G2137" s="116"/>
    </row>
    <row r="2138" spans="1:7" x14ac:dyDescent="0.2">
      <c r="A2138" s="116">
        <f>IF(ISNUMBER(Tabela2[[#This Row],[CT-e/NFS]])=TRUE,(IF(B2138&gt;30000,4,IF(B2138&lt;1000,"ND",0))),"-")</f>
        <v>0</v>
      </c>
      <c r="B2138" s="116">
        <v>21354</v>
      </c>
      <c r="C2138" s="117">
        <v>45423</v>
      </c>
      <c r="D2138" s="116">
        <v>77.010000000000005</v>
      </c>
      <c r="E2138" s="117">
        <v>45427</v>
      </c>
      <c r="F2138" s="116">
        <f>COUNTIFS($A$3:A10397,A2138,$B$3:B10397,B2138)</f>
        <v>1</v>
      </c>
      <c r="G2138" s="116"/>
    </row>
    <row r="2139" spans="1:7" x14ac:dyDescent="0.2">
      <c r="A2139" s="116">
        <f>IF(ISNUMBER(Tabela2[[#This Row],[CT-e/NFS]])=TRUE,(IF(B2139&gt;30000,4,IF(B2139&lt;1000,"ND",0))),"-")</f>
        <v>0</v>
      </c>
      <c r="B2139" s="116">
        <v>21356</v>
      </c>
      <c r="C2139" s="117">
        <v>45423</v>
      </c>
      <c r="D2139" s="116">
        <v>77.69</v>
      </c>
      <c r="E2139" s="117">
        <v>45427</v>
      </c>
      <c r="F2139" s="116">
        <f>COUNTIFS($A$3:A10398,A2139,$B$3:B10398,B2139)</f>
        <v>1</v>
      </c>
      <c r="G2139" s="116"/>
    </row>
    <row r="2140" spans="1:7" x14ac:dyDescent="0.2">
      <c r="A2140" s="116">
        <f>IF(ISNUMBER(Tabela2[[#This Row],[CT-e/NFS]])=TRUE,(IF(B2140&gt;30000,4,IF(B2140&lt;1000,"ND",0))),"-")</f>
        <v>0</v>
      </c>
      <c r="B2140" s="116">
        <v>21357</v>
      </c>
      <c r="C2140" s="117">
        <v>45423</v>
      </c>
      <c r="D2140" s="116">
        <v>76.23</v>
      </c>
      <c r="E2140" s="117">
        <v>45427</v>
      </c>
      <c r="F2140" s="116">
        <f>COUNTIFS($A$3:A10399,A2140,$B$3:B10399,B2140)</f>
        <v>1</v>
      </c>
      <c r="G2140" s="116"/>
    </row>
    <row r="2141" spans="1:7" x14ac:dyDescent="0.2">
      <c r="A2141" s="116">
        <f>IF(ISNUMBER(Tabela2[[#This Row],[CT-e/NFS]])=TRUE,(IF(B2141&gt;30000,4,IF(B2141&lt;1000,"ND",0))),"-")</f>
        <v>0</v>
      </c>
      <c r="B2141" s="116">
        <v>21360</v>
      </c>
      <c r="C2141" s="117">
        <v>45423</v>
      </c>
      <c r="D2141" s="116">
        <v>76.39</v>
      </c>
      <c r="E2141" s="117">
        <v>45427</v>
      </c>
      <c r="F2141" s="116">
        <f>COUNTIFS($A$3:A10400,A2141,$B$3:B10400,B2141)</f>
        <v>1</v>
      </c>
      <c r="G2141" s="116"/>
    </row>
    <row r="2142" spans="1:7" x14ac:dyDescent="0.2">
      <c r="A2142" s="116">
        <f>IF(ISNUMBER(Tabela2[[#This Row],[CT-e/NFS]])=TRUE,(IF(B2142&gt;30000,4,IF(B2142&lt;1000,"ND",0))),"-")</f>
        <v>0</v>
      </c>
      <c r="B2142" s="116">
        <v>21361</v>
      </c>
      <c r="C2142" s="117">
        <v>45423</v>
      </c>
      <c r="D2142" s="116">
        <v>183.8</v>
      </c>
      <c r="E2142" s="117">
        <v>45427</v>
      </c>
      <c r="F2142" s="116">
        <f>COUNTIFS($A$3:A10401,A2142,$B$3:B10401,B2142)</f>
        <v>1</v>
      </c>
      <c r="G2142" s="116"/>
    </row>
    <row r="2143" spans="1:7" x14ac:dyDescent="0.2">
      <c r="A2143" s="116">
        <f>IF(ISNUMBER(Tabela2[[#This Row],[CT-e/NFS]])=TRUE,(IF(B2143&gt;30000,4,IF(B2143&lt;1000,"ND",0))),"-")</f>
        <v>0</v>
      </c>
      <c r="B2143" s="116">
        <v>21362</v>
      </c>
      <c r="C2143" s="117">
        <v>45423</v>
      </c>
      <c r="D2143" s="116">
        <v>75.599999999999994</v>
      </c>
      <c r="E2143" s="117">
        <v>45427</v>
      </c>
      <c r="F2143" s="116">
        <f>COUNTIFS($A$3:A10402,A2143,$B$3:B10402,B2143)</f>
        <v>1</v>
      </c>
      <c r="G2143" s="116"/>
    </row>
    <row r="2144" spans="1:7" x14ac:dyDescent="0.2">
      <c r="A2144" s="116">
        <f>IF(ISNUMBER(Tabela2[[#This Row],[CT-e/NFS]])=TRUE,(IF(B2144&gt;30000,4,IF(B2144&lt;1000,"ND",0))),"-")</f>
        <v>0</v>
      </c>
      <c r="B2144" s="116">
        <v>21349</v>
      </c>
      <c r="C2144" s="117">
        <v>45423</v>
      </c>
      <c r="D2144" s="116">
        <v>356.26</v>
      </c>
      <c r="E2144" s="117">
        <v>45427</v>
      </c>
      <c r="F2144" s="116">
        <f>COUNTIFS($A$3:A10403,A2144,$B$3:B10403,B2144)</f>
        <v>1</v>
      </c>
      <c r="G2144" s="116"/>
    </row>
    <row r="2145" spans="1:7" x14ac:dyDescent="0.2">
      <c r="A2145" s="116">
        <f>IF(ISNUMBER(Tabela2[[#This Row],[CT-e/NFS]])=TRUE,(IF(B2145&gt;30000,4,IF(B2145&lt;1000,"ND",0))),"-")</f>
        <v>0</v>
      </c>
      <c r="B2145" s="116">
        <v>21350</v>
      </c>
      <c r="C2145" s="117">
        <v>45423</v>
      </c>
      <c r="D2145" s="116">
        <v>76.53</v>
      </c>
      <c r="E2145" s="117">
        <v>45427</v>
      </c>
      <c r="F2145" s="116">
        <f>COUNTIFS($A$3:A10404,A2145,$B$3:B10404,B2145)</f>
        <v>1</v>
      </c>
      <c r="G2145" s="116"/>
    </row>
    <row r="2146" spans="1:7" x14ac:dyDescent="0.2">
      <c r="A2146" s="116">
        <f>IF(ISNUMBER(Tabela2[[#This Row],[CT-e/NFS]])=TRUE,(IF(B2146&gt;30000,4,IF(B2146&lt;1000,"ND",0))),"-")</f>
        <v>0</v>
      </c>
      <c r="B2146" s="116">
        <v>21348</v>
      </c>
      <c r="C2146" s="117">
        <v>45423</v>
      </c>
      <c r="D2146" s="116">
        <v>76.28</v>
      </c>
      <c r="E2146" s="117">
        <v>45427</v>
      </c>
      <c r="F2146" s="116">
        <f>COUNTIFS($A$3:A10405,A2146,$B$3:B10405,B2146)</f>
        <v>1</v>
      </c>
      <c r="G2146" s="116"/>
    </row>
    <row r="2147" spans="1:7" x14ac:dyDescent="0.2">
      <c r="A2147" s="116">
        <f>IF(ISNUMBER(Tabela2[[#This Row],[CT-e/NFS]])=TRUE,(IF(B2147&gt;30000,4,IF(B2147&lt;1000,"ND",0))),"-")</f>
        <v>0</v>
      </c>
      <c r="B2147" s="116">
        <v>21351</v>
      </c>
      <c r="C2147" s="117">
        <v>45423</v>
      </c>
      <c r="D2147" s="116">
        <v>135.66</v>
      </c>
      <c r="E2147" s="117">
        <v>45427</v>
      </c>
      <c r="F2147" s="116">
        <f>COUNTIFS($A$3:A10406,A2147,$B$3:B10406,B2147)</f>
        <v>1</v>
      </c>
      <c r="G2147" s="116"/>
    </row>
    <row r="2148" spans="1:7" x14ac:dyDescent="0.2">
      <c r="A2148" s="116">
        <f>IF(ISNUMBER(Tabela2[[#This Row],[CT-e/NFS]])=TRUE,(IF(B2148&gt;30000,4,IF(B2148&lt;1000,"ND",0))),"-")</f>
        <v>0</v>
      </c>
      <c r="B2148" s="116">
        <v>21353</v>
      </c>
      <c r="C2148" s="117">
        <v>45423</v>
      </c>
      <c r="D2148" s="116">
        <v>76.8</v>
      </c>
      <c r="E2148" s="117">
        <v>45427</v>
      </c>
      <c r="F2148" s="116">
        <f>COUNTIFS($A$3:A10407,A2148,$B$3:B10407,B2148)</f>
        <v>1</v>
      </c>
      <c r="G2148" s="116"/>
    </row>
    <row r="2149" spans="1:7" x14ac:dyDescent="0.2">
      <c r="A2149" s="116">
        <f>IF(ISNUMBER(Tabela2[[#This Row],[CT-e/NFS]])=TRUE,(IF(B2149&gt;30000,4,IF(B2149&lt;1000,"ND",0))),"-")</f>
        <v>4</v>
      </c>
      <c r="B2149" s="116">
        <v>46865</v>
      </c>
      <c r="C2149" s="117">
        <v>45423</v>
      </c>
      <c r="D2149" s="116">
        <v>927.83</v>
      </c>
      <c r="E2149" s="117">
        <v>45427</v>
      </c>
      <c r="F2149" s="116">
        <f>COUNTIFS($A$3:A10408,A2149,$B$3:B10408,B2149)</f>
        <v>1</v>
      </c>
      <c r="G2149" s="116"/>
    </row>
    <row r="2150" spans="1:7" x14ac:dyDescent="0.2">
      <c r="A2150" s="116">
        <f>IF(ISNUMBER(Tabela2[[#This Row],[CT-e/NFS]])=TRUE,(IF(B2150&gt;30000,4,IF(B2150&lt;1000,"ND",0))),"-")</f>
        <v>4</v>
      </c>
      <c r="B2150" s="116">
        <v>46864</v>
      </c>
      <c r="C2150" s="117">
        <v>45423</v>
      </c>
      <c r="D2150" s="116">
        <v>209.9</v>
      </c>
      <c r="E2150" s="117">
        <v>45427</v>
      </c>
      <c r="F2150" s="116">
        <f>COUNTIFS($A$3:A10409,A2150,$B$3:B10409,B2150)</f>
        <v>1</v>
      </c>
      <c r="G2150" s="116"/>
    </row>
    <row r="2151" spans="1:7" x14ac:dyDescent="0.2">
      <c r="A2151" s="116">
        <f>IF(ISNUMBER(Tabela2[[#This Row],[CT-e/NFS]])=TRUE,(IF(B2151&gt;30000,4,IF(B2151&lt;1000,"ND",0))),"-")</f>
        <v>4</v>
      </c>
      <c r="B2151" s="116">
        <v>46866</v>
      </c>
      <c r="C2151" s="117">
        <v>45423</v>
      </c>
      <c r="D2151" s="116">
        <v>609.98</v>
      </c>
      <c r="E2151" s="117">
        <v>45427</v>
      </c>
      <c r="F2151" s="116">
        <f>COUNTIFS($A$3:A10410,A2151,$B$3:B10410,B2151)</f>
        <v>1</v>
      </c>
      <c r="G2151" s="116"/>
    </row>
    <row r="2152" spans="1:7" x14ac:dyDescent="0.2">
      <c r="A2152" s="116">
        <f>IF(ISNUMBER(Tabela2[[#This Row],[CT-e/NFS]])=TRUE,(IF(B2152&gt;30000,4,IF(B2152&lt;1000,"ND",0))),"-")</f>
        <v>4</v>
      </c>
      <c r="B2152" s="116">
        <v>46854</v>
      </c>
      <c r="C2152" s="117">
        <v>45423</v>
      </c>
      <c r="D2152" s="116">
        <v>2393.64</v>
      </c>
      <c r="E2152" s="117">
        <v>45427</v>
      </c>
      <c r="F2152" s="116">
        <f>COUNTIFS($A$3:A10411,A2152,$B$3:B10411,B2152)</f>
        <v>1</v>
      </c>
      <c r="G2152" s="116"/>
    </row>
    <row r="2153" spans="1:7" x14ac:dyDescent="0.2">
      <c r="A2153" s="116">
        <f>IF(ISNUMBER(Tabela2[[#This Row],[CT-e/NFS]])=TRUE,(IF(B2153&gt;30000,4,IF(B2153&lt;1000,"ND",0))),"-")</f>
        <v>4</v>
      </c>
      <c r="B2153" s="116">
        <v>46867</v>
      </c>
      <c r="C2153" s="117">
        <v>45423</v>
      </c>
      <c r="D2153" s="116">
        <v>1003.68</v>
      </c>
      <c r="E2153" s="117">
        <v>45427</v>
      </c>
      <c r="F2153" s="116">
        <f>COUNTIFS($A$3:A10412,A2153,$B$3:B10412,B2153)</f>
        <v>1</v>
      </c>
      <c r="G2153" s="116"/>
    </row>
    <row r="2154" spans="1:7" x14ac:dyDescent="0.2">
      <c r="A2154" s="116">
        <f>IF(ISNUMBER(Tabela2[[#This Row],[CT-e/NFS]])=TRUE,(IF(B2154&gt;30000,4,IF(B2154&lt;1000,"ND",0))),"-")</f>
        <v>4</v>
      </c>
      <c r="B2154" s="116">
        <v>46874</v>
      </c>
      <c r="C2154" s="117">
        <v>45423</v>
      </c>
      <c r="D2154" s="116">
        <v>124.05</v>
      </c>
      <c r="E2154" s="117">
        <v>45427</v>
      </c>
      <c r="F2154" s="116">
        <f>COUNTIFS($A$3:A10413,A2154,$B$3:B10413,B2154)</f>
        <v>1</v>
      </c>
      <c r="G2154" s="116"/>
    </row>
    <row r="2155" spans="1:7" x14ac:dyDescent="0.2">
      <c r="A2155" s="116">
        <f>IF(ISNUMBER(Tabela2[[#This Row],[CT-e/NFS]])=TRUE,(IF(B2155&gt;30000,4,IF(B2155&lt;1000,"ND",0))),"-")</f>
        <v>4</v>
      </c>
      <c r="B2155" s="116">
        <v>46873</v>
      </c>
      <c r="C2155" s="117">
        <v>45423</v>
      </c>
      <c r="D2155" s="116">
        <v>123.9</v>
      </c>
      <c r="E2155" s="117">
        <v>45427</v>
      </c>
      <c r="F2155" s="116">
        <f>COUNTIFS($A$3:A10414,A2155,$B$3:B10414,B2155)</f>
        <v>1</v>
      </c>
      <c r="G2155" s="116"/>
    </row>
    <row r="2156" spans="1:7" x14ac:dyDescent="0.2">
      <c r="A2156" s="116">
        <f>IF(ISNUMBER(Tabela2[[#This Row],[CT-e/NFS]])=TRUE,(IF(B2156&gt;30000,4,IF(B2156&lt;1000,"ND",0))),"-")</f>
        <v>4</v>
      </c>
      <c r="B2156" s="116">
        <v>46871</v>
      </c>
      <c r="C2156" s="117">
        <v>45423</v>
      </c>
      <c r="D2156" s="116">
        <v>124.89</v>
      </c>
      <c r="E2156" s="117">
        <v>45427</v>
      </c>
      <c r="F2156" s="116">
        <f>COUNTIFS($A$3:A10415,A2156,$B$3:B10415,B2156)</f>
        <v>1</v>
      </c>
      <c r="G2156" s="116"/>
    </row>
    <row r="2157" spans="1:7" x14ac:dyDescent="0.2">
      <c r="A2157" s="116">
        <f>IF(ISNUMBER(Tabela2[[#This Row],[CT-e/NFS]])=TRUE,(IF(B2157&gt;30000,4,IF(B2157&lt;1000,"ND",0))),"-")</f>
        <v>4</v>
      </c>
      <c r="B2157" s="116">
        <v>46878</v>
      </c>
      <c r="C2157" s="117">
        <v>45423</v>
      </c>
      <c r="D2157" s="116">
        <v>522.91999999999996</v>
      </c>
      <c r="E2157" s="117">
        <v>45427</v>
      </c>
      <c r="F2157" s="116">
        <f>COUNTIFS($A$3:A10416,A2157,$B$3:B10416,B2157)</f>
        <v>1</v>
      </c>
      <c r="G2157" s="116"/>
    </row>
    <row r="2158" spans="1:7" x14ac:dyDescent="0.2">
      <c r="A2158" s="116">
        <f>IF(ISNUMBER(Tabela2[[#This Row],[CT-e/NFS]])=TRUE,(IF(B2158&gt;30000,4,IF(B2158&lt;1000,"ND",0))),"-")</f>
        <v>4</v>
      </c>
      <c r="B2158" s="116">
        <v>46870</v>
      </c>
      <c r="C2158" s="117">
        <v>45423</v>
      </c>
      <c r="D2158" s="116">
        <v>125.93</v>
      </c>
      <c r="E2158" s="117">
        <v>45427</v>
      </c>
      <c r="F2158" s="116">
        <f>COUNTIFS($A$3:A10417,A2158,$B$3:B10417,B2158)</f>
        <v>1</v>
      </c>
      <c r="G2158" s="116"/>
    </row>
    <row r="2159" spans="1:7" x14ac:dyDescent="0.2">
      <c r="A2159" s="116">
        <f>IF(ISNUMBER(Tabela2[[#This Row],[CT-e/NFS]])=TRUE,(IF(B2159&gt;30000,4,IF(B2159&lt;1000,"ND",0))),"-")</f>
        <v>4</v>
      </c>
      <c r="B2159" s="116">
        <v>46868</v>
      </c>
      <c r="C2159" s="117">
        <v>45423</v>
      </c>
      <c r="D2159" s="116">
        <v>125.25</v>
      </c>
      <c r="E2159" s="117">
        <v>45427</v>
      </c>
      <c r="F2159" s="116">
        <f>COUNTIFS($A$3:A10418,A2159,$B$3:B10418,B2159)</f>
        <v>1</v>
      </c>
      <c r="G2159" s="116"/>
    </row>
    <row r="2160" spans="1:7" x14ac:dyDescent="0.2">
      <c r="A2160" s="116">
        <f>IF(ISNUMBER(Tabela2[[#This Row],[CT-e/NFS]])=TRUE,(IF(B2160&gt;30000,4,IF(B2160&lt;1000,"ND",0))),"-")</f>
        <v>4</v>
      </c>
      <c r="B2160" s="116">
        <v>46869</v>
      </c>
      <c r="C2160" s="117">
        <v>45423</v>
      </c>
      <c r="D2160" s="116">
        <v>251.26</v>
      </c>
      <c r="E2160" s="117">
        <v>45427</v>
      </c>
      <c r="F2160" s="116">
        <f>COUNTIFS($A$3:A10419,A2160,$B$3:B10419,B2160)</f>
        <v>1</v>
      </c>
      <c r="G2160" s="116"/>
    </row>
    <row r="2161" spans="1:7" x14ac:dyDescent="0.2">
      <c r="A2161" s="116">
        <f>IF(ISNUMBER(Tabela2[[#This Row],[CT-e/NFS]])=TRUE,(IF(B2161&gt;30000,4,IF(B2161&lt;1000,"ND",0))),"-")</f>
        <v>4</v>
      </c>
      <c r="B2161" s="116">
        <v>46876</v>
      </c>
      <c r="C2161" s="117">
        <v>45423</v>
      </c>
      <c r="D2161" s="116">
        <v>125.08</v>
      </c>
      <c r="E2161" s="117">
        <v>45427</v>
      </c>
      <c r="F2161" s="116">
        <f>COUNTIFS($A$3:A10420,A2161,$B$3:B10420,B2161)</f>
        <v>1</v>
      </c>
      <c r="G2161" s="116"/>
    </row>
    <row r="2162" spans="1:7" x14ac:dyDescent="0.2">
      <c r="A2162" s="116">
        <f>IF(ISNUMBER(Tabela2[[#This Row],[CT-e/NFS]])=TRUE,(IF(B2162&gt;30000,4,IF(B2162&lt;1000,"ND",0))),"-")</f>
        <v>4</v>
      </c>
      <c r="B2162" s="116">
        <v>46877</v>
      </c>
      <c r="C2162" s="117">
        <v>45423</v>
      </c>
      <c r="D2162" s="116">
        <v>139.66999999999999</v>
      </c>
      <c r="E2162" s="117">
        <v>45427</v>
      </c>
      <c r="F2162" s="116">
        <f>COUNTIFS($A$3:A10421,A2162,$B$3:B10421,B2162)</f>
        <v>1</v>
      </c>
      <c r="G2162" s="116"/>
    </row>
    <row r="2163" spans="1:7" x14ac:dyDescent="0.2">
      <c r="A2163" s="116">
        <f>IF(ISNUMBER(Tabela2[[#This Row],[CT-e/NFS]])=TRUE,(IF(B2163&gt;30000,4,IF(B2163&lt;1000,"ND",0))),"-")</f>
        <v>4</v>
      </c>
      <c r="B2163" s="116">
        <v>46882</v>
      </c>
      <c r="C2163" s="117">
        <v>45423</v>
      </c>
      <c r="D2163" s="116">
        <v>122.73</v>
      </c>
      <c r="E2163" s="117">
        <v>45427</v>
      </c>
      <c r="F2163" s="116">
        <f>COUNTIFS($A$3:A10422,A2163,$B$3:B10422,B2163)</f>
        <v>1</v>
      </c>
      <c r="G2163" s="116"/>
    </row>
    <row r="2164" spans="1:7" x14ac:dyDescent="0.2">
      <c r="A2164" s="116">
        <f>IF(ISNUMBER(Tabela2[[#This Row],[CT-e/NFS]])=TRUE,(IF(B2164&gt;30000,4,IF(B2164&lt;1000,"ND",0))),"-")</f>
        <v>4</v>
      </c>
      <c r="B2164" s="116">
        <v>46875</v>
      </c>
      <c r="C2164" s="117">
        <v>45423</v>
      </c>
      <c r="D2164" s="116">
        <v>200.32</v>
      </c>
      <c r="E2164" s="117">
        <v>45427</v>
      </c>
      <c r="F2164" s="116">
        <f>COUNTIFS($A$3:A10423,A2164,$B$3:B10423,B2164)</f>
        <v>1</v>
      </c>
      <c r="G2164" s="116"/>
    </row>
    <row r="2165" spans="1:7" x14ac:dyDescent="0.2">
      <c r="A2165" s="116">
        <f>IF(ISNUMBER(Tabela2[[#This Row],[CT-e/NFS]])=TRUE,(IF(B2165&gt;30000,4,IF(B2165&lt;1000,"ND",0))),"-")</f>
        <v>4</v>
      </c>
      <c r="B2165" s="116">
        <v>46872</v>
      </c>
      <c r="C2165" s="117">
        <v>45423</v>
      </c>
      <c r="D2165" s="116">
        <v>123.13</v>
      </c>
      <c r="E2165" s="117">
        <v>45427</v>
      </c>
      <c r="F2165" s="116">
        <f>COUNTIFS($A$3:A10424,A2165,$B$3:B10424,B2165)</f>
        <v>1</v>
      </c>
      <c r="G2165" s="116"/>
    </row>
    <row r="2166" spans="1:7" x14ac:dyDescent="0.2">
      <c r="A2166" s="116">
        <f>IF(ISNUMBER(Tabela2[[#This Row],[CT-e/NFS]])=TRUE,(IF(B2166&gt;30000,4,IF(B2166&lt;1000,"ND",0))),"-")</f>
        <v>4</v>
      </c>
      <c r="B2166" s="116">
        <v>46886</v>
      </c>
      <c r="C2166" s="117">
        <v>45423</v>
      </c>
      <c r="D2166" s="116">
        <v>845.8</v>
      </c>
      <c r="E2166" s="117">
        <v>45427</v>
      </c>
      <c r="F2166" s="116">
        <f>COUNTIFS($A$3:A10425,A2166,$B$3:B10425,B2166)</f>
        <v>1</v>
      </c>
      <c r="G2166" s="116"/>
    </row>
    <row r="2167" spans="1:7" x14ac:dyDescent="0.2">
      <c r="A2167" s="116">
        <f>IF(ISNUMBER(Tabela2[[#This Row],[CT-e/NFS]])=TRUE,(IF(B2167&gt;30000,4,IF(B2167&lt;1000,"ND",0))),"-")</f>
        <v>4</v>
      </c>
      <c r="B2167" s="116">
        <v>46885</v>
      </c>
      <c r="C2167" s="117">
        <v>45423</v>
      </c>
      <c r="D2167" s="116">
        <v>1245.6099999999999</v>
      </c>
      <c r="E2167" s="117">
        <v>45427</v>
      </c>
      <c r="F2167" s="116">
        <f>COUNTIFS($A$3:A10426,A2167,$B$3:B10426,B2167)</f>
        <v>1</v>
      </c>
      <c r="G2167" s="116"/>
    </row>
    <row r="2168" spans="1:7" x14ac:dyDescent="0.2">
      <c r="A2168" s="116">
        <f>IF(ISNUMBER(Tabela2[[#This Row],[CT-e/NFS]])=TRUE,(IF(B2168&gt;30000,4,IF(B2168&lt;1000,"ND",0))),"-")</f>
        <v>4</v>
      </c>
      <c r="B2168" s="116">
        <v>46858</v>
      </c>
      <c r="C2168" s="117">
        <v>45423</v>
      </c>
      <c r="D2168" s="116">
        <v>122.73</v>
      </c>
      <c r="E2168" s="117">
        <v>45427</v>
      </c>
      <c r="F2168" s="116">
        <f>COUNTIFS($A$3:A10427,A2168,$B$3:B10427,B2168)</f>
        <v>1</v>
      </c>
      <c r="G2168" s="116"/>
    </row>
    <row r="2169" spans="1:7" x14ac:dyDescent="0.2">
      <c r="A2169" s="116">
        <f>IF(ISNUMBER(Tabela2[[#This Row],[CT-e/NFS]])=TRUE,(IF(B2169&gt;30000,4,IF(B2169&lt;1000,"ND",0))),"-")</f>
        <v>4</v>
      </c>
      <c r="B2169" s="116">
        <v>46888</v>
      </c>
      <c r="C2169" s="117">
        <v>45423</v>
      </c>
      <c r="D2169" s="116">
        <v>804.39</v>
      </c>
      <c r="E2169" s="117">
        <v>45427</v>
      </c>
      <c r="F2169" s="116">
        <f>COUNTIFS($A$3:A10428,A2169,$B$3:B10428,B2169)</f>
        <v>1</v>
      </c>
      <c r="G2169" s="116"/>
    </row>
    <row r="2170" spans="1:7" x14ac:dyDescent="0.2">
      <c r="A2170" s="116">
        <f>IF(ISNUMBER(Tabela2[[#This Row],[CT-e/NFS]])=TRUE,(IF(B2170&gt;30000,4,IF(B2170&lt;1000,"ND",0))),"-")</f>
        <v>4</v>
      </c>
      <c r="B2170" s="116">
        <v>46889</v>
      </c>
      <c r="C2170" s="117">
        <v>45423</v>
      </c>
      <c r="D2170" s="116">
        <v>320.77999999999997</v>
      </c>
      <c r="E2170" s="117">
        <v>45427</v>
      </c>
      <c r="F2170" s="116">
        <f>COUNTIFS($A$3:A10429,A2170,$B$3:B10429,B2170)</f>
        <v>1</v>
      </c>
      <c r="G2170" s="116"/>
    </row>
    <row r="2171" spans="1:7" x14ac:dyDescent="0.2">
      <c r="A2171" s="116">
        <f>IF(ISNUMBER(Tabela2[[#This Row],[CT-e/NFS]])=TRUE,(IF(B2171&gt;30000,4,IF(B2171&lt;1000,"ND",0))),"-")</f>
        <v>4</v>
      </c>
      <c r="B2171" s="116">
        <v>46887</v>
      </c>
      <c r="C2171" s="117">
        <v>45423</v>
      </c>
      <c r="D2171" s="116">
        <v>633.13</v>
      </c>
      <c r="E2171" s="117">
        <v>45427</v>
      </c>
      <c r="F2171" s="116">
        <f>COUNTIFS($A$3:A10430,A2171,$B$3:B10430,B2171)</f>
        <v>1</v>
      </c>
      <c r="G2171" s="116"/>
    </row>
    <row r="2172" spans="1:7" x14ac:dyDescent="0.2">
      <c r="A2172" s="116">
        <f>IF(ISNUMBER(Tabela2[[#This Row],[CT-e/NFS]])=TRUE,(IF(B2172&gt;30000,4,IF(B2172&lt;1000,"ND",0))),"-")</f>
        <v>4</v>
      </c>
      <c r="B2172" s="116">
        <v>46898</v>
      </c>
      <c r="C2172" s="117">
        <v>45423</v>
      </c>
      <c r="D2172" s="116">
        <v>124.13</v>
      </c>
      <c r="E2172" s="117">
        <v>45427</v>
      </c>
      <c r="F2172" s="116">
        <f>COUNTIFS($A$3:A10431,A2172,$B$3:B10431,B2172)</f>
        <v>1</v>
      </c>
      <c r="G2172" s="116"/>
    </row>
    <row r="2173" spans="1:7" x14ac:dyDescent="0.2">
      <c r="A2173" s="116">
        <f>IF(ISNUMBER(Tabela2[[#This Row],[CT-e/NFS]])=TRUE,(IF(B2173&gt;30000,4,IF(B2173&lt;1000,"ND",0))),"-")</f>
        <v>4</v>
      </c>
      <c r="B2173" s="116">
        <v>46897</v>
      </c>
      <c r="C2173" s="117">
        <v>45423</v>
      </c>
      <c r="D2173" s="116">
        <v>124.35</v>
      </c>
      <c r="E2173" s="117">
        <v>45427</v>
      </c>
      <c r="F2173" s="116">
        <f>COUNTIFS($A$3:A10432,A2173,$B$3:B10432,B2173)</f>
        <v>1</v>
      </c>
      <c r="G2173" s="116"/>
    </row>
    <row r="2174" spans="1:7" x14ac:dyDescent="0.2">
      <c r="A2174" s="116">
        <f>IF(ISNUMBER(Tabela2[[#This Row],[CT-e/NFS]])=TRUE,(IF(B2174&gt;30000,4,IF(B2174&lt;1000,"ND",0))),"-")</f>
        <v>4</v>
      </c>
      <c r="B2174" s="116">
        <v>46896</v>
      </c>
      <c r="C2174" s="117">
        <v>45423</v>
      </c>
      <c r="D2174" s="116">
        <v>124.3</v>
      </c>
      <c r="E2174" s="117">
        <v>45427</v>
      </c>
      <c r="F2174" s="116">
        <f>COUNTIFS($A$3:A10433,A2174,$B$3:B10433,B2174)</f>
        <v>1</v>
      </c>
      <c r="G2174" s="116"/>
    </row>
    <row r="2175" spans="1:7" x14ac:dyDescent="0.2">
      <c r="A2175" s="116">
        <f>IF(ISNUMBER(Tabela2[[#This Row],[CT-e/NFS]])=TRUE,(IF(B2175&gt;30000,4,IF(B2175&lt;1000,"ND",0))),"-")</f>
        <v>4</v>
      </c>
      <c r="B2175" s="116">
        <v>46899</v>
      </c>
      <c r="C2175" s="117">
        <v>45423</v>
      </c>
      <c r="D2175" s="116">
        <v>125.28</v>
      </c>
      <c r="E2175" s="117">
        <v>45427</v>
      </c>
      <c r="F2175" s="116">
        <f>COUNTIFS($A$3:A10434,A2175,$B$3:B10434,B2175)</f>
        <v>1</v>
      </c>
      <c r="G2175" s="116"/>
    </row>
    <row r="2176" spans="1:7" x14ac:dyDescent="0.2">
      <c r="A2176" s="116">
        <f>IF(ISNUMBER(Tabela2[[#This Row],[CT-e/NFS]])=TRUE,(IF(B2176&gt;30000,4,IF(B2176&lt;1000,"ND",0))),"-")</f>
        <v>4</v>
      </c>
      <c r="B2176" s="116">
        <v>46893</v>
      </c>
      <c r="C2176" s="117">
        <v>45423</v>
      </c>
      <c r="D2176" s="116">
        <v>462.15</v>
      </c>
      <c r="E2176" s="117">
        <v>45427</v>
      </c>
      <c r="F2176" s="116">
        <f>COUNTIFS($A$3:A10435,A2176,$B$3:B10435,B2176)</f>
        <v>1</v>
      </c>
      <c r="G2176" s="116"/>
    </row>
    <row r="2177" spans="1:7" x14ac:dyDescent="0.2">
      <c r="A2177" s="116">
        <f>IF(ISNUMBER(Tabela2[[#This Row],[CT-e/NFS]])=TRUE,(IF(B2177&gt;30000,4,IF(B2177&lt;1000,"ND",0))),"-")</f>
        <v>4</v>
      </c>
      <c r="B2177" s="116">
        <v>46894</v>
      </c>
      <c r="C2177" s="117">
        <v>45423</v>
      </c>
      <c r="D2177" s="116">
        <v>124.38</v>
      </c>
      <c r="E2177" s="117">
        <v>45427</v>
      </c>
      <c r="F2177" s="116">
        <f>COUNTIFS($A$3:A10436,A2177,$B$3:B10436,B2177)</f>
        <v>1</v>
      </c>
      <c r="G2177" s="116"/>
    </row>
    <row r="2178" spans="1:7" x14ac:dyDescent="0.2">
      <c r="A2178" s="116">
        <f>IF(ISNUMBER(Tabela2[[#This Row],[CT-e/NFS]])=TRUE,(IF(B2178&gt;30000,4,IF(B2178&lt;1000,"ND",0))),"-")</f>
        <v>4</v>
      </c>
      <c r="B2178" s="116">
        <v>46895</v>
      </c>
      <c r="C2178" s="117">
        <v>45423</v>
      </c>
      <c r="D2178" s="116">
        <v>124.24</v>
      </c>
      <c r="E2178" s="117">
        <v>45427</v>
      </c>
      <c r="F2178" s="116">
        <f>COUNTIFS($A$3:A10437,A2178,$B$3:B10437,B2178)</f>
        <v>1</v>
      </c>
      <c r="G2178" s="116"/>
    </row>
    <row r="2179" spans="1:7" x14ac:dyDescent="0.2">
      <c r="A2179" s="116">
        <f>IF(ISNUMBER(Tabela2[[#This Row],[CT-e/NFS]])=TRUE,(IF(B2179&gt;30000,4,IF(B2179&lt;1000,"ND",0))),"-")</f>
        <v>4</v>
      </c>
      <c r="B2179" s="116">
        <v>46892</v>
      </c>
      <c r="C2179" s="117">
        <v>45423</v>
      </c>
      <c r="D2179" s="116">
        <v>124.2</v>
      </c>
      <c r="E2179" s="117">
        <v>45427</v>
      </c>
      <c r="F2179" s="116">
        <f>COUNTIFS($A$3:A10438,A2179,$B$3:B10438,B2179)</f>
        <v>1</v>
      </c>
      <c r="G2179" s="116"/>
    </row>
    <row r="2180" spans="1:7" x14ac:dyDescent="0.2">
      <c r="A2180" s="116">
        <f>IF(ISNUMBER(Tabela2[[#This Row],[CT-e/NFS]])=TRUE,(IF(B2180&gt;30000,4,IF(B2180&lt;1000,"ND",0))),"-")</f>
        <v>4</v>
      </c>
      <c r="B2180" s="116">
        <v>46890</v>
      </c>
      <c r="C2180" s="117">
        <v>45423</v>
      </c>
      <c r="D2180" s="116">
        <v>125.93</v>
      </c>
      <c r="E2180" s="117">
        <v>45427</v>
      </c>
      <c r="F2180" s="116">
        <f>COUNTIFS($A$3:A10439,A2180,$B$3:B10439,B2180)</f>
        <v>1</v>
      </c>
      <c r="G2180" s="116"/>
    </row>
    <row r="2181" spans="1:7" x14ac:dyDescent="0.2">
      <c r="A2181" s="116">
        <f>IF(ISNUMBER(Tabela2[[#This Row],[CT-e/NFS]])=TRUE,(IF(B2181&gt;30000,4,IF(B2181&lt;1000,"ND",0))),"-")</f>
        <v>4</v>
      </c>
      <c r="B2181" s="116">
        <v>46904</v>
      </c>
      <c r="C2181" s="117">
        <v>45423</v>
      </c>
      <c r="D2181" s="116">
        <v>123.26</v>
      </c>
      <c r="E2181" s="117">
        <v>45427</v>
      </c>
      <c r="F2181" s="116">
        <f>COUNTIFS($A$3:A10440,A2181,$B$3:B10440,B2181)</f>
        <v>1</v>
      </c>
      <c r="G2181" s="116"/>
    </row>
    <row r="2182" spans="1:7" x14ac:dyDescent="0.2">
      <c r="A2182" s="116">
        <f>IF(ISNUMBER(Tabela2[[#This Row],[CT-e/NFS]])=TRUE,(IF(B2182&gt;30000,4,IF(B2182&lt;1000,"ND",0))),"-")</f>
        <v>4</v>
      </c>
      <c r="B2182" s="116">
        <v>46891</v>
      </c>
      <c r="C2182" s="117">
        <v>45423</v>
      </c>
      <c r="D2182" s="116">
        <v>217.69</v>
      </c>
      <c r="E2182" s="117">
        <v>45427</v>
      </c>
      <c r="F2182" s="116">
        <f>COUNTIFS($A$3:A10441,A2182,$B$3:B10441,B2182)</f>
        <v>1</v>
      </c>
      <c r="G2182" s="116"/>
    </row>
    <row r="2183" spans="1:7" x14ac:dyDescent="0.2">
      <c r="A2183" s="116">
        <f>IF(ISNUMBER(Tabela2[[#This Row],[CT-e/NFS]])=TRUE,(IF(B2183&gt;30000,4,IF(B2183&lt;1000,"ND",0))),"-")</f>
        <v>4</v>
      </c>
      <c r="B2183" s="116">
        <v>46905</v>
      </c>
      <c r="C2183" s="117">
        <v>45423</v>
      </c>
      <c r="D2183" s="116">
        <v>122.73</v>
      </c>
      <c r="E2183" s="117">
        <v>45427</v>
      </c>
      <c r="F2183" s="116">
        <f>COUNTIFS($A$3:A10442,A2183,$B$3:B10442,B2183)</f>
        <v>1</v>
      </c>
      <c r="G2183" s="116"/>
    </row>
    <row r="2184" spans="1:7" x14ac:dyDescent="0.2">
      <c r="A2184" s="116">
        <f>IF(ISNUMBER(Tabela2[[#This Row],[CT-e/NFS]])=TRUE,(IF(B2184&gt;30000,4,IF(B2184&lt;1000,"ND",0))),"-")</f>
        <v>4</v>
      </c>
      <c r="B2184" s="116">
        <v>46908</v>
      </c>
      <c r="C2184" s="117">
        <v>45423</v>
      </c>
      <c r="D2184" s="116">
        <v>61.36</v>
      </c>
      <c r="E2184" s="117">
        <v>45427</v>
      </c>
      <c r="F2184" s="116">
        <f>COUNTIFS($A$3:A10443,A2184,$B$3:B10443,B2184)</f>
        <v>1</v>
      </c>
      <c r="G2184" s="116"/>
    </row>
    <row r="2185" spans="1:7" x14ac:dyDescent="0.2">
      <c r="A2185" s="116">
        <f>IF(ISNUMBER(Tabela2[[#This Row],[CT-e/NFS]])=TRUE,(IF(B2185&gt;30000,4,IF(B2185&lt;1000,"ND",0))),"-")</f>
        <v>4</v>
      </c>
      <c r="B2185" s="116">
        <v>46911</v>
      </c>
      <c r="C2185" s="117">
        <v>45423</v>
      </c>
      <c r="D2185" s="116">
        <v>228.25</v>
      </c>
      <c r="E2185" s="117">
        <v>45427</v>
      </c>
      <c r="F2185" s="116">
        <f>COUNTIFS($A$3:A10445,A2185,$B$3:B10445,B2185)</f>
        <v>1</v>
      </c>
      <c r="G2185" s="116"/>
    </row>
    <row r="2186" spans="1:7" x14ac:dyDescent="0.2">
      <c r="A2186" s="116">
        <f>IF(ISNUMBER(Tabela2[[#This Row],[CT-e/NFS]])=TRUE,(IF(B2186&gt;30000,4,IF(B2186&lt;1000,"ND",0))),"-")</f>
        <v>4</v>
      </c>
      <c r="B2186" s="116">
        <v>46910</v>
      </c>
      <c r="C2186" s="117">
        <v>45423</v>
      </c>
      <c r="D2186" s="116">
        <v>126.36</v>
      </c>
      <c r="E2186" s="117">
        <v>45427</v>
      </c>
      <c r="F2186" s="116">
        <f>COUNTIFS($A$3:A10446,A2186,$B$3:B10446,B2186)</f>
        <v>1</v>
      </c>
      <c r="G2186" s="116"/>
    </row>
    <row r="2187" spans="1:7" x14ac:dyDescent="0.2">
      <c r="A2187" s="116">
        <f>IF(ISNUMBER(Tabela2[[#This Row],[CT-e/NFS]])=TRUE,(IF(B2187&gt;30000,4,IF(B2187&lt;1000,"ND",0))),"-")</f>
        <v>4</v>
      </c>
      <c r="B2187" s="116">
        <v>46902</v>
      </c>
      <c r="C2187" s="117">
        <v>45423</v>
      </c>
      <c r="D2187" s="116">
        <v>585.70000000000005</v>
      </c>
      <c r="E2187" s="117">
        <v>45427</v>
      </c>
      <c r="F2187" s="116">
        <f>COUNTIFS($A$3:A10447,A2187,$B$3:B10447,B2187)</f>
        <v>1</v>
      </c>
      <c r="G2187" s="116"/>
    </row>
    <row r="2188" spans="1:7" x14ac:dyDescent="0.2">
      <c r="A2188" s="116">
        <f>IF(ISNUMBER(Tabela2[[#This Row],[CT-e/NFS]])=TRUE,(IF(B2188&gt;30000,4,IF(B2188&lt;1000,"ND",0))),"-")</f>
        <v>4</v>
      </c>
      <c r="B2188" s="116">
        <v>46912</v>
      </c>
      <c r="C2188" s="117">
        <v>45423</v>
      </c>
      <c r="D2188" s="116">
        <v>609.98</v>
      </c>
      <c r="E2188" s="117">
        <v>45427</v>
      </c>
      <c r="F2188" s="116">
        <f>COUNTIFS($A$3:A10448,A2188,$B$3:B10448,B2188)</f>
        <v>1</v>
      </c>
      <c r="G2188" s="116"/>
    </row>
    <row r="2189" spans="1:7" x14ac:dyDescent="0.2">
      <c r="A2189" s="116">
        <f>IF(ISNUMBER(Tabela2[[#This Row],[CT-e/NFS]])=TRUE,(IF(B2189&gt;30000,4,IF(B2189&lt;1000,"ND",0))),"-")</f>
        <v>4</v>
      </c>
      <c r="B2189" s="116">
        <v>46906</v>
      </c>
      <c r="C2189" s="117">
        <v>45423</v>
      </c>
      <c r="D2189" s="116">
        <v>467.33</v>
      </c>
      <c r="E2189" s="117">
        <v>45427</v>
      </c>
      <c r="F2189" s="116">
        <f>COUNTIFS($A$3:A10449,A2189,$B$3:B10449,B2189)</f>
        <v>1</v>
      </c>
      <c r="G2189" s="116"/>
    </row>
    <row r="2190" spans="1:7" x14ac:dyDescent="0.2">
      <c r="A2190" s="116">
        <f>IF(ISNUMBER(Tabela2[[#This Row],[CT-e/NFS]])=TRUE,(IF(B2190&gt;30000,4,IF(B2190&lt;1000,"ND",0))),"-")</f>
        <v>4</v>
      </c>
      <c r="B2190" s="116">
        <v>46913</v>
      </c>
      <c r="C2190" s="117">
        <v>45423</v>
      </c>
      <c r="D2190" s="116">
        <v>62.05</v>
      </c>
      <c r="E2190" s="117">
        <v>45427</v>
      </c>
      <c r="F2190" s="116">
        <f>COUNTIFS($A$3:A10450,A2190,$B$3:B10450,B2190)</f>
        <v>1</v>
      </c>
      <c r="G2190" s="116"/>
    </row>
    <row r="2191" spans="1:7" x14ac:dyDescent="0.2">
      <c r="A2191" s="116">
        <f>IF(ISNUMBER(Tabela2[[#This Row],[CT-e/NFS]])=TRUE,(IF(B2191&gt;30000,4,IF(B2191&lt;1000,"ND",0))),"-")</f>
        <v>4</v>
      </c>
      <c r="B2191" s="116">
        <v>46914</v>
      </c>
      <c r="C2191" s="117">
        <v>45423</v>
      </c>
      <c r="D2191" s="116">
        <v>111.82</v>
      </c>
      <c r="E2191" s="117">
        <v>45427</v>
      </c>
      <c r="F2191" s="116">
        <f>COUNTIFS($A$3:A10451,A2191,$B$3:B10451,B2191)</f>
        <v>1</v>
      </c>
      <c r="G2191" s="116"/>
    </row>
    <row r="2192" spans="1:7" x14ac:dyDescent="0.2">
      <c r="A2192" s="116">
        <f>IF(ISNUMBER(Tabela2[[#This Row],[CT-e/NFS]])=TRUE,(IF(B2192&gt;30000,4,IF(B2192&lt;1000,"ND",0))),"-")</f>
        <v>4</v>
      </c>
      <c r="B2192" s="116">
        <v>46919</v>
      </c>
      <c r="C2192" s="117">
        <v>45423</v>
      </c>
      <c r="D2192" s="116">
        <v>493.34</v>
      </c>
      <c r="E2192" s="117">
        <v>45427</v>
      </c>
      <c r="F2192" s="116">
        <f>COUNTIFS($A$3:A10452,A2192,$B$3:B10452,B2192)</f>
        <v>1</v>
      </c>
      <c r="G2192" s="116"/>
    </row>
    <row r="2193" spans="1:7" x14ac:dyDescent="0.2">
      <c r="A2193" s="116">
        <f>IF(ISNUMBER(Tabela2[[#This Row],[CT-e/NFS]])=TRUE,(IF(B2193&gt;30000,4,IF(B2193&lt;1000,"ND",0))),"-")</f>
        <v>4</v>
      </c>
      <c r="B2193" s="116">
        <v>46917</v>
      </c>
      <c r="C2193" s="117">
        <v>45423</v>
      </c>
      <c r="D2193" s="116">
        <v>123.5</v>
      </c>
      <c r="E2193" s="117">
        <v>45427</v>
      </c>
      <c r="F2193" s="116">
        <f>COUNTIFS($A$3:A10453,A2193,$B$3:B10453,B2193)</f>
        <v>1</v>
      </c>
      <c r="G2193" s="116"/>
    </row>
    <row r="2194" spans="1:7" x14ac:dyDescent="0.2">
      <c r="A2194" s="116">
        <f>IF(ISNUMBER(Tabela2[[#This Row],[CT-e/NFS]])=TRUE,(IF(B2194&gt;30000,4,IF(B2194&lt;1000,"ND",0))),"-")</f>
        <v>4</v>
      </c>
      <c r="B2194" s="116">
        <v>46916</v>
      </c>
      <c r="C2194" s="117">
        <v>45423</v>
      </c>
      <c r="D2194" s="116">
        <v>124.39</v>
      </c>
      <c r="E2194" s="117">
        <v>45427</v>
      </c>
      <c r="F2194" s="116">
        <f>COUNTIFS($A$3:A10454,A2194,$B$3:B10454,B2194)</f>
        <v>1</v>
      </c>
      <c r="G2194" s="116"/>
    </row>
    <row r="2195" spans="1:7" x14ac:dyDescent="0.2">
      <c r="A2195" s="116">
        <f>IF(ISNUMBER(Tabela2[[#This Row],[CT-e/NFS]])=TRUE,(IF(B2195&gt;30000,4,IF(B2195&lt;1000,"ND",0))),"-")</f>
        <v>4</v>
      </c>
      <c r="B2195" s="116">
        <v>46922</v>
      </c>
      <c r="C2195" s="117">
        <v>45423</v>
      </c>
      <c r="D2195" s="116">
        <v>123.69</v>
      </c>
      <c r="E2195" s="117">
        <v>45427</v>
      </c>
      <c r="F2195" s="116">
        <f>COUNTIFS($A$3:A10455,A2195,$B$3:B10455,B2195)</f>
        <v>1</v>
      </c>
      <c r="G2195" s="116"/>
    </row>
    <row r="2196" spans="1:7" x14ac:dyDescent="0.2">
      <c r="A2196" s="116">
        <f>IF(ISNUMBER(Tabela2[[#This Row],[CT-e/NFS]])=TRUE,(IF(B2196&gt;30000,4,IF(B2196&lt;1000,"ND",0))),"-")</f>
        <v>4</v>
      </c>
      <c r="B2196" s="116">
        <v>46915</v>
      </c>
      <c r="C2196" s="117">
        <v>45423</v>
      </c>
      <c r="D2196" s="116">
        <v>124.33</v>
      </c>
      <c r="E2196" s="117">
        <v>45427</v>
      </c>
      <c r="F2196" s="116">
        <f>COUNTIFS($A$3:A10456,A2196,$B$3:B10456,B2196)</f>
        <v>1</v>
      </c>
      <c r="G2196" s="116"/>
    </row>
    <row r="2197" spans="1:7" x14ac:dyDescent="0.2">
      <c r="A2197" s="116">
        <f>IF(ISNUMBER(Tabela2[[#This Row],[CT-e/NFS]])=TRUE,(IF(B2197&gt;30000,4,IF(B2197&lt;1000,"ND",0))),"-")</f>
        <v>4</v>
      </c>
      <c r="B2197" s="116">
        <v>46918</v>
      </c>
      <c r="C2197" s="117">
        <v>45423</v>
      </c>
      <c r="D2197" s="116">
        <v>344.66</v>
      </c>
      <c r="E2197" s="117">
        <v>45427</v>
      </c>
      <c r="F2197" s="116">
        <f>COUNTIFS($A$3:A10457,A2197,$B$3:B10457,B2197)</f>
        <v>1</v>
      </c>
      <c r="G2197" s="116"/>
    </row>
    <row r="2198" spans="1:7" x14ac:dyDescent="0.2">
      <c r="A2198" s="116">
        <f>IF(ISNUMBER(Tabela2[[#This Row],[CT-e/NFS]])=TRUE,(IF(B2198&gt;30000,4,IF(B2198&lt;1000,"ND",0))),"-")</f>
        <v>4</v>
      </c>
      <c r="B2198" s="116">
        <v>46920</v>
      </c>
      <c r="C2198" s="117">
        <v>45423</v>
      </c>
      <c r="D2198" s="116">
        <v>124.52</v>
      </c>
      <c r="E2198" s="117">
        <v>45427</v>
      </c>
      <c r="F2198" s="116">
        <f>COUNTIFS($A$3:A10458,A2198,$B$3:B10458,B2198)</f>
        <v>1</v>
      </c>
      <c r="G2198" s="116"/>
    </row>
    <row r="2199" spans="1:7" x14ac:dyDescent="0.2">
      <c r="A2199" s="116">
        <f>IF(ISNUMBER(Tabela2[[#This Row],[CT-e/NFS]])=TRUE,(IF(B2199&gt;30000,4,IF(B2199&lt;1000,"ND",0))),"-")</f>
        <v>4</v>
      </c>
      <c r="B2199" s="116">
        <v>46921</v>
      </c>
      <c r="C2199" s="117">
        <v>45423</v>
      </c>
      <c r="D2199" s="116">
        <v>542.13</v>
      </c>
      <c r="E2199" s="117">
        <v>45427</v>
      </c>
      <c r="F2199" s="116">
        <f>COUNTIFS($A$3:A10459,A2199,$B$3:B10459,B2199)</f>
        <v>1</v>
      </c>
      <c r="G2199" s="116"/>
    </row>
    <row r="2200" spans="1:7" x14ac:dyDescent="0.2">
      <c r="A2200" s="116">
        <f>IF(ISNUMBER(Tabela2[[#This Row],[CT-e/NFS]])=TRUE,(IF(B2200&gt;30000,4,IF(B2200&lt;1000,"ND",0))),"-")</f>
        <v>0</v>
      </c>
      <c r="B2200" s="116">
        <v>21376</v>
      </c>
      <c r="C2200" s="117">
        <v>45423</v>
      </c>
      <c r="D2200" s="116">
        <v>76.34</v>
      </c>
      <c r="E2200" s="117">
        <v>45427</v>
      </c>
      <c r="F2200" s="116">
        <f>COUNTIFS($A$3:A10460,A2200,$B$3:B10460,B2200)</f>
        <v>1</v>
      </c>
      <c r="G2200" s="116"/>
    </row>
    <row r="2201" spans="1:7" x14ac:dyDescent="0.2">
      <c r="A2201" s="116">
        <f>IF(ISNUMBER(Tabela2[[#This Row],[CT-e/NFS]])=TRUE,(IF(B2201&gt;30000,4,IF(B2201&lt;1000,"ND",0))),"-")</f>
        <v>0</v>
      </c>
      <c r="B2201" s="116">
        <v>21377</v>
      </c>
      <c r="C2201" s="117">
        <v>45423</v>
      </c>
      <c r="D2201" s="116">
        <v>663.24</v>
      </c>
      <c r="E2201" s="117">
        <v>45427</v>
      </c>
      <c r="F2201" s="116">
        <f>COUNTIFS($A$3:A10461,A2201,$B$3:B10461,B2201)</f>
        <v>1</v>
      </c>
      <c r="G2201" s="116"/>
    </row>
    <row r="2202" spans="1:7" x14ac:dyDescent="0.2">
      <c r="A2202" s="116">
        <f>IF(ISNUMBER(Tabela2[[#This Row],[CT-e/NFS]])=TRUE,(IF(B2202&gt;30000,4,IF(B2202&lt;1000,"ND",0))),"-")</f>
        <v>0</v>
      </c>
      <c r="B2202" s="116">
        <v>21378</v>
      </c>
      <c r="C2202" s="117">
        <v>45423</v>
      </c>
      <c r="D2202" s="116">
        <v>76.36</v>
      </c>
      <c r="E2202" s="117">
        <v>45427</v>
      </c>
      <c r="F2202" s="116">
        <f>COUNTIFS($A$3:A10462,A2202,$B$3:B10462,B2202)</f>
        <v>1</v>
      </c>
      <c r="G2202" s="116"/>
    </row>
    <row r="2203" spans="1:7" x14ac:dyDescent="0.2">
      <c r="A2203" s="116">
        <f>IF(ISNUMBER(Tabela2[[#This Row],[CT-e/NFS]])=TRUE,(IF(B2203&gt;30000,4,IF(B2203&lt;1000,"ND",0))),"-")</f>
        <v>0</v>
      </c>
      <c r="B2203" s="116">
        <v>21380</v>
      </c>
      <c r="C2203" s="117">
        <v>45423</v>
      </c>
      <c r="D2203" s="116">
        <v>122.46</v>
      </c>
      <c r="E2203" s="117">
        <v>45427</v>
      </c>
      <c r="F2203" s="116">
        <f>COUNTIFS($A$3:A10463,A2203,$B$3:B10463,B2203)</f>
        <v>1</v>
      </c>
      <c r="G2203" s="116"/>
    </row>
    <row r="2204" spans="1:7" x14ac:dyDescent="0.2">
      <c r="A2204" s="116">
        <f>IF(ISNUMBER(Tabela2[[#This Row],[CT-e/NFS]])=TRUE,(IF(B2204&gt;30000,4,IF(B2204&lt;1000,"ND",0))),"-")</f>
        <v>0</v>
      </c>
      <c r="B2204" s="116">
        <v>21379</v>
      </c>
      <c r="C2204" s="117">
        <v>45423</v>
      </c>
      <c r="D2204" s="116">
        <v>76.959999999999994</v>
      </c>
      <c r="E2204" s="117">
        <v>45427</v>
      </c>
      <c r="F2204" s="116">
        <f>COUNTIFS($A$3:A10464,A2204,$B$3:B10464,B2204)</f>
        <v>1</v>
      </c>
      <c r="G2204" s="116"/>
    </row>
    <row r="2205" spans="1:7" x14ac:dyDescent="0.2">
      <c r="A2205" s="116">
        <f>IF(ISNUMBER(Tabela2[[#This Row],[CT-e/NFS]])=TRUE,(IF(B2205&gt;30000,4,IF(B2205&lt;1000,"ND",0))),"-")</f>
        <v>0</v>
      </c>
      <c r="B2205" s="116">
        <v>21381</v>
      </c>
      <c r="C2205" s="117">
        <v>45423</v>
      </c>
      <c r="D2205" s="116">
        <v>76.8</v>
      </c>
      <c r="E2205" s="117">
        <v>45427</v>
      </c>
      <c r="F2205" s="116">
        <f>COUNTIFS($A$3:A10465,A2205,$B$3:B10465,B2205)</f>
        <v>1</v>
      </c>
      <c r="G2205" s="116"/>
    </row>
    <row r="2206" spans="1:7" x14ac:dyDescent="0.2">
      <c r="A2206" s="116">
        <f>IF(ISNUMBER(Tabela2[[#This Row],[CT-e/NFS]])=TRUE,(IF(B2206&gt;30000,4,IF(B2206&lt;1000,"ND",0))),"-")</f>
        <v>0</v>
      </c>
      <c r="B2206" s="116">
        <v>21382</v>
      </c>
      <c r="C2206" s="117">
        <v>45423</v>
      </c>
      <c r="D2206" s="116">
        <v>75.599999999999994</v>
      </c>
      <c r="E2206" s="117">
        <v>45427</v>
      </c>
      <c r="F2206" s="116">
        <f>COUNTIFS($A$3:A10466,A2206,$B$3:B10466,B2206)</f>
        <v>1</v>
      </c>
      <c r="G2206" s="116"/>
    </row>
    <row r="2207" spans="1:7" x14ac:dyDescent="0.2">
      <c r="A2207" s="116">
        <f>IF(ISNUMBER(Tabela2[[#This Row],[CT-e/NFS]])=TRUE,(IF(B2207&gt;30000,4,IF(B2207&lt;1000,"ND",0))),"-")</f>
        <v>0</v>
      </c>
      <c r="B2207" s="116">
        <v>21383</v>
      </c>
      <c r="C2207" s="117">
        <v>45423</v>
      </c>
      <c r="D2207" s="116">
        <v>76.52</v>
      </c>
      <c r="E2207" s="117">
        <v>45427</v>
      </c>
      <c r="F2207" s="116">
        <f>COUNTIFS($A$3:A10467,A2207,$B$3:B10467,B2207)</f>
        <v>1</v>
      </c>
      <c r="G2207" s="116"/>
    </row>
    <row r="2208" spans="1:7" x14ac:dyDescent="0.2">
      <c r="A2208" s="116">
        <f>IF(ISNUMBER(Tabela2[[#This Row],[CT-e/NFS]])=TRUE,(IF(B2208&gt;30000,4,IF(B2208&lt;1000,"ND",0))),"-")</f>
        <v>0</v>
      </c>
      <c r="B2208" s="116">
        <v>21384</v>
      </c>
      <c r="C2208" s="117">
        <v>45423</v>
      </c>
      <c r="D2208" s="116">
        <v>134.47</v>
      </c>
      <c r="E2208" s="117">
        <v>45427</v>
      </c>
      <c r="F2208" s="116">
        <f>COUNTIFS($A$3:A10468,A2208,$B$3:B10468,B2208)</f>
        <v>1</v>
      </c>
      <c r="G2208" s="116"/>
    </row>
    <row r="2209" spans="1:7" x14ac:dyDescent="0.2">
      <c r="A2209" s="116">
        <f>IF(ISNUMBER(Tabela2[[#This Row],[CT-e/NFS]])=TRUE,(IF(B2209&gt;30000,4,IF(B2209&lt;1000,"ND",0))),"-")</f>
        <v>0</v>
      </c>
      <c r="B2209" s="116">
        <v>21386</v>
      </c>
      <c r="C2209" s="117">
        <v>45423</v>
      </c>
      <c r="D2209" s="116">
        <v>77.06</v>
      </c>
      <c r="E2209" s="117">
        <v>45427</v>
      </c>
      <c r="F2209" s="116">
        <f>COUNTIFS($A$3:A10469,A2209,$B$3:B10469,B2209)</f>
        <v>1</v>
      </c>
      <c r="G2209" s="116"/>
    </row>
    <row r="2210" spans="1:7" x14ac:dyDescent="0.2">
      <c r="A2210" s="116">
        <f>IF(ISNUMBER(Tabela2[[#This Row],[CT-e/NFS]])=TRUE,(IF(B2210&gt;30000,4,IF(B2210&lt;1000,"ND",0))),"-")</f>
        <v>4</v>
      </c>
      <c r="B2210" s="116">
        <v>46924</v>
      </c>
      <c r="C2210" s="117">
        <v>45423</v>
      </c>
      <c r="D2210" s="116">
        <v>3358.75</v>
      </c>
      <c r="E2210" s="117">
        <v>45427</v>
      </c>
      <c r="F2210" s="116">
        <f>COUNTIFS($A$3:A10470,A2210,$B$3:B10470,B2210)</f>
        <v>1</v>
      </c>
      <c r="G2210" s="116"/>
    </row>
    <row r="2211" spans="1:7" x14ac:dyDescent="0.2">
      <c r="A2211" s="116">
        <f>IF(ISNUMBER(Tabela2[[#This Row],[CT-e/NFS]])=TRUE,(IF(B2211&gt;30000,4,IF(B2211&lt;1000,"ND",0))),"-")</f>
        <v>4</v>
      </c>
      <c r="B2211" s="116">
        <v>46928</v>
      </c>
      <c r="C2211" s="117">
        <v>45423</v>
      </c>
      <c r="D2211" s="116">
        <v>62.15</v>
      </c>
      <c r="E2211" s="117">
        <v>45427</v>
      </c>
      <c r="F2211" s="116">
        <f>COUNTIFS($A$3:A10471,A2211,$B$3:B10471,B2211)</f>
        <v>1</v>
      </c>
      <c r="G2211" s="116"/>
    </row>
    <row r="2212" spans="1:7" x14ac:dyDescent="0.2">
      <c r="A2212" s="116">
        <f>IF(ISNUMBER(Tabela2[[#This Row],[CT-e/NFS]])=TRUE,(IF(B2212&gt;30000,4,IF(B2212&lt;1000,"ND",0))),"-")</f>
        <v>4</v>
      </c>
      <c r="B2212" s="116">
        <v>46927</v>
      </c>
      <c r="C2212" s="117">
        <v>45423</v>
      </c>
      <c r="D2212" s="116">
        <v>111.82</v>
      </c>
      <c r="E2212" s="117">
        <v>45427</v>
      </c>
      <c r="F2212" s="116">
        <f>COUNTIFS($A$3:A10472,A2212,$B$3:B10472,B2212)</f>
        <v>1</v>
      </c>
      <c r="G2212" s="116"/>
    </row>
    <row r="2213" spans="1:7" x14ac:dyDescent="0.2">
      <c r="A2213" s="116">
        <f>IF(ISNUMBER(Tabela2[[#This Row],[CT-e/NFS]])=TRUE,(IF(B2213&gt;30000,4,IF(B2213&lt;1000,"ND",0))),"-")</f>
        <v>4</v>
      </c>
      <c r="B2213" s="116">
        <v>46926</v>
      </c>
      <c r="C2213" s="117">
        <v>45423</v>
      </c>
      <c r="D2213" s="116">
        <v>62.05</v>
      </c>
      <c r="E2213" s="117">
        <v>45427</v>
      </c>
      <c r="F2213" s="116">
        <f>COUNTIFS($A$3:A10473,A2213,$B$3:B10473,B2213)</f>
        <v>1</v>
      </c>
      <c r="G2213" s="116"/>
    </row>
    <row r="2214" spans="1:7" x14ac:dyDescent="0.2">
      <c r="A2214" s="116">
        <f>IF(ISNUMBER(Tabela2[[#This Row],[CT-e/NFS]])=TRUE,(IF(B2214&gt;30000,4,IF(B2214&lt;1000,"ND",0))),"-")</f>
        <v>4</v>
      </c>
      <c r="B2214" s="116">
        <v>46929</v>
      </c>
      <c r="C2214" s="117">
        <v>45423</v>
      </c>
      <c r="D2214" s="116">
        <v>112.02</v>
      </c>
      <c r="E2214" s="117">
        <v>45427</v>
      </c>
      <c r="F2214" s="116">
        <f>COUNTIFS($A$3:A10474,A2214,$B$3:B10474,B2214)</f>
        <v>1</v>
      </c>
      <c r="G2214" s="116"/>
    </row>
    <row r="2215" spans="1:7" x14ac:dyDescent="0.2">
      <c r="A2215" s="116">
        <f>IF(ISNUMBER(Tabela2[[#This Row],[CT-e/NFS]])=TRUE,(IF(B2215&gt;30000,4,IF(B2215&lt;1000,"ND",0))),"-")</f>
        <v>4</v>
      </c>
      <c r="B2215" s="116">
        <v>46934</v>
      </c>
      <c r="C2215" s="117">
        <v>45423</v>
      </c>
      <c r="D2215" s="116">
        <v>750.99</v>
      </c>
      <c r="E2215" s="117">
        <v>45427</v>
      </c>
      <c r="F2215" s="116">
        <f>COUNTIFS($A$3:A10475,A2215,$B$3:B10475,B2215)</f>
        <v>1</v>
      </c>
      <c r="G2215" s="116"/>
    </row>
    <row r="2216" spans="1:7" x14ac:dyDescent="0.2">
      <c r="A2216" s="116">
        <f>IF(ISNUMBER(Tabela2[[#This Row],[CT-e/NFS]])=TRUE,(IF(B2216&gt;30000,4,IF(B2216&lt;1000,"ND",0))),"-")</f>
        <v>4</v>
      </c>
      <c r="B2216" s="116">
        <v>46879</v>
      </c>
      <c r="C2216" s="117">
        <v>45423</v>
      </c>
      <c r="D2216" s="116">
        <v>176.14</v>
      </c>
      <c r="E2216" s="117">
        <v>45427</v>
      </c>
      <c r="F2216" s="116">
        <f>COUNTIFS($A$3:A10476,A2216,$B$3:B10476,B2216)</f>
        <v>1</v>
      </c>
      <c r="G2216" s="116"/>
    </row>
    <row r="2217" spans="1:7" x14ac:dyDescent="0.2">
      <c r="A2217" s="116">
        <f>IF(ISNUMBER(Tabela2[[#This Row],[CT-e/NFS]])=TRUE,(IF(B2217&gt;30000,4,IF(B2217&lt;1000,"ND",0))),"-")</f>
        <v>4</v>
      </c>
      <c r="B2217" s="116">
        <v>46936</v>
      </c>
      <c r="C2217" s="117">
        <v>45423</v>
      </c>
      <c r="D2217" s="116">
        <v>2906.31</v>
      </c>
      <c r="E2217" s="117">
        <v>45427</v>
      </c>
      <c r="F2217" s="116">
        <f>COUNTIFS($A$3:A10477,A2217,$B$3:B10477,B2217)</f>
        <v>1</v>
      </c>
      <c r="G2217" s="116"/>
    </row>
    <row r="2218" spans="1:7" x14ac:dyDescent="0.2">
      <c r="A2218" s="116">
        <f>IF(ISNUMBER(Tabela2[[#This Row],[CT-e/NFS]])=TRUE,(IF(B2218&gt;30000,4,IF(B2218&lt;1000,"ND",0))),"-")</f>
        <v>4</v>
      </c>
      <c r="B2218" s="116">
        <v>46939</v>
      </c>
      <c r="C2218" s="117">
        <v>45423</v>
      </c>
      <c r="D2218" s="116">
        <v>753.77</v>
      </c>
      <c r="E2218" s="117">
        <v>45427</v>
      </c>
      <c r="F2218" s="116">
        <f>COUNTIFS($A$3:A10478,A2218,$B$3:B10478,B2218)</f>
        <v>1</v>
      </c>
      <c r="G2218" s="116"/>
    </row>
    <row r="2219" spans="1:7" x14ac:dyDescent="0.2">
      <c r="A2219" s="116">
        <f>IF(ISNUMBER(Tabela2[[#This Row],[CT-e/NFS]])=TRUE,(IF(B2219&gt;30000,4,IF(B2219&lt;1000,"ND",0))),"-")</f>
        <v>4</v>
      </c>
      <c r="B2219" s="116">
        <v>46950</v>
      </c>
      <c r="C2219" s="117">
        <v>45423</v>
      </c>
      <c r="D2219" s="116">
        <v>609.98</v>
      </c>
      <c r="E2219" s="117">
        <v>45427</v>
      </c>
      <c r="F2219" s="116">
        <f>COUNTIFS($A$3:A10479,A2219,$B$3:B10479,B2219)</f>
        <v>1</v>
      </c>
      <c r="G2219" s="116"/>
    </row>
    <row r="2220" spans="1:7" x14ac:dyDescent="0.2">
      <c r="A2220" s="116">
        <f>IF(ISNUMBER(Tabela2[[#This Row],[CT-e/NFS]])=TRUE,(IF(B2220&gt;30000,4,IF(B2220&lt;1000,"ND",0))),"-")</f>
        <v>4</v>
      </c>
      <c r="B2220" s="116">
        <v>46948</v>
      </c>
      <c r="C2220" s="117">
        <v>45423</v>
      </c>
      <c r="D2220" s="116">
        <v>126.32</v>
      </c>
      <c r="E2220" s="117">
        <v>45427</v>
      </c>
      <c r="F2220" s="116">
        <f>COUNTIFS($A$3:A10480,A2220,$B$3:B10480,B2220)</f>
        <v>1</v>
      </c>
      <c r="G2220" s="116"/>
    </row>
    <row r="2221" spans="1:7" x14ac:dyDescent="0.2">
      <c r="A2221" s="116">
        <f>IF(ISNUMBER(Tabela2[[#This Row],[CT-e/NFS]])=TRUE,(IF(B2221&gt;30000,4,IF(B2221&lt;1000,"ND",0))),"-")</f>
        <v>4</v>
      </c>
      <c r="B2221" s="116">
        <v>46943</v>
      </c>
      <c r="C2221" s="117">
        <v>45423</v>
      </c>
      <c r="D2221" s="116">
        <v>124.16</v>
      </c>
      <c r="E2221" s="117">
        <v>45427</v>
      </c>
      <c r="F2221" s="116">
        <f>COUNTIFS($A$3:A10481,A2221,$B$3:B10481,B2221)</f>
        <v>1</v>
      </c>
      <c r="G2221" s="116"/>
    </row>
    <row r="2222" spans="1:7" x14ac:dyDescent="0.2">
      <c r="A2222" s="116">
        <f>IF(ISNUMBER(Tabela2[[#This Row],[CT-e/NFS]])=TRUE,(IF(B2222&gt;30000,4,IF(B2222&lt;1000,"ND",0))),"-")</f>
        <v>4</v>
      </c>
      <c r="B2222" s="116">
        <v>46938</v>
      </c>
      <c r="C2222" s="117">
        <v>45423</v>
      </c>
      <c r="D2222" s="116">
        <v>124.3</v>
      </c>
      <c r="E2222" s="117">
        <v>45427</v>
      </c>
      <c r="F2222" s="116">
        <f>COUNTIFS($A$3:A10482,A2222,$B$3:B10482,B2222)</f>
        <v>1</v>
      </c>
      <c r="G2222" s="116"/>
    </row>
    <row r="2223" spans="1:7" x14ac:dyDescent="0.2">
      <c r="A2223" s="116">
        <f>IF(ISNUMBER(Tabela2[[#This Row],[CT-e/NFS]])=TRUE,(IF(B2223&gt;30000,4,IF(B2223&lt;1000,"ND",0))),"-")</f>
        <v>4</v>
      </c>
      <c r="B2223" s="116">
        <v>46942</v>
      </c>
      <c r="C2223" s="117">
        <v>45423</v>
      </c>
      <c r="D2223" s="116">
        <v>238.93</v>
      </c>
      <c r="E2223" s="117">
        <v>45427</v>
      </c>
      <c r="F2223" s="116">
        <f>COUNTIFS($A$3:A10483,A2223,$B$3:B10483,B2223)</f>
        <v>1</v>
      </c>
      <c r="G2223" s="116"/>
    </row>
    <row r="2224" spans="1:7" x14ac:dyDescent="0.2">
      <c r="A2224" s="116">
        <f>IF(ISNUMBER(Tabela2[[#This Row],[CT-e/NFS]])=TRUE,(IF(B2224&gt;30000,4,IF(B2224&lt;1000,"ND",0))),"-")</f>
        <v>4</v>
      </c>
      <c r="B2224" s="116">
        <v>46944</v>
      </c>
      <c r="C2224" s="117">
        <v>45423</v>
      </c>
      <c r="D2224" s="116">
        <v>1130.32</v>
      </c>
      <c r="E2224" s="117">
        <v>45427</v>
      </c>
      <c r="F2224" s="116">
        <f>COUNTIFS($A$3:A10484,A2224,$B$3:B10484,B2224)</f>
        <v>1</v>
      </c>
      <c r="G2224" s="116"/>
    </row>
    <row r="2225" spans="1:7" x14ac:dyDescent="0.2">
      <c r="A2225" s="116">
        <f>IF(ISNUMBER(Tabela2[[#This Row],[CT-e/NFS]])=TRUE,(IF(B2225&gt;30000,4,IF(B2225&lt;1000,"ND",0))),"-")</f>
        <v>4</v>
      </c>
      <c r="B2225" s="116">
        <v>46941</v>
      </c>
      <c r="C2225" s="117">
        <v>45423</v>
      </c>
      <c r="D2225" s="116">
        <v>263.8</v>
      </c>
      <c r="E2225" s="117">
        <v>45427</v>
      </c>
      <c r="F2225" s="116">
        <f>COUNTIFS($A$3:A10485,A2225,$B$3:B10485,B2225)</f>
        <v>1</v>
      </c>
      <c r="G2225" s="116"/>
    </row>
    <row r="2226" spans="1:7" x14ac:dyDescent="0.2">
      <c r="A2226" s="116">
        <f>IF(ISNUMBER(Tabela2[[#This Row],[CT-e/NFS]])=TRUE,(IF(B2226&gt;30000,4,IF(B2226&lt;1000,"ND",0))),"-")</f>
        <v>4</v>
      </c>
      <c r="B2226" s="116">
        <v>46940</v>
      </c>
      <c r="C2226" s="117">
        <v>45423</v>
      </c>
      <c r="D2226" s="116">
        <v>123.89</v>
      </c>
      <c r="E2226" s="117">
        <v>45427</v>
      </c>
      <c r="F2226" s="116">
        <f>COUNTIFS($A$3:A10486,A2226,$B$3:B10486,B2226)</f>
        <v>1</v>
      </c>
      <c r="G2226" s="116"/>
    </row>
    <row r="2227" spans="1:7" x14ac:dyDescent="0.2">
      <c r="A2227" s="116">
        <f>IF(ISNUMBER(Tabela2[[#This Row],[CT-e/NFS]])=TRUE,(IF(B2227&gt;30000,4,IF(B2227&lt;1000,"ND",0))),"-")</f>
        <v>4</v>
      </c>
      <c r="B2227" s="116">
        <v>46935</v>
      </c>
      <c r="C2227" s="117">
        <v>45423</v>
      </c>
      <c r="D2227" s="116">
        <v>1003.68</v>
      </c>
      <c r="E2227" s="117">
        <v>45427</v>
      </c>
      <c r="F2227" s="116">
        <f>COUNTIFS($A$3:A10487,A2227,$B$3:B10487,B2227)</f>
        <v>1</v>
      </c>
      <c r="G2227" s="116"/>
    </row>
    <row r="2228" spans="1:7" x14ac:dyDescent="0.2">
      <c r="A2228" s="116">
        <f>IF(ISNUMBER(Tabela2[[#This Row],[CT-e/NFS]])=TRUE,(IF(B2228&gt;30000,4,IF(B2228&lt;1000,"ND",0))),"-")</f>
        <v>0</v>
      </c>
      <c r="B2228" s="116">
        <v>21355</v>
      </c>
      <c r="C2228" s="117">
        <v>45423</v>
      </c>
      <c r="D2228" s="116">
        <v>68.91</v>
      </c>
      <c r="E2228" s="117">
        <v>45427</v>
      </c>
      <c r="F2228" s="116">
        <f>COUNTIFS($A$3:A10488,A2228,$B$3:B10488,B2228)</f>
        <v>1</v>
      </c>
      <c r="G2228" s="116"/>
    </row>
    <row r="2229" spans="1:7" x14ac:dyDescent="0.2">
      <c r="A2229" s="116">
        <f>IF(ISNUMBER(Tabela2[[#This Row],[CT-e/NFS]])=TRUE,(IF(B2229&gt;30000,4,IF(B2229&lt;1000,"ND",0))),"-")</f>
        <v>0</v>
      </c>
      <c r="B2229" s="116">
        <v>21358</v>
      </c>
      <c r="C2229" s="117">
        <v>45423</v>
      </c>
      <c r="D2229" s="116">
        <v>38.229999999999997</v>
      </c>
      <c r="E2229" s="117">
        <v>45427</v>
      </c>
      <c r="F2229" s="116">
        <f>COUNTIFS($A$3:A10489,A2229,$B$3:B10489,B2229)</f>
        <v>1</v>
      </c>
      <c r="G2229" s="116"/>
    </row>
    <row r="2230" spans="1:7" x14ac:dyDescent="0.2">
      <c r="A2230" s="116">
        <f>IF(ISNUMBER(Tabela2[[#This Row],[CT-e/NFS]])=TRUE,(IF(B2230&gt;30000,4,IF(B2230&lt;1000,"ND",0))),"-")</f>
        <v>4</v>
      </c>
      <c r="B2230" s="116">
        <v>46930</v>
      </c>
      <c r="C2230" s="117">
        <v>45423</v>
      </c>
      <c r="D2230" s="116">
        <v>124.42</v>
      </c>
      <c r="E2230" s="117">
        <v>45427</v>
      </c>
      <c r="F2230" s="116">
        <f>COUNTIFS($A$3:A10490,A2230,$B$3:B10490,B2230)</f>
        <v>1</v>
      </c>
      <c r="G2230" s="116"/>
    </row>
    <row r="2231" spans="1:7" x14ac:dyDescent="0.2">
      <c r="A2231" s="116">
        <f>IF(ISNUMBER(Tabela2[[#This Row],[CT-e/NFS]])=TRUE,(IF(B2231&gt;30000,4,IF(B2231&lt;1000,"ND",0))),"-")</f>
        <v>4</v>
      </c>
      <c r="B2231" s="116">
        <v>46947</v>
      </c>
      <c r="C2231" s="117">
        <v>45423</v>
      </c>
      <c r="D2231" s="116">
        <v>240.47</v>
      </c>
      <c r="E2231" s="117">
        <v>45427</v>
      </c>
      <c r="F2231" s="116">
        <f>COUNTIFS($A$3:A10491,A2231,$B$3:B10491,B2231)</f>
        <v>1</v>
      </c>
      <c r="G2231" s="116"/>
    </row>
    <row r="2232" spans="1:7" x14ac:dyDescent="0.2">
      <c r="A2232" s="116">
        <f>IF(ISNUMBER(Tabela2[[#This Row],[CT-e/NFS]])=TRUE,(IF(B2232&gt;30000,4,IF(B2232&lt;1000,"ND",0))),"-")</f>
        <v>4</v>
      </c>
      <c r="B2232" s="116">
        <v>46932</v>
      </c>
      <c r="C2232" s="117">
        <v>45423</v>
      </c>
      <c r="D2232" s="116">
        <v>124.52</v>
      </c>
      <c r="E2232" s="117">
        <v>45427</v>
      </c>
      <c r="F2232" s="116">
        <f>COUNTIFS($A$3:A10492,A2232,$B$3:B10492,B2232)</f>
        <v>1</v>
      </c>
      <c r="G2232" s="116"/>
    </row>
    <row r="2233" spans="1:7" x14ac:dyDescent="0.2">
      <c r="A2233" s="116">
        <f>IF(ISNUMBER(Tabela2[[#This Row],[CT-e/NFS]])=TRUE,(IF(B2233&gt;30000,4,IF(B2233&lt;1000,"ND",0))),"-")</f>
        <v>4</v>
      </c>
      <c r="B2233" s="116">
        <v>46931</v>
      </c>
      <c r="C2233" s="117">
        <v>45423</v>
      </c>
      <c r="D2233" s="116">
        <v>124.18</v>
      </c>
      <c r="E2233" s="117">
        <v>45427</v>
      </c>
      <c r="F2233" s="116">
        <f>COUNTIFS($A$3:A10493,A2233,$B$3:B10493,B2233)</f>
        <v>1</v>
      </c>
      <c r="G2233" s="116"/>
    </row>
    <row r="2234" spans="1:7" x14ac:dyDescent="0.2">
      <c r="A2234" s="116">
        <f>IF(ISNUMBER(Tabela2[[#This Row],[CT-e/NFS]])=TRUE,(IF(B2234&gt;30000,4,IF(B2234&lt;1000,"ND",0))),"-")</f>
        <v>4</v>
      </c>
      <c r="B2234" s="116">
        <v>46945</v>
      </c>
      <c r="C2234" s="117">
        <v>45423</v>
      </c>
      <c r="D2234" s="116">
        <v>452.13</v>
      </c>
      <c r="E2234" s="117">
        <v>45427</v>
      </c>
      <c r="F2234" s="116">
        <f>COUNTIFS($A$3:A10494,A2234,$B$3:B10494,B2234)</f>
        <v>1</v>
      </c>
      <c r="G2234" s="116"/>
    </row>
    <row r="2235" spans="1:7" x14ac:dyDescent="0.2">
      <c r="A2235" s="116">
        <f>IF(ISNUMBER(Tabela2[[#This Row],[CT-e/NFS]])=TRUE,(IF(B2235&gt;30000,4,IF(B2235&lt;1000,"ND",0))),"-")</f>
        <v>4</v>
      </c>
      <c r="B2235" s="116">
        <v>46949</v>
      </c>
      <c r="C2235" s="117">
        <v>45423</v>
      </c>
      <c r="D2235" s="116">
        <v>124.25</v>
      </c>
      <c r="E2235" s="117">
        <v>45427</v>
      </c>
      <c r="F2235" s="116">
        <f>COUNTIFS($A$3:A10495,A2235,$B$3:B10495,B2235)</f>
        <v>1</v>
      </c>
      <c r="G2235" s="116"/>
    </row>
    <row r="2236" spans="1:7" x14ac:dyDescent="0.2">
      <c r="A2236" s="116">
        <f>IF(ISNUMBER(Tabela2[[#This Row],[CT-e/NFS]])=TRUE,(IF(B2236&gt;30000,4,IF(B2236&lt;1000,"ND",0))),"-")</f>
        <v>4</v>
      </c>
      <c r="B2236" s="116">
        <v>46937</v>
      </c>
      <c r="C2236" s="117">
        <v>45423</v>
      </c>
      <c r="D2236" s="116">
        <v>203.38</v>
      </c>
      <c r="E2236" s="117">
        <v>45427</v>
      </c>
      <c r="F2236" s="116">
        <f>COUNTIFS($A$3:A10496,A2236,$B$3:B10496,B2236)</f>
        <v>1</v>
      </c>
      <c r="G2236" s="116"/>
    </row>
    <row r="2237" spans="1:7" x14ac:dyDescent="0.2">
      <c r="A2237" s="116">
        <f>IF(ISNUMBER(Tabela2[[#This Row],[CT-e/NFS]])=TRUE,(IF(B2237&gt;30000,4,IF(B2237&lt;1000,"ND",0))),"-")</f>
        <v>4</v>
      </c>
      <c r="B2237" s="116">
        <v>46954</v>
      </c>
      <c r="C2237" s="117">
        <v>45423</v>
      </c>
      <c r="D2237" s="116">
        <v>897.4</v>
      </c>
      <c r="E2237" s="117">
        <v>45427</v>
      </c>
      <c r="F2237" s="116">
        <f>COUNTIFS($A$3:A10497,A2237,$B$3:B10497,B2237)</f>
        <v>1</v>
      </c>
      <c r="G2237" s="116"/>
    </row>
    <row r="2238" spans="1:7" x14ac:dyDescent="0.2">
      <c r="A2238" s="116">
        <f>IF(ISNUMBER(Tabela2[[#This Row],[CT-e/NFS]])=TRUE,(IF(B2238&gt;30000,4,IF(B2238&lt;1000,"ND",0))),"-")</f>
        <v>4</v>
      </c>
      <c r="B2238" s="116">
        <v>46953</v>
      </c>
      <c r="C2238" s="117">
        <v>45423</v>
      </c>
      <c r="D2238" s="116">
        <v>860.9</v>
      </c>
      <c r="E2238" s="117">
        <v>45427</v>
      </c>
      <c r="F2238" s="116">
        <f>COUNTIFS($A$3:A10498,A2238,$B$3:B10498,B2238)</f>
        <v>1</v>
      </c>
      <c r="G2238" s="116"/>
    </row>
    <row r="2239" spans="1:7" x14ac:dyDescent="0.2">
      <c r="A2239" s="116">
        <f>IF(ISNUMBER(Tabela2[[#This Row],[CT-e/NFS]])=TRUE,(IF(B2239&gt;30000,4,IF(B2239&lt;1000,"ND",0))),"-")</f>
        <v>4</v>
      </c>
      <c r="B2239" s="116">
        <v>46955</v>
      </c>
      <c r="C2239" s="117">
        <v>45423</v>
      </c>
      <c r="D2239" s="116">
        <v>634.08000000000004</v>
      </c>
      <c r="E2239" s="117">
        <v>45427</v>
      </c>
      <c r="F2239" s="116">
        <f>COUNTIFS($A$3:A10499,A2239,$B$3:B10499,B2239)</f>
        <v>1</v>
      </c>
      <c r="G2239" s="116"/>
    </row>
    <row r="2240" spans="1:7" x14ac:dyDescent="0.2">
      <c r="A2240" s="116">
        <f>IF(ISNUMBER(Tabela2[[#This Row],[CT-e/NFS]])=TRUE,(IF(B2240&gt;30000,4,IF(B2240&lt;1000,"ND",0))),"-")</f>
        <v>4</v>
      </c>
      <c r="B2240" s="116">
        <v>46923</v>
      </c>
      <c r="C2240" s="117">
        <v>45423</v>
      </c>
      <c r="D2240" s="116">
        <v>511.16</v>
      </c>
      <c r="E2240" s="117">
        <v>45427</v>
      </c>
      <c r="F2240" s="116">
        <f>COUNTIFS($A$3:A10500,A2240,$B$3:B10500,B2240)</f>
        <v>1</v>
      </c>
      <c r="G2240" s="116"/>
    </row>
    <row r="2241" spans="1:7" x14ac:dyDescent="0.2">
      <c r="A2241" s="116">
        <f>IF(ISNUMBER(Tabela2[[#This Row],[CT-e/NFS]])=TRUE,(IF(B2241&gt;30000,4,IF(B2241&lt;1000,"ND",0))),"-")</f>
        <v>4</v>
      </c>
      <c r="B2241" s="116">
        <v>46957</v>
      </c>
      <c r="C2241" s="117">
        <v>45423</v>
      </c>
      <c r="D2241" s="116">
        <v>124.34</v>
      </c>
      <c r="E2241" s="117">
        <v>45427</v>
      </c>
      <c r="F2241" s="116">
        <f>COUNTIFS($A$3:A10501,A2241,$B$3:B10501,B2241)</f>
        <v>1</v>
      </c>
      <c r="G2241" s="116"/>
    </row>
    <row r="2242" spans="1:7" x14ac:dyDescent="0.2">
      <c r="A2242" s="116">
        <f>IF(ISNUMBER(Tabela2[[#This Row],[CT-e/NFS]])=TRUE,(IF(B2242&gt;30000,4,IF(B2242&lt;1000,"ND",0))),"-")</f>
        <v>4</v>
      </c>
      <c r="B2242" s="116">
        <v>46962</v>
      </c>
      <c r="C2242" s="117">
        <v>45423</v>
      </c>
      <c r="D2242" s="116">
        <v>122.93</v>
      </c>
      <c r="E2242" s="117">
        <v>45427</v>
      </c>
      <c r="F2242" s="116">
        <f>COUNTIFS($A$3:A10502,A2242,$B$3:B10502,B2242)</f>
        <v>1</v>
      </c>
      <c r="G2242" s="116"/>
    </row>
    <row r="2243" spans="1:7" x14ac:dyDescent="0.2">
      <c r="A2243" s="116">
        <f>IF(ISNUMBER(Tabela2[[#This Row],[CT-e/NFS]])=TRUE,(IF(B2243&gt;30000,4,IF(B2243&lt;1000,"ND",0))),"-")</f>
        <v>4</v>
      </c>
      <c r="B2243" s="116">
        <v>46963</v>
      </c>
      <c r="C2243" s="117">
        <v>45423</v>
      </c>
      <c r="D2243" s="116">
        <v>124.3</v>
      </c>
      <c r="E2243" s="117">
        <v>45427</v>
      </c>
      <c r="F2243" s="116">
        <f>COUNTIFS($A$3:A10503,A2243,$B$3:B10503,B2243)</f>
        <v>1</v>
      </c>
      <c r="G2243" s="116"/>
    </row>
    <row r="2244" spans="1:7" x14ac:dyDescent="0.2">
      <c r="A2244" s="116">
        <f>IF(ISNUMBER(Tabela2[[#This Row],[CT-e/NFS]])=TRUE,(IF(B2244&gt;30000,4,IF(B2244&lt;1000,"ND",0))),"-")</f>
        <v>4</v>
      </c>
      <c r="B2244" s="116">
        <v>46964</v>
      </c>
      <c r="C2244" s="117">
        <v>45423</v>
      </c>
      <c r="D2244" s="116">
        <v>122.92</v>
      </c>
      <c r="E2244" s="117">
        <v>45427</v>
      </c>
      <c r="F2244" s="116">
        <f>COUNTIFS($A$3:A10504,A2244,$B$3:B10504,B2244)</f>
        <v>1</v>
      </c>
      <c r="G2244" s="116"/>
    </row>
    <row r="2245" spans="1:7" x14ac:dyDescent="0.2">
      <c r="A2245" s="116">
        <f>IF(ISNUMBER(Tabela2[[#This Row],[CT-e/NFS]])=TRUE,(IF(B2245&gt;30000,4,IF(B2245&lt;1000,"ND",0))),"-")</f>
        <v>4</v>
      </c>
      <c r="B2245" s="116">
        <v>46961</v>
      </c>
      <c r="C2245" s="117">
        <v>45423</v>
      </c>
      <c r="D2245" s="116">
        <v>124.05</v>
      </c>
      <c r="E2245" s="117">
        <v>45427</v>
      </c>
      <c r="F2245" s="116">
        <f>COUNTIFS($A$3:A10505,A2245,$B$3:B10505,B2245)</f>
        <v>1</v>
      </c>
      <c r="G2245" s="116"/>
    </row>
    <row r="2246" spans="1:7" x14ac:dyDescent="0.2">
      <c r="A2246" s="116">
        <f>IF(ISNUMBER(Tabela2[[#This Row],[CT-e/NFS]])=TRUE,(IF(B2246&gt;30000,4,IF(B2246&lt;1000,"ND",0))),"-")</f>
        <v>4</v>
      </c>
      <c r="B2246" s="116">
        <v>46967</v>
      </c>
      <c r="C2246" s="117">
        <v>45423</v>
      </c>
      <c r="D2246" s="116">
        <v>124.16</v>
      </c>
      <c r="E2246" s="117">
        <v>45427</v>
      </c>
      <c r="F2246" s="116">
        <f>COUNTIFS($A$3:A10506,A2246,$B$3:B10506,B2246)</f>
        <v>1</v>
      </c>
      <c r="G2246" s="116"/>
    </row>
    <row r="2247" spans="1:7" x14ac:dyDescent="0.2">
      <c r="A2247" s="116">
        <f>IF(ISNUMBER(Tabela2[[#This Row],[CT-e/NFS]])=TRUE,(IF(B2247&gt;30000,4,IF(B2247&lt;1000,"ND",0))),"-")</f>
        <v>4</v>
      </c>
      <c r="B2247" s="116">
        <v>46959</v>
      </c>
      <c r="C2247" s="117">
        <v>45423</v>
      </c>
      <c r="D2247" s="116">
        <v>126.6</v>
      </c>
      <c r="E2247" s="117">
        <v>45427</v>
      </c>
      <c r="F2247" s="116">
        <f>COUNTIFS($A$3:A10507,A2247,$B$3:B10507,B2247)</f>
        <v>1</v>
      </c>
      <c r="G2247" s="116"/>
    </row>
    <row r="2248" spans="1:7" x14ac:dyDescent="0.2">
      <c r="A2248" s="116">
        <f>IF(ISNUMBER(Tabela2[[#This Row],[CT-e/NFS]])=TRUE,(IF(B2248&gt;30000,4,IF(B2248&lt;1000,"ND",0))),"-")</f>
        <v>4</v>
      </c>
      <c r="B2248" s="116">
        <v>46965</v>
      </c>
      <c r="C2248" s="117">
        <v>45423</v>
      </c>
      <c r="D2248" s="116">
        <v>251.26</v>
      </c>
      <c r="E2248" s="117">
        <v>45427</v>
      </c>
      <c r="F2248" s="116">
        <f>COUNTIFS($A$3:A10508,A2248,$B$3:B10508,B2248)</f>
        <v>1</v>
      </c>
      <c r="G2248" s="116"/>
    </row>
    <row r="2249" spans="1:7" x14ac:dyDescent="0.2">
      <c r="A2249" s="116">
        <f>IF(ISNUMBER(Tabela2[[#This Row],[CT-e/NFS]])=TRUE,(IF(B2249&gt;30000,4,IF(B2249&lt;1000,"ND",0))),"-")</f>
        <v>4</v>
      </c>
      <c r="B2249" s="116">
        <v>46958</v>
      </c>
      <c r="C2249" s="117">
        <v>45423</v>
      </c>
      <c r="D2249" s="116">
        <v>337.75</v>
      </c>
      <c r="E2249" s="117">
        <v>45427</v>
      </c>
      <c r="F2249" s="116">
        <f>COUNTIFS($A$3:A10509,A2249,$B$3:B10509,B2249)</f>
        <v>1</v>
      </c>
      <c r="G2249" s="116"/>
    </row>
    <row r="2250" spans="1:7" x14ac:dyDescent="0.2">
      <c r="A2250" s="116">
        <f>IF(ISNUMBER(Tabela2[[#This Row],[CT-e/NFS]])=TRUE,(IF(B2250&gt;30000,4,IF(B2250&lt;1000,"ND",0))),"-")</f>
        <v>4</v>
      </c>
      <c r="B2250" s="116">
        <v>46960</v>
      </c>
      <c r="C2250" s="117">
        <v>45423</v>
      </c>
      <c r="D2250" s="116">
        <v>122.89</v>
      </c>
      <c r="E2250" s="117">
        <v>45427</v>
      </c>
      <c r="F2250" s="116">
        <f>COUNTIFS($A$3:A10510,A2250,$B$3:B10510,B2250)</f>
        <v>1</v>
      </c>
      <c r="G2250" s="116"/>
    </row>
    <row r="2251" spans="1:7" x14ac:dyDescent="0.2">
      <c r="A2251" s="116">
        <f>IF(ISNUMBER(Tabela2[[#This Row],[CT-e/NFS]])=TRUE,(IF(B2251&gt;30000,4,IF(B2251&lt;1000,"ND",0))),"-")</f>
        <v>4</v>
      </c>
      <c r="B2251" s="116">
        <v>46966</v>
      </c>
      <c r="C2251" s="117">
        <v>45423</v>
      </c>
      <c r="D2251" s="116">
        <v>123.91</v>
      </c>
      <c r="E2251" s="117">
        <v>45427</v>
      </c>
      <c r="F2251" s="116">
        <f>COUNTIFS($A$3:A10511,A2251,$B$3:B10511,B2251)</f>
        <v>1</v>
      </c>
      <c r="G2251" s="116"/>
    </row>
    <row r="2252" spans="1:7" x14ac:dyDescent="0.2">
      <c r="A2252" s="116">
        <f>IF(ISNUMBER(Tabela2[[#This Row],[CT-e/NFS]])=TRUE,(IF(B2252&gt;30000,4,IF(B2252&lt;1000,"ND",0))),"-")</f>
        <v>4</v>
      </c>
      <c r="B2252" s="116">
        <v>46968</v>
      </c>
      <c r="C2252" s="117">
        <v>45423</v>
      </c>
      <c r="D2252" s="116">
        <v>139.27000000000001</v>
      </c>
      <c r="E2252" s="117">
        <v>45427</v>
      </c>
      <c r="F2252" s="116">
        <f>COUNTIFS($A$3:A10512,A2252,$B$3:B10512,B2252)</f>
        <v>1</v>
      </c>
      <c r="G2252" s="116"/>
    </row>
    <row r="2253" spans="1:7" x14ac:dyDescent="0.2">
      <c r="A2253" s="116">
        <f>IF(ISNUMBER(Tabela2[[#This Row],[CT-e/NFS]])=TRUE,(IF(B2253&gt;30000,4,IF(B2253&lt;1000,"ND",0))),"-")</f>
        <v>4</v>
      </c>
      <c r="B2253" s="116">
        <v>46951</v>
      </c>
      <c r="C2253" s="117">
        <v>45423</v>
      </c>
      <c r="D2253" s="116">
        <v>851.8</v>
      </c>
      <c r="E2253" s="117">
        <v>45427</v>
      </c>
      <c r="F2253" s="116">
        <f>COUNTIFS($A$3:A10513,A2253,$B$3:B10513,B2253)</f>
        <v>1</v>
      </c>
      <c r="G2253" s="116"/>
    </row>
    <row r="2254" spans="1:7" x14ac:dyDescent="0.2">
      <c r="A2254" s="116">
        <f>IF(ISNUMBER(Tabela2[[#This Row],[CT-e/NFS]])=TRUE,(IF(B2254&gt;30000,4,IF(B2254&lt;1000,"ND",0))),"-")</f>
        <v>4</v>
      </c>
      <c r="B2254" s="116">
        <v>46952</v>
      </c>
      <c r="C2254" s="117">
        <v>45423</v>
      </c>
      <c r="D2254" s="116">
        <v>176.14</v>
      </c>
      <c r="E2254" s="117">
        <v>45427</v>
      </c>
      <c r="F2254" s="116">
        <f>COUNTIFS($A$3:A10514,A2254,$B$3:B10514,B2254)</f>
        <v>1</v>
      </c>
      <c r="G2254" s="116"/>
    </row>
    <row r="2255" spans="1:7" x14ac:dyDescent="0.2">
      <c r="A2255" s="116">
        <f>IF(ISNUMBER(Tabela2[[#This Row],[CT-e/NFS]])=TRUE,(IF(B2255&gt;30000,4,IF(B2255&lt;1000,"ND",0))),"-")</f>
        <v>4</v>
      </c>
      <c r="B2255" s="116">
        <v>46907</v>
      </c>
      <c r="C2255" s="117">
        <v>45423</v>
      </c>
      <c r="D2255" s="116">
        <v>122.73</v>
      </c>
      <c r="E2255" s="117">
        <v>45427</v>
      </c>
      <c r="F2255" s="116">
        <f>COUNTIFS($A$3:A10515,A2255,$B$3:B10515,B2255)</f>
        <v>1</v>
      </c>
      <c r="G2255" s="116"/>
    </row>
    <row r="2256" spans="1:7" x14ac:dyDescent="0.2">
      <c r="A2256" s="116">
        <f>IF(ISNUMBER(Tabela2[[#This Row],[CT-e/NFS]])=TRUE,(IF(B2256&gt;30000,4,IF(B2256&lt;1000,"ND",0))),"-")</f>
        <v>4</v>
      </c>
      <c r="B2256" s="116">
        <v>46925</v>
      </c>
      <c r="C2256" s="117">
        <v>45423</v>
      </c>
      <c r="D2256" s="116">
        <v>585.70000000000005</v>
      </c>
      <c r="E2256" s="117">
        <v>45427</v>
      </c>
      <c r="F2256" s="116">
        <f>COUNTIFS($A$3:A10516,A2256,$B$3:B10516,B2256)</f>
        <v>1</v>
      </c>
      <c r="G2256" s="116"/>
    </row>
    <row r="2257" spans="1:7" x14ac:dyDescent="0.2">
      <c r="A2257" s="116">
        <f>IF(ISNUMBER(Tabela2[[#This Row],[CT-e/NFS]])=TRUE,(IF(B2257&gt;30000,4,IF(B2257&lt;1000,"ND",0))),"-")</f>
        <v>0</v>
      </c>
      <c r="B2257" s="116">
        <v>21391</v>
      </c>
      <c r="C2257" s="117">
        <v>45423</v>
      </c>
      <c r="D2257" s="116">
        <v>340.33</v>
      </c>
      <c r="E2257" s="117">
        <v>45427</v>
      </c>
      <c r="F2257" s="116">
        <f>COUNTIFS($A$3:A10517,A2257,$B$3:B10517,B2257)</f>
        <v>1</v>
      </c>
      <c r="G2257" s="116"/>
    </row>
    <row r="2258" spans="1:7" x14ac:dyDescent="0.2">
      <c r="A2258" s="116">
        <f>IF(ISNUMBER(Tabela2[[#This Row],[CT-e/NFS]])=TRUE,(IF(B2258&gt;30000,4,IF(B2258&lt;1000,"ND",0))),"-")</f>
        <v>0</v>
      </c>
      <c r="B2258" s="116">
        <v>21393</v>
      </c>
      <c r="C2258" s="117">
        <v>45423</v>
      </c>
      <c r="D2258" s="116">
        <v>76.34</v>
      </c>
      <c r="E2258" s="117">
        <v>45427</v>
      </c>
      <c r="F2258" s="116">
        <f>COUNTIFS($A$3:A10518,A2258,$B$3:B10518,B2258)</f>
        <v>1</v>
      </c>
      <c r="G2258" s="116"/>
    </row>
    <row r="2259" spans="1:7" x14ac:dyDescent="0.2">
      <c r="A2259" s="116">
        <f>IF(ISNUMBER(Tabela2[[#This Row],[CT-e/NFS]])=TRUE,(IF(B2259&gt;30000,4,IF(B2259&lt;1000,"ND",0))),"-")</f>
        <v>0</v>
      </c>
      <c r="B2259" s="116">
        <v>21395</v>
      </c>
      <c r="C2259" s="117">
        <v>45423</v>
      </c>
      <c r="D2259" s="116">
        <v>76.28</v>
      </c>
      <c r="E2259" s="117">
        <v>45427</v>
      </c>
      <c r="F2259" s="116">
        <f>COUNTIFS($A$3:A10519,A2259,$B$3:B10519,B2259)</f>
        <v>1</v>
      </c>
      <c r="G2259" s="116"/>
    </row>
    <row r="2260" spans="1:7" x14ac:dyDescent="0.2">
      <c r="A2260" s="116">
        <f>IF(ISNUMBER(Tabela2[[#This Row],[CT-e/NFS]])=TRUE,(IF(B2260&gt;30000,4,IF(B2260&lt;1000,"ND",0))),"-")</f>
        <v>0</v>
      </c>
      <c r="B2260" s="116">
        <v>21392</v>
      </c>
      <c r="C2260" s="117">
        <v>45423</v>
      </c>
      <c r="D2260" s="116">
        <v>479.84</v>
      </c>
      <c r="E2260" s="117">
        <v>45427</v>
      </c>
      <c r="F2260" s="116">
        <f>COUNTIFS($A$3:A10520,A2260,$B$3:B10520,B2260)</f>
        <v>1</v>
      </c>
      <c r="G2260" s="116"/>
    </row>
    <row r="2261" spans="1:7" x14ac:dyDescent="0.2">
      <c r="A2261" s="116">
        <f>IF(ISNUMBER(Tabela2[[#This Row],[CT-e/NFS]])=TRUE,(IF(B2261&gt;30000,4,IF(B2261&lt;1000,"ND",0))),"-")</f>
        <v>0</v>
      </c>
      <c r="B2261" s="116">
        <v>21396</v>
      </c>
      <c r="C2261" s="117">
        <v>45423</v>
      </c>
      <c r="D2261" s="116">
        <v>77.56</v>
      </c>
      <c r="E2261" s="117">
        <v>45427</v>
      </c>
      <c r="F2261" s="116">
        <f>COUNTIFS($A$3:A10521,A2261,$B$3:B10521,B2261)</f>
        <v>1</v>
      </c>
      <c r="G2261" s="116"/>
    </row>
    <row r="2262" spans="1:7" x14ac:dyDescent="0.2">
      <c r="A2262" s="116">
        <f>IF(ISNUMBER(Tabela2[[#This Row],[CT-e/NFS]])=TRUE,(IF(B2262&gt;30000,4,IF(B2262&lt;1000,"ND",0))),"-")</f>
        <v>0</v>
      </c>
      <c r="B2262" s="116">
        <v>21394</v>
      </c>
      <c r="C2262" s="117">
        <v>45423</v>
      </c>
      <c r="D2262" s="116">
        <v>76.38</v>
      </c>
      <c r="E2262" s="117">
        <v>45427</v>
      </c>
      <c r="F2262" s="116">
        <f>COUNTIFS($A$3:A10522,A2262,$B$3:B10522,B2262)</f>
        <v>1</v>
      </c>
      <c r="G2262" s="116"/>
    </row>
    <row r="2263" spans="1:7" x14ac:dyDescent="0.2">
      <c r="A2263" s="116">
        <f>IF(ISNUMBER(Tabela2[[#This Row],[CT-e/NFS]])=TRUE,(IF(B2263&gt;30000,4,IF(B2263&lt;1000,"ND",0))),"-")</f>
        <v>0</v>
      </c>
      <c r="B2263" s="116">
        <v>21397</v>
      </c>
      <c r="C2263" s="117">
        <v>45423</v>
      </c>
      <c r="D2263" s="116">
        <v>443.2</v>
      </c>
      <c r="E2263" s="117">
        <v>45427</v>
      </c>
      <c r="F2263" s="116">
        <f>COUNTIFS($A$3:A10523,A2263,$B$3:B10523,B2263)</f>
        <v>1</v>
      </c>
      <c r="G2263" s="116"/>
    </row>
    <row r="2264" spans="1:7" x14ac:dyDescent="0.2">
      <c r="A2264" s="116">
        <f>IF(ISNUMBER(Tabela2[[#This Row],[CT-e/NFS]])=TRUE,(IF(B2264&gt;30000,4,IF(B2264&lt;1000,"ND",0))),"-")</f>
        <v>0</v>
      </c>
      <c r="B2264" s="116">
        <v>21403</v>
      </c>
      <c r="C2264" s="117">
        <v>45423</v>
      </c>
      <c r="D2264" s="116">
        <v>76.489999999999995</v>
      </c>
      <c r="E2264" s="117">
        <v>45427</v>
      </c>
      <c r="F2264" s="116">
        <f>COUNTIFS($A$3:A10524,A2264,$B$3:B10524,B2264)</f>
        <v>1</v>
      </c>
      <c r="G2264" s="116"/>
    </row>
    <row r="2265" spans="1:7" x14ac:dyDescent="0.2">
      <c r="A2265" s="116">
        <f>IF(ISNUMBER(Tabela2[[#This Row],[CT-e/NFS]])=TRUE,(IF(B2265&gt;30000,4,IF(B2265&lt;1000,"ND",0))),"-")</f>
        <v>0</v>
      </c>
      <c r="B2265" s="116">
        <v>21398</v>
      </c>
      <c r="C2265" s="117">
        <v>45423</v>
      </c>
      <c r="D2265" s="116">
        <v>102.45</v>
      </c>
      <c r="E2265" s="117">
        <v>45427</v>
      </c>
      <c r="F2265" s="116">
        <f>COUNTIFS($A$3:A10525,A2265,$B$3:B10525,B2265)</f>
        <v>1</v>
      </c>
      <c r="G2265" s="116"/>
    </row>
    <row r="2266" spans="1:7" x14ac:dyDescent="0.2">
      <c r="A2266" s="116">
        <f>IF(ISNUMBER(Tabela2[[#This Row],[CT-e/NFS]])=TRUE,(IF(B2266&gt;30000,4,IF(B2266&lt;1000,"ND",0))),"-")</f>
        <v>0</v>
      </c>
      <c r="B2266" s="116">
        <v>21401</v>
      </c>
      <c r="C2266" s="117">
        <v>45423</v>
      </c>
      <c r="D2266" s="116">
        <v>76.28</v>
      </c>
      <c r="E2266" s="117">
        <v>45427</v>
      </c>
      <c r="F2266" s="116">
        <f>COUNTIFS($A$3:A10526,A2266,$B$3:B10526,B2266)</f>
        <v>1</v>
      </c>
      <c r="G2266" s="116"/>
    </row>
    <row r="2267" spans="1:7" x14ac:dyDescent="0.2">
      <c r="A2267" s="116">
        <f>IF(ISNUMBER(Tabela2[[#This Row],[CT-e/NFS]])=TRUE,(IF(B2267&gt;30000,4,IF(B2267&lt;1000,"ND",0))),"-")</f>
        <v>0</v>
      </c>
      <c r="B2267" s="116">
        <v>21400</v>
      </c>
      <c r="C2267" s="117">
        <v>45423</v>
      </c>
      <c r="D2267" s="116">
        <v>515.41</v>
      </c>
      <c r="E2267" s="117">
        <v>45427</v>
      </c>
      <c r="F2267" s="116">
        <f>COUNTIFS($A$3:A10527,A2267,$B$3:B10527,B2267)</f>
        <v>1</v>
      </c>
      <c r="G2267" s="116"/>
    </row>
    <row r="2268" spans="1:7" x14ac:dyDescent="0.2">
      <c r="A2268" s="116">
        <f>IF(ISNUMBER(Tabela2[[#This Row],[CT-e/NFS]])=TRUE,(IF(B2268&gt;30000,4,IF(B2268&lt;1000,"ND",0))),"-")</f>
        <v>0</v>
      </c>
      <c r="B2268" s="116">
        <v>21402</v>
      </c>
      <c r="C2268" s="117">
        <v>45423</v>
      </c>
      <c r="D2268" s="116">
        <v>158.52000000000001</v>
      </c>
      <c r="E2268" s="117">
        <v>45427</v>
      </c>
      <c r="F2268" s="116">
        <f>COUNTIFS($A$3:A10528,A2268,$B$3:B10528,B2268)</f>
        <v>1</v>
      </c>
      <c r="G2268" s="116"/>
    </row>
    <row r="2269" spans="1:7" x14ac:dyDescent="0.2">
      <c r="A2269" s="116">
        <f>IF(ISNUMBER(Tabela2[[#This Row],[CT-e/NFS]])=TRUE,(IF(B2269&gt;30000,4,IF(B2269&lt;1000,"ND",0))),"-")</f>
        <v>4</v>
      </c>
      <c r="B2269" s="116">
        <v>46980</v>
      </c>
      <c r="C2269" s="117">
        <v>45423</v>
      </c>
      <c r="D2269" s="116">
        <v>1245.6099999999999</v>
      </c>
      <c r="E2269" s="117">
        <v>45427</v>
      </c>
      <c r="F2269" s="116">
        <f>COUNTIFS($A$3:A10529,A2269,$B$3:B10529,B2269)</f>
        <v>1</v>
      </c>
      <c r="G2269" s="116"/>
    </row>
    <row r="2270" spans="1:7" x14ac:dyDescent="0.2">
      <c r="A2270" s="116">
        <f>IF(ISNUMBER(Tabela2[[#This Row],[CT-e/NFS]])=TRUE,(IF(B2270&gt;30000,4,IF(B2270&lt;1000,"ND",0))),"-")</f>
        <v>4</v>
      </c>
      <c r="B2270" s="116">
        <v>46946</v>
      </c>
      <c r="C2270" s="117">
        <v>45423</v>
      </c>
      <c r="D2270" s="116">
        <v>1003.68</v>
      </c>
      <c r="E2270" s="117">
        <v>45427</v>
      </c>
      <c r="F2270" s="116">
        <f>COUNTIFS($A$3:A10530,A2270,$B$3:B10530,B2270)</f>
        <v>1</v>
      </c>
      <c r="G2270" s="116"/>
    </row>
    <row r="2271" spans="1:7" x14ac:dyDescent="0.2">
      <c r="A2271" s="116">
        <f>IF(ISNUMBER(Tabela2[[#This Row],[CT-e/NFS]])=TRUE,(IF(B2271&gt;30000,4,IF(B2271&lt;1000,"ND",0))),"-")</f>
        <v>0</v>
      </c>
      <c r="B2271" s="116">
        <v>21385</v>
      </c>
      <c r="C2271" s="117">
        <v>45423</v>
      </c>
      <c r="D2271" s="116">
        <v>515.41</v>
      </c>
      <c r="E2271" s="117">
        <v>45427</v>
      </c>
      <c r="F2271" s="116">
        <f>COUNTIFS($A$3:A10531,A2271,$B$3:B10531,B2271)</f>
        <v>1</v>
      </c>
      <c r="G2271" s="116"/>
    </row>
    <row r="2272" spans="1:7" x14ac:dyDescent="0.2">
      <c r="A2272" s="116">
        <f>IF(ISNUMBER(Tabela2[[#This Row],[CT-e/NFS]])=TRUE,(IF(B2272&gt;30000,4,IF(B2272&lt;1000,"ND",0))),"-")</f>
        <v>0</v>
      </c>
      <c r="B2272" s="116">
        <v>21390</v>
      </c>
      <c r="C2272" s="117">
        <v>45423</v>
      </c>
      <c r="D2272" s="116">
        <v>515.41</v>
      </c>
      <c r="E2272" s="117">
        <v>45427</v>
      </c>
      <c r="F2272" s="116">
        <f>COUNTIFS($A$3:A10532,A2272,$B$3:B10532,B2272)</f>
        <v>1</v>
      </c>
      <c r="G2272" s="116"/>
    </row>
    <row r="2273" spans="1:7" x14ac:dyDescent="0.2">
      <c r="A2273" s="116">
        <f>IF(ISNUMBER(Tabela2[[#This Row],[CT-e/NFS]])=TRUE,(IF(B2273&gt;30000,4,IF(B2273&lt;1000,"ND",0))),"-")</f>
        <v>4</v>
      </c>
      <c r="B2273" s="116">
        <v>46956</v>
      </c>
      <c r="C2273" s="117">
        <v>45423</v>
      </c>
      <c r="D2273" s="116">
        <v>467.33</v>
      </c>
      <c r="E2273" s="117">
        <v>45427</v>
      </c>
      <c r="F2273" s="116">
        <f>COUNTIFS($A$3:A10533,A2273,$B$3:B10533,B2273)</f>
        <v>1</v>
      </c>
      <c r="G2273" s="116"/>
    </row>
    <row r="2274" spans="1:7" x14ac:dyDescent="0.2">
      <c r="A2274" s="116">
        <f>IF(ISNUMBER(Tabela2[[#This Row],[CT-e/NFS]])=TRUE,(IF(B2274&gt;30000,4,IF(B2274&lt;1000,"ND",0))),"-")</f>
        <v>4</v>
      </c>
      <c r="B2274" s="116">
        <v>46977</v>
      </c>
      <c r="C2274" s="117">
        <v>45423</v>
      </c>
      <c r="D2274" s="116">
        <v>270.97000000000003</v>
      </c>
      <c r="E2274" s="117">
        <v>45427</v>
      </c>
      <c r="F2274" s="116">
        <f>COUNTIFS($A$3:A10534,A2274,$B$3:B10534,B2274)</f>
        <v>1</v>
      </c>
      <c r="G2274" s="116"/>
    </row>
    <row r="2275" spans="1:7" x14ac:dyDescent="0.2">
      <c r="A2275" s="116">
        <f>IF(ISNUMBER(Tabela2[[#This Row],[CT-e/NFS]])=TRUE,(IF(B2275&gt;30000,4,IF(B2275&lt;1000,"ND",0))),"-")</f>
        <v>4</v>
      </c>
      <c r="B2275" s="116">
        <v>46970</v>
      </c>
      <c r="C2275" s="117">
        <v>45423</v>
      </c>
      <c r="D2275" s="116">
        <v>2258.06</v>
      </c>
      <c r="E2275" s="117">
        <v>45427</v>
      </c>
      <c r="F2275" s="116">
        <f>COUNTIFS($A$3:A10535,A2275,$B$3:B10535,B2275)</f>
        <v>1</v>
      </c>
      <c r="G2275" s="116"/>
    </row>
    <row r="2276" spans="1:7" x14ac:dyDescent="0.2">
      <c r="A2276" s="116">
        <f>IF(ISNUMBER(Tabela2[[#This Row],[CT-e/NFS]])=TRUE,(IF(B2276&gt;30000,4,IF(B2276&lt;1000,"ND",0))),"-")</f>
        <v>4</v>
      </c>
      <c r="B2276" s="116">
        <v>46975</v>
      </c>
      <c r="C2276" s="117">
        <v>45423</v>
      </c>
      <c r="D2276" s="116">
        <v>2483.86</v>
      </c>
      <c r="E2276" s="117">
        <v>45427</v>
      </c>
      <c r="F2276" s="116">
        <f>COUNTIFS($A$3:A10536,A2276,$B$3:B10536,B2276)</f>
        <v>1</v>
      </c>
      <c r="G2276" s="116"/>
    </row>
    <row r="2277" spans="1:7" x14ac:dyDescent="0.2">
      <c r="A2277" s="116">
        <f>IF(ISNUMBER(Tabela2[[#This Row],[CT-e/NFS]])=TRUE,(IF(B2277&gt;30000,4,IF(B2277&lt;1000,"ND",0))),"-")</f>
        <v>4</v>
      </c>
      <c r="B2277" s="116">
        <v>46971</v>
      </c>
      <c r="C2277" s="117">
        <v>45423</v>
      </c>
      <c r="D2277" s="116">
        <v>2258.06</v>
      </c>
      <c r="E2277" s="117">
        <v>45427</v>
      </c>
      <c r="F2277" s="116">
        <f>COUNTIFS($A$3:A10537,A2277,$B$3:B10537,B2277)</f>
        <v>1</v>
      </c>
      <c r="G2277" s="116"/>
    </row>
    <row r="2278" spans="1:7" x14ac:dyDescent="0.2">
      <c r="A2278" s="116">
        <f>IF(ISNUMBER(Tabela2[[#This Row],[CT-e/NFS]])=TRUE,(IF(B2278&gt;30000,4,IF(B2278&lt;1000,"ND",0))),"-")</f>
        <v>4</v>
      </c>
      <c r="B2278" s="116">
        <v>46974</v>
      </c>
      <c r="C2278" s="117">
        <v>45423</v>
      </c>
      <c r="D2278" s="116">
        <v>2032.26</v>
      </c>
      <c r="E2278" s="117">
        <v>45427</v>
      </c>
      <c r="F2278" s="116">
        <f>COUNTIFS($A$3:A10538,A2278,$B$3:B10538,B2278)</f>
        <v>1</v>
      </c>
      <c r="G2278" s="116"/>
    </row>
    <row r="2279" spans="1:7" x14ac:dyDescent="0.2">
      <c r="A2279" s="116">
        <f>IF(ISNUMBER(Tabela2[[#This Row],[CT-e/NFS]])=TRUE,(IF(B2279&gt;30000,4,IF(B2279&lt;1000,"ND",0))),"-")</f>
        <v>4</v>
      </c>
      <c r="B2279" s="116">
        <v>46976</v>
      </c>
      <c r="C2279" s="117">
        <v>45423</v>
      </c>
      <c r="D2279" s="116">
        <v>2303.2199999999998</v>
      </c>
      <c r="E2279" s="117">
        <v>45427</v>
      </c>
      <c r="F2279" s="116">
        <f>COUNTIFS($A$3:A10539,A2279,$B$3:B10539,B2279)</f>
        <v>1</v>
      </c>
      <c r="G2279" s="116"/>
    </row>
    <row r="2280" spans="1:7" x14ac:dyDescent="0.2">
      <c r="A2280" s="116">
        <f>IF(ISNUMBER(Tabela2[[#This Row],[CT-e/NFS]])=TRUE,(IF(B2280&gt;30000,4,IF(B2280&lt;1000,"ND",0))),"-")</f>
        <v>4</v>
      </c>
      <c r="B2280" s="116">
        <v>46979</v>
      </c>
      <c r="C2280" s="117">
        <v>45423</v>
      </c>
      <c r="D2280" s="116">
        <v>1400</v>
      </c>
      <c r="E2280" s="117">
        <v>45427</v>
      </c>
      <c r="F2280" s="116">
        <f>COUNTIFS($A$3:A10540,A2280,$B$3:B10540,B2280)</f>
        <v>1</v>
      </c>
      <c r="G2280" s="116"/>
    </row>
    <row r="2281" spans="1:7" x14ac:dyDescent="0.2">
      <c r="A2281" s="116">
        <f>IF(ISNUMBER(Tabela2[[#This Row],[CT-e/NFS]])=TRUE,(IF(B2281&gt;30000,4,IF(B2281&lt;1000,"ND",0))),"-")</f>
        <v>4</v>
      </c>
      <c r="B2281" s="116">
        <v>46973</v>
      </c>
      <c r="C2281" s="117">
        <v>45423</v>
      </c>
      <c r="D2281" s="116">
        <v>2709.67</v>
      </c>
      <c r="E2281" s="117">
        <v>45427</v>
      </c>
      <c r="F2281" s="116">
        <f>COUNTIFS($A$3:A10541,A2281,$B$3:B10541,B2281)</f>
        <v>1</v>
      </c>
      <c r="G2281" s="116"/>
    </row>
    <row r="2282" spans="1:7" x14ac:dyDescent="0.2">
      <c r="A2282" s="116">
        <f>IF(ISNUMBER(Tabela2[[#This Row],[CT-e/NFS]])=TRUE,(IF(B2282&gt;30000,4,IF(B2282&lt;1000,"ND",0))),"-")</f>
        <v>4</v>
      </c>
      <c r="B2282" s="116">
        <v>46972</v>
      </c>
      <c r="C2282" s="117">
        <v>45423</v>
      </c>
      <c r="D2282" s="116">
        <v>1129.02</v>
      </c>
      <c r="E2282" s="117">
        <v>45427</v>
      </c>
      <c r="F2282" s="116">
        <f>COUNTIFS($A$3:A10542,A2282,$B$3:B10542,B2282)</f>
        <v>1</v>
      </c>
      <c r="G2282" s="116"/>
    </row>
    <row r="2283" spans="1:7" x14ac:dyDescent="0.2">
      <c r="A2283" s="116">
        <f>IF(ISNUMBER(Tabela2[[#This Row],[CT-e/NFS]])=TRUE,(IF(B2283&gt;30000,4,IF(B2283&lt;1000,"ND",0))),"-")</f>
        <v>4</v>
      </c>
      <c r="B2283" s="116">
        <v>46978</v>
      </c>
      <c r="C2283" s="117">
        <v>45423</v>
      </c>
      <c r="D2283" s="116">
        <v>1354.83</v>
      </c>
      <c r="E2283" s="117">
        <v>45427</v>
      </c>
      <c r="F2283" s="116">
        <f>COUNTIFS($A$3:A10543,A2283,$B$3:B10543,B2283)</f>
        <v>1</v>
      </c>
      <c r="G2283" s="116"/>
    </row>
    <row r="2284" spans="1:7" x14ac:dyDescent="0.2">
      <c r="A2284" s="116">
        <f>IF(ISNUMBER(Tabela2[[#This Row],[CT-e/NFS]])=TRUE,(IF(B2284&gt;30000,4,IF(B2284&lt;1000,"ND",0))),"-")</f>
        <v>4</v>
      </c>
      <c r="B2284" s="116">
        <v>46969</v>
      </c>
      <c r="C2284" s="117">
        <v>45423</v>
      </c>
      <c r="D2284" s="116">
        <v>2258.06</v>
      </c>
      <c r="E2284" s="117">
        <v>45427</v>
      </c>
      <c r="F2284" s="116">
        <f>COUNTIFS($A$3:A10544,A2284,$B$3:B10544,B2284)</f>
        <v>1</v>
      </c>
      <c r="G2284" s="116"/>
    </row>
    <row r="2285" spans="1:7" x14ac:dyDescent="0.2">
      <c r="A2285" s="116">
        <f>IF(ISNUMBER(Tabela2[[#This Row],[CT-e/NFS]])=TRUE,(IF(B2285&gt;30000,4,IF(B2285&lt;1000,"ND",0))),"-")</f>
        <v>4</v>
      </c>
      <c r="B2285" s="116">
        <v>46933</v>
      </c>
      <c r="C2285" s="117">
        <v>45423</v>
      </c>
      <c r="D2285" s="116">
        <v>1236.3900000000001</v>
      </c>
      <c r="E2285" s="117">
        <v>45427</v>
      </c>
      <c r="F2285" s="116">
        <f>COUNTIFS($A$3:A10545,A2285,$B$3:B10545,B2285)</f>
        <v>1</v>
      </c>
      <c r="G2285" s="116"/>
    </row>
    <row r="2286" spans="1:7" x14ac:dyDescent="0.2">
      <c r="A2286" s="116">
        <f>IF(ISNUMBER(Tabela2[[#This Row],[CT-e/NFS]])=TRUE,(IF(B2286&gt;30000,4,IF(B2286&lt;1000,"ND",0))),"-")</f>
        <v>0</v>
      </c>
      <c r="B2286" s="116">
        <v>21359</v>
      </c>
      <c r="C2286" s="117">
        <v>45423</v>
      </c>
      <c r="D2286" s="116">
        <v>72.61</v>
      </c>
      <c r="E2286" s="117">
        <v>45427</v>
      </c>
      <c r="F2286" s="116">
        <f>COUNTIFS($A$3:A10546,A2286,$B$3:B10546,B2286)</f>
        <v>1</v>
      </c>
      <c r="G2286" s="116"/>
    </row>
    <row r="2287" spans="1:7" x14ac:dyDescent="0.2">
      <c r="A2287" s="116">
        <f>IF(ISNUMBER(Tabela2[[#This Row],[CT-e/NFS]])=TRUE,(IF(B2287&gt;30000,4,IF(B2287&lt;1000,"ND",0))),"-")</f>
        <v>4</v>
      </c>
      <c r="B2287" s="116">
        <v>47235</v>
      </c>
      <c r="C2287" s="117">
        <v>45414</v>
      </c>
      <c r="D2287" s="116">
        <v>125.99</v>
      </c>
      <c r="E2287" s="117">
        <v>45427</v>
      </c>
      <c r="F2287" s="116">
        <f>COUNTIFS($A$3:A10547,A2287,$B$3:B10547,B2287)</f>
        <v>1</v>
      </c>
      <c r="G2287" s="116"/>
    </row>
    <row r="2288" spans="1:7" x14ac:dyDescent="0.2">
      <c r="A2288" s="116">
        <f>IF(ISNUMBER(Tabela2[[#This Row],[CT-e/NFS]])=TRUE,(IF(B2288&gt;30000,4,IF(B2288&lt;1000,"ND",0))),"-")</f>
        <v>4</v>
      </c>
      <c r="B2288" s="116">
        <v>47262</v>
      </c>
      <c r="C2288" s="117">
        <v>45414</v>
      </c>
      <c r="D2288" s="116">
        <v>269.51</v>
      </c>
      <c r="E2288" s="117">
        <v>45427</v>
      </c>
      <c r="F2288" s="116">
        <f>COUNTIFS($A$3:A10548,A2288,$B$3:B10548,B2288)</f>
        <v>1</v>
      </c>
      <c r="G2288" s="116"/>
    </row>
    <row r="2289" spans="1:7" x14ac:dyDescent="0.2">
      <c r="A2289" s="116">
        <f>IF(ISNUMBER(Tabela2[[#This Row],[CT-e/NFS]])=TRUE,(IF(B2289&gt;30000,4,IF(B2289&lt;1000,"ND",0))),"-")</f>
        <v>4</v>
      </c>
      <c r="B2289" s="116">
        <v>47233</v>
      </c>
      <c r="C2289" s="117">
        <v>45414</v>
      </c>
      <c r="D2289" s="116">
        <v>451.72</v>
      </c>
      <c r="E2289" s="117">
        <v>45427</v>
      </c>
      <c r="F2289" s="116">
        <f>COUNTIFS($A$3:A10549,A2289,$B$3:B10549,B2289)</f>
        <v>1</v>
      </c>
      <c r="G2289" s="116"/>
    </row>
    <row r="2290" spans="1:7" x14ac:dyDescent="0.2">
      <c r="A2290" s="116">
        <f>IF(ISNUMBER(Tabela2[[#This Row],[CT-e/NFS]])=TRUE,(IF(B2290&gt;30000,4,IF(B2290&lt;1000,"ND",0))),"-")</f>
        <v>4</v>
      </c>
      <c r="B2290" s="116">
        <v>47225</v>
      </c>
      <c r="C2290" s="117">
        <v>45414</v>
      </c>
      <c r="D2290" s="116">
        <v>135.72999999999999</v>
      </c>
      <c r="E2290" s="117">
        <v>45427</v>
      </c>
      <c r="F2290" s="116">
        <f>COUNTIFS($A$3:A10550,A2290,$B$3:B10550,B2290)</f>
        <v>1</v>
      </c>
      <c r="G2290" s="116"/>
    </row>
    <row r="2291" spans="1:7" x14ac:dyDescent="0.2">
      <c r="A2291" s="116">
        <f>IF(ISNUMBER(Tabela2[[#This Row],[CT-e/NFS]])=TRUE,(IF(B2291&gt;30000,4,IF(B2291&lt;1000,"ND",0))),"-")</f>
        <v>4</v>
      </c>
      <c r="B2291" s="116">
        <v>47224</v>
      </c>
      <c r="C2291" s="117">
        <v>45414</v>
      </c>
      <c r="D2291" s="116">
        <v>127.44</v>
      </c>
      <c r="E2291" s="117">
        <v>45427</v>
      </c>
      <c r="F2291" s="116">
        <f>COUNTIFS($A$3:A10551,A2291,$B$3:B10551,B2291)</f>
        <v>1</v>
      </c>
      <c r="G2291" s="116"/>
    </row>
    <row r="2292" spans="1:7" x14ac:dyDescent="0.2">
      <c r="A2292" s="116">
        <f>IF(ISNUMBER(Tabela2[[#This Row],[CT-e/NFS]])=TRUE,(IF(B2292&gt;30000,4,IF(B2292&lt;1000,"ND",0))),"-")</f>
        <v>4</v>
      </c>
      <c r="B2292" s="116">
        <v>47226</v>
      </c>
      <c r="C2292" s="117">
        <v>45414</v>
      </c>
      <c r="D2292" s="116">
        <v>312.64999999999998</v>
      </c>
      <c r="E2292" s="117">
        <v>45427</v>
      </c>
      <c r="F2292" s="116">
        <f>COUNTIFS($A$3:A10552,A2292,$B$3:B10552,B2292)</f>
        <v>1</v>
      </c>
      <c r="G2292" s="116"/>
    </row>
    <row r="2293" spans="1:7" x14ac:dyDescent="0.2">
      <c r="A2293" s="116">
        <f>IF(ISNUMBER(Tabela2[[#This Row],[CT-e/NFS]])=TRUE,(IF(B2293&gt;30000,4,IF(B2293&lt;1000,"ND",0))),"-")</f>
        <v>4</v>
      </c>
      <c r="B2293" s="116">
        <v>47164</v>
      </c>
      <c r="C2293" s="117">
        <v>45407</v>
      </c>
      <c r="D2293" s="116">
        <v>757.53</v>
      </c>
      <c r="E2293" s="117">
        <v>45427</v>
      </c>
      <c r="F2293" s="116">
        <f>COUNTIFS($A$3:A10553,A2293,$B$3:B10553,B2293)</f>
        <v>1</v>
      </c>
      <c r="G2293" s="116"/>
    </row>
    <row r="2294" spans="1:7" x14ac:dyDescent="0.2">
      <c r="A2294" s="116">
        <f>IF(ISNUMBER(Tabela2[[#This Row],[CT-e/NFS]])=TRUE,(IF(B2294&gt;30000,4,IF(B2294&lt;1000,"ND",0))),"-")</f>
        <v>0</v>
      </c>
      <c r="B2294" s="116">
        <v>21483</v>
      </c>
      <c r="C2294" s="117">
        <v>45407</v>
      </c>
      <c r="D2294" s="116">
        <v>86.5</v>
      </c>
      <c r="E2294" s="117">
        <v>45427</v>
      </c>
      <c r="F2294" s="116">
        <f>COUNTIFS($A$3:A10554,A2294,$B$3:B10554,B2294)</f>
        <v>1</v>
      </c>
      <c r="G2294" s="116"/>
    </row>
    <row r="2295" spans="1:7" x14ac:dyDescent="0.2">
      <c r="A2295" s="116">
        <f>IF(ISNUMBER(Tabela2[[#This Row],[CT-e/NFS]])=TRUE,(IF(B2295&gt;30000,4,IF(B2295&lt;1000,"ND",0))),"-")</f>
        <v>4</v>
      </c>
      <c r="B2295" s="116">
        <v>46982</v>
      </c>
      <c r="C2295" s="117">
        <v>45433</v>
      </c>
      <c r="D2295" s="116">
        <v>623.72</v>
      </c>
      <c r="E2295" s="117">
        <v>45442</v>
      </c>
      <c r="F2295" s="116">
        <f>COUNTIFS($A$3:A10551,A2295,$B$3:B10551,B2295)</f>
        <v>1</v>
      </c>
      <c r="G2295" s="116"/>
    </row>
    <row r="2296" spans="1:7" x14ac:dyDescent="0.2">
      <c r="A2296" s="116">
        <f>IF(ISNUMBER(Tabela2[[#This Row],[CT-e/NFS]])=TRUE,(IF(B2296&gt;30000,4,IF(B2296&lt;1000,"ND",0))),"-")</f>
        <v>4</v>
      </c>
      <c r="B2296" s="116">
        <v>46981</v>
      </c>
      <c r="C2296" s="117">
        <v>45433</v>
      </c>
      <c r="D2296" s="116">
        <v>514.01</v>
      </c>
      <c r="E2296" s="117">
        <v>45442</v>
      </c>
      <c r="F2296" s="116">
        <f>COUNTIFS($A$3:A10552,A2296,$B$3:B10552,B2296)</f>
        <v>1</v>
      </c>
      <c r="G2296" s="116"/>
    </row>
    <row r="2297" spans="1:7" x14ac:dyDescent="0.2">
      <c r="A2297" s="116">
        <f>IF(ISNUMBER(Tabela2[[#This Row],[CT-e/NFS]])=TRUE,(IF(B2297&gt;30000,4,IF(B2297&lt;1000,"ND",0))),"-")</f>
        <v>4</v>
      </c>
      <c r="B2297" s="116">
        <v>46986</v>
      </c>
      <c r="C2297" s="117">
        <v>45433</v>
      </c>
      <c r="D2297" s="116">
        <v>125.56</v>
      </c>
      <c r="E2297" s="117">
        <v>45442</v>
      </c>
      <c r="F2297" s="116">
        <f>COUNTIFS($A$3:A10553,A2297,$B$3:B10553,B2297)</f>
        <v>1</v>
      </c>
      <c r="G2297" s="116"/>
    </row>
    <row r="2298" spans="1:7" x14ac:dyDescent="0.2">
      <c r="A2298" s="116">
        <f>IF(ISNUMBER(Tabela2[[#This Row],[CT-e/NFS]])=TRUE,(IF(B2298&gt;30000,4,IF(B2298&lt;1000,"ND",0))),"-")</f>
        <v>4</v>
      </c>
      <c r="B2298" s="116">
        <v>46989</v>
      </c>
      <c r="C2298" s="117">
        <v>45433</v>
      </c>
      <c r="D2298" s="116">
        <v>241.22</v>
      </c>
      <c r="E2298" s="117">
        <v>45442</v>
      </c>
      <c r="F2298" s="116">
        <f>COUNTIFS($A$3:A10554,A2298,$B$3:B10554,B2298)</f>
        <v>1</v>
      </c>
      <c r="G2298" s="116"/>
    </row>
    <row r="2299" spans="1:7" x14ac:dyDescent="0.2">
      <c r="A2299" s="116">
        <f>IF(ISNUMBER(Tabela2[[#This Row],[CT-e/NFS]])=TRUE,(IF(B2299&gt;30000,4,IF(B2299&lt;1000,"ND",0))),"-")</f>
        <v>4</v>
      </c>
      <c r="B2299" s="116">
        <v>46992</v>
      </c>
      <c r="C2299" s="117">
        <v>45433</v>
      </c>
      <c r="D2299" s="116">
        <v>123.5</v>
      </c>
      <c r="E2299" s="117">
        <v>45442</v>
      </c>
      <c r="F2299" s="116">
        <f>COUNTIFS($A$3:A10555,A2299,$B$3:B10555,B2299)</f>
        <v>1</v>
      </c>
      <c r="G2299" s="116"/>
    </row>
    <row r="2300" spans="1:7" x14ac:dyDescent="0.2">
      <c r="A2300" s="116">
        <f>IF(ISNUMBER(Tabela2[[#This Row],[CT-e/NFS]])=TRUE,(IF(B2300&gt;30000,4,IF(B2300&lt;1000,"ND",0))),"-")</f>
        <v>4</v>
      </c>
      <c r="B2300" s="116">
        <v>46983</v>
      </c>
      <c r="C2300" s="117">
        <v>45433</v>
      </c>
      <c r="D2300" s="116">
        <v>123.89</v>
      </c>
      <c r="E2300" s="117">
        <v>45442</v>
      </c>
      <c r="F2300" s="116">
        <f>COUNTIFS($A$3:A10556,A2300,$B$3:B10556,B2300)</f>
        <v>1</v>
      </c>
      <c r="G2300" s="116"/>
    </row>
    <row r="2301" spans="1:7" x14ac:dyDescent="0.2">
      <c r="A2301" s="116">
        <f>IF(ISNUMBER(Tabela2[[#This Row],[CT-e/NFS]])=TRUE,(IF(B2301&gt;30000,4,IF(B2301&lt;1000,"ND",0))),"-")</f>
        <v>4</v>
      </c>
      <c r="B2301" s="116">
        <v>46993</v>
      </c>
      <c r="C2301" s="117">
        <v>45433</v>
      </c>
      <c r="D2301" s="116">
        <v>125.56</v>
      </c>
      <c r="E2301" s="117">
        <v>45442</v>
      </c>
      <c r="F2301" s="116">
        <f>COUNTIFS($A$3:A10557,A2301,$B$3:B10557,B2301)</f>
        <v>1</v>
      </c>
      <c r="G2301" s="116"/>
    </row>
    <row r="2302" spans="1:7" x14ac:dyDescent="0.2">
      <c r="A2302" s="116">
        <f>IF(ISNUMBER(Tabela2[[#This Row],[CT-e/NFS]])=TRUE,(IF(B2302&gt;30000,4,IF(B2302&lt;1000,"ND",0))),"-")</f>
        <v>4</v>
      </c>
      <c r="B2302" s="116">
        <v>46995</v>
      </c>
      <c r="C2302" s="117">
        <v>45433</v>
      </c>
      <c r="D2302" s="116">
        <v>995.85</v>
      </c>
      <c r="E2302" s="117">
        <v>45442</v>
      </c>
      <c r="F2302" s="116">
        <f>COUNTIFS($A$3:A10558,A2302,$B$3:B10558,B2302)</f>
        <v>1</v>
      </c>
      <c r="G2302" s="116"/>
    </row>
    <row r="2303" spans="1:7" x14ac:dyDescent="0.2">
      <c r="A2303" s="116">
        <f>IF(ISNUMBER(Tabela2[[#This Row],[CT-e/NFS]])=TRUE,(IF(B2303&gt;30000,4,IF(B2303&lt;1000,"ND",0))),"-")</f>
        <v>4</v>
      </c>
      <c r="B2303" s="116">
        <v>46984</v>
      </c>
      <c r="C2303" s="117">
        <v>45433</v>
      </c>
      <c r="D2303" s="116">
        <v>590.73</v>
      </c>
      <c r="E2303" s="117">
        <v>45442</v>
      </c>
      <c r="F2303" s="116">
        <f>COUNTIFS($A$3:A10559,A2303,$B$3:B10559,B2303)</f>
        <v>1</v>
      </c>
      <c r="G2303" s="116"/>
    </row>
    <row r="2304" spans="1:7" x14ac:dyDescent="0.2">
      <c r="A2304" s="116">
        <f>IF(ISNUMBER(Tabela2[[#This Row],[CT-e/NFS]])=TRUE,(IF(B2304&gt;30000,4,IF(B2304&lt;1000,"ND",0))),"-")</f>
        <v>4</v>
      </c>
      <c r="B2304" s="116">
        <v>46994</v>
      </c>
      <c r="C2304" s="117">
        <v>45433</v>
      </c>
      <c r="D2304" s="116">
        <v>527.64</v>
      </c>
      <c r="E2304" s="117">
        <v>45442</v>
      </c>
      <c r="F2304" s="116">
        <f>COUNTIFS($A$3:A10560,A2304,$B$3:B10560,B2304)</f>
        <v>1</v>
      </c>
      <c r="G2304" s="116"/>
    </row>
    <row r="2305" spans="1:7" x14ac:dyDescent="0.2">
      <c r="A2305" s="116">
        <f>IF(ISNUMBER(Tabela2[[#This Row],[CT-e/NFS]])=TRUE,(IF(B2305&gt;30000,4,IF(B2305&lt;1000,"ND",0))),"-")</f>
        <v>4</v>
      </c>
      <c r="B2305" s="116">
        <v>46997</v>
      </c>
      <c r="C2305" s="117">
        <v>45433</v>
      </c>
      <c r="D2305" s="116">
        <v>396.44</v>
      </c>
      <c r="E2305" s="117">
        <v>45442</v>
      </c>
      <c r="F2305" s="116">
        <f>COUNTIFS($A$3:A10561,A2305,$B$3:B10561,B2305)</f>
        <v>1</v>
      </c>
      <c r="G2305" s="116"/>
    </row>
    <row r="2306" spans="1:7" x14ac:dyDescent="0.2">
      <c r="A2306" s="116">
        <f>IF(ISNUMBER(Tabela2[[#This Row],[CT-e/NFS]])=TRUE,(IF(B2306&gt;30000,4,IF(B2306&lt;1000,"ND",0))),"-")</f>
        <v>4</v>
      </c>
      <c r="B2306" s="116">
        <v>46991</v>
      </c>
      <c r="C2306" s="117">
        <v>45433</v>
      </c>
      <c r="D2306" s="116">
        <v>125.16</v>
      </c>
      <c r="E2306" s="117">
        <v>45442</v>
      </c>
      <c r="F2306" s="116">
        <f>COUNTIFS($A$3:A10562,A2306,$B$3:B10562,B2306)</f>
        <v>1</v>
      </c>
      <c r="G2306" s="116"/>
    </row>
    <row r="2307" spans="1:7" x14ac:dyDescent="0.2">
      <c r="A2307" s="116">
        <f>IF(ISNUMBER(Tabela2[[#This Row],[CT-e/NFS]])=TRUE,(IF(B2307&gt;30000,4,IF(B2307&lt;1000,"ND",0))),"-")</f>
        <v>4</v>
      </c>
      <c r="B2307" s="116">
        <v>46990</v>
      </c>
      <c r="C2307" s="117">
        <v>45433</v>
      </c>
      <c r="D2307" s="116">
        <v>124.02</v>
      </c>
      <c r="E2307" s="117">
        <v>45442</v>
      </c>
      <c r="F2307" s="116">
        <f>COUNTIFS($A$3:A10563,A2307,$B$3:B10563,B2307)</f>
        <v>1</v>
      </c>
      <c r="G2307" s="116"/>
    </row>
    <row r="2308" spans="1:7" x14ac:dyDescent="0.2">
      <c r="A2308" s="116">
        <f>IF(ISNUMBER(Tabela2[[#This Row],[CT-e/NFS]])=TRUE,(IF(B2308&gt;30000,4,IF(B2308&lt;1000,"ND",0))),"-")</f>
        <v>4</v>
      </c>
      <c r="B2308" s="116">
        <v>46988</v>
      </c>
      <c r="C2308" s="117">
        <v>45433</v>
      </c>
      <c r="D2308" s="116">
        <v>125.07</v>
      </c>
      <c r="E2308" s="117">
        <v>45442</v>
      </c>
      <c r="F2308" s="116">
        <f>COUNTIFS($A$3:A10564,A2308,$B$3:B10564,B2308)</f>
        <v>1</v>
      </c>
      <c r="G2308" s="116"/>
    </row>
    <row r="2309" spans="1:7" x14ac:dyDescent="0.2">
      <c r="A2309" s="116">
        <f>IF(ISNUMBER(Tabela2[[#This Row],[CT-e/NFS]])=TRUE,(IF(B2309&gt;30000,4,IF(B2309&lt;1000,"ND",0))),"-")</f>
        <v>4</v>
      </c>
      <c r="B2309" s="116">
        <v>46985</v>
      </c>
      <c r="C2309" s="117">
        <v>45433</v>
      </c>
      <c r="D2309" s="116">
        <v>124.03</v>
      </c>
      <c r="E2309" s="117">
        <v>45442</v>
      </c>
      <c r="F2309" s="116">
        <f>COUNTIFS($A$3:A10565,A2309,$B$3:B10565,B2309)</f>
        <v>1</v>
      </c>
      <c r="G2309" s="116"/>
    </row>
    <row r="2310" spans="1:7" x14ac:dyDescent="0.2">
      <c r="A2310" s="116">
        <f>IF(ISNUMBER(Tabela2[[#This Row],[CT-e/NFS]])=TRUE,(IF(B2310&gt;30000,4,IF(B2310&lt;1000,"ND",0))),"-")</f>
        <v>4</v>
      </c>
      <c r="B2310" s="116">
        <v>46987</v>
      </c>
      <c r="C2310" s="117">
        <v>45433</v>
      </c>
      <c r="D2310" s="116">
        <v>125.56</v>
      </c>
      <c r="E2310" s="117">
        <v>45442</v>
      </c>
      <c r="F2310" s="116">
        <f>COUNTIFS($A$3:A10566,A2310,$B$3:B10566,B2310)</f>
        <v>1</v>
      </c>
      <c r="G2310" s="116"/>
    </row>
    <row r="2311" spans="1:7" x14ac:dyDescent="0.2">
      <c r="A2311" s="116">
        <f>IF(ISNUMBER(Tabela2[[#This Row],[CT-e/NFS]])=TRUE,(IF(B2311&gt;30000,4,IF(B2311&lt;1000,"ND",0))),"-")</f>
        <v>4</v>
      </c>
      <c r="B2311" s="116">
        <v>47000</v>
      </c>
      <c r="C2311" s="117">
        <v>45433</v>
      </c>
      <c r="D2311" s="116">
        <v>122.93</v>
      </c>
      <c r="E2311" s="117">
        <v>45442</v>
      </c>
      <c r="F2311" s="116">
        <f>COUNTIFS($A$3:A10567,A2311,$B$3:B10567,B2311)</f>
        <v>1</v>
      </c>
      <c r="G2311" s="116"/>
    </row>
    <row r="2312" spans="1:7" x14ac:dyDescent="0.2">
      <c r="A2312" s="116">
        <f>IF(ISNUMBER(Tabela2[[#This Row],[CT-e/NFS]])=TRUE,(IF(B2312&gt;30000,4,IF(B2312&lt;1000,"ND",0))),"-")</f>
        <v>4</v>
      </c>
      <c r="B2312" s="116">
        <v>47001</v>
      </c>
      <c r="C2312" s="117">
        <v>45433</v>
      </c>
      <c r="D2312" s="116">
        <v>62.7</v>
      </c>
      <c r="E2312" s="117">
        <v>45442</v>
      </c>
      <c r="F2312" s="116">
        <f>COUNTIFS($A$3:A10568,A2312,$B$3:B10568,B2312)</f>
        <v>1</v>
      </c>
      <c r="G2312" s="116"/>
    </row>
    <row r="2313" spans="1:7" x14ac:dyDescent="0.2">
      <c r="A2313" s="116">
        <f>IF(ISNUMBER(Tabela2[[#This Row],[CT-e/NFS]])=TRUE,(IF(B2313&gt;30000,4,IF(B2313&lt;1000,"ND",0))),"-")</f>
        <v>4</v>
      </c>
      <c r="B2313" s="116">
        <v>47002</v>
      </c>
      <c r="C2313" s="117">
        <v>45433</v>
      </c>
      <c r="D2313" s="116">
        <v>125.41</v>
      </c>
      <c r="E2313" s="117">
        <v>45442</v>
      </c>
      <c r="F2313" s="116">
        <f>COUNTIFS($A$3:A10569,A2313,$B$3:B10569,B2313)</f>
        <v>1</v>
      </c>
      <c r="G2313" s="116"/>
    </row>
    <row r="2314" spans="1:7" x14ac:dyDescent="0.2">
      <c r="A2314" s="116">
        <f>IF(ISNUMBER(Tabela2[[#This Row],[CT-e/NFS]])=TRUE,(IF(B2314&gt;30000,4,IF(B2314&lt;1000,"ND",0))),"-")</f>
        <v>4</v>
      </c>
      <c r="B2314" s="116">
        <v>47005</v>
      </c>
      <c r="C2314" s="117">
        <v>45433</v>
      </c>
      <c r="D2314" s="116">
        <v>172.32</v>
      </c>
      <c r="E2314" s="117">
        <v>45442</v>
      </c>
      <c r="F2314" s="116">
        <f>COUNTIFS($A$3:A10570,A2314,$B$3:B10570,B2314)</f>
        <v>1</v>
      </c>
      <c r="G2314" s="116"/>
    </row>
    <row r="2315" spans="1:7" x14ac:dyDescent="0.2">
      <c r="A2315" s="116">
        <f>IF(ISNUMBER(Tabela2[[#This Row],[CT-e/NFS]])=TRUE,(IF(B2315&gt;30000,4,IF(B2315&lt;1000,"ND",0))),"-")</f>
        <v>4</v>
      </c>
      <c r="B2315" s="116">
        <v>47006</v>
      </c>
      <c r="C2315" s="117">
        <v>45433</v>
      </c>
      <c r="D2315" s="116">
        <v>311.27</v>
      </c>
      <c r="E2315" s="117">
        <v>45442</v>
      </c>
      <c r="F2315" s="116">
        <f>COUNTIFS($A$3:A10571,A2315,$B$3:B10571,B2315)</f>
        <v>1</v>
      </c>
      <c r="G2315" s="116"/>
    </row>
    <row r="2316" spans="1:7" x14ac:dyDescent="0.2">
      <c r="A2316" s="116">
        <f>IF(ISNUMBER(Tabela2[[#This Row],[CT-e/NFS]])=TRUE,(IF(B2316&gt;30000,4,IF(B2316&lt;1000,"ND",0))),"-")</f>
        <v>4</v>
      </c>
      <c r="B2316" s="116">
        <v>47009</v>
      </c>
      <c r="C2316" s="117">
        <v>45433</v>
      </c>
      <c r="D2316" s="116">
        <v>548.76</v>
      </c>
      <c r="E2316" s="117">
        <v>45442</v>
      </c>
      <c r="F2316" s="116">
        <f>COUNTIFS($A$3:A10572,A2316,$B$3:B10572,B2316)</f>
        <v>1</v>
      </c>
      <c r="G2316" s="116"/>
    </row>
    <row r="2317" spans="1:7" x14ac:dyDescent="0.2">
      <c r="A2317" s="116">
        <f>IF(ISNUMBER(Tabela2[[#This Row],[CT-e/NFS]])=TRUE,(IF(B2317&gt;30000,4,IF(B2317&lt;1000,"ND",0))),"-")</f>
        <v>4</v>
      </c>
      <c r="B2317" s="116">
        <v>47010</v>
      </c>
      <c r="C2317" s="117">
        <v>45433</v>
      </c>
      <c r="D2317" s="116">
        <v>588.97</v>
      </c>
      <c r="E2317" s="117">
        <v>45442</v>
      </c>
      <c r="F2317" s="116">
        <f>COUNTIFS($A$3:A10573,A2317,$B$3:B10573,B2317)</f>
        <v>1</v>
      </c>
      <c r="G2317" s="116"/>
    </row>
    <row r="2318" spans="1:7" x14ac:dyDescent="0.2">
      <c r="A2318" s="116">
        <f>IF(ISNUMBER(Tabela2[[#This Row],[CT-e/NFS]])=TRUE,(IF(B2318&gt;30000,4,IF(B2318&lt;1000,"ND",0))),"-")</f>
        <v>4</v>
      </c>
      <c r="B2318" s="116">
        <v>46998</v>
      </c>
      <c r="C2318" s="117">
        <v>45433</v>
      </c>
      <c r="D2318" s="116">
        <v>591.72</v>
      </c>
      <c r="E2318" s="117">
        <v>45442</v>
      </c>
      <c r="F2318" s="116">
        <f>COUNTIFS($A$3:A10574,A2318,$B$3:B10574,B2318)</f>
        <v>1</v>
      </c>
      <c r="G2318" s="116"/>
    </row>
    <row r="2319" spans="1:7" x14ac:dyDescent="0.2">
      <c r="A2319" s="116">
        <f>IF(ISNUMBER(Tabela2[[#This Row],[CT-e/NFS]])=TRUE,(IF(B2319&gt;30000,4,IF(B2319&lt;1000,"ND",0))),"-")</f>
        <v>4</v>
      </c>
      <c r="B2319" s="116">
        <v>47018</v>
      </c>
      <c r="C2319" s="117">
        <v>45433</v>
      </c>
      <c r="D2319" s="116">
        <v>124.15</v>
      </c>
      <c r="E2319" s="117">
        <v>45442</v>
      </c>
      <c r="F2319" s="116">
        <f>COUNTIFS($A$3:A10575,A2319,$B$3:B10575,B2319)</f>
        <v>1</v>
      </c>
      <c r="G2319" s="116"/>
    </row>
    <row r="2320" spans="1:7" x14ac:dyDescent="0.2">
      <c r="A2320" s="116">
        <f>IF(ISNUMBER(Tabela2[[#This Row],[CT-e/NFS]])=TRUE,(IF(B2320&gt;30000,4,IF(B2320&lt;1000,"ND",0))),"-")</f>
        <v>4</v>
      </c>
      <c r="B2320" s="116">
        <v>47016</v>
      </c>
      <c r="C2320" s="117">
        <v>45433</v>
      </c>
      <c r="D2320" s="116">
        <v>515.32000000000005</v>
      </c>
      <c r="E2320" s="117">
        <v>45442</v>
      </c>
      <c r="F2320" s="116">
        <f>COUNTIFS($A$3:A10576,A2320,$B$3:B10576,B2320)</f>
        <v>1</v>
      </c>
      <c r="G2320" s="116"/>
    </row>
    <row r="2321" spans="1:7" x14ac:dyDescent="0.2">
      <c r="A2321" s="116">
        <f>IF(ISNUMBER(Tabela2[[#This Row],[CT-e/NFS]])=TRUE,(IF(B2321&gt;30000,4,IF(B2321&lt;1000,"ND",0))),"-")</f>
        <v>4</v>
      </c>
      <c r="B2321" s="116">
        <v>47012</v>
      </c>
      <c r="C2321" s="117">
        <v>45433</v>
      </c>
      <c r="D2321" s="116">
        <v>124.52</v>
      </c>
      <c r="E2321" s="117">
        <v>45442</v>
      </c>
      <c r="F2321" s="116">
        <f>COUNTIFS($A$3:A10577,A2321,$B$3:B10577,B2321)</f>
        <v>1</v>
      </c>
      <c r="G2321" s="116"/>
    </row>
    <row r="2322" spans="1:7" x14ac:dyDescent="0.2">
      <c r="A2322" s="116">
        <f>IF(ISNUMBER(Tabela2[[#This Row],[CT-e/NFS]])=TRUE,(IF(B2322&gt;30000,4,IF(B2322&lt;1000,"ND",0))),"-")</f>
        <v>4</v>
      </c>
      <c r="B2322" s="116">
        <v>47015</v>
      </c>
      <c r="C2322" s="117">
        <v>45433</v>
      </c>
      <c r="D2322" s="116">
        <v>131.9</v>
      </c>
      <c r="E2322" s="117">
        <v>45442</v>
      </c>
      <c r="F2322" s="116">
        <f>COUNTIFS($A$3:A10578,A2322,$B$3:B10578,B2322)</f>
        <v>1</v>
      </c>
      <c r="G2322" s="116"/>
    </row>
    <row r="2323" spans="1:7" x14ac:dyDescent="0.2">
      <c r="A2323" s="116">
        <f>IF(ISNUMBER(Tabela2[[#This Row],[CT-e/NFS]])=TRUE,(IF(B2323&gt;30000,4,IF(B2323&lt;1000,"ND",0))),"-")</f>
        <v>4</v>
      </c>
      <c r="B2323" s="116">
        <v>47014</v>
      </c>
      <c r="C2323" s="117">
        <v>45433</v>
      </c>
      <c r="D2323" s="116">
        <v>239.15</v>
      </c>
      <c r="E2323" s="117">
        <v>45442</v>
      </c>
      <c r="F2323" s="116">
        <f>COUNTIFS($A$3:A10579,A2323,$B$3:B10579,B2323)</f>
        <v>1</v>
      </c>
      <c r="G2323" s="116"/>
    </row>
    <row r="2324" spans="1:7" x14ac:dyDescent="0.2">
      <c r="A2324" s="116">
        <f>IF(ISNUMBER(Tabela2[[#This Row],[CT-e/NFS]])=TRUE,(IF(B2324&gt;30000,4,IF(B2324&lt;1000,"ND",0))),"-")</f>
        <v>4</v>
      </c>
      <c r="B2324" s="116">
        <v>47011</v>
      </c>
      <c r="C2324" s="117">
        <v>45433</v>
      </c>
      <c r="D2324" s="116">
        <v>389.69</v>
      </c>
      <c r="E2324" s="117">
        <v>45442</v>
      </c>
      <c r="F2324" s="116">
        <f>COUNTIFS($A$3:A10580,A2324,$B$3:B10580,B2324)</f>
        <v>1</v>
      </c>
      <c r="G2324" s="116"/>
    </row>
    <row r="2325" spans="1:7" x14ac:dyDescent="0.2">
      <c r="A2325" s="116">
        <f>IF(ISNUMBER(Tabela2[[#This Row],[CT-e/NFS]])=TRUE,(IF(B2325&gt;30000,4,IF(B2325&lt;1000,"ND",0))),"-")</f>
        <v>4</v>
      </c>
      <c r="B2325" s="116">
        <v>47017</v>
      </c>
      <c r="C2325" s="117">
        <v>45433</v>
      </c>
      <c r="D2325" s="116">
        <v>125.19</v>
      </c>
      <c r="E2325" s="117">
        <v>45442</v>
      </c>
      <c r="F2325" s="116">
        <f>COUNTIFS($A$3:A10581,A2325,$B$3:B10581,B2325)</f>
        <v>1</v>
      </c>
      <c r="G2325" s="116"/>
    </row>
    <row r="2326" spans="1:7" x14ac:dyDescent="0.2">
      <c r="A2326" s="116">
        <f>IF(ISNUMBER(Tabela2[[#This Row],[CT-e/NFS]])=TRUE,(IF(B2326&gt;30000,4,IF(B2326&lt;1000,"ND",0))),"-")</f>
        <v>4</v>
      </c>
      <c r="B2326" s="116">
        <v>47019</v>
      </c>
      <c r="C2326" s="117">
        <v>45433</v>
      </c>
      <c r="D2326" s="116">
        <v>123.09</v>
      </c>
      <c r="E2326" s="117">
        <v>45442</v>
      </c>
      <c r="F2326" s="116">
        <f>COUNTIFS($A$3:A10582,A2326,$B$3:B10582,B2326)</f>
        <v>1</v>
      </c>
      <c r="G2326" s="116"/>
    </row>
    <row r="2327" spans="1:7" x14ac:dyDescent="0.2">
      <c r="A2327" s="116">
        <f>IF(ISNUMBER(Tabela2[[#This Row],[CT-e/NFS]])=TRUE,(IF(B2327&gt;30000,4,IF(B2327&lt;1000,"ND",0))),"-")</f>
        <v>0</v>
      </c>
      <c r="B2327" s="116">
        <v>21409</v>
      </c>
      <c r="C2327" s="117">
        <v>45433</v>
      </c>
      <c r="D2327" s="116">
        <v>167.05</v>
      </c>
      <c r="E2327" s="117">
        <v>45442</v>
      </c>
      <c r="F2327" s="116">
        <f>COUNTIFS($A$3:A10583,A2327,$B$3:B10583,B2327)</f>
        <v>1</v>
      </c>
      <c r="G2327" s="116"/>
    </row>
    <row r="2328" spans="1:7" x14ac:dyDescent="0.2">
      <c r="A2328" s="116">
        <f>IF(ISNUMBER(Tabela2[[#This Row],[CT-e/NFS]])=TRUE,(IF(B2328&gt;30000,4,IF(B2328&lt;1000,"ND",0))),"-")</f>
        <v>0</v>
      </c>
      <c r="B2328" s="116">
        <v>21408</v>
      </c>
      <c r="C2328" s="117">
        <v>45433</v>
      </c>
      <c r="D2328" s="116">
        <v>76.489999999999995</v>
      </c>
      <c r="E2328" s="117">
        <v>45442</v>
      </c>
      <c r="F2328" s="116">
        <f>COUNTIFS($A$3:A10584,A2328,$B$3:B10584,B2328)</f>
        <v>1</v>
      </c>
      <c r="G2328" s="116"/>
    </row>
    <row r="2329" spans="1:7" x14ac:dyDescent="0.2">
      <c r="A2329" s="116">
        <f>IF(ISNUMBER(Tabela2[[#This Row],[CT-e/NFS]])=TRUE,(IF(B2329&gt;30000,4,IF(B2329&lt;1000,"ND",0))),"-")</f>
        <v>0</v>
      </c>
      <c r="B2329" s="116">
        <v>21411</v>
      </c>
      <c r="C2329" s="117">
        <v>45433</v>
      </c>
      <c r="D2329" s="116">
        <v>76.95</v>
      </c>
      <c r="E2329" s="117">
        <v>45442</v>
      </c>
      <c r="F2329" s="116">
        <f>COUNTIFS($A$3:A10585,A2329,$B$3:B10585,B2329)</f>
        <v>1</v>
      </c>
      <c r="G2329" s="116"/>
    </row>
    <row r="2330" spans="1:7" x14ac:dyDescent="0.2">
      <c r="A2330" s="116">
        <f>IF(ISNUMBER(Tabela2[[#This Row],[CT-e/NFS]])=TRUE,(IF(B2330&gt;30000,4,IF(B2330&lt;1000,"ND",0))),"-")</f>
        <v>0</v>
      </c>
      <c r="B2330" s="116">
        <v>21410</v>
      </c>
      <c r="C2330" s="117">
        <v>45433</v>
      </c>
      <c r="D2330" s="116">
        <v>77.16</v>
      </c>
      <c r="E2330" s="117">
        <v>45442</v>
      </c>
      <c r="F2330" s="116">
        <f>COUNTIFS($A$3:A10586,A2330,$B$3:B10586,B2330)</f>
        <v>1</v>
      </c>
      <c r="G2330" s="116"/>
    </row>
    <row r="2331" spans="1:7" x14ac:dyDescent="0.2">
      <c r="A2331" s="116">
        <f>IF(ISNUMBER(Tabela2[[#This Row],[CT-e/NFS]])=TRUE,(IF(B2331&gt;30000,4,IF(B2331&lt;1000,"ND",0))),"-")</f>
        <v>0</v>
      </c>
      <c r="B2331" s="116">
        <v>21412</v>
      </c>
      <c r="C2331" s="117">
        <v>45433</v>
      </c>
      <c r="D2331" s="116">
        <v>76.28</v>
      </c>
      <c r="E2331" s="117">
        <v>45442</v>
      </c>
      <c r="F2331" s="116">
        <f>COUNTIFS($A$3:A10587,A2331,$B$3:B10587,B2331)</f>
        <v>1</v>
      </c>
      <c r="G2331" s="116"/>
    </row>
    <row r="2332" spans="1:7" x14ac:dyDescent="0.2">
      <c r="A2332" s="116">
        <f>IF(ISNUMBER(Tabela2[[#This Row],[CT-e/NFS]])=TRUE,(IF(B2332&gt;30000,4,IF(B2332&lt;1000,"ND",0))),"-")</f>
        <v>0</v>
      </c>
      <c r="B2332" s="116">
        <v>21414</v>
      </c>
      <c r="C2332" s="117">
        <v>45433</v>
      </c>
      <c r="D2332" s="116">
        <v>76.28</v>
      </c>
      <c r="E2332" s="117">
        <v>45442</v>
      </c>
      <c r="F2332" s="116">
        <f>COUNTIFS($A$3:A10588,A2332,$B$3:B10588,B2332)</f>
        <v>1</v>
      </c>
      <c r="G2332" s="116"/>
    </row>
    <row r="2333" spans="1:7" x14ac:dyDescent="0.2">
      <c r="A2333" s="116">
        <f>IF(ISNUMBER(Tabela2[[#This Row],[CT-e/NFS]])=TRUE,(IF(B2333&gt;30000,4,IF(B2333&lt;1000,"ND",0))),"-")</f>
        <v>0</v>
      </c>
      <c r="B2333" s="116">
        <v>21413</v>
      </c>
      <c r="C2333" s="117">
        <v>45433</v>
      </c>
      <c r="D2333" s="116">
        <v>76.58</v>
      </c>
      <c r="E2333" s="117">
        <v>45442</v>
      </c>
      <c r="F2333" s="116">
        <f>COUNTIFS($A$3:A10589,A2333,$B$3:B10589,B2333)</f>
        <v>1</v>
      </c>
      <c r="G2333" s="116"/>
    </row>
    <row r="2334" spans="1:7" x14ac:dyDescent="0.2">
      <c r="A2334" s="116">
        <f>IF(ISNUMBER(Tabela2[[#This Row],[CT-e/NFS]])=TRUE,(IF(B2334&gt;30000,4,IF(B2334&lt;1000,"ND",0))),"-")</f>
        <v>0</v>
      </c>
      <c r="B2334" s="116">
        <v>21416</v>
      </c>
      <c r="C2334" s="117">
        <v>45433</v>
      </c>
      <c r="D2334" s="116">
        <v>77.28</v>
      </c>
      <c r="E2334" s="117">
        <v>45442</v>
      </c>
      <c r="F2334" s="116">
        <f>COUNTIFS($A$3:A10590,A2334,$B$3:B10590,B2334)</f>
        <v>1</v>
      </c>
      <c r="G2334" s="116"/>
    </row>
    <row r="2335" spans="1:7" x14ac:dyDescent="0.2">
      <c r="A2335" s="116">
        <f>IF(ISNUMBER(Tabela2[[#This Row],[CT-e/NFS]])=TRUE,(IF(B2335&gt;30000,4,IF(B2335&lt;1000,"ND",0))),"-")</f>
        <v>0</v>
      </c>
      <c r="B2335" s="116">
        <v>21415</v>
      </c>
      <c r="C2335" s="117">
        <v>45433</v>
      </c>
      <c r="D2335" s="116">
        <v>77.260000000000005</v>
      </c>
      <c r="E2335" s="117">
        <v>45442</v>
      </c>
      <c r="F2335" s="116">
        <f>COUNTIFS($A$3:A10591,A2335,$B$3:B10591,B2335)</f>
        <v>1</v>
      </c>
      <c r="G2335" s="116"/>
    </row>
    <row r="2336" spans="1:7" x14ac:dyDescent="0.2">
      <c r="A2336" s="116">
        <f>IF(ISNUMBER(Tabela2[[#This Row],[CT-e/NFS]])=TRUE,(IF(B2336&gt;30000,4,IF(B2336&lt;1000,"ND",0))),"-")</f>
        <v>0</v>
      </c>
      <c r="B2336" s="116">
        <v>21417</v>
      </c>
      <c r="C2336" s="117">
        <v>45433</v>
      </c>
      <c r="D2336" s="116">
        <v>76.81</v>
      </c>
      <c r="E2336" s="117">
        <v>45442</v>
      </c>
      <c r="F2336" s="116">
        <f>COUNTIFS($A$3:A10592,A2336,$B$3:B10592,B2336)</f>
        <v>1</v>
      </c>
      <c r="G2336" s="116"/>
    </row>
    <row r="2337" spans="1:7" x14ac:dyDescent="0.2">
      <c r="A2337" s="116">
        <f>IF(ISNUMBER(Tabela2[[#This Row],[CT-e/NFS]])=TRUE,(IF(B2337&gt;30000,4,IF(B2337&lt;1000,"ND",0))),"-")</f>
        <v>0</v>
      </c>
      <c r="B2337" s="116">
        <v>21421</v>
      </c>
      <c r="C2337" s="117">
        <v>45433</v>
      </c>
      <c r="D2337" s="116">
        <v>78.08</v>
      </c>
      <c r="E2337" s="117">
        <v>45442</v>
      </c>
      <c r="F2337" s="116">
        <f>COUNTIFS($A$3:A10593,A2337,$B$3:B10593,B2337)</f>
        <v>1</v>
      </c>
      <c r="G2337" s="116"/>
    </row>
    <row r="2338" spans="1:7" x14ac:dyDescent="0.2">
      <c r="A2338" s="116">
        <f>IF(ISNUMBER(Tabela2[[#This Row],[CT-e/NFS]])=TRUE,(IF(B2338&gt;30000,4,IF(B2338&lt;1000,"ND",0))),"-")</f>
        <v>4</v>
      </c>
      <c r="B2338" s="116">
        <v>47013</v>
      </c>
      <c r="C2338" s="117">
        <v>45433</v>
      </c>
      <c r="D2338" s="116">
        <v>243.07</v>
      </c>
      <c r="E2338" s="117">
        <v>45442</v>
      </c>
      <c r="F2338" s="116">
        <f>COUNTIFS($A$3:A10594,A2338,$B$3:B10594,B2338)</f>
        <v>1</v>
      </c>
      <c r="G2338" s="116"/>
    </row>
    <row r="2339" spans="1:7" x14ac:dyDescent="0.2">
      <c r="A2339" s="116">
        <f>IF(ISNUMBER(Tabela2[[#This Row],[CT-e/NFS]])=TRUE,(IF(B2339&gt;30000,4,IF(B2339&lt;1000,"ND",0))),"-")</f>
        <v>4</v>
      </c>
      <c r="B2339" s="116">
        <v>47021</v>
      </c>
      <c r="C2339" s="117">
        <v>45433</v>
      </c>
      <c r="D2339" s="116">
        <v>1137.73</v>
      </c>
      <c r="E2339" s="117">
        <v>45442</v>
      </c>
      <c r="F2339" s="116">
        <f>COUNTIFS($A$3:A10595,A2339,$B$3:B10595,B2339)</f>
        <v>1</v>
      </c>
      <c r="G2339" s="116"/>
    </row>
    <row r="2340" spans="1:7" x14ac:dyDescent="0.2">
      <c r="A2340" s="116">
        <f>IF(ISNUMBER(Tabela2[[#This Row],[CT-e/NFS]])=TRUE,(IF(B2340&gt;30000,4,IF(B2340&lt;1000,"ND",0))),"-")</f>
        <v>4</v>
      </c>
      <c r="B2340" s="116">
        <v>47029</v>
      </c>
      <c r="C2340" s="117">
        <v>45433</v>
      </c>
      <c r="D2340" s="116">
        <v>125.56</v>
      </c>
      <c r="E2340" s="117">
        <v>45442</v>
      </c>
      <c r="F2340" s="116">
        <f>COUNTIFS($A$3:A10596,A2340,$B$3:B10596,B2340)</f>
        <v>1</v>
      </c>
      <c r="G2340" s="116"/>
    </row>
    <row r="2341" spans="1:7" x14ac:dyDescent="0.2">
      <c r="A2341" s="116">
        <f>IF(ISNUMBER(Tabela2[[#This Row],[CT-e/NFS]])=TRUE,(IF(B2341&gt;30000,4,IF(B2341&lt;1000,"ND",0))),"-")</f>
        <v>4</v>
      </c>
      <c r="B2341" s="116">
        <v>47028</v>
      </c>
      <c r="C2341" s="117">
        <v>45433</v>
      </c>
      <c r="D2341" s="116">
        <v>86.77</v>
      </c>
      <c r="E2341" s="117">
        <v>45442</v>
      </c>
      <c r="F2341" s="116">
        <f>COUNTIFS($A$3:A10597,A2341,$B$3:B10597,B2341)</f>
        <v>1</v>
      </c>
      <c r="G2341" s="116"/>
    </row>
    <row r="2342" spans="1:7" x14ac:dyDescent="0.2">
      <c r="A2342" s="116">
        <f>IF(ISNUMBER(Tabela2[[#This Row],[CT-e/NFS]])=TRUE,(IF(B2342&gt;30000,4,IF(B2342&lt;1000,"ND",0))),"-")</f>
        <v>4</v>
      </c>
      <c r="B2342" s="116">
        <v>47035</v>
      </c>
      <c r="C2342" s="117">
        <v>45433</v>
      </c>
      <c r="D2342" s="116">
        <v>229.67</v>
      </c>
      <c r="E2342" s="117">
        <v>45442</v>
      </c>
      <c r="F2342" s="116">
        <f>COUNTIFS($A$3:A10598,A2342,$B$3:B10598,B2342)</f>
        <v>1</v>
      </c>
      <c r="G2342" s="116"/>
    </row>
    <row r="2343" spans="1:7" x14ac:dyDescent="0.2">
      <c r="A2343" s="116">
        <f>IF(ISNUMBER(Tabela2[[#This Row],[CT-e/NFS]])=TRUE,(IF(B2343&gt;30000,4,IF(B2343&lt;1000,"ND",0))),"-")</f>
        <v>4</v>
      </c>
      <c r="B2343" s="116">
        <v>47033</v>
      </c>
      <c r="C2343" s="117">
        <v>45433</v>
      </c>
      <c r="D2343" s="116">
        <v>223.42</v>
      </c>
      <c r="E2343" s="117">
        <v>45442</v>
      </c>
      <c r="F2343" s="116">
        <f>COUNTIFS($A$3:A10599,A2343,$B$3:B10599,B2343)</f>
        <v>1</v>
      </c>
      <c r="G2343" s="116"/>
    </row>
    <row r="2344" spans="1:7" x14ac:dyDescent="0.2">
      <c r="A2344" s="116">
        <f>IF(ISNUMBER(Tabela2[[#This Row],[CT-e/NFS]])=TRUE,(IF(B2344&gt;30000,4,IF(B2344&lt;1000,"ND",0))),"-")</f>
        <v>4</v>
      </c>
      <c r="B2344" s="116">
        <v>47027</v>
      </c>
      <c r="C2344" s="117">
        <v>45433</v>
      </c>
      <c r="D2344" s="116">
        <v>124.2</v>
      </c>
      <c r="E2344" s="117">
        <v>45442</v>
      </c>
      <c r="F2344" s="116">
        <f>COUNTIFS($A$3:A10600,A2344,$B$3:B10600,B2344)</f>
        <v>1</v>
      </c>
      <c r="G2344" s="116"/>
    </row>
    <row r="2345" spans="1:7" x14ac:dyDescent="0.2">
      <c r="A2345" s="116">
        <f>IF(ISNUMBER(Tabela2[[#This Row],[CT-e/NFS]])=TRUE,(IF(B2345&gt;30000,4,IF(B2345&lt;1000,"ND",0))),"-")</f>
        <v>4</v>
      </c>
      <c r="B2345" s="116">
        <v>47032</v>
      </c>
      <c r="C2345" s="117">
        <v>45433</v>
      </c>
      <c r="D2345" s="116">
        <v>125.03</v>
      </c>
      <c r="E2345" s="117">
        <v>45442</v>
      </c>
      <c r="F2345" s="116">
        <f>COUNTIFS($A$3:A10601,A2345,$B$3:B10601,B2345)</f>
        <v>1</v>
      </c>
      <c r="G2345" s="116"/>
    </row>
    <row r="2346" spans="1:7" x14ac:dyDescent="0.2">
      <c r="A2346" s="116">
        <f>IF(ISNUMBER(Tabela2[[#This Row],[CT-e/NFS]])=TRUE,(IF(B2346&gt;30000,4,IF(B2346&lt;1000,"ND",0))),"-")</f>
        <v>4</v>
      </c>
      <c r="B2346" s="116">
        <v>47034</v>
      </c>
      <c r="C2346" s="117">
        <v>45433</v>
      </c>
      <c r="D2346" s="116">
        <v>124.11</v>
      </c>
      <c r="E2346" s="117">
        <v>45442</v>
      </c>
      <c r="F2346" s="116">
        <f>COUNTIFS($A$3:A10602,A2346,$B$3:B10602,B2346)</f>
        <v>1</v>
      </c>
      <c r="G2346" s="116"/>
    </row>
    <row r="2347" spans="1:7" x14ac:dyDescent="0.2">
      <c r="A2347" s="116">
        <f>IF(ISNUMBER(Tabela2[[#This Row],[CT-e/NFS]])=TRUE,(IF(B2347&gt;30000,4,IF(B2347&lt;1000,"ND",0))),"-")</f>
        <v>4</v>
      </c>
      <c r="B2347" s="116">
        <v>47036</v>
      </c>
      <c r="C2347" s="117">
        <v>45433</v>
      </c>
      <c r="D2347" s="116">
        <v>124.97</v>
      </c>
      <c r="E2347" s="117">
        <v>45442</v>
      </c>
      <c r="F2347" s="116">
        <f>COUNTIFS($A$3:A10603,A2347,$B$3:B10603,B2347)</f>
        <v>1</v>
      </c>
      <c r="G2347" s="116"/>
    </row>
    <row r="2348" spans="1:7" x14ac:dyDescent="0.2">
      <c r="A2348" s="116">
        <f>IF(ISNUMBER(Tabela2[[#This Row],[CT-e/NFS]])=TRUE,(IF(B2348&gt;30000,4,IF(B2348&lt;1000,"ND",0))),"-")</f>
        <v>4</v>
      </c>
      <c r="B2348" s="116">
        <v>47030</v>
      </c>
      <c r="C2348" s="117">
        <v>45433</v>
      </c>
      <c r="D2348" s="116">
        <v>125.8</v>
      </c>
      <c r="E2348" s="117">
        <v>45442</v>
      </c>
      <c r="F2348" s="116">
        <f>COUNTIFS($A$3:A10604,A2348,$B$3:B10604,B2348)</f>
        <v>1</v>
      </c>
      <c r="G2348" s="116"/>
    </row>
    <row r="2349" spans="1:7" x14ac:dyDescent="0.2">
      <c r="A2349" s="116">
        <f>IF(ISNUMBER(Tabela2[[#This Row],[CT-e/NFS]])=TRUE,(IF(B2349&gt;30000,4,IF(B2349&lt;1000,"ND",0))),"-")</f>
        <v>4</v>
      </c>
      <c r="B2349" s="116">
        <v>47026</v>
      </c>
      <c r="C2349" s="117">
        <v>45433</v>
      </c>
      <c r="D2349" s="116">
        <v>123.03</v>
      </c>
      <c r="E2349" s="117">
        <v>45442</v>
      </c>
      <c r="F2349" s="116">
        <f>COUNTIFS($A$3:A10605,A2349,$B$3:B10605,B2349)</f>
        <v>1</v>
      </c>
      <c r="G2349" s="116"/>
    </row>
    <row r="2350" spans="1:7" x14ac:dyDescent="0.2">
      <c r="A2350" s="116">
        <f>IF(ISNUMBER(Tabela2[[#This Row],[CT-e/NFS]])=TRUE,(IF(B2350&gt;30000,4,IF(B2350&lt;1000,"ND",0))),"-")</f>
        <v>4</v>
      </c>
      <c r="B2350" s="116">
        <v>47037</v>
      </c>
      <c r="C2350" s="117">
        <v>45433</v>
      </c>
      <c r="D2350" s="116">
        <v>396.45</v>
      </c>
      <c r="E2350" s="117">
        <v>45442</v>
      </c>
      <c r="F2350" s="116">
        <f>COUNTIFS($A$3:A10606,A2350,$B$3:B10606,B2350)</f>
        <v>1</v>
      </c>
      <c r="G2350" s="116"/>
    </row>
    <row r="2351" spans="1:7" x14ac:dyDescent="0.2">
      <c r="A2351" s="116">
        <f>IF(ISNUMBER(Tabela2[[#This Row],[CT-e/NFS]])=TRUE,(IF(B2351&gt;30000,4,IF(B2351&lt;1000,"ND",0))),"-")</f>
        <v>4</v>
      </c>
      <c r="B2351" s="116">
        <v>47022</v>
      </c>
      <c r="C2351" s="117">
        <v>45433</v>
      </c>
      <c r="D2351" s="116">
        <v>124.22</v>
      </c>
      <c r="E2351" s="117">
        <v>45442</v>
      </c>
      <c r="F2351" s="116">
        <f>COUNTIFS($A$3:A10607,A2351,$B$3:B10607,B2351)</f>
        <v>1</v>
      </c>
      <c r="G2351" s="116"/>
    </row>
    <row r="2352" spans="1:7" x14ac:dyDescent="0.2">
      <c r="A2352" s="116">
        <f>IF(ISNUMBER(Tabela2[[#This Row],[CT-e/NFS]])=TRUE,(IF(B2352&gt;30000,4,IF(B2352&lt;1000,"ND",0))),"-")</f>
        <v>4</v>
      </c>
      <c r="B2352" s="116">
        <v>47023</v>
      </c>
      <c r="C2352" s="117">
        <v>45433</v>
      </c>
      <c r="D2352" s="116">
        <v>124.2</v>
      </c>
      <c r="E2352" s="117">
        <v>45442</v>
      </c>
      <c r="F2352" s="116">
        <f>COUNTIFS($A$3:A10608,A2352,$B$3:B10608,B2352)</f>
        <v>1</v>
      </c>
      <c r="G2352" s="116"/>
    </row>
    <row r="2353" spans="1:7" x14ac:dyDescent="0.2">
      <c r="A2353" s="116">
        <f>IF(ISNUMBER(Tabela2[[#This Row],[CT-e/NFS]])=TRUE,(IF(B2353&gt;30000,4,IF(B2353&lt;1000,"ND",0))),"-")</f>
        <v>4</v>
      </c>
      <c r="B2353" s="116">
        <v>47031</v>
      </c>
      <c r="C2353" s="117">
        <v>45433</v>
      </c>
      <c r="D2353" s="116">
        <v>124.26</v>
      </c>
      <c r="E2353" s="117">
        <v>45442</v>
      </c>
      <c r="F2353" s="116">
        <f>COUNTIFS($A$3:A10609,A2353,$B$3:B10609,B2353)</f>
        <v>1</v>
      </c>
      <c r="G2353" s="116"/>
    </row>
    <row r="2354" spans="1:7" x14ac:dyDescent="0.2">
      <c r="A2354" s="116">
        <f>IF(ISNUMBER(Tabela2[[#This Row],[CT-e/NFS]])=TRUE,(IF(B2354&gt;30000,4,IF(B2354&lt;1000,"ND",0))),"-")</f>
        <v>4</v>
      </c>
      <c r="B2354" s="116">
        <v>47025</v>
      </c>
      <c r="C2354" s="117">
        <v>45433</v>
      </c>
      <c r="D2354" s="116">
        <v>124.02</v>
      </c>
      <c r="E2354" s="117">
        <v>45442</v>
      </c>
      <c r="F2354" s="116">
        <f>COUNTIFS($A$3:A10610,A2354,$B$3:B10610,B2354)</f>
        <v>1</v>
      </c>
      <c r="G2354" s="116"/>
    </row>
    <row r="2355" spans="1:7" x14ac:dyDescent="0.2">
      <c r="A2355" s="116">
        <f>IF(ISNUMBER(Tabela2[[#This Row],[CT-e/NFS]])=TRUE,(IF(B2355&gt;30000,4,IF(B2355&lt;1000,"ND",0))),"-")</f>
        <v>4</v>
      </c>
      <c r="B2355" s="116">
        <v>47024</v>
      </c>
      <c r="C2355" s="117">
        <v>45433</v>
      </c>
      <c r="D2355" s="116">
        <v>189.68</v>
      </c>
      <c r="E2355" s="117">
        <v>45442</v>
      </c>
      <c r="F2355" s="116">
        <f>COUNTIFS($A$3:A10611,A2355,$B$3:B10611,B2355)</f>
        <v>1</v>
      </c>
      <c r="G2355" s="116"/>
    </row>
    <row r="2356" spans="1:7" x14ac:dyDescent="0.2">
      <c r="A2356" s="116">
        <f>IF(ISNUMBER(Tabela2[[#This Row],[CT-e/NFS]])=TRUE,(IF(B2356&gt;30000,4,IF(B2356&lt;1000,"ND",0))),"-")</f>
        <v>4</v>
      </c>
      <c r="B2356" s="116">
        <v>47039</v>
      </c>
      <c r="C2356" s="117">
        <v>45433</v>
      </c>
      <c r="D2356" s="116">
        <v>62.26</v>
      </c>
      <c r="E2356" s="117">
        <v>45442</v>
      </c>
      <c r="F2356" s="116">
        <f>COUNTIFS($A$3:A10612,A2356,$B$3:B10612,B2356)</f>
        <v>1</v>
      </c>
      <c r="G2356" s="116"/>
    </row>
    <row r="2357" spans="1:7" x14ac:dyDescent="0.2">
      <c r="A2357" s="116">
        <f>IF(ISNUMBER(Tabela2[[#This Row],[CT-e/NFS]])=TRUE,(IF(B2357&gt;30000,4,IF(B2357&lt;1000,"ND",0))),"-")</f>
        <v>4</v>
      </c>
      <c r="B2357" s="116">
        <v>47040</v>
      </c>
      <c r="C2357" s="117">
        <v>45433</v>
      </c>
      <c r="D2357" s="116">
        <v>112.25</v>
      </c>
      <c r="E2357" s="117">
        <v>45442</v>
      </c>
      <c r="F2357" s="116">
        <f>COUNTIFS($A$3:A10613,A2357,$B$3:B10613,B2357)</f>
        <v>1</v>
      </c>
      <c r="G2357" s="116"/>
    </row>
    <row r="2358" spans="1:7" x14ac:dyDescent="0.2">
      <c r="A2358" s="116">
        <f>IF(ISNUMBER(Tabela2[[#This Row],[CT-e/NFS]])=TRUE,(IF(B2358&gt;30000,4,IF(B2358&lt;1000,"ND",0))),"-")</f>
        <v>4</v>
      </c>
      <c r="B2358" s="116">
        <v>47045</v>
      </c>
      <c r="C2358" s="117">
        <v>45433</v>
      </c>
      <c r="D2358" s="116">
        <v>111.23</v>
      </c>
      <c r="E2358" s="117">
        <v>45442</v>
      </c>
      <c r="F2358" s="116">
        <f>COUNTIFS($A$3:A10614,A2358,$B$3:B10614,B2358)</f>
        <v>1</v>
      </c>
      <c r="G2358" s="116"/>
    </row>
    <row r="2359" spans="1:7" x14ac:dyDescent="0.2">
      <c r="A2359" s="116">
        <f>IF(ISNUMBER(Tabela2[[#This Row],[CT-e/NFS]])=TRUE,(IF(B2359&gt;30000,4,IF(B2359&lt;1000,"ND",0))),"-")</f>
        <v>4</v>
      </c>
      <c r="B2359" s="116">
        <v>47044</v>
      </c>
      <c r="C2359" s="117">
        <v>45433</v>
      </c>
      <c r="D2359" s="116">
        <v>61.75</v>
      </c>
      <c r="E2359" s="117">
        <v>45442</v>
      </c>
      <c r="F2359" s="116">
        <f>COUNTIFS($A$3:A10615,A2359,$B$3:B10615,B2359)</f>
        <v>1</v>
      </c>
      <c r="G2359" s="116"/>
    </row>
    <row r="2360" spans="1:7" x14ac:dyDescent="0.2">
      <c r="A2360" s="116">
        <f>IF(ISNUMBER(Tabela2[[#This Row],[CT-e/NFS]])=TRUE,(IF(B2360&gt;30000,4,IF(B2360&lt;1000,"ND",0))),"-")</f>
        <v>4</v>
      </c>
      <c r="B2360" s="116">
        <v>47041</v>
      </c>
      <c r="C2360" s="117">
        <v>45433</v>
      </c>
      <c r="D2360" s="116">
        <v>122.76</v>
      </c>
      <c r="E2360" s="117">
        <v>45442</v>
      </c>
      <c r="F2360" s="116">
        <f>COUNTIFS($A$3:A10616,A2360,$B$3:B10616,B2360)</f>
        <v>1</v>
      </c>
      <c r="G2360" s="116"/>
    </row>
    <row r="2361" spans="1:7" x14ac:dyDescent="0.2">
      <c r="A2361" s="116">
        <f>IF(ISNUMBER(Tabela2[[#This Row],[CT-e/NFS]])=TRUE,(IF(B2361&gt;30000,4,IF(B2361&lt;1000,"ND",0))),"-")</f>
        <v>4</v>
      </c>
      <c r="B2361" s="116">
        <v>46999</v>
      </c>
      <c r="C2361" s="117">
        <v>45433</v>
      </c>
      <c r="D2361" s="116">
        <v>176.14</v>
      </c>
      <c r="E2361" s="117">
        <v>45442</v>
      </c>
      <c r="F2361" s="116">
        <f>COUNTIFS($A$3:A10617,A2361,$B$3:B10617,B2361)</f>
        <v>1</v>
      </c>
      <c r="G2361" s="116"/>
    </row>
    <row r="2362" spans="1:7" x14ac:dyDescent="0.2">
      <c r="A2362" s="116">
        <f>IF(ISNUMBER(Tabela2[[#This Row],[CT-e/NFS]])=TRUE,(IF(B2362&gt;30000,4,IF(B2362&lt;1000,"ND",0))),"-")</f>
        <v>4</v>
      </c>
      <c r="B2362" s="116">
        <v>47042</v>
      </c>
      <c r="C2362" s="117">
        <v>45433</v>
      </c>
      <c r="D2362" s="116">
        <v>61.4</v>
      </c>
      <c r="E2362" s="117">
        <v>45442</v>
      </c>
      <c r="F2362" s="116">
        <f>COUNTIFS($A$3:A10618,A2362,$B$3:B10618,B2362)</f>
        <v>1</v>
      </c>
      <c r="G2362" s="116"/>
    </row>
    <row r="2363" spans="1:7" x14ac:dyDescent="0.2">
      <c r="A2363" s="116">
        <f>IF(ISNUMBER(Tabela2[[#This Row],[CT-e/NFS]])=TRUE,(IF(B2363&gt;30000,4,IF(B2363&lt;1000,"ND",0))),"-")</f>
        <v>4</v>
      </c>
      <c r="B2363" s="116">
        <v>47043</v>
      </c>
      <c r="C2363" s="117">
        <v>45433</v>
      </c>
      <c r="D2363" s="116">
        <v>110.49</v>
      </c>
      <c r="E2363" s="117">
        <v>45442</v>
      </c>
      <c r="F2363" s="116">
        <f>COUNTIFS($A$3:A10619,A2363,$B$3:B10619,B2363)</f>
        <v>1</v>
      </c>
      <c r="G2363" s="116"/>
    </row>
    <row r="2364" spans="1:7" x14ac:dyDescent="0.2">
      <c r="A2364" s="116">
        <f>IF(ISNUMBER(Tabela2[[#This Row],[CT-e/NFS]])=TRUE,(IF(B2364&gt;30000,4,IF(B2364&lt;1000,"ND",0))),"-")</f>
        <v>4</v>
      </c>
      <c r="B2364" s="116">
        <v>47049</v>
      </c>
      <c r="C2364" s="117">
        <v>45433</v>
      </c>
      <c r="D2364" s="116">
        <v>745.36</v>
      </c>
      <c r="E2364" s="117">
        <v>45442</v>
      </c>
      <c r="F2364" s="116">
        <f>COUNTIFS($A$3:A10620,A2364,$B$3:B10620,B2364)</f>
        <v>1</v>
      </c>
      <c r="G2364" s="116"/>
    </row>
    <row r="2365" spans="1:7" x14ac:dyDescent="0.2">
      <c r="A2365" s="116">
        <f>IF(ISNUMBER(Tabela2[[#This Row],[CT-e/NFS]])=TRUE,(IF(B2365&gt;30000,4,IF(B2365&lt;1000,"ND",0))),"-")</f>
        <v>4</v>
      </c>
      <c r="B2365" s="116">
        <v>47050</v>
      </c>
      <c r="C2365" s="117">
        <v>45433</v>
      </c>
      <c r="D2365" s="116">
        <v>392.36</v>
      </c>
      <c r="E2365" s="117">
        <v>45442</v>
      </c>
      <c r="F2365" s="116">
        <f>COUNTIFS($A$3:A10621,A2365,$B$3:B10621,B2365)</f>
        <v>1</v>
      </c>
      <c r="G2365" s="116"/>
    </row>
    <row r="2366" spans="1:7" x14ac:dyDescent="0.2">
      <c r="A2366" s="116">
        <f>IF(ISNUMBER(Tabela2[[#This Row],[CT-e/NFS]])=TRUE,(IF(B2366&gt;30000,4,IF(B2366&lt;1000,"ND",0))),"-")</f>
        <v>4</v>
      </c>
      <c r="B2366" s="116">
        <v>47065</v>
      </c>
      <c r="C2366" s="117">
        <v>45433</v>
      </c>
      <c r="D2366" s="116">
        <v>309.05</v>
      </c>
      <c r="E2366" s="117">
        <v>45442</v>
      </c>
      <c r="F2366" s="116">
        <f>COUNTIFS($A$3:A10622,A2366,$B$3:B10622,B2366)</f>
        <v>1</v>
      </c>
      <c r="G2366" s="116"/>
    </row>
    <row r="2367" spans="1:7" x14ac:dyDescent="0.2">
      <c r="A2367" s="116">
        <f>IF(ISNUMBER(Tabela2[[#This Row],[CT-e/NFS]])=TRUE,(IF(B2367&gt;30000,4,IF(B2367&lt;1000,"ND",0))),"-")</f>
        <v>4</v>
      </c>
      <c r="B2367" s="116">
        <v>47064</v>
      </c>
      <c r="C2367" s="117">
        <v>45433</v>
      </c>
      <c r="D2367" s="116">
        <v>123.03</v>
      </c>
      <c r="E2367" s="117">
        <v>45442</v>
      </c>
      <c r="F2367" s="116">
        <f>COUNTIFS($A$3:A10623,A2367,$B$3:B10623,B2367)</f>
        <v>1</v>
      </c>
      <c r="G2367" s="116"/>
    </row>
    <row r="2368" spans="1:7" x14ac:dyDescent="0.2">
      <c r="A2368" s="116">
        <f>IF(ISNUMBER(Tabela2[[#This Row],[CT-e/NFS]])=TRUE,(IF(B2368&gt;30000,4,IF(B2368&lt;1000,"ND",0))),"-")</f>
        <v>4</v>
      </c>
      <c r="B2368" s="116">
        <v>47057</v>
      </c>
      <c r="C2368" s="117">
        <v>45433</v>
      </c>
      <c r="D2368" s="116">
        <v>124.1</v>
      </c>
      <c r="E2368" s="117">
        <v>45442</v>
      </c>
      <c r="F2368" s="116">
        <f>COUNTIFS($A$3:A10624,A2368,$B$3:B10624,B2368)</f>
        <v>1</v>
      </c>
      <c r="G2368" s="116"/>
    </row>
    <row r="2369" spans="1:7" x14ac:dyDescent="0.2">
      <c r="A2369" s="116">
        <f>IF(ISNUMBER(Tabela2[[#This Row],[CT-e/NFS]])=TRUE,(IF(B2369&gt;30000,4,IF(B2369&lt;1000,"ND",0))),"-")</f>
        <v>4</v>
      </c>
      <c r="B2369" s="116">
        <v>47062</v>
      </c>
      <c r="C2369" s="117">
        <v>45433</v>
      </c>
      <c r="D2369" s="116">
        <v>124.22</v>
      </c>
      <c r="E2369" s="117">
        <v>45442</v>
      </c>
      <c r="F2369" s="116">
        <f>COUNTIFS($A$3:A10625,A2369,$B$3:B10625,B2369)</f>
        <v>1</v>
      </c>
      <c r="G2369" s="116"/>
    </row>
    <row r="2370" spans="1:7" x14ac:dyDescent="0.2">
      <c r="A2370" s="116">
        <f>IF(ISNUMBER(Tabela2[[#This Row],[CT-e/NFS]])=TRUE,(IF(B2370&gt;30000,4,IF(B2370&lt;1000,"ND",0))),"-")</f>
        <v>4</v>
      </c>
      <c r="B2370" s="116">
        <v>47052</v>
      </c>
      <c r="C2370" s="117">
        <v>45433</v>
      </c>
      <c r="D2370" s="116">
        <v>317.64999999999998</v>
      </c>
      <c r="E2370" s="117">
        <v>45442</v>
      </c>
      <c r="F2370" s="116">
        <f>COUNTIFS($A$3:A10626,A2370,$B$3:B10626,B2370)</f>
        <v>1</v>
      </c>
      <c r="G2370" s="116"/>
    </row>
    <row r="2371" spans="1:7" x14ac:dyDescent="0.2">
      <c r="A2371" s="116">
        <f>IF(ISNUMBER(Tabela2[[#This Row],[CT-e/NFS]])=TRUE,(IF(B2371&gt;30000,4,IF(B2371&lt;1000,"ND",0))),"-")</f>
        <v>4</v>
      </c>
      <c r="B2371" s="116">
        <v>47051</v>
      </c>
      <c r="C2371" s="117">
        <v>45433</v>
      </c>
      <c r="D2371" s="116">
        <v>1131.6099999999999</v>
      </c>
      <c r="E2371" s="117">
        <v>45442</v>
      </c>
      <c r="F2371" s="116">
        <f>COUNTIFS($A$3:A10627,A2371,$B$3:B10627,B2371)</f>
        <v>1</v>
      </c>
      <c r="G2371" s="116"/>
    </row>
    <row r="2372" spans="1:7" x14ac:dyDescent="0.2">
      <c r="A2372" s="116">
        <f>IF(ISNUMBER(Tabela2[[#This Row],[CT-e/NFS]])=TRUE,(IF(B2372&gt;30000,4,IF(B2372&lt;1000,"ND",0))),"-")</f>
        <v>4</v>
      </c>
      <c r="B2372" s="116">
        <v>47059</v>
      </c>
      <c r="C2372" s="117">
        <v>45433</v>
      </c>
      <c r="D2372" s="116">
        <v>355.11</v>
      </c>
      <c r="E2372" s="117">
        <v>45442</v>
      </c>
      <c r="F2372" s="116">
        <f>COUNTIFS($A$3:A10628,A2372,$B$3:B10628,B2372)</f>
        <v>1</v>
      </c>
      <c r="G2372" s="116"/>
    </row>
    <row r="2373" spans="1:7" x14ac:dyDescent="0.2">
      <c r="A2373" s="116">
        <f>IF(ISNUMBER(Tabela2[[#This Row],[CT-e/NFS]])=TRUE,(IF(B2373&gt;30000,4,IF(B2373&lt;1000,"ND",0))),"-")</f>
        <v>4</v>
      </c>
      <c r="B2373" s="116">
        <v>47047</v>
      </c>
      <c r="C2373" s="117">
        <v>45433</v>
      </c>
      <c r="D2373" s="116">
        <v>591.70000000000005</v>
      </c>
      <c r="E2373" s="117">
        <v>45442</v>
      </c>
      <c r="F2373" s="116">
        <f>COUNTIFS($A$3:A10629,A2373,$B$3:B10629,B2373)</f>
        <v>1</v>
      </c>
      <c r="G2373" s="116"/>
    </row>
    <row r="2374" spans="1:7" x14ac:dyDescent="0.2">
      <c r="A2374" s="116">
        <f>IF(ISNUMBER(Tabela2[[#This Row],[CT-e/NFS]])=TRUE,(IF(B2374&gt;30000,4,IF(B2374&lt;1000,"ND",0))),"-")</f>
        <v>4</v>
      </c>
      <c r="B2374" s="116">
        <v>47061</v>
      </c>
      <c r="C2374" s="117">
        <v>45433</v>
      </c>
      <c r="D2374" s="116">
        <v>240.63</v>
      </c>
      <c r="E2374" s="117">
        <v>45442</v>
      </c>
      <c r="F2374" s="116">
        <f>COUNTIFS($A$3:A10630,A2374,$B$3:B10630,B2374)</f>
        <v>1</v>
      </c>
      <c r="G2374" s="116"/>
    </row>
    <row r="2375" spans="1:7" x14ac:dyDescent="0.2">
      <c r="A2375" s="116">
        <f>IF(ISNUMBER(Tabela2[[#This Row],[CT-e/NFS]])=TRUE,(IF(B2375&gt;30000,4,IF(B2375&lt;1000,"ND",0))),"-")</f>
        <v>4</v>
      </c>
      <c r="B2375" s="116">
        <v>47058</v>
      </c>
      <c r="C2375" s="117">
        <v>45433</v>
      </c>
      <c r="D2375" s="116">
        <v>241.56</v>
      </c>
      <c r="E2375" s="117">
        <v>45442</v>
      </c>
      <c r="F2375" s="116">
        <f>COUNTIFS($A$3:A10631,A2375,$B$3:B10631,B2375)</f>
        <v>1</v>
      </c>
      <c r="G2375" s="116"/>
    </row>
    <row r="2376" spans="1:7" x14ac:dyDescent="0.2">
      <c r="A2376" s="116">
        <f>IF(ISNUMBER(Tabela2[[#This Row],[CT-e/NFS]])=TRUE,(IF(B2376&gt;30000,4,IF(B2376&lt;1000,"ND",0))),"-")</f>
        <v>4</v>
      </c>
      <c r="B2376" s="116">
        <v>47063</v>
      </c>
      <c r="C2376" s="117">
        <v>45433</v>
      </c>
      <c r="D2376" s="116">
        <v>1056.26</v>
      </c>
      <c r="E2376" s="117">
        <v>45442</v>
      </c>
      <c r="F2376" s="116">
        <f>COUNTIFS($A$3:A10632,A2376,$B$3:B10632,B2376)</f>
        <v>1</v>
      </c>
      <c r="G2376" s="116"/>
    </row>
    <row r="2377" spans="1:7" x14ac:dyDescent="0.2">
      <c r="A2377" s="116">
        <f>IF(ISNUMBER(Tabela2[[#This Row],[CT-e/NFS]])=TRUE,(IF(B2377&gt;30000,4,IF(B2377&lt;1000,"ND",0))),"-")</f>
        <v>4</v>
      </c>
      <c r="B2377" s="116">
        <v>47056</v>
      </c>
      <c r="C2377" s="117">
        <v>45433</v>
      </c>
      <c r="D2377" s="116">
        <v>122.89</v>
      </c>
      <c r="E2377" s="117">
        <v>45442</v>
      </c>
      <c r="F2377" s="116">
        <f>COUNTIFS($A$3:A10633,A2377,$B$3:B10633,B2377)</f>
        <v>1</v>
      </c>
      <c r="G2377" s="116"/>
    </row>
    <row r="2378" spans="1:7" x14ac:dyDescent="0.2">
      <c r="A2378" s="116">
        <f>IF(ISNUMBER(Tabela2[[#This Row],[CT-e/NFS]])=TRUE,(IF(B2378&gt;30000,4,IF(B2378&lt;1000,"ND",0))),"-")</f>
        <v>4</v>
      </c>
      <c r="B2378" s="116">
        <v>47048</v>
      </c>
      <c r="C2378" s="117">
        <v>45433</v>
      </c>
      <c r="D2378" s="116">
        <v>609.98</v>
      </c>
      <c r="E2378" s="117">
        <v>45442</v>
      </c>
      <c r="F2378" s="116">
        <f>COUNTIFS($A$3:A10634,A2378,$B$3:B10634,B2378)</f>
        <v>1</v>
      </c>
      <c r="G2378" s="116"/>
    </row>
    <row r="2379" spans="1:7" x14ac:dyDescent="0.2">
      <c r="A2379" s="116">
        <f>IF(ISNUMBER(Tabela2[[#This Row],[CT-e/NFS]])=TRUE,(IF(B2379&gt;30000,4,IF(B2379&lt;1000,"ND",0))),"-")</f>
        <v>4</v>
      </c>
      <c r="B2379" s="116">
        <v>47055</v>
      </c>
      <c r="C2379" s="117">
        <v>45433</v>
      </c>
      <c r="D2379" s="116">
        <v>246.33</v>
      </c>
      <c r="E2379" s="117">
        <v>45442</v>
      </c>
      <c r="F2379" s="116">
        <f>COUNTIFS($A$3:A10635,A2379,$B$3:B10635,B2379)</f>
        <v>1</v>
      </c>
      <c r="G2379" s="116"/>
    </row>
    <row r="2380" spans="1:7" x14ac:dyDescent="0.2">
      <c r="A2380" s="116">
        <f>IF(ISNUMBER(Tabela2[[#This Row],[CT-e/NFS]])=TRUE,(IF(B2380&gt;30000,4,IF(B2380&lt;1000,"ND",0))),"-")</f>
        <v>4</v>
      </c>
      <c r="B2380" s="116">
        <v>47069</v>
      </c>
      <c r="C2380" s="117">
        <v>45433</v>
      </c>
      <c r="D2380" s="116">
        <v>126.58</v>
      </c>
      <c r="E2380" s="117">
        <v>45442</v>
      </c>
      <c r="F2380" s="116">
        <f>COUNTIFS($A$3:A10637,A2380,$B$3:B10637,B2380)</f>
        <v>1</v>
      </c>
      <c r="G2380" s="116"/>
    </row>
    <row r="2381" spans="1:7" x14ac:dyDescent="0.2">
      <c r="A2381" s="116">
        <f>IF(ISNUMBER(Tabela2[[#This Row],[CT-e/NFS]])=TRUE,(IF(B2381&gt;30000,4,IF(B2381&lt;1000,"ND",0))),"-")</f>
        <v>4</v>
      </c>
      <c r="B2381" s="116">
        <v>47046</v>
      </c>
      <c r="C2381" s="117">
        <v>45433</v>
      </c>
      <c r="D2381" s="116">
        <v>2393.64</v>
      </c>
      <c r="E2381" s="117">
        <v>45442</v>
      </c>
      <c r="F2381" s="116">
        <f>COUNTIFS($A$3:A10638,A2381,$B$3:B10638,B2381)</f>
        <v>1</v>
      </c>
      <c r="G2381" s="116"/>
    </row>
    <row r="2382" spans="1:7" x14ac:dyDescent="0.2">
      <c r="A2382" s="116">
        <f>IF(ISNUMBER(Tabela2[[#This Row],[CT-e/NFS]])=TRUE,(IF(B2382&gt;30000,4,IF(B2382&lt;1000,"ND",0))),"-")</f>
        <v>0</v>
      </c>
      <c r="B2382" s="116">
        <v>21422</v>
      </c>
      <c r="C2382" s="117">
        <v>45433</v>
      </c>
      <c r="D2382" s="116">
        <v>271.32</v>
      </c>
      <c r="E2382" s="117">
        <v>45442</v>
      </c>
      <c r="F2382" s="116">
        <f>COUNTIFS($A$3:A10639,A2382,$B$3:B10639,B2382)</f>
        <v>1</v>
      </c>
      <c r="G2382" s="116"/>
    </row>
    <row r="2383" spans="1:7" x14ac:dyDescent="0.2">
      <c r="A2383" s="116">
        <f>IF(ISNUMBER(Tabela2[[#This Row],[CT-e/NFS]])=TRUE,(IF(B2383&gt;30000,4,IF(B2383&lt;1000,"ND",0))),"-")</f>
        <v>0</v>
      </c>
      <c r="B2383" s="116">
        <v>21423</v>
      </c>
      <c r="C2383" s="117">
        <v>45433</v>
      </c>
      <c r="D2383" s="116">
        <v>77.06</v>
      </c>
      <c r="E2383" s="117">
        <v>45442</v>
      </c>
      <c r="F2383" s="116">
        <f>COUNTIFS($A$3:A10640,A2383,$B$3:B10640,B2383)</f>
        <v>1</v>
      </c>
      <c r="G2383" s="116"/>
    </row>
    <row r="2384" spans="1:7" x14ac:dyDescent="0.2">
      <c r="A2384" s="116">
        <f>IF(ISNUMBER(Tabela2[[#This Row],[CT-e/NFS]])=TRUE,(IF(B2384&gt;30000,4,IF(B2384&lt;1000,"ND",0))),"-")</f>
        <v>0</v>
      </c>
      <c r="B2384" s="116">
        <v>21424</v>
      </c>
      <c r="C2384" s="117">
        <v>45433</v>
      </c>
      <c r="D2384" s="116">
        <v>292.86</v>
      </c>
      <c r="E2384" s="117">
        <v>45442</v>
      </c>
      <c r="F2384" s="116">
        <f>COUNTIFS($A$3:A10641,A2384,$B$3:B10641,B2384)</f>
        <v>1</v>
      </c>
      <c r="G2384" s="116"/>
    </row>
    <row r="2385" spans="1:7" x14ac:dyDescent="0.2">
      <c r="A2385" s="116">
        <f>IF(ISNUMBER(Tabela2[[#This Row],[CT-e/NFS]])=TRUE,(IF(B2385&gt;30000,4,IF(B2385&lt;1000,"ND",0))),"-")</f>
        <v>0</v>
      </c>
      <c r="B2385" s="116">
        <v>21425</v>
      </c>
      <c r="C2385" s="117">
        <v>45433</v>
      </c>
      <c r="D2385" s="116">
        <v>97.96</v>
      </c>
      <c r="E2385" s="117">
        <v>45442</v>
      </c>
      <c r="F2385" s="116">
        <f>COUNTIFS($A$3:A10642,A2385,$B$3:B10642,B2385)</f>
        <v>1</v>
      </c>
      <c r="G2385" s="116"/>
    </row>
    <row r="2386" spans="1:7" x14ac:dyDescent="0.2">
      <c r="A2386" s="116">
        <f>IF(ISNUMBER(Tabela2[[#This Row],[CT-e/NFS]])=TRUE,(IF(B2386&gt;30000,4,IF(B2386&lt;1000,"ND",0))),"-")</f>
        <v>0</v>
      </c>
      <c r="B2386" s="116">
        <v>21428</v>
      </c>
      <c r="C2386" s="117">
        <v>45433</v>
      </c>
      <c r="D2386" s="116">
        <v>76.2</v>
      </c>
      <c r="E2386" s="117">
        <v>45442</v>
      </c>
      <c r="F2386" s="116">
        <f>COUNTIFS($A$3:A10643,A2386,$B$3:B10643,B2386)</f>
        <v>1</v>
      </c>
      <c r="G2386" s="116"/>
    </row>
    <row r="2387" spans="1:7" x14ac:dyDescent="0.2">
      <c r="A2387" s="116">
        <f>IF(ISNUMBER(Tabela2[[#This Row],[CT-e/NFS]])=TRUE,(IF(B2387&gt;30000,4,IF(B2387&lt;1000,"ND",0))),"-")</f>
        <v>0</v>
      </c>
      <c r="B2387" s="116">
        <v>21429</v>
      </c>
      <c r="C2387" s="117">
        <v>45433</v>
      </c>
      <c r="D2387" s="116">
        <v>76.47</v>
      </c>
      <c r="E2387" s="117">
        <v>45442</v>
      </c>
      <c r="F2387" s="116">
        <f>COUNTIFS($A$3:A10644,A2387,$B$3:B10644,B2387)</f>
        <v>1</v>
      </c>
      <c r="G2387" s="116"/>
    </row>
    <row r="2388" spans="1:7" x14ac:dyDescent="0.2">
      <c r="A2388" s="116">
        <f>IF(ISNUMBER(Tabela2[[#This Row],[CT-e/NFS]])=TRUE,(IF(B2388&gt;30000,4,IF(B2388&lt;1000,"ND",0))),"-")</f>
        <v>0</v>
      </c>
      <c r="B2388" s="116">
        <v>21431</v>
      </c>
      <c r="C2388" s="117">
        <v>45433</v>
      </c>
      <c r="D2388" s="116">
        <v>76.44</v>
      </c>
      <c r="E2388" s="117">
        <v>45442</v>
      </c>
      <c r="F2388" s="116">
        <f>COUNTIFS($A$3:A10645,A2388,$B$3:B10645,B2388)</f>
        <v>1</v>
      </c>
      <c r="G2388" s="116"/>
    </row>
    <row r="2389" spans="1:7" x14ac:dyDescent="0.2">
      <c r="A2389" s="116">
        <f>IF(ISNUMBER(Tabela2[[#This Row],[CT-e/NFS]])=TRUE,(IF(B2389&gt;30000,4,IF(B2389&lt;1000,"ND",0))),"-")</f>
        <v>0</v>
      </c>
      <c r="B2389" s="116">
        <v>21433</v>
      </c>
      <c r="C2389" s="117">
        <v>45433</v>
      </c>
      <c r="D2389" s="116">
        <v>240.58</v>
      </c>
      <c r="E2389" s="117">
        <v>45442</v>
      </c>
      <c r="F2389" s="116">
        <f>COUNTIFS($A$3:A10646,A2389,$B$3:B10646,B2389)</f>
        <v>1</v>
      </c>
      <c r="G2389" s="116"/>
    </row>
    <row r="2390" spans="1:7" x14ac:dyDescent="0.2">
      <c r="A2390" s="116">
        <f>IF(ISNUMBER(Tabela2[[#This Row],[CT-e/NFS]])=TRUE,(IF(B2390&gt;30000,4,IF(B2390&lt;1000,"ND",0))),"-")</f>
        <v>0</v>
      </c>
      <c r="B2390" s="116">
        <v>21435</v>
      </c>
      <c r="C2390" s="117">
        <v>45433</v>
      </c>
      <c r="D2390" s="116">
        <v>909.59</v>
      </c>
      <c r="E2390" s="117">
        <v>45442</v>
      </c>
      <c r="F2390" s="116">
        <f>COUNTIFS($A$3:A10647,A2390,$B$3:B10647,B2390)</f>
        <v>1</v>
      </c>
      <c r="G2390" s="116"/>
    </row>
    <row r="2391" spans="1:7" x14ac:dyDescent="0.2">
      <c r="A2391" s="116">
        <f>IF(ISNUMBER(Tabela2[[#This Row],[CT-e/NFS]])=TRUE,(IF(B2391&gt;30000,4,IF(B2391&lt;1000,"ND",0))),"-")</f>
        <v>4</v>
      </c>
      <c r="B2391" s="116">
        <v>47068</v>
      </c>
      <c r="C2391" s="117">
        <v>45433</v>
      </c>
      <c r="D2391" s="116">
        <v>228.8</v>
      </c>
      <c r="E2391" s="117">
        <v>45442</v>
      </c>
      <c r="F2391" s="116">
        <f>COUNTIFS($A$3:A10648,A2391,$B$3:B10648,B2391)</f>
        <v>1</v>
      </c>
      <c r="G2391" s="116"/>
    </row>
    <row r="2392" spans="1:7" x14ac:dyDescent="0.2">
      <c r="A2392" s="116">
        <f>IF(ISNUMBER(Tabela2[[#This Row],[CT-e/NFS]])=TRUE,(IF(B2392&gt;30000,4,IF(B2392&lt;1000,"ND",0))),"-")</f>
        <v>4</v>
      </c>
      <c r="B2392" s="116">
        <v>47067</v>
      </c>
      <c r="C2392" s="117">
        <v>45433</v>
      </c>
      <c r="D2392" s="116">
        <v>124.2</v>
      </c>
      <c r="E2392" s="117">
        <v>45442</v>
      </c>
      <c r="F2392" s="116">
        <f>COUNTIFS($A$3:A10649,A2392,$B$3:B10649,B2392)</f>
        <v>1</v>
      </c>
      <c r="G2392" s="116"/>
    </row>
    <row r="2393" spans="1:7" x14ac:dyDescent="0.2">
      <c r="A2393" s="116">
        <f>IF(ISNUMBER(Tabela2[[#This Row],[CT-e/NFS]])=TRUE,(IF(B2393&gt;30000,4,IF(B2393&lt;1000,"ND",0))),"-")</f>
        <v>4</v>
      </c>
      <c r="B2393" s="116">
        <v>47053</v>
      </c>
      <c r="C2393" s="117">
        <v>45433</v>
      </c>
      <c r="D2393" s="116">
        <v>221.69</v>
      </c>
      <c r="E2393" s="117">
        <v>45442</v>
      </c>
      <c r="F2393" s="116">
        <f>COUNTIFS($A$3:A10650,A2393,$B$3:B10650,B2393)</f>
        <v>1</v>
      </c>
      <c r="G2393" s="116"/>
    </row>
    <row r="2394" spans="1:7" x14ac:dyDescent="0.2">
      <c r="A2394" s="116">
        <f>IF(ISNUMBER(Tabela2[[#This Row],[CT-e/NFS]])=TRUE,(IF(B2394&gt;30000,4,IF(B2394&lt;1000,"ND",0))),"-")</f>
        <v>0</v>
      </c>
      <c r="B2394" s="116">
        <v>21430</v>
      </c>
      <c r="C2394" s="117">
        <v>45433</v>
      </c>
      <c r="D2394" s="116">
        <v>76.47</v>
      </c>
      <c r="E2394" s="117">
        <v>45442</v>
      </c>
      <c r="F2394" s="116">
        <f>COUNTIFS($A$3:A10651,A2394,$B$3:B10651,B2394)</f>
        <v>1</v>
      </c>
      <c r="G2394" s="116"/>
    </row>
    <row r="2395" spans="1:7" x14ac:dyDescent="0.2">
      <c r="A2395" s="116">
        <f>IF(ISNUMBER(Tabela2[[#This Row],[CT-e/NFS]])=TRUE,(IF(B2395&gt;30000,4,IF(B2395&lt;1000,"ND",0))),"-")</f>
        <v>0</v>
      </c>
      <c r="B2395" s="116">
        <v>21432</v>
      </c>
      <c r="C2395" s="117">
        <v>45433</v>
      </c>
      <c r="D2395" s="116">
        <v>76.36</v>
      </c>
      <c r="E2395" s="117">
        <v>45442</v>
      </c>
      <c r="F2395" s="116">
        <f>COUNTIFS($A$3:A10652,A2395,$B$3:B10652,B2395)</f>
        <v>1</v>
      </c>
      <c r="G2395" s="116"/>
    </row>
    <row r="2396" spans="1:7" x14ac:dyDescent="0.2">
      <c r="A2396" s="116">
        <f>IF(ISNUMBER(Tabela2[[#This Row],[CT-e/NFS]])=TRUE,(IF(B2396&gt;30000,4,IF(B2396&lt;1000,"ND",0))),"-")</f>
        <v>4</v>
      </c>
      <c r="B2396" s="116">
        <v>47075</v>
      </c>
      <c r="C2396" s="117">
        <v>45433</v>
      </c>
      <c r="D2396" s="116">
        <v>181.33</v>
      </c>
      <c r="E2396" s="117">
        <v>45442</v>
      </c>
      <c r="F2396" s="116">
        <f>COUNTIFS($A$3:A10653,A2396,$B$3:B10653,B2396)</f>
        <v>1</v>
      </c>
      <c r="G2396" s="116"/>
    </row>
    <row r="2397" spans="1:7" x14ac:dyDescent="0.2">
      <c r="A2397" s="116">
        <f>IF(ISNUMBER(Tabela2[[#This Row],[CT-e/NFS]])=TRUE,(IF(B2397&gt;30000,4,IF(B2397&lt;1000,"ND",0))),"-")</f>
        <v>4</v>
      </c>
      <c r="B2397" s="116">
        <v>47082</v>
      </c>
      <c r="C2397" s="117">
        <v>45433</v>
      </c>
      <c r="D2397" s="116">
        <v>135.97999999999999</v>
      </c>
      <c r="E2397" s="117">
        <v>45442</v>
      </c>
      <c r="F2397" s="116">
        <f>COUNTIFS($A$3:A10654,A2397,$B$3:B10654,B2397)</f>
        <v>1</v>
      </c>
      <c r="G2397" s="116"/>
    </row>
    <row r="2398" spans="1:7" x14ac:dyDescent="0.2">
      <c r="A2398" s="116">
        <f>IF(ISNUMBER(Tabela2[[#This Row],[CT-e/NFS]])=TRUE,(IF(B2398&gt;30000,4,IF(B2398&lt;1000,"ND",0))),"-")</f>
        <v>4</v>
      </c>
      <c r="B2398" s="116">
        <v>47071</v>
      </c>
      <c r="C2398" s="117">
        <v>45433</v>
      </c>
      <c r="D2398" s="116">
        <v>609.98</v>
      </c>
      <c r="E2398" s="117">
        <v>45442</v>
      </c>
      <c r="F2398" s="116">
        <f>COUNTIFS($A$3:A10655,A2398,$B$3:B10655,B2398)</f>
        <v>1</v>
      </c>
      <c r="G2398" s="116"/>
    </row>
    <row r="2399" spans="1:7" x14ac:dyDescent="0.2">
      <c r="A2399" s="116">
        <f>IF(ISNUMBER(Tabela2[[#This Row],[CT-e/NFS]])=TRUE,(IF(B2399&gt;30000,4,IF(B2399&lt;1000,"ND",0))),"-")</f>
        <v>4</v>
      </c>
      <c r="B2399" s="116">
        <v>47078</v>
      </c>
      <c r="C2399" s="117">
        <v>45433</v>
      </c>
      <c r="D2399" s="116">
        <v>246.33</v>
      </c>
      <c r="E2399" s="117">
        <v>45442</v>
      </c>
      <c r="F2399" s="116">
        <f>COUNTIFS($A$3:A10656,A2399,$B$3:B10656,B2399)</f>
        <v>1</v>
      </c>
      <c r="G2399" s="116"/>
    </row>
    <row r="2400" spans="1:7" x14ac:dyDescent="0.2">
      <c r="A2400" s="116">
        <f>IF(ISNUMBER(Tabela2[[#This Row],[CT-e/NFS]])=TRUE,(IF(B2400&gt;30000,4,IF(B2400&lt;1000,"ND",0))),"-")</f>
        <v>4</v>
      </c>
      <c r="B2400" s="116">
        <v>47074</v>
      </c>
      <c r="C2400" s="117">
        <v>45433</v>
      </c>
      <c r="D2400" s="116">
        <v>123.36</v>
      </c>
      <c r="E2400" s="117">
        <v>45442</v>
      </c>
      <c r="F2400" s="116">
        <f>COUNTIFS($A$3:A10657,A2400,$B$3:B10657,B2400)</f>
        <v>1</v>
      </c>
      <c r="G2400" s="116"/>
    </row>
    <row r="2401" spans="1:7" x14ac:dyDescent="0.2">
      <c r="A2401" s="116">
        <f>IF(ISNUMBER(Tabela2[[#This Row],[CT-e/NFS]])=TRUE,(IF(B2401&gt;30000,4,IF(B2401&lt;1000,"ND",0))),"-")</f>
        <v>4</v>
      </c>
      <c r="B2401" s="116">
        <v>47073</v>
      </c>
      <c r="C2401" s="117">
        <v>45433</v>
      </c>
      <c r="D2401" s="116">
        <v>147.80000000000001</v>
      </c>
      <c r="E2401" s="117">
        <v>45442</v>
      </c>
      <c r="F2401" s="116">
        <f>COUNTIFS($A$3:A10658,A2401,$B$3:B10658,B2401)</f>
        <v>1</v>
      </c>
      <c r="G2401" s="116"/>
    </row>
    <row r="2402" spans="1:7" x14ac:dyDescent="0.2">
      <c r="A2402" s="116">
        <f>IF(ISNUMBER(Tabela2[[#This Row],[CT-e/NFS]])=TRUE,(IF(B2402&gt;30000,4,IF(B2402&lt;1000,"ND",0))),"-")</f>
        <v>4</v>
      </c>
      <c r="B2402" s="116">
        <v>47079</v>
      </c>
      <c r="C2402" s="117">
        <v>45433</v>
      </c>
      <c r="D2402" s="116">
        <v>170.32</v>
      </c>
      <c r="E2402" s="117">
        <v>45442</v>
      </c>
      <c r="F2402" s="116">
        <f>COUNTIFS($A$3:A10659,A2402,$B$3:B10659,B2402)</f>
        <v>1</v>
      </c>
      <c r="G2402" s="116"/>
    </row>
    <row r="2403" spans="1:7" x14ac:dyDescent="0.2">
      <c r="A2403" s="116">
        <f>IF(ISNUMBER(Tabela2[[#This Row],[CT-e/NFS]])=TRUE,(IF(B2403&gt;30000,4,IF(B2403&lt;1000,"ND",0))),"-")</f>
        <v>4</v>
      </c>
      <c r="B2403" s="116">
        <v>47076</v>
      </c>
      <c r="C2403" s="117">
        <v>45433</v>
      </c>
      <c r="D2403" s="116">
        <v>126.66</v>
      </c>
      <c r="E2403" s="117">
        <v>45442</v>
      </c>
      <c r="F2403" s="116">
        <f>COUNTIFS($A$3:A10660,A2403,$B$3:B10660,B2403)</f>
        <v>1</v>
      </c>
      <c r="G2403" s="116"/>
    </row>
    <row r="2404" spans="1:7" x14ac:dyDescent="0.2">
      <c r="A2404" s="116">
        <f>IF(ISNUMBER(Tabela2[[#This Row],[CT-e/NFS]])=TRUE,(IF(B2404&gt;30000,4,IF(B2404&lt;1000,"ND",0))),"-")</f>
        <v>4</v>
      </c>
      <c r="B2404" s="116">
        <v>47081</v>
      </c>
      <c r="C2404" s="117">
        <v>45433</v>
      </c>
      <c r="D2404" s="116">
        <v>124.3</v>
      </c>
      <c r="E2404" s="117">
        <v>45442</v>
      </c>
      <c r="F2404" s="116">
        <f>COUNTIFS($A$3:A10661,A2404,$B$3:B10661,B2404)</f>
        <v>1</v>
      </c>
      <c r="G2404" s="116"/>
    </row>
    <row r="2405" spans="1:7" x14ac:dyDescent="0.2">
      <c r="A2405" s="116">
        <f>IF(ISNUMBER(Tabela2[[#This Row],[CT-e/NFS]])=TRUE,(IF(B2405&gt;30000,4,IF(B2405&lt;1000,"ND",0))),"-")</f>
        <v>4</v>
      </c>
      <c r="B2405" s="116">
        <v>47072</v>
      </c>
      <c r="C2405" s="117">
        <v>45433</v>
      </c>
      <c r="D2405" s="116">
        <v>586.26</v>
      </c>
      <c r="E2405" s="117">
        <v>45442</v>
      </c>
      <c r="F2405" s="116">
        <f>COUNTIFS($A$3:A10662,A2405,$B$3:B10662,B2405)</f>
        <v>1</v>
      </c>
      <c r="G2405" s="116"/>
    </row>
    <row r="2406" spans="1:7" x14ac:dyDescent="0.2">
      <c r="A2406" s="116">
        <f>IF(ISNUMBER(Tabela2[[#This Row],[CT-e/NFS]])=TRUE,(IF(B2406&gt;30000,4,IF(B2406&lt;1000,"ND",0))),"-")</f>
        <v>4</v>
      </c>
      <c r="B2406" s="116">
        <v>47088</v>
      </c>
      <c r="C2406" s="117">
        <v>45433</v>
      </c>
      <c r="D2406" s="116">
        <v>61.36</v>
      </c>
      <c r="E2406" s="117">
        <v>45442</v>
      </c>
      <c r="F2406" s="116">
        <f>COUNTIFS($A$3:A10663,A2406,$B$3:B10663,B2406)</f>
        <v>1</v>
      </c>
      <c r="G2406" s="116"/>
    </row>
    <row r="2407" spans="1:7" x14ac:dyDescent="0.2">
      <c r="A2407" s="116">
        <f>IF(ISNUMBER(Tabela2[[#This Row],[CT-e/NFS]])=TRUE,(IF(B2407&gt;30000,4,IF(B2407&lt;1000,"ND",0))),"-")</f>
        <v>4</v>
      </c>
      <c r="B2407" s="116">
        <v>47054</v>
      </c>
      <c r="C2407" s="117">
        <v>45433</v>
      </c>
      <c r="D2407" s="116">
        <v>722.61</v>
      </c>
      <c r="E2407" s="117">
        <v>45442</v>
      </c>
      <c r="F2407" s="116">
        <f>COUNTIFS($A$3:A10664,A2407,$B$3:B10664,B2407)</f>
        <v>1</v>
      </c>
      <c r="G2407" s="116"/>
    </row>
    <row r="2408" spans="1:7" x14ac:dyDescent="0.2">
      <c r="A2408" s="116">
        <f>IF(ISNUMBER(Tabela2[[#This Row],[CT-e/NFS]])=TRUE,(IF(B2408&gt;30000,4,IF(B2408&lt;1000,"ND",0))),"-")</f>
        <v>4</v>
      </c>
      <c r="B2408" s="116">
        <v>47080</v>
      </c>
      <c r="C2408" s="117">
        <v>45433</v>
      </c>
      <c r="D2408" s="116">
        <v>86.11</v>
      </c>
      <c r="E2408" s="117">
        <v>45442</v>
      </c>
      <c r="F2408" s="116">
        <f>COUNTIFS($A$3:A10665,A2408,$B$3:B10665,B2408)</f>
        <v>1</v>
      </c>
      <c r="G2408" s="116"/>
    </row>
    <row r="2409" spans="1:7" x14ac:dyDescent="0.2">
      <c r="A2409" s="116">
        <f>IF(ISNUMBER(Tabela2[[#This Row],[CT-e/NFS]])=TRUE,(IF(B2409&gt;30000,4,IF(B2409&lt;1000,"ND",0))),"-")</f>
        <v>4</v>
      </c>
      <c r="B2409" s="116">
        <v>47077</v>
      </c>
      <c r="C2409" s="117">
        <v>45433</v>
      </c>
      <c r="D2409" s="116">
        <v>125.56</v>
      </c>
      <c r="E2409" s="117">
        <v>45442</v>
      </c>
      <c r="F2409" s="116">
        <f>COUNTIFS($A$3:A10666,A2409,$B$3:B10666,B2409)</f>
        <v>1</v>
      </c>
      <c r="G2409" s="116"/>
    </row>
    <row r="2410" spans="1:7" x14ac:dyDescent="0.2">
      <c r="A2410" s="116">
        <f>IF(ISNUMBER(Tabela2[[#This Row],[CT-e/NFS]])=TRUE,(IF(B2410&gt;30000,4,IF(B2410&lt;1000,"ND",0))),"-")</f>
        <v>4</v>
      </c>
      <c r="B2410" s="116">
        <v>47086</v>
      </c>
      <c r="C2410" s="117">
        <v>45433</v>
      </c>
      <c r="D2410" s="116">
        <v>216.76</v>
      </c>
      <c r="E2410" s="117">
        <v>45442</v>
      </c>
      <c r="F2410" s="116">
        <f>COUNTIFS($A$3:A10667,A2410,$B$3:B10667,B2410)</f>
        <v>1</v>
      </c>
      <c r="G2410" s="116"/>
    </row>
    <row r="2411" spans="1:7" x14ac:dyDescent="0.2">
      <c r="A2411" s="116">
        <f>IF(ISNUMBER(Tabela2[[#This Row],[CT-e/NFS]])=TRUE,(IF(B2411&gt;30000,4,IF(B2411&lt;1000,"ND",0))),"-")</f>
        <v>4</v>
      </c>
      <c r="B2411" s="116">
        <v>47087</v>
      </c>
      <c r="C2411" s="117">
        <v>45433</v>
      </c>
      <c r="D2411" s="116">
        <v>120.31</v>
      </c>
      <c r="E2411" s="117">
        <v>45442</v>
      </c>
      <c r="F2411" s="116">
        <f>COUNTIFS($A$3:A10668,A2411,$B$3:B10668,B2411)</f>
        <v>1</v>
      </c>
      <c r="G2411" s="116"/>
    </row>
    <row r="2412" spans="1:7" x14ac:dyDescent="0.2">
      <c r="A2412" s="116">
        <f>IF(ISNUMBER(Tabela2[[#This Row],[CT-e/NFS]])=TRUE,(IF(B2412&gt;30000,4,IF(B2412&lt;1000,"ND",0))),"-")</f>
        <v>4</v>
      </c>
      <c r="B2412" s="116">
        <v>47091</v>
      </c>
      <c r="C2412" s="117">
        <v>45433</v>
      </c>
      <c r="D2412" s="116">
        <v>220.38</v>
      </c>
      <c r="E2412" s="117">
        <v>45442</v>
      </c>
      <c r="F2412" s="116">
        <f>COUNTIFS($A$3:A10669,A2412,$B$3:B10669,B2412)</f>
        <v>1</v>
      </c>
      <c r="G2412" s="116"/>
    </row>
    <row r="2413" spans="1:7" x14ac:dyDescent="0.2">
      <c r="A2413" s="116">
        <f>IF(ISNUMBER(Tabela2[[#This Row],[CT-e/NFS]])=TRUE,(IF(B2413&gt;30000,4,IF(B2413&lt;1000,"ND",0))),"-")</f>
        <v>4</v>
      </c>
      <c r="B2413" s="116">
        <v>47089</v>
      </c>
      <c r="C2413" s="117">
        <v>45433</v>
      </c>
      <c r="D2413" s="116">
        <v>691.09</v>
      </c>
      <c r="E2413" s="117">
        <v>45442</v>
      </c>
      <c r="F2413" s="116">
        <f>COUNTIFS($A$3:A10670,A2413,$B$3:B10670,B2413)</f>
        <v>1</v>
      </c>
      <c r="G2413" s="116"/>
    </row>
    <row r="2414" spans="1:7" x14ac:dyDescent="0.2">
      <c r="A2414" s="116">
        <f>IF(ISNUMBER(Tabela2[[#This Row],[CT-e/NFS]])=TRUE,(IF(B2414&gt;30000,4,IF(B2414&lt;1000,"ND",0))),"-")</f>
        <v>4</v>
      </c>
      <c r="B2414" s="116">
        <v>47090</v>
      </c>
      <c r="C2414" s="117">
        <v>45433</v>
      </c>
      <c r="D2414" s="116">
        <v>226.26</v>
      </c>
      <c r="E2414" s="117">
        <v>45442</v>
      </c>
      <c r="F2414" s="116">
        <f>COUNTIFS($A$3:A10671,A2414,$B$3:B10671,B2414)</f>
        <v>1</v>
      </c>
      <c r="G2414" s="116"/>
    </row>
    <row r="2415" spans="1:7" x14ac:dyDescent="0.2">
      <c r="A2415" s="116">
        <f>IF(ISNUMBER(Tabela2[[#This Row],[CT-e/NFS]])=TRUE,(IF(B2415&gt;30000,4,IF(B2415&lt;1000,"ND",0))),"-")</f>
        <v>4</v>
      </c>
      <c r="B2415" s="116">
        <v>47093</v>
      </c>
      <c r="C2415" s="117">
        <v>45433</v>
      </c>
      <c r="D2415" s="116">
        <v>1003.68</v>
      </c>
      <c r="E2415" s="117">
        <v>45442</v>
      </c>
      <c r="F2415" s="116">
        <f>COUNTIFS($A$3:A10672,A2415,$B$3:B10672,B2415)</f>
        <v>1</v>
      </c>
      <c r="G2415" s="116"/>
    </row>
    <row r="2416" spans="1:7" x14ac:dyDescent="0.2">
      <c r="A2416" s="116">
        <f>IF(ISNUMBER(Tabela2[[#This Row],[CT-e/NFS]])=TRUE,(IF(B2416&gt;30000,4,IF(B2416&lt;1000,"ND",0))),"-")</f>
        <v>4</v>
      </c>
      <c r="B2416" s="116">
        <v>47098</v>
      </c>
      <c r="C2416" s="117">
        <v>45433</v>
      </c>
      <c r="D2416" s="116">
        <v>408.5</v>
      </c>
      <c r="E2416" s="117">
        <v>45442</v>
      </c>
      <c r="F2416" s="116">
        <f>COUNTIFS($A$3:A10673,A2416,$B$3:B10673,B2416)</f>
        <v>1</v>
      </c>
      <c r="G2416" s="116"/>
    </row>
    <row r="2417" spans="1:7" x14ac:dyDescent="0.2">
      <c r="A2417" s="116">
        <f>IF(ISNUMBER(Tabela2[[#This Row],[CT-e/NFS]])=TRUE,(IF(B2417&gt;30000,4,IF(B2417&lt;1000,"ND",0))),"-")</f>
        <v>4</v>
      </c>
      <c r="B2417" s="116">
        <v>47100</v>
      </c>
      <c r="C2417" s="117">
        <v>45433</v>
      </c>
      <c r="D2417" s="116">
        <v>123.99</v>
      </c>
      <c r="E2417" s="117">
        <v>45442</v>
      </c>
      <c r="F2417" s="116">
        <f>COUNTIFS($A$3:A10674,A2417,$B$3:B10674,B2417)</f>
        <v>1</v>
      </c>
      <c r="G2417" s="116"/>
    </row>
    <row r="2418" spans="1:7" x14ac:dyDescent="0.2">
      <c r="A2418" s="116">
        <f>IF(ISNUMBER(Tabela2[[#This Row],[CT-e/NFS]])=TRUE,(IF(B2418&gt;30000,4,IF(B2418&lt;1000,"ND",0))),"-")</f>
        <v>4</v>
      </c>
      <c r="B2418" s="116">
        <v>47099</v>
      </c>
      <c r="C2418" s="117">
        <v>45433</v>
      </c>
      <c r="D2418" s="116">
        <v>124.18</v>
      </c>
      <c r="E2418" s="117">
        <v>45442</v>
      </c>
      <c r="F2418" s="116">
        <f>COUNTIFS($A$3:A10675,A2418,$B$3:B10675,B2418)</f>
        <v>1</v>
      </c>
      <c r="G2418" s="116"/>
    </row>
    <row r="2419" spans="1:7" x14ac:dyDescent="0.2">
      <c r="A2419" s="116">
        <f>IF(ISNUMBER(Tabela2[[#This Row],[CT-e/NFS]])=TRUE,(IF(B2419&gt;30000,4,IF(B2419&lt;1000,"ND",0))),"-")</f>
        <v>4</v>
      </c>
      <c r="B2419" s="116">
        <v>47096</v>
      </c>
      <c r="C2419" s="117">
        <v>45433</v>
      </c>
      <c r="D2419" s="116">
        <v>125.81</v>
      </c>
      <c r="E2419" s="117">
        <v>45442</v>
      </c>
      <c r="F2419" s="116">
        <f>COUNTIFS($A$3:A10678,A2419,$B$3:B10678,B2419)</f>
        <v>1</v>
      </c>
      <c r="G2419" s="116"/>
    </row>
    <row r="2420" spans="1:7" x14ac:dyDescent="0.2">
      <c r="A2420" s="116">
        <f>IF(ISNUMBER(Tabela2[[#This Row],[CT-e/NFS]])=TRUE,(IF(B2420&gt;30000,4,IF(B2420&lt;1000,"ND",0))),"-")</f>
        <v>4</v>
      </c>
      <c r="B2420" s="116">
        <v>47105</v>
      </c>
      <c r="C2420" s="117">
        <v>45433</v>
      </c>
      <c r="D2420" s="116">
        <v>122.74</v>
      </c>
      <c r="E2420" s="117">
        <v>45442</v>
      </c>
      <c r="F2420" s="116">
        <f>COUNTIFS($A$3:A10679,A2420,$B$3:B10679,B2420)</f>
        <v>1</v>
      </c>
      <c r="G2420" s="116"/>
    </row>
    <row r="2421" spans="1:7" x14ac:dyDescent="0.2">
      <c r="A2421" s="116">
        <f>IF(ISNUMBER(Tabela2[[#This Row],[CT-e/NFS]])=TRUE,(IF(B2421&gt;30000,4,IF(B2421&lt;1000,"ND",0))),"-")</f>
        <v>4</v>
      </c>
      <c r="B2421" s="116">
        <v>47097</v>
      </c>
      <c r="C2421" s="117">
        <v>45433</v>
      </c>
      <c r="D2421" s="116">
        <v>124.18</v>
      </c>
      <c r="E2421" s="117">
        <v>45442</v>
      </c>
      <c r="F2421" s="116">
        <f>COUNTIFS($A$3:A10680,A2421,$B$3:B10680,B2421)</f>
        <v>1</v>
      </c>
      <c r="G2421" s="116"/>
    </row>
    <row r="2422" spans="1:7" x14ac:dyDescent="0.2">
      <c r="A2422" s="116">
        <f>IF(ISNUMBER(Tabela2[[#This Row],[CT-e/NFS]])=TRUE,(IF(B2422&gt;30000,4,IF(B2422&lt;1000,"ND",0))),"-")</f>
        <v>4</v>
      </c>
      <c r="B2422" s="116">
        <v>47092</v>
      </c>
      <c r="C2422" s="117">
        <v>45433</v>
      </c>
      <c r="D2422" s="116">
        <v>1086.24</v>
      </c>
      <c r="E2422" s="117">
        <v>45442</v>
      </c>
      <c r="F2422" s="116">
        <f>COUNTIFS($A$3:A10681,A2422,$B$3:B10681,B2422)</f>
        <v>1</v>
      </c>
      <c r="G2422" s="116"/>
    </row>
    <row r="2423" spans="1:7" x14ac:dyDescent="0.2">
      <c r="A2423" s="116">
        <f>IF(ISNUMBER(Tabela2[[#This Row],[CT-e/NFS]])=TRUE,(IF(B2423&gt;30000,4,IF(B2423&lt;1000,"ND",0))),"-")</f>
        <v>0</v>
      </c>
      <c r="B2423" s="116">
        <v>21406</v>
      </c>
      <c r="C2423" s="117">
        <v>45433</v>
      </c>
      <c r="D2423" s="116">
        <v>169.08</v>
      </c>
      <c r="E2423" s="117">
        <v>45442</v>
      </c>
      <c r="F2423" s="116">
        <f>COUNTIFS($A$3:A10682,A2423,$B$3:B10682,B2423)</f>
        <v>1</v>
      </c>
      <c r="G2423" s="116"/>
    </row>
    <row r="2424" spans="1:7" x14ac:dyDescent="0.2">
      <c r="A2424" s="116">
        <f>IF(ISNUMBER(Tabela2[[#This Row],[CT-e/NFS]])=TRUE,(IF(B2424&gt;30000,4,IF(B2424&lt;1000,"ND",0))),"-")</f>
        <v>0</v>
      </c>
      <c r="B2424" s="116">
        <v>21436</v>
      </c>
      <c r="C2424" s="117">
        <v>45433</v>
      </c>
      <c r="D2424" s="116">
        <v>597.03</v>
      </c>
      <c r="E2424" s="117">
        <v>45442</v>
      </c>
      <c r="F2424" s="116">
        <f>COUNTIFS($A$3:A10683,A2424,$B$3:B10683,B2424)</f>
        <v>1</v>
      </c>
      <c r="G2424" s="116"/>
    </row>
    <row r="2425" spans="1:7" x14ac:dyDescent="0.2">
      <c r="A2425" s="116">
        <f>IF(ISNUMBER(Tabela2[[#This Row],[CT-e/NFS]])=TRUE,(IF(B2425&gt;30000,4,IF(B2425&lt;1000,"ND",0))),"-")</f>
        <v>0</v>
      </c>
      <c r="B2425" s="116">
        <v>21437</v>
      </c>
      <c r="C2425" s="117">
        <v>45433</v>
      </c>
      <c r="D2425" s="116">
        <v>107.19</v>
      </c>
      <c r="E2425" s="117">
        <v>45442</v>
      </c>
      <c r="F2425" s="116">
        <f>COUNTIFS($A$3:A10684,A2425,$B$3:B10684,B2425)</f>
        <v>1</v>
      </c>
      <c r="G2425" s="116"/>
    </row>
    <row r="2426" spans="1:7" x14ac:dyDescent="0.2">
      <c r="A2426" s="116">
        <f>IF(ISNUMBER(Tabela2[[#This Row],[CT-e/NFS]])=TRUE,(IF(B2426&gt;30000,4,IF(B2426&lt;1000,"ND",0))),"-")</f>
        <v>0</v>
      </c>
      <c r="B2426" s="116">
        <v>21441</v>
      </c>
      <c r="C2426" s="117">
        <v>45433</v>
      </c>
      <c r="D2426" s="116">
        <v>128.04</v>
      </c>
      <c r="E2426" s="117">
        <v>45442</v>
      </c>
      <c r="F2426" s="116">
        <f>COUNTIFS($A$3:A10685,A2426,$B$3:B10685,B2426)</f>
        <v>1</v>
      </c>
      <c r="G2426" s="116"/>
    </row>
    <row r="2427" spans="1:7" x14ac:dyDescent="0.2">
      <c r="A2427" s="116">
        <f>IF(ISNUMBER(Tabela2[[#This Row],[CT-e/NFS]])=TRUE,(IF(B2427&gt;30000,4,IF(B2427&lt;1000,"ND",0))),"-")</f>
        <v>0</v>
      </c>
      <c r="B2427" s="116">
        <v>21438</v>
      </c>
      <c r="C2427" s="117">
        <v>45433</v>
      </c>
      <c r="D2427" s="116">
        <v>76.34</v>
      </c>
      <c r="E2427" s="117">
        <v>45442</v>
      </c>
      <c r="F2427" s="116">
        <f>COUNTIFS($A$3:A10686,A2427,$B$3:B10686,B2427)</f>
        <v>1</v>
      </c>
      <c r="G2427" s="116"/>
    </row>
    <row r="2428" spans="1:7" x14ac:dyDescent="0.2">
      <c r="A2428" s="116">
        <f>IF(ISNUMBER(Tabela2[[#This Row],[CT-e/NFS]])=TRUE,(IF(B2428&gt;30000,4,IF(B2428&lt;1000,"ND",0))),"-")</f>
        <v>0</v>
      </c>
      <c r="B2428" s="116">
        <v>21439</v>
      </c>
      <c r="C2428" s="117">
        <v>45433</v>
      </c>
      <c r="D2428" s="116">
        <v>75.8</v>
      </c>
      <c r="E2428" s="117">
        <v>45442</v>
      </c>
      <c r="F2428" s="116">
        <f>COUNTIFS($A$3:A10687,A2428,$B$3:B10687,B2428)</f>
        <v>1</v>
      </c>
      <c r="G2428" s="116"/>
    </row>
    <row r="2429" spans="1:7" x14ac:dyDescent="0.2">
      <c r="A2429" s="116">
        <f>IF(ISNUMBER(Tabela2[[#This Row],[CT-e/NFS]])=TRUE,(IF(B2429&gt;30000,4,IF(B2429&lt;1000,"ND",0))),"-")</f>
        <v>0</v>
      </c>
      <c r="B2429" s="116">
        <v>21442</v>
      </c>
      <c r="C2429" s="117">
        <v>45433</v>
      </c>
      <c r="D2429" s="116">
        <v>75.680000000000007</v>
      </c>
      <c r="E2429" s="117">
        <v>45442</v>
      </c>
      <c r="F2429" s="116">
        <f>COUNTIFS($A$3:A10688,A2429,$B$3:B10688,B2429)</f>
        <v>1</v>
      </c>
      <c r="G2429" s="116"/>
    </row>
    <row r="2430" spans="1:7" x14ac:dyDescent="0.2">
      <c r="A2430" s="116">
        <f>IF(ISNUMBER(Tabela2[[#This Row],[CT-e/NFS]])=TRUE,(IF(B2430&gt;30000,4,IF(B2430&lt;1000,"ND",0))),"-")</f>
        <v>0</v>
      </c>
      <c r="B2430" s="116">
        <v>21444</v>
      </c>
      <c r="C2430" s="117">
        <v>45433</v>
      </c>
      <c r="D2430" s="116">
        <v>75.599999999999994</v>
      </c>
      <c r="E2430" s="117">
        <v>45442</v>
      </c>
      <c r="F2430" s="116">
        <f>COUNTIFS($A$3:A10689,A2430,$B$3:B10689,B2430)</f>
        <v>1</v>
      </c>
      <c r="G2430" s="116"/>
    </row>
    <row r="2431" spans="1:7" x14ac:dyDescent="0.2">
      <c r="A2431" s="116">
        <f>IF(ISNUMBER(Tabela2[[#This Row],[CT-e/NFS]])=TRUE,(IF(B2431&gt;30000,4,IF(B2431&lt;1000,"ND",0))),"-")</f>
        <v>0</v>
      </c>
      <c r="B2431" s="116">
        <v>21446</v>
      </c>
      <c r="C2431" s="117">
        <v>45433</v>
      </c>
      <c r="D2431" s="116">
        <v>227.4</v>
      </c>
      <c r="E2431" s="117">
        <v>45442</v>
      </c>
      <c r="F2431" s="116">
        <f>COUNTIFS($A$3:A10690,A2431,$B$3:B10690,B2431)</f>
        <v>1</v>
      </c>
      <c r="G2431" s="116"/>
    </row>
    <row r="2432" spans="1:7" x14ac:dyDescent="0.2">
      <c r="A2432" s="116">
        <f>IF(ISNUMBER(Tabela2[[#This Row],[CT-e/NFS]])=TRUE,(IF(B2432&gt;30000,4,IF(B2432&lt;1000,"ND",0))),"-")</f>
        <v>0</v>
      </c>
      <c r="B2432" s="116">
        <v>21452</v>
      </c>
      <c r="C2432" s="117">
        <v>45433</v>
      </c>
      <c r="D2432" s="116">
        <v>259.27</v>
      </c>
      <c r="E2432" s="117">
        <v>45442</v>
      </c>
      <c r="F2432" s="116">
        <f>COUNTIFS($A$3:A10691,A2432,$B$3:B10691,B2432)</f>
        <v>1</v>
      </c>
      <c r="G2432" s="116"/>
    </row>
    <row r="2433" spans="1:7" x14ac:dyDescent="0.2">
      <c r="A2433" s="116">
        <f>IF(ISNUMBER(Tabela2[[#This Row],[CT-e/NFS]])=TRUE,(IF(B2433&gt;30000,4,IF(B2433&lt;1000,"ND",0))),"-")</f>
        <v>0</v>
      </c>
      <c r="B2433" s="116">
        <v>21447</v>
      </c>
      <c r="C2433" s="117">
        <v>45433</v>
      </c>
      <c r="D2433" s="116">
        <v>76.39</v>
      </c>
      <c r="E2433" s="117">
        <v>45442</v>
      </c>
      <c r="F2433" s="116">
        <f>COUNTIFS($A$3:A10692,A2433,$B$3:B10692,B2433)</f>
        <v>1</v>
      </c>
      <c r="G2433" s="116"/>
    </row>
    <row r="2434" spans="1:7" x14ac:dyDescent="0.2">
      <c r="A2434" s="116">
        <f>IF(ISNUMBER(Tabela2[[#This Row],[CT-e/NFS]])=TRUE,(IF(B2434&gt;30000,4,IF(B2434&lt;1000,"ND",0))),"-")</f>
        <v>0</v>
      </c>
      <c r="B2434" s="116">
        <v>21448</v>
      </c>
      <c r="C2434" s="117">
        <v>45433</v>
      </c>
      <c r="D2434" s="116">
        <v>123.03</v>
      </c>
      <c r="E2434" s="117">
        <v>45442</v>
      </c>
      <c r="F2434" s="116">
        <f>COUNTIFS($A$3:A10693,A2434,$B$3:B10693,B2434)</f>
        <v>1</v>
      </c>
      <c r="G2434" s="116"/>
    </row>
    <row r="2435" spans="1:7" x14ac:dyDescent="0.2">
      <c r="A2435" s="116">
        <f>IF(ISNUMBER(Tabela2[[#This Row],[CT-e/NFS]])=TRUE,(IF(B2435&gt;30000,4,IF(B2435&lt;1000,"ND",0))),"-")</f>
        <v>0</v>
      </c>
      <c r="B2435" s="116">
        <v>21453</v>
      </c>
      <c r="C2435" s="117">
        <v>45433</v>
      </c>
      <c r="D2435" s="116">
        <v>76.42</v>
      </c>
      <c r="E2435" s="117">
        <v>45442</v>
      </c>
      <c r="F2435" s="116">
        <f>COUNTIFS($A$3:A10694,A2435,$B$3:B10694,B2435)</f>
        <v>1</v>
      </c>
      <c r="G2435" s="116"/>
    </row>
    <row r="2436" spans="1:7" x14ac:dyDescent="0.2">
      <c r="A2436" s="116">
        <f>IF(ISNUMBER(Tabela2[[#This Row],[CT-e/NFS]])=TRUE,(IF(B2436&gt;30000,4,IF(B2436&lt;1000,"ND",0))),"-")</f>
        <v>0</v>
      </c>
      <c r="B2436" s="116">
        <v>21449</v>
      </c>
      <c r="C2436" s="117">
        <v>45433</v>
      </c>
      <c r="D2436" s="116">
        <v>76.8</v>
      </c>
      <c r="E2436" s="117">
        <v>45442</v>
      </c>
      <c r="F2436" s="116">
        <f>COUNTIFS($A$3:A10695,A2436,$B$3:B10695,B2436)</f>
        <v>1</v>
      </c>
      <c r="G2436" s="116"/>
    </row>
    <row r="2437" spans="1:7" x14ac:dyDescent="0.2">
      <c r="A2437" s="116">
        <f>IF(ISNUMBER(Tabela2[[#This Row],[CT-e/NFS]])=TRUE,(IF(B2437&gt;30000,4,IF(B2437&lt;1000,"ND",0))),"-")</f>
        <v>0</v>
      </c>
      <c r="B2437" s="116">
        <v>21450</v>
      </c>
      <c r="C2437" s="117">
        <v>45433</v>
      </c>
      <c r="D2437" s="116">
        <v>139.25</v>
      </c>
      <c r="E2437" s="117">
        <v>45442</v>
      </c>
      <c r="F2437" s="116">
        <f>COUNTIFS($A$3:A10696,A2437,$B$3:B10696,B2437)</f>
        <v>1</v>
      </c>
      <c r="G2437" s="116"/>
    </row>
    <row r="2438" spans="1:7" x14ac:dyDescent="0.2">
      <c r="A2438" s="116">
        <f>IF(ISNUMBER(Tabela2[[#This Row],[CT-e/NFS]])=TRUE,(IF(B2438&gt;30000,4,IF(B2438&lt;1000,"ND",0))),"-")</f>
        <v>0</v>
      </c>
      <c r="B2438" s="116">
        <v>21451</v>
      </c>
      <c r="C2438" s="117">
        <v>45433</v>
      </c>
      <c r="D2438" s="116">
        <v>76.34</v>
      </c>
      <c r="E2438" s="117">
        <v>45442</v>
      </c>
      <c r="F2438" s="116">
        <f>COUNTIFS($A$3:A10697,A2438,$B$3:B10697,B2438)</f>
        <v>1</v>
      </c>
      <c r="G2438" s="116"/>
    </row>
    <row r="2439" spans="1:7" x14ac:dyDescent="0.2">
      <c r="A2439" s="116">
        <f>IF(ISNUMBER(Tabela2[[#This Row],[CT-e/NFS]])=TRUE,(IF(B2439&gt;30000,4,IF(B2439&lt;1000,"ND",0))),"-")</f>
        <v>4</v>
      </c>
      <c r="B2439" s="116">
        <v>47106</v>
      </c>
      <c r="C2439" s="117">
        <v>45433</v>
      </c>
      <c r="D2439" s="116">
        <v>1227.49</v>
      </c>
      <c r="E2439" s="117">
        <v>45442</v>
      </c>
      <c r="F2439" s="116">
        <f>COUNTIFS($A$3:A10698,A2439,$B$3:B10698,B2439)</f>
        <v>1</v>
      </c>
      <c r="G2439" s="116"/>
    </row>
    <row r="2440" spans="1:7" x14ac:dyDescent="0.2">
      <c r="A2440" s="116">
        <f>IF(ISNUMBER(Tabela2[[#This Row],[CT-e/NFS]])=TRUE,(IF(B2440&gt;30000,4,IF(B2440&lt;1000,"ND",0))),"-")</f>
        <v>4</v>
      </c>
      <c r="B2440" s="116">
        <v>47108</v>
      </c>
      <c r="C2440" s="117">
        <v>45433</v>
      </c>
      <c r="D2440" s="116">
        <v>269.08999999999997</v>
      </c>
      <c r="E2440" s="117">
        <v>45442</v>
      </c>
      <c r="F2440" s="116">
        <f>COUNTIFS($A$3:A10699,A2440,$B$3:B10699,B2440)</f>
        <v>1</v>
      </c>
      <c r="G2440" s="116"/>
    </row>
    <row r="2441" spans="1:7" x14ac:dyDescent="0.2">
      <c r="A2441" s="116">
        <f>IF(ISNUMBER(Tabela2[[#This Row],[CT-e/NFS]])=TRUE,(IF(B2441&gt;30000,4,IF(B2441&lt;1000,"ND",0))),"-")</f>
        <v>4</v>
      </c>
      <c r="B2441" s="116">
        <v>47107</v>
      </c>
      <c r="C2441" s="117">
        <v>45433</v>
      </c>
      <c r="D2441" s="116">
        <v>261.72000000000003</v>
      </c>
      <c r="E2441" s="117">
        <v>45442</v>
      </c>
      <c r="F2441" s="116">
        <f>COUNTIFS($A$3:A10700,A2441,$B$3:B10700,B2441)</f>
        <v>1</v>
      </c>
      <c r="G2441" s="116"/>
    </row>
    <row r="2442" spans="1:7" x14ac:dyDescent="0.2">
      <c r="A2442" s="116">
        <f>IF(ISNUMBER(Tabela2[[#This Row],[CT-e/NFS]])=TRUE,(IF(B2442&gt;30000,4,IF(B2442&lt;1000,"ND",0))),"-")</f>
        <v>4</v>
      </c>
      <c r="B2442" s="116">
        <v>47103</v>
      </c>
      <c r="C2442" s="117">
        <v>45433</v>
      </c>
      <c r="D2442" s="116">
        <v>176.14</v>
      </c>
      <c r="E2442" s="117">
        <v>45442</v>
      </c>
      <c r="F2442" s="116">
        <f>COUNTIFS($A$3:A10701,A2442,$B$3:B10701,B2442)</f>
        <v>1</v>
      </c>
      <c r="G2442" s="116"/>
    </row>
    <row r="2443" spans="1:7" x14ac:dyDescent="0.2">
      <c r="A2443" s="116">
        <f>IF(ISNUMBER(Tabela2[[#This Row],[CT-e/NFS]])=TRUE,(IF(B2443&gt;30000,4,IF(B2443&lt;1000,"ND",0))),"-")</f>
        <v>4</v>
      </c>
      <c r="B2443" s="116">
        <v>47094</v>
      </c>
      <c r="C2443" s="117">
        <v>45433</v>
      </c>
      <c r="D2443" s="116">
        <v>2010.86</v>
      </c>
      <c r="E2443" s="117">
        <v>45442</v>
      </c>
      <c r="F2443" s="116">
        <f>COUNTIFS($A$3:A10702,A2443,$B$3:B10702,B2443)</f>
        <v>1</v>
      </c>
      <c r="G2443" s="116"/>
    </row>
    <row r="2444" spans="1:7" x14ac:dyDescent="0.2">
      <c r="A2444" s="116">
        <f>IF(ISNUMBER(Tabela2[[#This Row],[CT-e/NFS]])=TRUE,(IF(B2444&gt;30000,4,IF(B2444&lt;1000,"ND",0))),"-")</f>
        <v>0</v>
      </c>
      <c r="B2444" s="116">
        <v>21445</v>
      </c>
      <c r="C2444" s="117">
        <v>45433</v>
      </c>
      <c r="D2444" s="116">
        <v>75.709999999999994</v>
      </c>
      <c r="E2444" s="117">
        <v>45442</v>
      </c>
      <c r="F2444" s="116">
        <f>COUNTIFS($A$3:A10703,A2444,$B$3:B10703,B2444)</f>
        <v>1</v>
      </c>
      <c r="G2444" s="116"/>
    </row>
    <row r="2445" spans="1:7" x14ac:dyDescent="0.2">
      <c r="A2445" s="116">
        <f>IF(ISNUMBER(Tabela2[[#This Row],[CT-e/NFS]])=TRUE,(IF(B2445&gt;30000,4,IF(B2445&lt;1000,"ND",0))),"-")</f>
        <v>4</v>
      </c>
      <c r="B2445" s="116">
        <v>47111</v>
      </c>
      <c r="C2445" s="117">
        <v>45433</v>
      </c>
      <c r="D2445" s="116">
        <v>239.08</v>
      </c>
      <c r="E2445" s="117">
        <v>45442</v>
      </c>
      <c r="F2445" s="116">
        <f>COUNTIFS($A$3:A10704,A2445,$B$3:B10704,B2445)</f>
        <v>1</v>
      </c>
      <c r="G2445" s="116"/>
    </row>
    <row r="2446" spans="1:7" x14ac:dyDescent="0.2">
      <c r="A2446" s="116">
        <f>IF(ISNUMBER(Tabela2[[#This Row],[CT-e/NFS]])=TRUE,(IF(B2446&gt;30000,4,IF(B2446&lt;1000,"ND",0))),"-")</f>
        <v>4</v>
      </c>
      <c r="B2446" s="116">
        <v>47109</v>
      </c>
      <c r="C2446" s="117">
        <v>45433</v>
      </c>
      <c r="D2446" s="116">
        <v>124.32</v>
      </c>
      <c r="E2446" s="117">
        <v>45442</v>
      </c>
      <c r="F2446" s="116">
        <f>COUNTIFS($A$3:A10705,A2446,$B$3:B10705,B2446)</f>
        <v>1</v>
      </c>
      <c r="G2446" s="116"/>
    </row>
    <row r="2447" spans="1:7" x14ac:dyDescent="0.2">
      <c r="A2447" s="116">
        <f>IF(ISNUMBER(Tabela2[[#This Row],[CT-e/NFS]])=TRUE,(IF(B2447&gt;30000,4,IF(B2447&lt;1000,"ND",0))),"-")</f>
        <v>4</v>
      </c>
      <c r="B2447" s="116">
        <v>47110</v>
      </c>
      <c r="C2447" s="117">
        <v>45433</v>
      </c>
      <c r="D2447" s="116">
        <v>609.22</v>
      </c>
      <c r="E2447" s="117">
        <v>45442</v>
      </c>
      <c r="F2447" s="116">
        <f>COUNTIFS($A$3:A10706,A2447,$B$3:B10706,B2447)</f>
        <v>1</v>
      </c>
      <c r="G2447" s="116"/>
    </row>
    <row r="2448" spans="1:7" x14ac:dyDescent="0.2">
      <c r="A2448" s="116">
        <f>IF(ISNUMBER(Tabela2[[#This Row],[CT-e/NFS]])=TRUE,(IF(B2448&gt;30000,4,IF(B2448&lt;1000,"ND",0))),"-")</f>
        <v>4</v>
      </c>
      <c r="B2448" s="116">
        <v>47123</v>
      </c>
      <c r="C2448" s="117">
        <v>45433</v>
      </c>
      <c r="D2448" s="116">
        <v>122.78</v>
      </c>
      <c r="E2448" s="117">
        <v>45442</v>
      </c>
      <c r="F2448" s="116">
        <f>COUNTIFS($A$3:A10707,A2448,$B$3:B10707,B2448)</f>
        <v>1</v>
      </c>
      <c r="G2448" s="116"/>
    </row>
    <row r="2449" spans="1:7" x14ac:dyDescent="0.2">
      <c r="A2449" s="116">
        <f>IF(ISNUMBER(Tabela2[[#This Row],[CT-e/NFS]])=TRUE,(IF(B2449&gt;30000,4,IF(B2449&lt;1000,"ND",0))),"-")</f>
        <v>0</v>
      </c>
      <c r="B2449" s="116">
        <v>21405</v>
      </c>
      <c r="C2449" s="117">
        <v>45433</v>
      </c>
      <c r="D2449" s="116">
        <v>338.19</v>
      </c>
      <c r="E2449" s="117">
        <v>45442</v>
      </c>
      <c r="F2449" s="116">
        <f>COUNTIFS($A$3:A10708,A2449,$B$3:B10708,B2449)</f>
        <v>1</v>
      </c>
      <c r="G2449" s="116"/>
    </row>
    <row r="2450" spans="1:7" x14ac:dyDescent="0.2">
      <c r="A2450" s="116">
        <f>IF(ISNUMBER(Tabela2[[#This Row],[CT-e/NFS]])=TRUE,(IF(B2450&gt;30000,4,IF(B2450&lt;1000,"ND",0))),"-")</f>
        <v>0</v>
      </c>
      <c r="B2450" s="116">
        <v>21426</v>
      </c>
      <c r="C2450" s="117">
        <v>45433</v>
      </c>
      <c r="D2450" s="116">
        <v>38.78</v>
      </c>
      <c r="E2450" s="117">
        <v>45442</v>
      </c>
      <c r="F2450" s="116">
        <f>COUNTIFS($A$3:A10710,A2450,$B$3:B10710,B2450)</f>
        <v>1</v>
      </c>
      <c r="G2450" s="116"/>
    </row>
    <row r="2451" spans="1:7" x14ac:dyDescent="0.2">
      <c r="A2451" s="116">
        <f>IF(ISNUMBER(Tabela2[[#This Row],[CT-e/NFS]])=TRUE,(IF(B2451&gt;30000,4,IF(B2451&lt;1000,"ND",0))),"-")</f>
        <v>0</v>
      </c>
      <c r="B2451" s="116">
        <v>21427</v>
      </c>
      <c r="C2451" s="117">
        <v>45433</v>
      </c>
      <c r="D2451" s="116">
        <v>70</v>
      </c>
      <c r="E2451" s="117">
        <v>45442</v>
      </c>
      <c r="F2451" s="116">
        <f>COUNTIFS($A$3:A10711,A2451,$B$3:B10711,B2451)</f>
        <v>1</v>
      </c>
      <c r="G2451" s="116"/>
    </row>
    <row r="2452" spans="1:7" x14ac:dyDescent="0.2">
      <c r="A2452" s="116">
        <f>IF(ISNUMBER(Tabela2[[#This Row],[CT-e/NFS]])=TRUE,(IF(B2452&gt;30000,4,IF(B2452&lt;1000,"ND",0))),"-")</f>
        <v>4</v>
      </c>
      <c r="B2452" s="116">
        <v>47114</v>
      </c>
      <c r="C2452" s="117">
        <v>45433</v>
      </c>
      <c r="D2452" s="116">
        <v>124.16</v>
      </c>
      <c r="E2452" s="117">
        <v>45442</v>
      </c>
      <c r="F2452" s="116">
        <f>COUNTIFS($A$3:A10712,A2452,$B$3:B10712,B2452)</f>
        <v>1</v>
      </c>
      <c r="G2452" s="116"/>
    </row>
    <row r="2453" spans="1:7" x14ac:dyDescent="0.2">
      <c r="A2453" s="116">
        <f>IF(ISNUMBER(Tabela2[[#This Row],[CT-e/NFS]])=TRUE,(IF(B2453&gt;30000,4,IF(B2453&lt;1000,"ND",0))),"-")</f>
        <v>4</v>
      </c>
      <c r="B2453" s="116">
        <v>47112</v>
      </c>
      <c r="C2453" s="117">
        <v>45433</v>
      </c>
      <c r="D2453" s="116">
        <v>124.03</v>
      </c>
      <c r="E2453" s="117">
        <v>45442</v>
      </c>
      <c r="F2453" s="116">
        <f>COUNTIFS($A$3:A10713,A2453,$B$3:B10713,B2453)</f>
        <v>1</v>
      </c>
      <c r="G2453" s="116"/>
    </row>
    <row r="2454" spans="1:7" x14ac:dyDescent="0.2">
      <c r="A2454" s="116">
        <f>IF(ISNUMBER(Tabela2[[#This Row],[CT-e/NFS]])=TRUE,(IF(B2454&gt;30000,4,IF(B2454&lt;1000,"ND",0))),"-")</f>
        <v>4</v>
      </c>
      <c r="B2454" s="116">
        <v>47120</v>
      </c>
      <c r="C2454" s="117">
        <v>45433</v>
      </c>
      <c r="D2454" s="116">
        <v>123.94</v>
      </c>
      <c r="E2454" s="117">
        <v>45442</v>
      </c>
      <c r="F2454" s="116">
        <f>COUNTIFS($A$3:A10714,A2454,$B$3:B10714,B2454)</f>
        <v>1</v>
      </c>
      <c r="G2454" s="116"/>
    </row>
    <row r="2455" spans="1:7" x14ac:dyDescent="0.2">
      <c r="A2455" s="116">
        <f>IF(ISNUMBER(Tabela2[[#This Row],[CT-e/NFS]])=TRUE,(IF(B2455&gt;30000,4,IF(B2455&lt;1000,"ND",0))),"-")</f>
        <v>4</v>
      </c>
      <c r="B2455" s="116">
        <v>47119</v>
      </c>
      <c r="C2455" s="117">
        <v>45433</v>
      </c>
      <c r="D2455" s="116">
        <v>124.03</v>
      </c>
      <c r="E2455" s="117">
        <v>45442</v>
      </c>
      <c r="F2455" s="116">
        <f>COUNTIFS($A$3:A10715,A2455,$B$3:B10715,B2455)</f>
        <v>1</v>
      </c>
      <c r="G2455" s="116"/>
    </row>
    <row r="2456" spans="1:7" x14ac:dyDescent="0.2">
      <c r="A2456" s="116">
        <f>IF(ISNUMBER(Tabela2[[#This Row],[CT-e/NFS]])=TRUE,(IF(B2456&gt;30000,4,IF(B2456&lt;1000,"ND",0))),"-")</f>
        <v>4</v>
      </c>
      <c r="B2456" s="116">
        <v>47113</v>
      </c>
      <c r="C2456" s="117">
        <v>45433</v>
      </c>
      <c r="D2456" s="116">
        <v>124.03</v>
      </c>
      <c r="E2456" s="117">
        <v>45442</v>
      </c>
      <c r="F2456" s="116">
        <f>COUNTIFS($A$3:A10716,A2456,$B$3:B10716,B2456)</f>
        <v>1</v>
      </c>
      <c r="G2456" s="116"/>
    </row>
    <row r="2457" spans="1:7" x14ac:dyDescent="0.2">
      <c r="A2457" s="116">
        <f>IF(ISNUMBER(Tabela2[[#This Row],[CT-e/NFS]])=TRUE,(IF(B2457&gt;30000,4,IF(B2457&lt;1000,"ND",0))),"-")</f>
        <v>4</v>
      </c>
      <c r="B2457" s="116">
        <v>47124</v>
      </c>
      <c r="C2457" s="117">
        <v>45433</v>
      </c>
      <c r="D2457" s="116">
        <v>1086.26</v>
      </c>
      <c r="E2457" s="117">
        <v>45442</v>
      </c>
      <c r="F2457" s="116">
        <f>COUNTIFS($A$3:A10717,A2457,$B$3:B10717,B2457)</f>
        <v>1</v>
      </c>
      <c r="G2457" s="116"/>
    </row>
    <row r="2458" spans="1:7" x14ac:dyDescent="0.2">
      <c r="A2458" s="116">
        <f>IF(ISNUMBER(Tabela2[[#This Row],[CT-e/NFS]])=TRUE,(IF(B2458&gt;30000,4,IF(B2458&lt;1000,"ND",0))),"-")</f>
        <v>4</v>
      </c>
      <c r="B2458" s="116">
        <v>47117</v>
      </c>
      <c r="C2458" s="117">
        <v>45433</v>
      </c>
      <c r="D2458" s="116">
        <v>160.69999999999999</v>
      </c>
      <c r="E2458" s="117">
        <v>45442</v>
      </c>
      <c r="F2458" s="116">
        <f>COUNTIFS($A$3:A10718,A2458,$B$3:B10718,B2458)</f>
        <v>1</v>
      </c>
      <c r="G2458" s="116"/>
    </row>
    <row r="2459" spans="1:7" x14ac:dyDescent="0.2">
      <c r="A2459" s="116">
        <f>IF(ISNUMBER(Tabela2[[#This Row],[CT-e/NFS]])=TRUE,(IF(B2459&gt;30000,4,IF(B2459&lt;1000,"ND",0))),"-")</f>
        <v>4</v>
      </c>
      <c r="B2459" s="116">
        <v>47121</v>
      </c>
      <c r="C2459" s="117">
        <v>45433</v>
      </c>
      <c r="D2459" s="116">
        <v>125.16</v>
      </c>
      <c r="E2459" s="117">
        <v>45442</v>
      </c>
      <c r="F2459" s="116">
        <f>COUNTIFS($A$3:A10719,A2459,$B$3:B10719,B2459)</f>
        <v>1</v>
      </c>
      <c r="G2459" s="116"/>
    </row>
    <row r="2460" spans="1:7" x14ac:dyDescent="0.2">
      <c r="A2460" s="116">
        <f>IF(ISNUMBER(Tabela2[[#This Row],[CT-e/NFS]])=TRUE,(IF(B2460&gt;30000,4,IF(B2460&lt;1000,"ND",0))),"-")</f>
        <v>4</v>
      </c>
      <c r="B2460" s="116">
        <v>47118</v>
      </c>
      <c r="C2460" s="117">
        <v>45433</v>
      </c>
      <c r="D2460" s="116">
        <v>125.45</v>
      </c>
      <c r="E2460" s="117">
        <v>45442</v>
      </c>
      <c r="F2460" s="116">
        <f>COUNTIFS($A$3:A10720,A2460,$B$3:B10720,B2460)</f>
        <v>1</v>
      </c>
      <c r="G2460" s="116"/>
    </row>
    <row r="2461" spans="1:7" x14ac:dyDescent="0.2">
      <c r="A2461" s="116">
        <f>IF(ISNUMBER(Tabela2[[#This Row],[CT-e/NFS]])=TRUE,(IF(B2461&gt;30000,4,IF(B2461&lt;1000,"ND",0))),"-")</f>
        <v>4</v>
      </c>
      <c r="B2461" s="116">
        <v>47122</v>
      </c>
      <c r="C2461" s="117">
        <v>45433</v>
      </c>
      <c r="D2461" s="116">
        <v>124.45</v>
      </c>
      <c r="E2461" s="117">
        <v>45442</v>
      </c>
      <c r="F2461" s="116">
        <f>COUNTIFS($A$3:A10721,A2461,$B$3:B10721,B2461)</f>
        <v>1</v>
      </c>
      <c r="G2461" s="116"/>
    </row>
    <row r="2462" spans="1:7" x14ac:dyDescent="0.2">
      <c r="A2462" s="116">
        <f>IF(ISNUMBER(Tabela2[[#This Row],[CT-e/NFS]])=TRUE,(IF(B2462&gt;30000,4,IF(B2462&lt;1000,"ND",0))),"-")</f>
        <v>4</v>
      </c>
      <c r="B2462" s="116">
        <v>47115</v>
      </c>
      <c r="C2462" s="117">
        <v>45433</v>
      </c>
      <c r="D2462" s="116">
        <v>62.09</v>
      </c>
      <c r="E2462" s="117">
        <v>45442</v>
      </c>
      <c r="F2462" s="116">
        <f>COUNTIFS($A$3:A10722,A2462,$B$3:B10722,B2462)</f>
        <v>1</v>
      </c>
      <c r="G2462" s="116"/>
    </row>
    <row r="2463" spans="1:7" x14ac:dyDescent="0.2">
      <c r="A2463" s="116">
        <f>IF(ISNUMBER(Tabela2[[#This Row],[CT-e/NFS]])=TRUE,(IF(B2463&gt;30000,4,IF(B2463&lt;1000,"ND",0))),"-")</f>
        <v>4</v>
      </c>
      <c r="B2463" s="116">
        <v>47116</v>
      </c>
      <c r="C2463" s="117">
        <v>45433</v>
      </c>
      <c r="D2463" s="116">
        <v>111.91</v>
      </c>
      <c r="E2463" s="117">
        <v>45442</v>
      </c>
      <c r="F2463" s="116">
        <f>COUNTIFS($A$3:A10723,A2463,$B$3:B10723,B2463)</f>
        <v>1</v>
      </c>
      <c r="G2463" s="116"/>
    </row>
    <row r="2464" spans="1:7" x14ac:dyDescent="0.2">
      <c r="A2464" s="116">
        <f>IF(ISNUMBER(Tabela2[[#This Row],[CT-e/NFS]])=TRUE,(IF(B2464&gt;30000,4,IF(B2464&lt;1000,"ND",0))),"-")</f>
        <v>4</v>
      </c>
      <c r="B2464" s="116">
        <v>47125</v>
      </c>
      <c r="C2464" s="117">
        <v>45433</v>
      </c>
      <c r="D2464" s="116">
        <v>1245.6099999999999</v>
      </c>
      <c r="E2464" s="117">
        <v>45442</v>
      </c>
      <c r="F2464" s="116">
        <f>COUNTIFS($A$3:A10724,A2464,$B$3:B10724,B2464)</f>
        <v>1</v>
      </c>
      <c r="G2464" s="116"/>
    </row>
    <row r="2465" spans="1:7" x14ac:dyDescent="0.2">
      <c r="A2465" s="116">
        <f>IF(ISNUMBER(Tabela2[[#This Row],[CT-e/NFS]])=TRUE,(IF(B2465&gt;30000,4,IF(B2465&lt;1000,"ND",0))),"-")</f>
        <v>4</v>
      </c>
      <c r="B2465" s="116">
        <v>47095</v>
      </c>
      <c r="C2465" s="117">
        <v>45433</v>
      </c>
      <c r="D2465" s="116">
        <v>128.09</v>
      </c>
      <c r="E2465" s="117">
        <v>45442</v>
      </c>
      <c r="F2465" s="116">
        <f>COUNTIFS($A$3:A10725,A2465,$B$3:B10725,B2465)</f>
        <v>1</v>
      </c>
      <c r="G2465" s="116"/>
    </row>
    <row r="2466" spans="1:7" x14ac:dyDescent="0.2">
      <c r="A2466" s="116">
        <f>IF(ISNUMBER(Tabela2[[#This Row],[CT-e/NFS]])=TRUE,(IF(B2466&gt;30000,4,IF(B2466&lt;1000,"ND",0))),"-")</f>
        <v>4</v>
      </c>
      <c r="B2466" s="116">
        <v>47133</v>
      </c>
      <c r="C2466" s="117">
        <v>45433</v>
      </c>
      <c r="D2466" s="116">
        <v>122.93</v>
      </c>
      <c r="E2466" s="117">
        <v>45442</v>
      </c>
      <c r="F2466" s="116">
        <f>COUNTIFS($A$3:A10726,A2466,$B$3:B10726,B2466)</f>
        <v>1</v>
      </c>
      <c r="G2466" s="116"/>
    </row>
    <row r="2467" spans="1:7" x14ac:dyDescent="0.2">
      <c r="A2467" s="116">
        <f>IF(ISNUMBER(Tabela2[[#This Row],[CT-e/NFS]])=TRUE,(IF(B2467&gt;30000,4,IF(B2467&lt;1000,"ND",0))),"-")</f>
        <v>4</v>
      </c>
      <c r="B2467" s="116">
        <v>47132</v>
      </c>
      <c r="C2467" s="117">
        <v>45433</v>
      </c>
      <c r="D2467" s="116">
        <v>123.05</v>
      </c>
      <c r="E2467" s="117">
        <v>45442</v>
      </c>
      <c r="F2467" s="116">
        <f>COUNTIFS($A$3:A10727,A2467,$B$3:B10727,B2467)</f>
        <v>1</v>
      </c>
      <c r="G2467" s="116"/>
    </row>
    <row r="2468" spans="1:7" x14ac:dyDescent="0.2">
      <c r="A2468" s="116">
        <f>IF(ISNUMBER(Tabela2[[#This Row],[CT-e/NFS]])=TRUE,(IF(B2468&gt;30000,4,IF(B2468&lt;1000,"ND",0))),"-")</f>
        <v>4</v>
      </c>
      <c r="B2468" s="116">
        <v>47143</v>
      </c>
      <c r="C2468" s="117">
        <v>45433</v>
      </c>
      <c r="D2468" s="116">
        <v>122.93</v>
      </c>
      <c r="E2468" s="117">
        <v>45442</v>
      </c>
      <c r="F2468" s="116">
        <f>COUNTIFS($A$3:A10728,A2468,$B$3:B10728,B2468)</f>
        <v>1</v>
      </c>
      <c r="G2468" s="116"/>
    </row>
    <row r="2469" spans="1:7" x14ac:dyDescent="0.2">
      <c r="A2469" s="116">
        <f>IF(ISNUMBER(Tabela2[[#This Row],[CT-e/NFS]])=TRUE,(IF(B2469&gt;30000,4,IF(B2469&lt;1000,"ND",0))),"-")</f>
        <v>4</v>
      </c>
      <c r="B2469" s="116">
        <v>47141</v>
      </c>
      <c r="C2469" s="117">
        <v>45433</v>
      </c>
      <c r="D2469" s="116">
        <v>240.59</v>
      </c>
      <c r="E2469" s="117">
        <v>45442</v>
      </c>
      <c r="F2469" s="116">
        <f>COUNTIFS($A$3:A10729,A2469,$B$3:B10729,B2469)</f>
        <v>1</v>
      </c>
      <c r="G2469" s="116"/>
    </row>
    <row r="2470" spans="1:7" x14ac:dyDescent="0.2">
      <c r="A2470" s="116">
        <f>IF(ISNUMBER(Tabela2[[#This Row],[CT-e/NFS]])=TRUE,(IF(B2470&gt;30000,4,IF(B2470&lt;1000,"ND",0))),"-")</f>
        <v>4</v>
      </c>
      <c r="B2470" s="116">
        <v>47142</v>
      </c>
      <c r="C2470" s="117">
        <v>45433</v>
      </c>
      <c r="D2470" s="116">
        <v>123.89</v>
      </c>
      <c r="E2470" s="117">
        <v>45442</v>
      </c>
      <c r="F2470" s="116">
        <f>COUNTIFS($A$3:A10730,A2470,$B$3:B10730,B2470)</f>
        <v>1</v>
      </c>
      <c r="G2470" s="116"/>
    </row>
    <row r="2471" spans="1:7" x14ac:dyDescent="0.2">
      <c r="A2471" s="116">
        <f>IF(ISNUMBER(Tabela2[[#This Row],[CT-e/NFS]])=TRUE,(IF(B2471&gt;30000,4,IF(B2471&lt;1000,"ND",0))),"-")</f>
        <v>4</v>
      </c>
      <c r="B2471" s="116">
        <v>47130</v>
      </c>
      <c r="C2471" s="117">
        <v>45433</v>
      </c>
      <c r="D2471" s="116">
        <v>229.78</v>
      </c>
      <c r="E2471" s="117">
        <v>45442</v>
      </c>
      <c r="F2471" s="116">
        <f>COUNTIFS($A$3:A10731,A2471,$B$3:B10731,B2471)</f>
        <v>1</v>
      </c>
      <c r="G2471" s="116"/>
    </row>
    <row r="2472" spans="1:7" x14ac:dyDescent="0.2">
      <c r="A2472" s="116">
        <f>IF(ISNUMBER(Tabela2[[#This Row],[CT-e/NFS]])=TRUE,(IF(B2472&gt;30000,4,IF(B2472&lt;1000,"ND",0))),"-")</f>
        <v>4</v>
      </c>
      <c r="B2472" s="116">
        <v>47131</v>
      </c>
      <c r="C2472" s="117">
        <v>45433</v>
      </c>
      <c r="D2472" s="116">
        <v>123.31</v>
      </c>
      <c r="E2472" s="117">
        <v>45442</v>
      </c>
      <c r="F2472" s="116">
        <f>COUNTIFS($A$3:A10732,A2472,$B$3:B10732,B2472)</f>
        <v>1</v>
      </c>
      <c r="G2472" s="116"/>
    </row>
    <row r="2473" spans="1:7" x14ac:dyDescent="0.2">
      <c r="A2473" s="116">
        <f>IF(ISNUMBER(Tabela2[[#This Row],[CT-e/NFS]])=TRUE,(IF(B2473&gt;30000,4,IF(B2473&lt;1000,"ND",0))),"-")</f>
        <v>4</v>
      </c>
      <c r="B2473" s="116">
        <v>47137</v>
      </c>
      <c r="C2473" s="117">
        <v>45433</v>
      </c>
      <c r="D2473" s="116">
        <v>142.66</v>
      </c>
      <c r="E2473" s="117">
        <v>45442</v>
      </c>
      <c r="F2473" s="116">
        <f>COUNTIFS($A$3:A10733,A2473,$B$3:B10733,B2473)</f>
        <v>1</v>
      </c>
      <c r="G2473" s="116"/>
    </row>
    <row r="2474" spans="1:7" x14ac:dyDescent="0.2">
      <c r="A2474" s="116">
        <f>IF(ISNUMBER(Tabela2[[#This Row],[CT-e/NFS]])=TRUE,(IF(B2474&gt;30000,4,IF(B2474&lt;1000,"ND",0))),"-")</f>
        <v>4</v>
      </c>
      <c r="B2474" s="116">
        <v>47134</v>
      </c>
      <c r="C2474" s="117">
        <v>45433</v>
      </c>
      <c r="D2474" s="116">
        <v>508.42</v>
      </c>
      <c r="E2474" s="117">
        <v>45442</v>
      </c>
      <c r="F2474" s="116">
        <f>COUNTIFS($A$3:A10734,A2474,$B$3:B10734,B2474)</f>
        <v>1</v>
      </c>
      <c r="G2474" s="116"/>
    </row>
    <row r="2475" spans="1:7" x14ac:dyDescent="0.2">
      <c r="A2475" s="116">
        <f>IF(ISNUMBER(Tabela2[[#This Row],[CT-e/NFS]])=TRUE,(IF(B2475&gt;30000,4,IF(B2475&lt;1000,"ND",0))),"-")</f>
        <v>4</v>
      </c>
      <c r="B2475" s="116">
        <v>47139</v>
      </c>
      <c r="C2475" s="117">
        <v>45433</v>
      </c>
      <c r="D2475" s="116">
        <v>122.77</v>
      </c>
      <c r="E2475" s="117">
        <v>45442</v>
      </c>
      <c r="F2475" s="116">
        <f>COUNTIFS($A$3:A10735,A2475,$B$3:B10735,B2475)</f>
        <v>1</v>
      </c>
      <c r="G2475" s="116"/>
    </row>
    <row r="2476" spans="1:7" x14ac:dyDescent="0.2">
      <c r="A2476" s="116">
        <f>IF(ISNUMBER(Tabela2[[#This Row],[CT-e/NFS]])=TRUE,(IF(B2476&gt;30000,4,IF(B2476&lt;1000,"ND",0))),"-")</f>
        <v>4</v>
      </c>
      <c r="B2476" s="116">
        <v>47140</v>
      </c>
      <c r="C2476" s="117">
        <v>45433</v>
      </c>
      <c r="D2476" s="116">
        <v>124.22</v>
      </c>
      <c r="E2476" s="117">
        <v>45442</v>
      </c>
      <c r="F2476" s="116">
        <f>COUNTIFS($A$3:A10736,A2476,$B$3:B10736,B2476)</f>
        <v>1</v>
      </c>
      <c r="G2476" s="116"/>
    </row>
    <row r="2477" spans="1:7" x14ac:dyDescent="0.2">
      <c r="A2477" s="116">
        <f>IF(ISNUMBER(Tabela2[[#This Row],[CT-e/NFS]])=TRUE,(IF(B2477&gt;30000,4,IF(B2477&lt;1000,"ND",0))),"-")</f>
        <v>4</v>
      </c>
      <c r="B2477" s="116">
        <v>47138</v>
      </c>
      <c r="C2477" s="117">
        <v>45433</v>
      </c>
      <c r="D2477" s="116">
        <v>123.13</v>
      </c>
      <c r="E2477" s="117">
        <v>45442</v>
      </c>
      <c r="F2477" s="116">
        <f>COUNTIFS($A$3:A10737,A2477,$B$3:B10737,B2477)</f>
        <v>1</v>
      </c>
      <c r="G2477" s="116"/>
    </row>
    <row r="2478" spans="1:7" x14ac:dyDescent="0.2">
      <c r="A2478" s="116">
        <f>IF(ISNUMBER(Tabela2[[#This Row],[CT-e/NFS]])=TRUE,(IF(B2478&gt;30000,4,IF(B2478&lt;1000,"ND",0))),"-")</f>
        <v>4</v>
      </c>
      <c r="B2478" s="116">
        <v>47135</v>
      </c>
      <c r="C2478" s="117">
        <v>45433</v>
      </c>
      <c r="D2478" s="116">
        <v>254.22</v>
      </c>
      <c r="E2478" s="117">
        <v>45442</v>
      </c>
      <c r="F2478" s="116">
        <f>COUNTIFS($A$3:A10738,A2478,$B$3:B10738,B2478)</f>
        <v>1</v>
      </c>
      <c r="G2478" s="116"/>
    </row>
    <row r="2479" spans="1:7" x14ac:dyDescent="0.2">
      <c r="A2479" s="116">
        <f>IF(ISNUMBER(Tabela2[[#This Row],[CT-e/NFS]])=TRUE,(IF(B2479&gt;30000,4,IF(B2479&lt;1000,"ND",0))),"-")</f>
        <v>4</v>
      </c>
      <c r="B2479" s="116">
        <v>47129</v>
      </c>
      <c r="C2479" s="117">
        <v>45433</v>
      </c>
      <c r="D2479" s="116">
        <v>702.11</v>
      </c>
      <c r="E2479" s="117">
        <v>45442</v>
      </c>
      <c r="F2479" s="116">
        <f>COUNTIFS($A$3:A10739,A2479,$B$3:B10739,B2479)</f>
        <v>1</v>
      </c>
      <c r="G2479" s="116"/>
    </row>
    <row r="2480" spans="1:7" x14ac:dyDescent="0.2">
      <c r="A2480" s="116">
        <f>IF(ISNUMBER(Tabela2[[#This Row],[CT-e/NFS]])=TRUE,(IF(B2480&gt;30000,4,IF(B2480&lt;1000,"ND",0))),"-")</f>
        <v>4</v>
      </c>
      <c r="B2480" s="116">
        <v>47148</v>
      </c>
      <c r="C2480" s="117">
        <v>45433</v>
      </c>
      <c r="D2480" s="116">
        <v>1234.52</v>
      </c>
      <c r="E2480" s="117">
        <v>45442</v>
      </c>
      <c r="F2480" s="116">
        <f>COUNTIFS($A$3:A10740,A2480,$B$3:B10740,B2480)</f>
        <v>1</v>
      </c>
      <c r="G2480" s="116"/>
    </row>
    <row r="2481" spans="1:7" x14ac:dyDescent="0.2">
      <c r="A2481" s="116">
        <f>IF(ISNUMBER(Tabela2[[#This Row],[CT-e/NFS]])=TRUE,(IF(B2481&gt;30000,4,IF(B2481&lt;1000,"ND",0))),"-")</f>
        <v>4</v>
      </c>
      <c r="B2481" s="116">
        <v>47126</v>
      </c>
      <c r="C2481" s="117">
        <v>45433</v>
      </c>
      <c r="D2481" s="116">
        <v>283.02999999999997</v>
      </c>
      <c r="E2481" s="117">
        <v>45442</v>
      </c>
      <c r="F2481" s="116">
        <f>COUNTIFS($A$3:A10741,A2481,$B$3:B10741,B2481)</f>
        <v>1</v>
      </c>
      <c r="G2481" s="116"/>
    </row>
    <row r="2482" spans="1:7" x14ac:dyDescent="0.2">
      <c r="A2482" s="116">
        <f>IF(ISNUMBER(Tabela2[[#This Row],[CT-e/NFS]])=TRUE,(IF(B2482&gt;30000,4,IF(B2482&lt;1000,"ND",0))),"-")</f>
        <v>4</v>
      </c>
      <c r="B2482" s="116">
        <v>47147</v>
      </c>
      <c r="C2482" s="117">
        <v>45433</v>
      </c>
      <c r="D2482" s="116">
        <v>1086.24</v>
      </c>
      <c r="E2482" s="117">
        <v>45442</v>
      </c>
      <c r="F2482" s="116">
        <f>COUNTIFS($A$3:A10742,A2482,$B$3:B10742,B2482)</f>
        <v>1</v>
      </c>
      <c r="G2482" s="116"/>
    </row>
    <row r="2483" spans="1:7" x14ac:dyDescent="0.2">
      <c r="A2483" s="116">
        <f>IF(ISNUMBER(Tabela2[[#This Row],[CT-e/NFS]])=TRUE,(IF(B2483&gt;30000,4,IF(B2483&lt;1000,"ND",0))),"-")</f>
        <v>4</v>
      </c>
      <c r="B2483" s="116">
        <v>47146</v>
      </c>
      <c r="C2483" s="117">
        <v>45433</v>
      </c>
      <c r="D2483" s="116">
        <v>147.80000000000001</v>
      </c>
      <c r="E2483" s="117">
        <v>45442</v>
      </c>
      <c r="F2483" s="116">
        <f>COUNTIFS($A$3:A10743,A2483,$B$3:B10743,B2483)</f>
        <v>1</v>
      </c>
      <c r="G2483" s="116"/>
    </row>
    <row r="2484" spans="1:7" x14ac:dyDescent="0.2">
      <c r="A2484" s="116">
        <f>IF(ISNUMBER(Tabela2[[#This Row],[CT-e/NFS]])=TRUE,(IF(B2484&gt;30000,4,IF(B2484&lt;1000,"ND",0))),"-")</f>
        <v>4</v>
      </c>
      <c r="B2484" s="116">
        <v>47070</v>
      </c>
      <c r="C2484" s="117">
        <v>45433</v>
      </c>
      <c r="D2484" s="116">
        <v>702.74</v>
      </c>
      <c r="E2484" s="117">
        <v>45442</v>
      </c>
      <c r="F2484" s="116">
        <f>COUNTIFS($A$3:A10744,A2484,$B$3:B10744,B2484)</f>
        <v>1</v>
      </c>
      <c r="G2484" s="116"/>
    </row>
    <row r="2485" spans="1:7" x14ac:dyDescent="0.2">
      <c r="A2485" s="116">
        <f>IF(ISNUMBER(Tabela2[[#This Row],[CT-e/NFS]])=TRUE,(IF(B2485&gt;30000,4,IF(B2485&lt;1000,"ND",0))),"-")</f>
        <v>4</v>
      </c>
      <c r="B2485" s="116">
        <v>47127</v>
      </c>
      <c r="C2485" s="117">
        <v>45433</v>
      </c>
      <c r="D2485" s="116">
        <v>17270.71</v>
      </c>
      <c r="E2485" s="117">
        <v>45442</v>
      </c>
      <c r="F2485" s="116">
        <f>COUNTIFS($A$3:A10745,A2485,$B$3:B10745,B2485)</f>
        <v>1</v>
      </c>
      <c r="G2485" s="116"/>
    </row>
    <row r="2486" spans="1:7" x14ac:dyDescent="0.2">
      <c r="A2486" s="116">
        <f>IF(ISNUMBER(Tabela2[[#This Row],[CT-e/NFS]])=TRUE,(IF(B2486&gt;30000,4,IF(B2486&lt;1000,"ND",0))),"-")</f>
        <v>4</v>
      </c>
      <c r="B2486" s="116">
        <v>47149</v>
      </c>
      <c r="C2486" s="117">
        <v>45433</v>
      </c>
      <c r="D2486" s="116">
        <v>3544.77</v>
      </c>
      <c r="E2486" s="117">
        <v>45442</v>
      </c>
      <c r="F2486" s="116">
        <f>COUNTIFS($A$3:A10746,A2486,$B$3:B10746,B2486)</f>
        <v>1</v>
      </c>
      <c r="G2486" s="116"/>
    </row>
    <row r="2487" spans="1:7" x14ac:dyDescent="0.2">
      <c r="A2487" s="116">
        <f>IF(ISNUMBER(Tabela2[[#This Row],[CT-e/NFS]])=TRUE,(IF(B2487&gt;30000,4,IF(B2487&lt;1000,"ND",0))),"-")</f>
        <v>4</v>
      </c>
      <c r="B2487" s="116">
        <v>47128</v>
      </c>
      <c r="C2487" s="117">
        <v>45433</v>
      </c>
      <c r="D2487" s="116">
        <v>1153.5999999999999</v>
      </c>
      <c r="E2487" s="117">
        <v>45442</v>
      </c>
      <c r="F2487" s="116">
        <f>COUNTIFS($A$3:A10747,A2487,$B$3:B10747,B2487)</f>
        <v>1</v>
      </c>
      <c r="G2487" s="116"/>
    </row>
    <row r="2488" spans="1:7" x14ac:dyDescent="0.2">
      <c r="A2488" s="116">
        <f>IF(ISNUMBER(Tabela2[[#This Row],[CT-e/NFS]])=TRUE,(IF(B2488&gt;30000,4,IF(B2488&lt;1000,"ND",0))),"-")</f>
        <v>0</v>
      </c>
      <c r="B2488" s="116">
        <v>21443</v>
      </c>
      <c r="C2488" s="117">
        <v>45433</v>
      </c>
      <c r="D2488" s="116">
        <v>597.03</v>
      </c>
      <c r="E2488" s="117">
        <v>45442</v>
      </c>
      <c r="F2488" s="116">
        <f>COUNTIFS($A$3:A10748,A2488,$B$3:B10748,B2488)</f>
        <v>1</v>
      </c>
      <c r="G2488" s="116"/>
    </row>
    <row r="2489" spans="1:7" x14ac:dyDescent="0.2">
      <c r="A2489" s="116">
        <f>IF(ISNUMBER(Tabela2[[#This Row],[CT-e/NFS]])=TRUE,(IF(B2489&gt;30000,4,IF(B2489&lt;1000,"ND",0))),"-")</f>
        <v>4</v>
      </c>
      <c r="B2489" s="116">
        <v>47003</v>
      </c>
      <c r="C2489" s="117">
        <v>45433</v>
      </c>
      <c r="D2489" s="116">
        <v>959.44</v>
      </c>
      <c r="E2489" s="117">
        <v>45442</v>
      </c>
      <c r="F2489" s="116">
        <f>COUNTIFS($A$3:A10749,A2489,$B$3:B10749,B2489)</f>
        <v>1</v>
      </c>
      <c r="G2489" s="116"/>
    </row>
    <row r="2490" spans="1:7" x14ac:dyDescent="0.2">
      <c r="A2490" s="116">
        <f>IF(ISNUMBER(Tabela2[[#This Row],[CT-e/NFS]])=TRUE,(IF(B2490&gt;30000,4,IF(B2490&lt;1000,"ND",0))),"-")</f>
        <v>4</v>
      </c>
      <c r="B2490" s="116">
        <v>47004</v>
      </c>
      <c r="C2490" s="117">
        <v>45433</v>
      </c>
      <c r="D2490" s="116">
        <v>396.45</v>
      </c>
      <c r="E2490" s="117">
        <v>45442</v>
      </c>
      <c r="F2490" s="116">
        <f>COUNTIFS($A$3:A10750,A2490,$B$3:B10750,B2490)</f>
        <v>1</v>
      </c>
      <c r="G2490" s="116"/>
    </row>
    <row r="2491" spans="1:7" x14ac:dyDescent="0.2">
      <c r="A2491" s="116">
        <f>IF(ISNUMBER(Tabela2[[#This Row],[CT-e/NFS]])=TRUE,(IF(B2491&gt;30000,4,IF(B2491&lt;1000,"ND",0))),"-")</f>
        <v>0</v>
      </c>
      <c r="B2491" s="116">
        <v>21434</v>
      </c>
      <c r="C2491" s="117">
        <v>45433</v>
      </c>
      <c r="D2491" s="116">
        <v>572.15</v>
      </c>
      <c r="E2491" s="117">
        <v>45442</v>
      </c>
      <c r="F2491" s="116">
        <f>COUNTIFS($A$3:A10751,A2491,$B$3:B10751,B2491)</f>
        <v>1</v>
      </c>
      <c r="G2491" s="116"/>
    </row>
    <row r="2492" spans="1:7" x14ac:dyDescent="0.2">
      <c r="A2492" s="116">
        <f>IF(ISNUMBER(Tabela2[[#This Row],[CT-e/NFS]])=TRUE,(IF(B2492&gt;30000,4,IF(B2492&lt;1000,"ND",0))),"-")</f>
        <v>4</v>
      </c>
      <c r="B2492" s="116">
        <v>47333</v>
      </c>
      <c r="C2492" s="117">
        <v>45454</v>
      </c>
      <c r="D2492" s="116">
        <v>467.33</v>
      </c>
      <c r="E2492" s="117">
        <v>45458</v>
      </c>
      <c r="F2492" s="116">
        <f>COUNTIFS($A$3:A10748,A2492,$B$3:B10748,B2492)</f>
        <v>1</v>
      </c>
      <c r="G2492" s="116"/>
    </row>
    <row r="2493" spans="1:7" x14ac:dyDescent="0.2">
      <c r="A2493" s="116">
        <f>IF(ISNUMBER(Tabela2[[#This Row],[CT-e/NFS]])=TRUE,(IF(B2493&gt;30000,4,IF(B2493&lt;1000,"ND",0))),"-")</f>
        <v>4</v>
      </c>
      <c r="B2493" s="116">
        <v>47327</v>
      </c>
      <c r="C2493" s="117">
        <v>45454</v>
      </c>
      <c r="D2493" s="116">
        <v>125.81</v>
      </c>
      <c r="E2493" s="117">
        <v>45458</v>
      </c>
      <c r="F2493" s="116">
        <f>COUNTIFS($A$3:A10749,A2493,$B$3:B10749,B2493)</f>
        <v>1</v>
      </c>
      <c r="G2493" s="116"/>
    </row>
    <row r="2494" spans="1:7" x14ac:dyDescent="0.2">
      <c r="A2494" s="116">
        <f>IF(ISNUMBER(Tabela2[[#This Row],[CT-e/NFS]])=TRUE,(IF(B2494&gt;30000,4,IF(B2494&lt;1000,"ND",0))),"-")</f>
        <v>4</v>
      </c>
      <c r="B2494" s="116">
        <v>47319</v>
      </c>
      <c r="C2494" s="117">
        <v>45454</v>
      </c>
      <c r="D2494" s="116">
        <v>125.35</v>
      </c>
      <c r="E2494" s="117">
        <v>45458</v>
      </c>
      <c r="F2494" s="116">
        <f>COUNTIFS($A$3:A10750,A2494,$B$3:B10750,B2494)</f>
        <v>1</v>
      </c>
      <c r="G2494" s="116"/>
    </row>
    <row r="2495" spans="1:7" x14ac:dyDescent="0.2">
      <c r="A2495" s="116">
        <f>IF(ISNUMBER(Tabela2[[#This Row],[CT-e/NFS]])=TRUE,(IF(B2495&gt;30000,4,IF(B2495&lt;1000,"ND",0))),"-")</f>
        <v>4</v>
      </c>
      <c r="B2495" s="116">
        <v>47328</v>
      </c>
      <c r="C2495" s="117">
        <v>45454</v>
      </c>
      <c r="D2495" s="116">
        <v>229.01</v>
      </c>
      <c r="E2495" s="117">
        <v>45458</v>
      </c>
      <c r="F2495" s="116">
        <f>COUNTIFS($A$3:A10751,A2495,$B$3:B10751,B2495)</f>
        <v>1</v>
      </c>
      <c r="G2495" s="116"/>
    </row>
    <row r="2496" spans="1:7" x14ac:dyDescent="0.2">
      <c r="A2496" s="116">
        <f>IF(ISNUMBER(Tabela2[[#This Row],[CT-e/NFS]])=TRUE,(IF(B2496&gt;30000,4,IF(B2496&lt;1000,"ND",0))),"-")</f>
        <v>4</v>
      </c>
      <c r="B2496" s="116">
        <v>47329</v>
      </c>
      <c r="C2496" s="117">
        <v>45454</v>
      </c>
      <c r="D2496" s="116">
        <v>170.48</v>
      </c>
      <c r="E2496" s="117">
        <v>45458</v>
      </c>
      <c r="F2496" s="116">
        <f>COUNTIFS($A$3:A10752,A2496,$B$3:B10752,B2496)</f>
        <v>1</v>
      </c>
      <c r="G2496" s="116"/>
    </row>
    <row r="2497" spans="1:7" x14ac:dyDescent="0.2">
      <c r="A2497" s="116">
        <f>IF(ISNUMBER(Tabela2[[#This Row],[CT-e/NFS]])=TRUE,(IF(B2497&gt;30000,4,IF(B2497&lt;1000,"ND",0))),"-")</f>
        <v>4</v>
      </c>
      <c r="B2497" s="116">
        <v>47318</v>
      </c>
      <c r="C2497" s="117">
        <v>45454</v>
      </c>
      <c r="D2497" s="116">
        <v>168.92</v>
      </c>
      <c r="E2497" s="117">
        <v>45458</v>
      </c>
      <c r="F2497" s="116">
        <f>COUNTIFS($A$3:A10753,A2497,$B$3:B10753,B2497)</f>
        <v>1</v>
      </c>
      <c r="G2497" s="116"/>
    </row>
    <row r="2498" spans="1:7" x14ac:dyDescent="0.2">
      <c r="A2498" s="116">
        <f>IF(ISNUMBER(Tabela2[[#This Row],[CT-e/NFS]])=TRUE,(IF(B2498&gt;30000,4,IF(B2498&lt;1000,"ND",0))),"-")</f>
        <v>4</v>
      </c>
      <c r="B2498" s="116">
        <v>47330</v>
      </c>
      <c r="C2498" s="117">
        <v>45454</v>
      </c>
      <c r="D2498" s="116">
        <v>309.82</v>
      </c>
      <c r="E2498" s="117">
        <v>45458</v>
      </c>
      <c r="F2498" s="116">
        <f>COUNTIFS($A$3:A10754,A2498,$B$3:B10754,B2498)</f>
        <v>1</v>
      </c>
      <c r="G2498" s="116"/>
    </row>
    <row r="2499" spans="1:7" x14ac:dyDescent="0.2">
      <c r="A2499" s="116">
        <f>IF(ISNUMBER(Tabela2[[#This Row],[CT-e/NFS]])=TRUE,(IF(B2499&gt;30000,4,IF(B2499&lt;1000,"ND",0))),"-")</f>
        <v>4</v>
      </c>
      <c r="B2499" s="116">
        <v>47320</v>
      </c>
      <c r="C2499" s="117">
        <v>45454</v>
      </c>
      <c r="D2499" s="116">
        <v>289.17</v>
      </c>
      <c r="E2499" s="117">
        <v>45458</v>
      </c>
      <c r="F2499" s="116">
        <f>COUNTIFS($A$3:A10755,A2499,$B$3:B10755,B2499)</f>
        <v>1</v>
      </c>
      <c r="G2499" s="116"/>
    </row>
    <row r="2500" spans="1:7" x14ac:dyDescent="0.2">
      <c r="A2500" s="116">
        <f>IF(ISNUMBER(Tabela2[[#This Row],[CT-e/NFS]])=TRUE,(IF(B2500&gt;30000,4,IF(B2500&lt;1000,"ND",0))),"-")</f>
        <v>4</v>
      </c>
      <c r="B2500" s="116">
        <v>47331</v>
      </c>
      <c r="C2500" s="117">
        <v>45454</v>
      </c>
      <c r="D2500" s="116">
        <v>123.89</v>
      </c>
      <c r="E2500" s="117">
        <v>45458</v>
      </c>
      <c r="F2500" s="116">
        <f>COUNTIFS($A$3:A10756,A2500,$B$3:B10756,B2500)</f>
        <v>1</v>
      </c>
      <c r="G2500" s="116"/>
    </row>
    <row r="2501" spans="1:7" x14ac:dyDescent="0.2">
      <c r="A2501" s="116">
        <f>IF(ISNUMBER(Tabela2[[#This Row],[CT-e/NFS]])=TRUE,(IF(B2501&gt;30000,4,IF(B2501&lt;1000,"ND",0))),"-")</f>
        <v>4</v>
      </c>
      <c r="B2501" s="116">
        <v>47332</v>
      </c>
      <c r="C2501" s="117">
        <v>45454</v>
      </c>
      <c r="D2501" s="116">
        <v>124.52</v>
      </c>
      <c r="E2501" s="117">
        <v>45458</v>
      </c>
      <c r="F2501" s="116">
        <f>COUNTIFS($A$3:A10757,A2501,$B$3:B10757,B2501)</f>
        <v>1</v>
      </c>
      <c r="G2501" s="116"/>
    </row>
    <row r="2502" spans="1:7" x14ac:dyDescent="0.2">
      <c r="A2502" s="116">
        <f>IF(ISNUMBER(Tabela2[[#This Row],[CT-e/NFS]])=TRUE,(IF(B2502&gt;30000,4,IF(B2502&lt;1000,"ND",0))),"-")</f>
        <v>4</v>
      </c>
      <c r="B2502" s="116">
        <v>47326</v>
      </c>
      <c r="C2502" s="117">
        <v>45454</v>
      </c>
      <c r="D2502" s="116">
        <v>124.38</v>
      </c>
      <c r="E2502" s="117">
        <v>45458</v>
      </c>
      <c r="F2502" s="116">
        <f>COUNTIFS($A$3:A10758,A2502,$B$3:B10758,B2502)</f>
        <v>1</v>
      </c>
      <c r="G2502" s="116"/>
    </row>
    <row r="2503" spans="1:7" x14ac:dyDescent="0.2">
      <c r="A2503" s="116">
        <f>IF(ISNUMBER(Tabela2[[#This Row],[CT-e/NFS]])=TRUE,(IF(B2503&gt;30000,4,IF(B2503&lt;1000,"ND",0))),"-")</f>
        <v>4</v>
      </c>
      <c r="B2503" s="116">
        <v>47317</v>
      </c>
      <c r="C2503" s="117">
        <v>45454</v>
      </c>
      <c r="D2503" s="116">
        <v>201</v>
      </c>
      <c r="E2503" s="117">
        <v>45458</v>
      </c>
      <c r="F2503" s="116">
        <f>COUNTIFS($A$3:A10759,A2503,$B$3:B10759,B2503)</f>
        <v>1</v>
      </c>
      <c r="G2503" s="116"/>
    </row>
    <row r="2504" spans="1:7" x14ac:dyDescent="0.2">
      <c r="A2504" s="116">
        <f>IF(ISNUMBER(Tabela2[[#This Row],[CT-e/NFS]])=TRUE,(IF(B2504&gt;30000,4,IF(B2504&lt;1000,"ND",0))),"-")</f>
        <v>4</v>
      </c>
      <c r="B2504" s="116">
        <v>47325</v>
      </c>
      <c r="C2504" s="117">
        <v>45454</v>
      </c>
      <c r="D2504" s="116">
        <v>126</v>
      </c>
      <c r="E2504" s="117">
        <v>45458</v>
      </c>
      <c r="F2504" s="116">
        <f>COUNTIFS($A$3:A10760,A2504,$B$3:B10760,B2504)</f>
        <v>1</v>
      </c>
      <c r="G2504" s="116"/>
    </row>
    <row r="2505" spans="1:7" x14ac:dyDescent="0.2">
      <c r="A2505" s="116">
        <f>IF(ISNUMBER(Tabela2[[#This Row],[CT-e/NFS]])=TRUE,(IF(B2505&gt;30000,4,IF(B2505&lt;1000,"ND",0))),"-")</f>
        <v>4</v>
      </c>
      <c r="B2505" s="116">
        <v>47334</v>
      </c>
      <c r="C2505" s="117">
        <v>45454</v>
      </c>
      <c r="D2505" s="116">
        <v>408.02</v>
      </c>
      <c r="E2505" s="117">
        <v>45458</v>
      </c>
      <c r="F2505" s="116">
        <f>COUNTIFS($A$3:A10761,A2505,$B$3:B10761,B2505)</f>
        <v>1</v>
      </c>
      <c r="G2505" s="116"/>
    </row>
    <row r="2506" spans="1:7" x14ac:dyDescent="0.2">
      <c r="A2506" s="116">
        <f>IF(ISNUMBER(Tabela2[[#This Row],[CT-e/NFS]])=TRUE,(IF(B2506&gt;30000,4,IF(B2506&lt;1000,"ND",0))),"-")</f>
        <v>4</v>
      </c>
      <c r="B2506" s="116">
        <v>47323</v>
      </c>
      <c r="C2506" s="117">
        <v>45454</v>
      </c>
      <c r="D2506" s="116">
        <v>532.16999999999996</v>
      </c>
      <c r="E2506" s="117">
        <v>45458</v>
      </c>
      <c r="F2506" s="116">
        <f>COUNTIFS($A$3:A10762,A2506,$B$3:B10762,B2506)</f>
        <v>1</v>
      </c>
      <c r="G2506" s="116"/>
    </row>
    <row r="2507" spans="1:7" x14ac:dyDescent="0.2">
      <c r="A2507" s="116">
        <f>IF(ISNUMBER(Tabela2[[#This Row],[CT-e/NFS]])=TRUE,(IF(B2507&gt;30000,4,IF(B2507&lt;1000,"ND",0))),"-")</f>
        <v>4</v>
      </c>
      <c r="B2507" s="116">
        <v>47324</v>
      </c>
      <c r="C2507" s="117">
        <v>45454</v>
      </c>
      <c r="D2507" s="116">
        <v>125.56</v>
      </c>
      <c r="E2507" s="117">
        <v>45458</v>
      </c>
      <c r="F2507" s="116">
        <f>COUNTIFS($A$3:A10763,A2507,$B$3:B10763,B2507)</f>
        <v>1</v>
      </c>
      <c r="G2507" s="116"/>
    </row>
    <row r="2508" spans="1:7" x14ac:dyDescent="0.2">
      <c r="A2508" s="116">
        <f>IF(ISNUMBER(Tabela2[[#This Row],[CT-e/NFS]])=TRUE,(IF(B2508&gt;30000,4,IF(B2508&lt;1000,"ND",0))),"-")</f>
        <v>4</v>
      </c>
      <c r="B2508" s="116">
        <v>47322</v>
      </c>
      <c r="C2508" s="117">
        <v>45454</v>
      </c>
      <c r="D2508" s="116">
        <v>124.3</v>
      </c>
      <c r="E2508" s="117">
        <v>45458</v>
      </c>
      <c r="F2508" s="116">
        <f>COUNTIFS($A$3:A10764,A2508,$B$3:B10764,B2508)</f>
        <v>1</v>
      </c>
      <c r="G2508" s="116"/>
    </row>
    <row r="2509" spans="1:7" x14ac:dyDescent="0.2">
      <c r="A2509" s="116">
        <f>IF(ISNUMBER(Tabela2[[#This Row],[CT-e/NFS]])=TRUE,(IF(B2509&gt;30000,4,IF(B2509&lt;1000,"ND",0))),"-")</f>
        <v>4</v>
      </c>
      <c r="B2509" s="116">
        <v>47338</v>
      </c>
      <c r="C2509" s="117">
        <v>45454</v>
      </c>
      <c r="D2509" s="116">
        <v>122.74</v>
      </c>
      <c r="E2509" s="117">
        <v>45458</v>
      </c>
      <c r="F2509" s="116">
        <f>COUNTIFS($A$3:A10765,A2509,$B$3:B10765,B2509)</f>
        <v>1</v>
      </c>
      <c r="G2509" s="116"/>
    </row>
    <row r="2510" spans="1:7" x14ac:dyDescent="0.2">
      <c r="A2510" s="116">
        <f>IF(ISNUMBER(Tabela2[[#This Row],[CT-e/NFS]])=TRUE,(IF(B2510&gt;30000,4,IF(B2510&lt;1000,"ND",0))),"-")</f>
        <v>4</v>
      </c>
      <c r="B2510" s="116">
        <v>47339</v>
      </c>
      <c r="C2510" s="117">
        <v>45454</v>
      </c>
      <c r="D2510" s="116">
        <v>396.45</v>
      </c>
      <c r="E2510" s="117">
        <v>45458</v>
      </c>
      <c r="F2510" s="116">
        <f>COUNTIFS($A$3:A10766,A2510,$B$3:B10766,B2510)</f>
        <v>1</v>
      </c>
      <c r="G2510" s="116"/>
    </row>
    <row r="2511" spans="1:7" x14ac:dyDescent="0.2">
      <c r="A2511" s="116">
        <f>IF(ISNUMBER(Tabela2[[#This Row],[CT-e/NFS]])=TRUE,(IF(B2511&gt;30000,4,IF(B2511&lt;1000,"ND",0))),"-")</f>
        <v>0</v>
      </c>
      <c r="B2511" s="116">
        <v>21488</v>
      </c>
      <c r="C2511" s="117">
        <v>45454</v>
      </c>
      <c r="D2511" s="116">
        <v>76.23</v>
      </c>
      <c r="E2511" s="117">
        <v>45458</v>
      </c>
      <c r="F2511" s="116">
        <f>COUNTIFS($A$3:A10767,A2511,$B$3:B10767,B2511)</f>
        <v>1</v>
      </c>
      <c r="G2511" s="116"/>
    </row>
    <row r="2512" spans="1:7" x14ac:dyDescent="0.2">
      <c r="A2512" s="116">
        <f>IF(ISNUMBER(Tabela2[[#This Row],[CT-e/NFS]])=TRUE,(IF(B2512&gt;30000,4,IF(B2512&lt;1000,"ND",0))),"-")</f>
        <v>0</v>
      </c>
      <c r="B2512" s="116">
        <v>21501</v>
      </c>
      <c r="C2512" s="117">
        <v>45454</v>
      </c>
      <c r="D2512" s="116">
        <v>75.760000000000005</v>
      </c>
      <c r="E2512" s="117">
        <v>45458</v>
      </c>
      <c r="F2512" s="116">
        <f>COUNTIFS($A$3:A10768,A2512,$B$3:B10768,B2512)</f>
        <v>1</v>
      </c>
      <c r="G2512" s="116"/>
    </row>
    <row r="2513" spans="1:7" x14ac:dyDescent="0.2">
      <c r="A2513" s="116">
        <f>IF(ISNUMBER(Tabela2[[#This Row],[CT-e/NFS]])=TRUE,(IF(B2513&gt;30000,4,IF(B2513&lt;1000,"ND",0))),"-")</f>
        <v>0</v>
      </c>
      <c r="B2513" s="116">
        <v>21500</v>
      </c>
      <c r="C2513" s="117">
        <v>45454</v>
      </c>
      <c r="D2513" s="116">
        <v>76.44</v>
      </c>
      <c r="E2513" s="117">
        <v>45458</v>
      </c>
      <c r="F2513" s="116">
        <f>COUNTIFS($A$3:A10769,A2513,$B$3:B10769,B2513)</f>
        <v>1</v>
      </c>
      <c r="G2513" s="116"/>
    </row>
    <row r="2514" spans="1:7" x14ac:dyDescent="0.2">
      <c r="A2514" s="116">
        <f>IF(ISNUMBER(Tabela2[[#This Row],[CT-e/NFS]])=TRUE,(IF(B2514&gt;30000,4,IF(B2514&lt;1000,"ND",0))),"-")</f>
        <v>0</v>
      </c>
      <c r="B2514" s="116">
        <v>21499</v>
      </c>
      <c r="C2514" s="117">
        <v>45454</v>
      </c>
      <c r="D2514" s="116">
        <v>75.7</v>
      </c>
      <c r="E2514" s="117">
        <v>45458</v>
      </c>
      <c r="F2514" s="116">
        <f>COUNTIFS($A$3:A10770,A2514,$B$3:B10770,B2514)</f>
        <v>1</v>
      </c>
      <c r="G2514" s="116"/>
    </row>
    <row r="2515" spans="1:7" x14ac:dyDescent="0.2">
      <c r="A2515" s="116">
        <f>IF(ISNUMBER(Tabela2[[#This Row],[CT-e/NFS]])=TRUE,(IF(B2515&gt;30000,4,IF(B2515&lt;1000,"ND",0))),"-")</f>
        <v>0</v>
      </c>
      <c r="B2515" s="116">
        <v>21498</v>
      </c>
      <c r="C2515" s="117">
        <v>45454</v>
      </c>
      <c r="D2515" s="116">
        <v>353.73</v>
      </c>
      <c r="E2515" s="117">
        <v>45458</v>
      </c>
      <c r="F2515" s="116">
        <f>COUNTIFS($A$3:A10771,A2515,$B$3:B10771,B2515)</f>
        <v>1</v>
      </c>
      <c r="G2515" s="116"/>
    </row>
    <row r="2516" spans="1:7" x14ac:dyDescent="0.2">
      <c r="A2516" s="116">
        <f>IF(ISNUMBER(Tabela2[[#This Row],[CT-e/NFS]])=TRUE,(IF(B2516&gt;30000,4,IF(B2516&lt;1000,"ND",0))),"-")</f>
        <v>0</v>
      </c>
      <c r="B2516" s="116">
        <v>21497</v>
      </c>
      <c r="C2516" s="117">
        <v>45454</v>
      </c>
      <c r="D2516" s="116">
        <v>244.92</v>
      </c>
      <c r="E2516" s="117">
        <v>45458</v>
      </c>
      <c r="F2516" s="116">
        <f>COUNTIFS($A$3:A10772,A2516,$B$3:B10772,B2516)</f>
        <v>1</v>
      </c>
      <c r="G2516" s="116"/>
    </row>
    <row r="2517" spans="1:7" x14ac:dyDescent="0.2">
      <c r="A2517" s="116">
        <f>IF(ISNUMBER(Tabela2[[#This Row],[CT-e/NFS]])=TRUE,(IF(B2517&gt;30000,4,IF(B2517&lt;1000,"ND",0))),"-")</f>
        <v>0</v>
      </c>
      <c r="B2517" s="116">
        <v>21496</v>
      </c>
      <c r="C2517" s="117">
        <v>45454</v>
      </c>
      <c r="D2517" s="116">
        <v>76.77</v>
      </c>
      <c r="E2517" s="117">
        <v>45458</v>
      </c>
      <c r="F2517" s="116">
        <f>COUNTIFS($A$3:A10773,A2517,$B$3:B10773,B2517)</f>
        <v>1</v>
      </c>
      <c r="G2517" s="116"/>
    </row>
    <row r="2518" spans="1:7" x14ac:dyDescent="0.2">
      <c r="A2518" s="116">
        <f>IF(ISNUMBER(Tabela2[[#This Row],[CT-e/NFS]])=TRUE,(IF(B2518&gt;30000,4,IF(B2518&lt;1000,"ND",0))),"-")</f>
        <v>0</v>
      </c>
      <c r="B2518" s="116">
        <v>21495</v>
      </c>
      <c r="C2518" s="117">
        <v>45454</v>
      </c>
      <c r="D2518" s="116">
        <v>76.58</v>
      </c>
      <c r="E2518" s="117">
        <v>45458</v>
      </c>
      <c r="F2518" s="116">
        <f>COUNTIFS($A$3:A10774,A2518,$B$3:B10774,B2518)</f>
        <v>1</v>
      </c>
      <c r="G2518" s="116"/>
    </row>
    <row r="2519" spans="1:7" x14ac:dyDescent="0.2">
      <c r="A2519" s="116">
        <f>IF(ISNUMBER(Tabela2[[#This Row],[CT-e/NFS]])=TRUE,(IF(B2519&gt;30000,4,IF(B2519&lt;1000,"ND",0))),"-")</f>
        <v>0</v>
      </c>
      <c r="B2519" s="116">
        <v>21494</v>
      </c>
      <c r="C2519" s="117">
        <v>45454</v>
      </c>
      <c r="D2519" s="116">
        <v>77.260000000000005</v>
      </c>
      <c r="E2519" s="117">
        <v>45458</v>
      </c>
      <c r="F2519" s="116">
        <f>COUNTIFS($A$3:A10775,A2519,$B$3:B10775,B2519)</f>
        <v>1</v>
      </c>
      <c r="G2519" s="116"/>
    </row>
    <row r="2520" spans="1:7" x14ac:dyDescent="0.2">
      <c r="A2520" s="116">
        <f>IF(ISNUMBER(Tabela2[[#This Row],[CT-e/NFS]])=TRUE,(IF(B2520&gt;30000,4,IF(B2520&lt;1000,"ND",0))),"-")</f>
        <v>0</v>
      </c>
      <c r="B2520" s="116">
        <v>21493</v>
      </c>
      <c r="C2520" s="117">
        <v>45454</v>
      </c>
      <c r="D2520" s="116">
        <v>137.53</v>
      </c>
      <c r="E2520" s="117">
        <v>45458</v>
      </c>
      <c r="F2520" s="116">
        <f>COUNTIFS($A$3:A10776,A2520,$B$3:B10776,B2520)</f>
        <v>1</v>
      </c>
      <c r="G2520" s="116"/>
    </row>
    <row r="2521" spans="1:7" x14ac:dyDescent="0.2">
      <c r="A2521" s="116">
        <f>IF(ISNUMBER(Tabela2[[#This Row],[CT-e/NFS]])=TRUE,(IF(B2521&gt;30000,4,IF(B2521&lt;1000,"ND",0))),"-")</f>
        <v>0</v>
      </c>
      <c r="B2521" s="116">
        <v>21492</v>
      </c>
      <c r="C2521" s="117">
        <v>45454</v>
      </c>
      <c r="D2521" s="116">
        <v>75.66</v>
      </c>
      <c r="E2521" s="117">
        <v>45458</v>
      </c>
      <c r="F2521" s="116">
        <f>COUNTIFS($A$3:A10777,A2521,$B$3:B10777,B2521)</f>
        <v>1</v>
      </c>
      <c r="G2521" s="116"/>
    </row>
    <row r="2522" spans="1:7" x14ac:dyDescent="0.2">
      <c r="A2522" s="116">
        <f>IF(ISNUMBER(Tabela2[[#This Row],[CT-e/NFS]])=TRUE,(IF(B2522&gt;30000,4,IF(B2522&lt;1000,"ND",0))),"-")</f>
        <v>0</v>
      </c>
      <c r="B2522" s="116">
        <v>21491</v>
      </c>
      <c r="C2522" s="117">
        <v>45454</v>
      </c>
      <c r="D2522" s="116">
        <v>75.599999999999994</v>
      </c>
      <c r="E2522" s="117">
        <v>45458</v>
      </c>
      <c r="F2522" s="116">
        <f>COUNTIFS($A$3:A10778,A2522,$B$3:B10778,B2522)</f>
        <v>1</v>
      </c>
      <c r="G2522" s="116"/>
    </row>
    <row r="2523" spans="1:7" x14ac:dyDescent="0.2">
      <c r="A2523" s="116">
        <f>IF(ISNUMBER(Tabela2[[#This Row],[CT-e/NFS]])=TRUE,(IF(B2523&gt;30000,4,IF(B2523&lt;1000,"ND",0))),"-")</f>
        <v>0</v>
      </c>
      <c r="B2523" s="116">
        <v>21502</v>
      </c>
      <c r="C2523" s="117">
        <v>45454</v>
      </c>
      <c r="D2523" s="116">
        <v>76.81</v>
      </c>
      <c r="E2523" s="117">
        <v>45458</v>
      </c>
      <c r="F2523" s="116">
        <f>COUNTIFS($A$3:A10779,A2523,$B$3:B10779,B2523)</f>
        <v>1</v>
      </c>
      <c r="G2523" s="116"/>
    </row>
    <row r="2524" spans="1:7" x14ac:dyDescent="0.2">
      <c r="A2524" s="116">
        <f>IF(ISNUMBER(Tabela2[[#This Row],[CT-e/NFS]])=TRUE,(IF(B2524&gt;30000,4,IF(B2524&lt;1000,"ND",0))),"-")</f>
        <v>0</v>
      </c>
      <c r="B2524" s="116">
        <v>21512</v>
      </c>
      <c r="C2524" s="117">
        <v>45454</v>
      </c>
      <c r="D2524" s="116">
        <v>112.59</v>
      </c>
      <c r="E2524" s="117">
        <v>45458</v>
      </c>
      <c r="F2524" s="116">
        <f>COUNTIFS($A$3:A10780,A2524,$B$3:B10780,B2524)</f>
        <v>1</v>
      </c>
      <c r="G2524" s="116"/>
    </row>
    <row r="2525" spans="1:7" x14ac:dyDescent="0.2">
      <c r="A2525" s="116">
        <f>IF(ISNUMBER(Tabela2[[#This Row],[CT-e/NFS]])=TRUE,(IF(B2525&gt;30000,4,IF(B2525&lt;1000,"ND",0))),"-")</f>
        <v>0</v>
      </c>
      <c r="B2525" s="116">
        <v>21511</v>
      </c>
      <c r="C2525" s="117">
        <v>45454</v>
      </c>
      <c r="D2525" s="116">
        <v>76</v>
      </c>
      <c r="E2525" s="117">
        <v>45458</v>
      </c>
      <c r="F2525" s="116">
        <f>COUNTIFS($A$3:A10781,A2525,$B$3:B10781,B2525)</f>
        <v>1</v>
      </c>
      <c r="G2525" s="116"/>
    </row>
    <row r="2526" spans="1:7" x14ac:dyDescent="0.2">
      <c r="A2526" s="116">
        <f>IF(ISNUMBER(Tabela2[[#This Row],[CT-e/NFS]])=TRUE,(IF(B2526&gt;30000,4,IF(B2526&lt;1000,"ND",0))),"-")</f>
        <v>0</v>
      </c>
      <c r="B2526" s="116">
        <v>21510</v>
      </c>
      <c r="C2526" s="117">
        <v>45454</v>
      </c>
      <c r="D2526" s="116">
        <v>75.8</v>
      </c>
      <c r="E2526" s="117">
        <v>45458</v>
      </c>
      <c r="F2526" s="116">
        <f>COUNTIFS($A$3:A10782,A2526,$B$3:B10782,B2526)</f>
        <v>1</v>
      </c>
      <c r="G2526" s="116"/>
    </row>
    <row r="2527" spans="1:7" x14ac:dyDescent="0.2">
      <c r="A2527" s="116">
        <f>IF(ISNUMBER(Tabela2[[#This Row],[CT-e/NFS]])=TRUE,(IF(B2527&gt;30000,4,IF(B2527&lt;1000,"ND",0))),"-")</f>
        <v>0</v>
      </c>
      <c r="B2527" s="116">
        <v>21508</v>
      </c>
      <c r="C2527" s="117">
        <v>45454</v>
      </c>
      <c r="D2527" s="116">
        <v>75.7</v>
      </c>
      <c r="E2527" s="117">
        <v>45458</v>
      </c>
      <c r="F2527" s="116">
        <f>COUNTIFS($A$3:A10783,A2527,$B$3:B10783,B2527)</f>
        <v>1</v>
      </c>
      <c r="G2527" s="116"/>
    </row>
    <row r="2528" spans="1:7" x14ac:dyDescent="0.2">
      <c r="A2528" s="116">
        <f>IF(ISNUMBER(Tabela2[[#This Row],[CT-e/NFS]])=TRUE,(IF(B2528&gt;30000,4,IF(B2528&lt;1000,"ND",0))),"-")</f>
        <v>0</v>
      </c>
      <c r="B2528" s="116">
        <v>21509</v>
      </c>
      <c r="C2528" s="117">
        <v>45454</v>
      </c>
      <c r="D2528" s="116">
        <v>75.64</v>
      </c>
      <c r="E2528" s="117">
        <v>45458</v>
      </c>
      <c r="F2528" s="116">
        <f>COUNTIFS($A$3:A10784,A2528,$B$3:B10784,B2528)</f>
        <v>1</v>
      </c>
      <c r="G2528" s="116"/>
    </row>
    <row r="2529" spans="1:7" x14ac:dyDescent="0.2">
      <c r="A2529" s="116">
        <f>IF(ISNUMBER(Tabela2[[#This Row],[CT-e/NFS]])=TRUE,(IF(B2529&gt;30000,4,IF(B2529&lt;1000,"ND",0))),"-")</f>
        <v>0</v>
      </c>
      <c r="B2529" s="116">
        <v>21507</v>
      </c>
      <c r="C2529" s="117">
        <v>45454</v>
      </c>
      <c r="D2529" s="116">
        <v>76.28</v>
      </c>
      <c r="E2529" s="117">
        <v>45458</v>
      </c>
      <c r="F2529" s="116">
        <f>COUNTIFS($A$3:A10785,A2529,$B$3:B10785,B2529)</f>
        <v>1</v>
      </c>
      <c r="G2529" s="116"/>
    </row>
    <row r="2530" spans="1:7" x14ac:dyDescent="0.2">
      <c r="A2530" s="116">
        <f>IF(ISNUMBER(Tabela2[[#This Row],[CT-e/NFS]])=TRUE,(IF(B2530&gt;30000,4,IF(B2530&lt;1000,"ND",0))),"-")</f>
        <v>0</v>
      </c>
      <c r="B2530" s="116">
        <v>21505</v>
      </c>
      <c r="C2530" s="117">
        <v>45454</v>
      </c>
      <c r="D2530" s="116">
        <v>80.19</v>
      </c>
      <c r="E2530" s="117">
        <v>45458</v>
      </c>
      <c r="F2530" s="116">
        <f>COUNTIFS($A$3:A10786,A2530,$B$3:B10786,B2530)</f>
        <v>1</v>
      </c>
      <c r="G2530" s="116"/>
    </row>
    <row r="2531" spans="1:7" x14ac:dyDescent="0.2">
      <c r="A2531" s="116">
        <f>IF(ISNUMBER(Tabela2[[#This Row],[CT-e/NFS]])=TRUE,(IF(B2531&gt;30000,4,IF(B2531&lt;1000,"ND",0))),"-")</f>
        <v>0</v>
      </c>
      <c r="B2531" s="116">
        <v>21506</v>
      </c>
      <c r="C2531" s="117">
        <v>45454</v>
      </c>
      <c r="D2531" s="116">
        <v>121.97</v>
      </c>
      <c r="E2531" s="117">
        <v>45458</v>
      </c>
      <c r="F2531" s="116">
        <f>COUNTIFS($A$3:A10787,A2531,$B$3:B10787,B2531)</f>
        <v>1</v>
      </c>
      <c r="G2531" s="116"/>
    </row>
    <row r="2532" spans="1:7" x14ac:dyDescent="0.2">
      <c r="A2532" s="116">
        <f>IF(ISNUMBER(Tabela2[[#This Row],[CT-e/NFS]])=TRUE,(IF(B2532&gt;30000,4,IF(B2532&lt;1000,"ND",0))),"-")</f>
        <v>0</v>
      </c>
      <c r="B2532" s="116">
        <v>21504</v>
      </c>
      <c r="C2532" s="117">
        <v>45454</v>
      </c>
      <c r="D2532" s="116">
        <v>76.849999999999994</v>
      </c>
      <c r="E2532" s="117">
        <v>45458</v>
      </c>
      <c r="F2532" s="116">
        <f>COUNTIFS($A$3:A10788,A2532,$B$3:B10788,B2532)</f>
        <v>1</v>
      </c>
      <c r="G2532" s="116"/>
    </row>
    <row r="2533" spans="1:7" x14ac:dyDescent="0.2">
      <c r="A2533" s="116">
        <f>IF(ISNUMBER(Tabela2[[#This Row],[CT-e/NFS]])=TRUE,(IF(B2533&gt;30000,4,IF(B2533&lt;1000,"ND",0))),"-")</f>
        <v>0</v>
      </c>
      <c r="B2533" s="116">
        <v>21503</v>
      </c>
      <c r="C2533" s="117">
        <v>45454</v>
      </c>
      <c r="D2533" s="116">
        <v>75.760000000000005</v>
      </c>
      <c r="E2533" s="117">
        <v>45458</v>
      </c>
      <c r="F2533" s="116">
        <f>COUNTIFS($A$3:A10789,A2533,$B$3:B10789,B2533)</f>
        <v>1</v>
      </c>
      <c r="G2533" s="116"/>
    </row>
    <row r="2534" spans="1:7" x14ac:dyDescent="0.2">
      <c r="A2534" s="116">
        <f>IF(ISNUMBER(Tabela2[[#This Row],[CT-e/NFS]])=TRUE,(IF(B2534&gt;30000,4,IF(B2534&lt;1000,"ND",0))),"-")</f>
        <v>0</v>
      </c>
      <c r="B2534" s="116">
        <v>21513</v>
      </c>
      <c r="C2534" s="117">
        <v>45454</v>
      </c>
      <c r="D2534" s="116">
        <v>77.010000000000005</v>
      </c>
      <c r="E2534" s="117">
        <v>45458</v>
      </c>
      <c r="F2534" s="116">
        <f>COUNTIFS($A$3:A10790,A2534,$B$3:B10790,B2534)</f>
        <v>1</v>
      </c>
      <c r="G2534" s="116"/>
    </row>
    <row r="2535" spans="1:7" x14ac:dyDescent="0.2">
      <c r="A2535" s="116">
        <f>IF(ISNUMBER(Tabela2[[#This Row],[CT-e/NFS]])=TRUE,(IF(B2535&gt;30000,4,IF(B2535&lt;1000,"ND",0))),"-")</f>
        <v>0</v>
      </c>
      <c r="B2535" s="116">
        <v>21514</v>
      </c>
      <c r="C2535" s="117">
        <v>45454</v>
      </c>
      <c r="D2535" s="116">
        <v>76.27</v>
      </c>
      <c r="E2535" s="117">
        <v>45458</v>
      </c>
      <c r="F2535" s="116">
        <f>COUNTIFS($A$3:A10791,A2535,$B$3:B10791,B2535)</f>
        <v>1</v>
      </c>
      <c r="G2535" s="116"/>
    </row>
    <row r="2536" spans="1:7" x14ac:dyDescent="0.2">
      <c r="A2536" s="116">
        <f>IF(ISNUMBER(Tabela2[[#This Row],[CT-e/NFS]])=TRUE,(IF(B2536&gt;30000,4,IF(B2536&lt;1000,"ND",0))),"-")</f>
        <v>0</v>
      </c>
      <c r="B2536" s="116">
        <v>21517</v>
      </c>
      <c r="C2536" s="117">
        <v>45454</v>
      </c>
      <c r="D2536" s="116">
        <v>76.790000000000006</v>
      </c>
      <c r="E2536" s="117">
        <v>45458</v>
      </c>
      <c r="F2536" s="116">
        <f>COUNTIFS($A$3:A10792,A2536,$B$3:B10792,B2536)</f>
        <v>1</v>
      </c>
      <c r="G2536" s="116"/>
    </row>
    <row r="2537" spans="1:7" x14ac:dyDescent="0.2">
      <c r="A2537" s="116">
        <f>IF(ISNUMBER(Tabela2[[#This Row],[CT-e/NFS]])=TRUE,(IF(B2537&gt;30000,4,IF(B2537&lt;1000,"ND",0))),"-")</f>
        <v>0</v>
      </c>
      <c r="B2537" s="116">
        <v>21516</v>
      </c>
      <c r="C2537" s="117">
        <v>45454</v>
      </c>
      <c r="D2537" s="116">
        <v>76.8</v>
      </c>
      <c r="E2537" s="117">
        <v>45458</v>
      </c>
      <c r="F2537" s="116">
        <f>COUNTIFS($A$3:A10793,A2537,$B$3:B10793,B2537)</f>
        <v>1</v>
      </c>
      <c r="G2537" s="116"/>
    </row>
    <row r="2538" spans="1:7" x14ac:dyDescent="0.2">
      <c r="A2538" s="116">
        <f>IF(ISNUMBER(Tabela2[[#This Row],[CT-e/NFS]])=TRUE,(IF(B2538&gt;30000,4,IF(B2538&lt;1000,"ND",0))),"-")</f>
        <v>0</v>
      </c>
      <c r="B2538" s="116">
        <v>21515</v>
      </c>
      <c r="C2538" s="117">
        <v>45454</v>
      </c>
      <c r="D2538" s="116">
        <v>76.41</v>
      </c>
      <c r="E2538" s="117">
        <v>45458</v>
      </c>
      <c r="F2538" s="116">
        <f>COUNTIFS($A$3:A10794,A2538,$B$3:B10794,B2538)</f>
        <v>1</v>
      </c>
      <c r="G2538" s="116"/>
    </row>
    <row r="2539" spans="1:7" x14ac:dyDescent="0.2">
      <c r="A2539" s="116">
        <f>IF(ISNUMBER(Tabela2[[#This Row],[CT-e/NFS]])=TRUE,(IF(B2539&gt;30000,4,IF(B2539&lt;1000,"ND",0))),"-")</f>
        <v>0</v>
      </c>
      <c r="B2539" s="116">
        <v>21518</v>
      </c>
      <c r="C2539" s="117">
        <v>45454</v>
      </c>
      <c r="D2539" s="116">
        <v>252.67</v>
      </c>
      <c r="E2539" s="117">
        <v>45458</v>
      </c>
      <c r="F2539" s="116">
        <f>COUNTIFS($A$3:A10795,A2539,$B$3:B10795,B2539)</f>
        <v>1</v>
      </c>
      <c r="G2539" s="116"/>
    </row>
    <row r="2540" spans="1:7" x14ac:dyDescent="0.2">
      <c r="A2540" s="116">
        <f>IF(ISNUMBER(Tabela2[[#This Row],[CT-e/NFS]])=TRUE,(IF(B2540&gt;30000,4,IF(B2540&lt;1000,"ND",0))),"-")</f>
        <v>0</v>
      </c>
      <c r="B2540" s="116">
        <v>21539</v>
      </c>
      <c r="C2540" s="117">
        <v>45454</v>
      </c>
      <c r="D2540" s="116">
        <v>146.43</v>
      </c>
      <c r="E2540" s="117">
        <v>45458</v>
      </c>
      <c r="F2540" s="116">
        <f>COUNTIFS($A$3:A10796,A2540,$B$3:B10796,B2540)</f>
        <v>1</v>
      </c>
      <c r="G2540" s="116"/>
    </row>
    <row r="2541" spans="1:7" x14ac:dyDescent="0.2">
      <c r="A2541" s="116">
        <f>IF(ISNUMBER(Tabela2[[#This Row],[CT-e/NFS]])=TRUE,(IF(B2541&gt;30000,4,IF(B2541&lt;1000,"ND",0))),"-")</f>
        <v>0</v>
      </c>
      <c r="B2541" s="116">
        <v>21540</v>
      </c>
      <c r="C2541" s="117">
        <v>45454</v>
      </c>
      <c r="D2541" s="116">
        <v>279.72000000000003</v>
      </c>
      <c r="E2541" s="117">
        <v>45458</v>
      </c>
      <c r="F2541" s="116">
        <f>COUNTIFS($A$3:A10797,A2541,$B$3:B10797,B2541)</f>
        <v>1</v>
      </c>
      <c r="G2541" s="116"/>
    </row>
    <row r="2542" spans="1:7" x14ac:dyDescent="0.2">
      <c r="A2542" s="116">
        <f>IF(ISNUMBER(Tabela2[[#This Row],[CT-e/NFS]])=TRUE,(IF(B2542&gt;30000,4,IF(B2542&lt;1000,"ND",0))),"-")</f>
        <v>0</v>
      </c>
      <c r="B2542" s="116">
        <v>21538</v>
      </c>
      <c r="C2542" s="117">
        <v>45454</v>
      </c>
      <c r="D2542" s="116">
        <v>158.52000000000001</v>
      </c>
      <c r="E2542" s="117">
        <v>45458</v>
      </c>
      <c r="F2542" s="116">
        <f>COUNTIFS($A$3:A10798,A2542,$B$3:B10798,B2542)</f>
        <v>1</v>
      </c>
      <c r="G2542" s="116"/>
    </row>
    <row r="2543" spans="1:7" x14ac:dyDescent="0.2">
      <c r="A2543" s="116">
        <f>IF(ISNUMBER(Tabela2[[#This Row],[CT-e/NFS]])=TRUE,(IF(B2543&gt;30000,4,IF(B2543&lt;1000,"ND",0))),"-")</f>
        <v>0</v>
      </c>
      <c r="B2543" s="116">
        <v>21536</v>
      </c>
      <c r="C2543" s="117">
        <v>45454</v>
      </c>
      <c r="D2543" s="116">
        <v>227.4</v>
      </c>
      <c r="E2543" s="117">
        <v>45458</v>
      </c>
      <c r="F2543" s="116">
        <f>COUNTIFS($A$3:A10799,A2543,$B$3:B10799,B2543)</f>
        <v>1</v>
      </c>
      <c r="G2543" s="116"/>
    </row>
    <row r="2544" spans="1:7" x14ac:dyDescent="0.2">
      <c r="A2544" s="116">
        <f>IF(ISNUMBER(Tabela2[[#This Row],[CT-e/NFS]])=TRUE,(IF(B2544&gt;30000,4,IF(B2544&lt;1000,"ND",0))),"-")</f>
        <v>0</v>
      </c>
      <c r="B2544" s="116">
        <v>21531</v>
      </c>
      <c r="C2544" s="117">
        <v>45454</v>
      </c>
      <c r="D2544" s="116">
        <v>401.48</v>
      </c>
      <c r="E2544" s="117">
        <v>45458</v>
      </c>
      <c r="F2544" s="116">
        <f>COUNTIFS($A$3:A10800,A2544,$B$3:B10800,B2544)</f>
        <v>1</v>
      </c>
      <c r="G2544" s="116"/>
    </row>
    <row r="2545" spans="1:7" x14ac:dyDescent="0.2">
      <c r="A2545" s="116">
        <f>IF(ISNUMBER(Tabela2[[#This Row],[CT-e/NFS]])=TRUE,(IF(B2545&gt;30000,4,IF(B2545&lt;1000,"ND",0))),"-")</f>
        <v>0</v>
      </c>
      <c r="B2545" s="116">
        <v>21535</v>
      </c>
      <c r="C2545" s="117">
        <v>45454</v>
      </c>
      <c r="D2545" s="116">
        <v>76.81</v>
      </c>
      <c r="E2545" s="117">
        <v>45458</v>
      </c>
      <c r="F2545" s="116">
        <f>COUNTIFS($A$3:A10801,A2545,$B$3:B10801,B2545)</f>
        <v>1</v>
      </c>
      <c r="G2545" s="116"/>
    </row>
    <row r="2546" spans="1:7" x14ac:dyDescent="0.2">
      <c r="A2546" s="116">
        <f>IF(ISNUMBER(Tabela2[[#This Row],[CT-e/NFS]])=TRUE,(IF(B2546&gt;30000,4,IF(B2546&lt;1000,"ND",0))),"-")</f>
        <v>0</v>
      </c>
      <c r="B2546" s="116">
        <v>21534</v>
      </c>
      <c r="C2546" s="117">
        <v>45454</v>
      </c>
      <c r="D2546" s="116">
        <v>76.39</v>
      </c>
      <c r="E2546" s="117">
        <v>45458</v>
      </c>
      <c r="F2546" s="116">
        <f>COUNTIFS($A$3:A10802,A2546,$B$3:B10802,B2546)</f>
        <v>1</v>
      </c>
      <c r="G2546" s="116"/>
    </row>
    <row r="2547" spans="1:7" x14ac:dyDescent="0.2">
      <c r="A2547" s="116">
        <f>IF(ISNUMBER(Tabela2[[#This Row],[CT-e/NFS]])=TRUE,(IF(B2547&gt;30000,4,IF(B2547&lt;1000,"ND",0))),"-")</f>
        <v>0</v>
      </c>
      <c r="B2547" s="116">
        <v>21532</v>
      </c>
      <c r="C2547" s="117">
        <v>45454</v>
      </c>
      <c r="D2547" s="116">
        <v>76.099999999999994</v>
      </c>
      <c r="E2547" s="117">
        <v>45458</v>
      </c>
      <c r="F2547" s="116">
        <f>COUNTIFS($A$3:A10803,A2547,$B$3:B10803,B2547)</f>
        <v>1</v>
      </c>
      <c r="G2547" s="116"/>
    </row>
    <row r="2548" spans="1:7" x14ac:dyDescent="0.2">
      <c r="A2548" s="116">
        <f>IF(ISNUMBER(Tabela2[[#This Row],[CT-e/NFS]])=TRUE,(IF(B2548&gt;30000,4,IF(B2548&lt;1000,"ND",0))),"-")</f>
        <v>0</v>
      </c>
      <c r="B2548" s="116">
        <v>21530</v>
      </c>
      <c r="C2548" s="117">
        <v>45454</v>
      </c>
      <c r="D2548" s="116">
        <v>560.25</v>
      </c>
      <c r="E2548" s="117">
        <v>45458</v>
      </c>
      <c r="F2548" s="116">
        <f>COUNTIFS($A$3:A10804,A2548,$B$3:B10804,B2548)</f>
        <v>1</v>
      </c>
      <c r="G2548" s="116"/>
    </row>
    <row r="2549" spans="1:7" x14ac:dyDescent="0.2">
      <c r="A2549" s="116">
        <f>IF(ISNUMBER(Tabela2[[#This Row],[CT-e/NFS]])=TRUE,(IF(B2549&gt;30000,4,IF(B2549&lt;1000,"ND",0))),"-")</f>
        <v>0</v>
      </c>
      <c r="B2549" s="116">
        <v>21529</v>
      </c>
      <c r="C2549" s="117">
        <v>45454</v>
      </c>
      <c r="D2549" s="116">
        <v>77.680000000000007</v>
      </c>
      <c r="E2549" s="117">
        <v>45458</v>
      </c>
      <c r="F2549" s="116">
        <f>COUNTIFS($A$3:A10805,A2549,$B$3:B10805,B2549)</f>
        <v>1</v>
      </c>
      <c r="G2549" s="116"/>
    </row>
    <row r="2550" spans="1:7" x14ac:dyDescent="0.2">
      <c r="A2550" s="116">
        <f>IF(ISNUMBER(Tabela2[[#This Row],[CT-e/NFS]])=TRUE,(IF(B2550&gt;30000,4,IF(B2550&lt;1000,"ND",0))),"-")</f>
        <v>0</v>
      </c>
      <c r="B2550" s="116">
        <v>21528</v>
      </c>
      <c r="C2550" s="117">
        <v>45454</v>
      </c>
      <c r="D2550" s="116">
        <v>81.400000000000006</v>
      </c>
      <c r="E2550" s="117">
        <v>45458</v>
      </c>
      <c r="F2550" s="116">
        <f>COUNTIFS($A$3:A10806,A2550,$B$3:B10806,B2550)</f>
        <v>1</v>
      </c>
      <c r="G2550" s="116"/>
    </row>
    <row r="2551" spans="1:7" x14ac:dyDescent="0.2">
      <c r="A2551" s="116">
        <f>IF(ISNUMBER(Tabela2[[#This Row],[CT-e/NFS]])=TRUE,(IF(B2551&gt;30000,4,IF(B2551&lt;1000,"ND",0))),"-")</f>
        <v>0</v>
      </c>
      <c r="B2551" s="116">
        <v>21526</v>
      </c>
      <c r="C2551" s="117">
        <v>45454</v>
      </c>
      <c r="D2551" s="116">
        <v>76.77</v>
      </c>
      <c r="E2551" s="117">
        <v>45458</v>
      </c>
      <c r="F2551" s="116">
        <f>COUNTIFS($A$3:A10807,A2551,$B$3:B10807,B2551)</f>
        <v>1</v>
      </c>
      <c r="G2551" s="116"/>
    </row>
    <row r="2552" spans="1:7" x14ac:dyDescent="0.2">
      <c r="A2552" s="116">
        <f>IF(ISNUMBER(Tabela2[[#This Row],[CT-e/NFS]])=TRUE,(IF(B2552&gt;30000,4,IF(B2552&lt;1000,"ND",0))),"-")</f>
        <v>0</v>
      </c>
      <c r="B2552" s="116">
        <v>21525</v>
      </c>
      <c r="C2552" s="117">
        <v>45454</v>
      </c>
      <c r="D2552" s="116">
        <v>136.81</v>
      </c>
      <c r="E2552" s="117">
        <v>45458</v>
      </c>
      <c r="F2552" s="116">
        <f>COUNTIFS($A$3:A10808,A2552,$B$3:B10808,B2552)</f>
        <v>1</v>
      </c>
      <c r="G2552" s="116"/>
    </row>
    <row r="2553" spans="1:7" x14ac:dyDescent="0.2">
      <c r="A2553" s="116">
        <f>IF(ISNUMBER(Tabela2[[#This Row],[CT-e/NFS]])=TRUE,(IF(B2553&gt;30000,4,IF(B2553&lt;1000,"ND",0))),"-")</f>
        <v>0</v>
      </c>
      <c r="B2553" s="116">
        <v>21527</v>
      </c>
      <c r="C2553" s="117">
        <v>45454</v>
      </c>
      <c r="D2553" s="116">
        <v>348.37</v>
      </c>
      <c r="E2553" s="117">
        <v>45458</v>
      </c>
      <c r="F2553" s="116">
        <f>COUNTIFS($A$3:A10809,A2553,$B$3:B10809,B2553)</f>
        <v>1</v>
      </c>
      <c r="G2553" s="116"/>
    </row>
    <row r="2554" spans="1:7" x14ac:dyDescent="0.2">
      <c r="A2554" s="116">
        <f>IF(ISNUMBER(Tabela2[[#This Row],[CT-e/NFS]])=TRUE,(IF(B2554&gt;30000,4,IF(B2554&lt;1000,"ND",0))),"-")</f>
        <v>0</v>
      </c>
      <c r="B2554" s="116">
        <v>21524</v>
      </c>
      <c r="C2554" s="117">
        <v>45454</v>
      </c>
      <c r="D2554" s="116">
        <v>583.71</v>
      </c>
      <c r="E2554" s="117">
        <v>45458</v>
      </c>
      <c r="F2554" s="116">
        <f>COUNTIFS($A$3:A10810,A2554,$B$3:B10810,B2554)</f>
        <v>1</v>
      </c>
      <c r="G2554" s="116"/>
    </row>
    <row r="2555" spans="1:7" x14ac:dyDescent="0.2">
      <c r="A2555" s="116">
        <f>IF(ISNUMBER(Tabela2[[#This Row],[CT-e/NFS]])=TRUE,(IF(B2555&gt;30000,4,IF(B2555&lt;1000,"ND",0))),"-")</f>
        <v>0</v>
      </c>
      <c r="B2555" s="116">
        <v>21523</v>
      </c>
      <c r="C2555" s="117">
        <v>45454</v>
      </c>
      <c r="D2555" s="116">
        <v>104.28</v>
      </c>
      <c r="E2555" s="117">
        <v>45458</v>
      </c>
      <c r="F2555" s="116">
        <f>COUNTIFS($A$3:A10811,A2555,$B$3:B10811,B2555)</f>
        <v>1</v>
      </c>
      <c r="G2555" s="116"/>
    </row>
    <row r="2556" spans="1:7" x14ac:dyDescent="0.2">
      <c r="A2556" s="116">
        <f>IF(ISNUMBER(Tabela2[[#This Row],[CT-e/NFS]])=TRUE,(IF(B2556&gt;30000,4,IF(B2556&lt;1000,"ND",0))),"-")</f>
        <v>0</v>
      </c>
      <c r="B2556" s="116">
        <v>21522</v>
      </c>
      <c r="C2556" s="117">
        <v>45454</v>
      </c>
      <c r="D2556" s="116">
        <v>76.42</v>
      </c>
      <c r="E2556" s="117">
        <v>45458</v>
      </c>
      <c r="F2556" s="116">
        <f>COUNTIFS($A$3:A10812,A2556,$B$3:B10812,B2556)</f>
        <v>1</v>
      </c>
      <c r="G2556" s="116"/>
    </row>
    <row r="2557" spans="1:7" x14ac:dyDescent="0.2">
      <c r="A2557" s="116">
        <f>IF(ISNUMBER(Tabela2[[#This Row],[CT-e/NFS]])=TRUE,(IF(B2557&gt;30000,4,IF(B2557&lt;1000,"ND",0))),"-")</f>
        <v>0</v>
      </c>
      <c r="B2557" s="116">
        <v>21521</v>
      </c>
      <c r="C2557" s="117">
        <v>45454</v>
      </c>
      <c r="D2557" s="116">
        <v>76.36</v>
      </c>
      <c r="E2557" s="117">
        <v>45458</v>
      </c>
      <c r="F2557" s="116">
        <f>COUNTIFS($A$3:A10813,A2557,$B$3:B10813,B2557)</f>
        <v>1</v>
      </c>
      <c r="G2557" s="116"/>
    </row>
    <row r="2558" spans="1:7" x14ac:dyDescent="0.2">
      <c r="A2558" s="116">
        <f>IF(ISNUMBER(Tabela2[[#This Row],[CT-e/NFS]])=TRUE,(IF(B2558&gt;30000,4,IF(B2558&lt;1000,"ND",0))),"-")</f>
        <v>0</v>
      </c>
      <c r="B2558" s="116">
        <v>21519</v>
      </c>
      <c r="C2558" s="117">
        <v>45454</v>
      </c>
      <c r="D2558" s="116">
        <v>76.2</v>
      </c>
      <c r="E2558" s="117">
        <v>45458</v>
      </c>
      <c r="F2558" s="116">
        <f>COUNTIFS($A$3:A10814,A2558,$B$3:B10814,B2558)</f>
        <v>1</v>
      </c>
      <c r="G2558" s="116"/>
    </row>
    <row r="2559" spans="1:7" x14ac:dyDescent="0.2">
      <c r="A2559" s="116">
        <f>IF(ISNUMBER(Tabela2[[#This Row],[CT-e/NFS]])=TRUE,(IF(B2559&gt;30000,4,IF(B2559&lt;1000,"ND",0))),"-")</f>
        <v>0</v>
      </c>
      <c r="B2559" s="116">
        <v>21520</v>
      </c>
      <c r="C2559" s="117">
        <v>45454</v>
      </c>
      <c r="D2559" s="116">
        <v>76.34</v>
      </c>
      <c r="E2559" s="117">
        <v>45458</v>
      </c>
      <c r="F2559" s="116">
        <f>COUNTIFS($A$3:A10815,A2559,$B$3:B10815,B2559)</f>
        <v>1</v>
      </c>
      <c r="G2559" s="116"/>
    </row>
    <row r="2560" spans="1:7" x14ac:dyDescent="0.2">
      <c r="A2560" s="116">
        <f>IF(ISNUMBER(Tabela2[[#This Row],[CT-e/NFS]])=TRUE,(IF(B2560&gt;30000,4,IF(B2560&lt;1000,"ND",0))),"-")</f>
        <v>4</v>
      </c>
      <c r="B2560" s="116">
        <v>47349</v>
      </c>
      <c r="C2560" s="117">
        <v>45454</v>
      </c>
      <c r="D2560" s="116">
        <v>609.98</v>
      </c>
      <c r="E2560" s="117">
        <v>45458</v>
      </c>
      <c r="F2560" s="116">
        <f>COUNTIFS($A$3:A10816,A2560,$B$3:B10816,B2560)</f>
        <v>1</v>
      </c>
      <c r="G2560" s="116"/>
    </row>
    <row r="2561" spans="1:7" x14ac:dyDescent="0.2">
      <c r="A2561" s="116">
        <f>IF(ISNUMBER(Tabela2[[#This Row],[CT-e/NFS]])=TRUE,(IF(B2561&gt;30000,4,IF(B2561&lt;1000,"ND",0))),"-")</f>
        <v>4</v>
      </c>
      <c r="B2561" s="116">
        <v>47348</v>
      </c>
      <c r="C2561" s="117">
        <v>45454</v>
      </c>
      <c r="D2561" s="116">
        <v>609.98</v>
      </c>
      <c r="E2561" s="117">
        <v>45458</v>
      </c>
      <c r="F2561" s="116">
        <f>COUNTIFS($A$3:A10817,A2561,$B$3:B10817,B2561)</f>
        <v>1</v>
      </c>
      <c r="G2561" s="116"/>
    </row>
    <row r="2562" spans="1:7" x14ac:dyDescent="0.2">
      <c r="A2562" s="116">
        <f>IF(ISNUMBER(Tabela2[[#This Row],[CT-e/NFS]])=TRUE,(IF(B2562&gt;30000,4,IF(B2562&lt;1000,"ND",0))),"-")</f>
        <v>4</v>
      </c>
      <c r="B2562" s="116">
        <v>47351</v>
      </c>
      <c r="C2562" s="117">
        <v>45454</v>
      </c>
      <c r="D2562" s="116">
        <v>124.17</v>
      </c>
      <c r="E2562" s="117">
        <v>45458</v>
      </c>
      <c r="F2562" s="116">
        <f>COUNTIFS($A$3:A10818,A2562,$B$3:B10818,B2562)</f>
        <v>1</v>
      </c>
      <c r="G2562" s="116"/>
    </row>
    <row r="2563" spans="1:7" x14ac:dyDescent="0.2">
      <c r="A2563" s="116">
        <f>IF(ISNUMBER(Tabela2[[#This Row],[CT-e/NFS]])=TRUE,(IF(B2563&gt;30000,4,IF(B2563&lt;1000,"ND",0))),"-")</f>
        <v>4</v>
      </c>
      <c r="B2563" s="116">
        <v>47354</v>
      </c>
      <c r="C2563" s="117">
        <v>45454</v>
      </c>
      <c r="D2563" s="116">
        <v>124.2</v>
      </c>
      <c r="E2563" s="117">
        <v>45458</v>
      </c>
      <c r="F2563" s="116">
        <f>COUNTIFS($A$3:A10819,A2563,$B$3:B10819,B2563)</f>
        <v>1</v>
      </c>
      <c r="G2563" s="116"/>
    </row>
    <row r="2564" spans="1:7" x14ac:dyDescent="0.2">
      <c r="A2564" s="116">
        <f>IF(ISNUMBER(Tabela2[[#This Row],[CT-e/NFS]])=TRUE,(IF(B2564&gt;30000,4,IF(B2564&lt;1000,"ND",0))),"-")</f>
        <v>4</v>
      </c>
      <c r="B2564" s="116">
        <v>47353</v>
      </c>
      <c r="C2564" s="117">
        <v>45454</v>
      </c>
      <c r="D2564" s="116">
        <v>125.56</v>
      </c>
      <c r="E2564" s="117">
        <v>45458</v>
      </c>
      <c r="F2564" s="116">
        <f>COUNTIFS($A$3:A10820,A2564,$B$3:B10820,B2564)</f>
        <v>1</v>
      </c>
      <c r="G2564" s="116"/>
    </row>
    <row r="2565" spans="1:7" x14ac:dyDescent="0.2">
      <c r="A2565" s="116">
        <f>IF(ISNUMBER(Tabela2[[#This Row],[CT-e/NFS]])=TRUE,(IF(B2565&gt;30000,4,IF(B2565&lt;1000,"ND",0))),"-")</f>
        <v>4</v>
      </c>
      <c r="B2565" s="116">
        <v>47352</v>
      </c>
      <c r="C2565" s="117">
        <v>45454</v>
      </c>
      <c r="D2565" s="116">
        <v>124.06</v>
      </c>
      <c r="E2565" s="117">
        <v>45458</v>
      </c>
      <c r="F2565" s="116">
        <f>COUNTIFS($A$3:A10821,A2565,$B$3:B10821,B2565)</f>
        <v>1</v>
      </c>
      <c r="G2565" s="116"/>
    </row>
    <row r="2566" spans="1:7" x14ac:dyDescent="0.2">
      <c r="A2566" s="116">
        <f>IF(ISNUMBER(Tabela2[[#This Row],[CT-e/NFS]])=TRUE,(IF(B2566&gt;30000,4,IF(B2566&lt;1000,"ND",0))),"-")</f>
        <v>4</v>
      </c>
      <c r="B2566" s="116">
        <v>47340</v>
      </c>
      <c r="C2566" s="117">
        <v>45454</v>
      </c>
      <c r="D2566" s="116">
        <v>124.35</v>
      </c>
      <c r="E2566" s="117">
        <v>45458</v>
      </c>
      <c r="F2566" s="116">
        <f>COUNTIFS($A$3:A10822,A2566,$B$3:B10822,B2566)</f>
        <v>1</v>
      </c>
      <c r="G2566" s="116"/>
    </row>
    <row r="2567" spans="1:7" x14ac:dyDescent="0.2">
      <c r="A2567" s="116">
        <f>IF(ISNUMBER(Tabela2[[#This Row],[CT-e/NFS]])=TRUE,(IF(B2567&gt;30000,4,IF(B2567&lt;1000,"ND",0))),"-")</f>
        <v>4</v>
      </c>
      <c r="B2567" s="116">
        <v>47344</v>
      </c>
      <c r="C2567" s="117">
        <v>45454</v>
      </c>
      <c r="D2567" s="116">
        <v>154.15</v>
      </c>
      <c r="E2567" s="117">
        <v>45458</v>
      </c>
      <c r="F2567" s="116">
        <f>COUNTIFS($A$3:A10823,A2567,$B$3:B10823,B2567)</f>
        <v>1</v>
      </c>
      <c r="G2567" s="116"/>
    </row>
    <row r="2568" spans="1:7" x14ac:dyDescent="0.2">
      <c r="A2568" s="116">
        <f>IF(ISNUMBER(Tabela2[[#This Row],[CT-e/NFS]])=TRUE,(IF(B2568&gt;30000,4,IF(B2568&lt;1000,"ND",0))),"-")</f>
        <v>4</v>
      </c>
      <c r="B2568" s="116">
        <v>47341</v>
      </c>
      <c r="C2568" s="117">
        <v>45454</v>
      </c>
      <c r="D2568" s="116">
        <v>123.13</v>
      </c>
      <c r="E2568" s="117">
        <v>45458</v>
      </c>
      <c r="F2568" s="116">
        <f>COUNTIFS($A$3:A10824,A2568,$B$3:B10824,B2568)</f>
        <v>1</v>
      </c>
      <c r="G2568" s="116"/>
    </row>
    <row r="2569" spans="1:7" x14ac:dyDescent="0.2">
      <c r="A2569" s="116">
        <f>IF(ISNUMBER(Tabela2[[#This Row],[CT-e/NFS]])=TRUE,(IF(B2569&gt;30000,4,IF(B2569&lt;1000,"ND",0))),"-")</f>
        <v>4</v>
      </c>
      <c r="B2569" s="116">
        <v>47343</v>
      </c>
      <c r="C2569" s="117">
        <v>45454</v>
      </c>
      <c r="D2569" s="116">
        <v>135.97999999999999</v>
      </c>
      <c r="E2569" s="117">
        <v>45458</v>
      </c>
      <c r="F2569" s="116">
        <f>COUNTIFS($A$3:A10825,A2569,$B$3:B10825,B2569)</f>
        <v>1</v>
      </c>
      <c r="G2569" s="116"/>
    </row>
    <row r="2570" spans="1:7" x14ac:dyDescent="0.2">
      <c r="A2570" s="116">
        <f>IF(ISNUMBER(Tabela2[[#This Row],[CT-e/NFS]])=TRUE,(IF(B2570&gt;30000,4,IF(B2570&lt;1000,"ND",0))),"-")</f>
        <v>4</v>
      </c>
      <c r="B2570" s="116">
        <v>47342</v>
      </c>
      <c r="C2570" s="117">
        <v>45454</v>
      </c>
      <c r="D2570" s="116">
        <v>124.33</v>
      </c>
      <c r="E2570" s="117">
        <v>45458</v>
      </c>
      <c r="F2570" s="116">
        <f>COUNTIFS($A$3:A10826,A2570,$B$3:B10826,B2570)</f>
        <v>1</v>
      </c>
      <c r="G2570" s="116"/>
    </row>
    <row r="2571" spans="1:7" x14ac:dyDescent="0.2">
      <c r="A2571" s="116">
        <f>IF(ISNUMBER(Tabela2[[#This Row],[CT-e/NFS]])=TRUE,(IF(B2571&gt;30000,4,IF(B2571&lt;1000,"ND",0))),"-")</f>
        <v>4</v>
      </c>
      <c r="B2571" s="116">
        <v>47357</v>
      </c>
      <c r="C2571" s="117">
        <v>45454</v>
      </c>
      <c r="D2571" s="116">
        <v>609.98</v>
      </c>
      <c r="E2571" s="117">
        <v>45458</v>
      </c>
      <c r="F2571" s="116">
        <f>COUNTIFS($A$3:A10827,A2571,$B$3:B10827,B2571)</f>
        <v>1</v>
      </c>
      <c r="G2571" s="116"/>
    </row>
    <row r="2572" spans="1:7" x14ac:dyDescent="0.2">
      <c r="A2572" s="116">
        <f>IF(ISNUMBER(Tabela2[[#This Row],[CT-e/NFS]])=TRUE,(IF(B2572&gt;30000,4,IF(B2572&lt;1000,"ND",0))),"-")</f>
        <v>4</v>
      </c>
      <c r="B2572" s="116">
        <v>47358</v>
      </c>
      <c r="C2572" s="117">
        <v>45454</v>
      </c>
      <c r="D2572" s="116">
        <v>609.98</v>
      </c>
      <c r="E2572" s="117">
        <v>45458</v>
      </c>
      <c r="F2572" s="116">
        <f>COUNTIFS($A$3:A10828,A2572,$B$3:B10828,B2572)</f>
        <v>1</v>
      </c>
      <c r="G2572" s="116"/>
    </row>
    <row r="2573" spans="1:7" x14ac:dyDescent="0.2">
      <c r="A2573" s="116">
        <f>IF(ISNUMBER(Tabela2[[#This Row],[CT-e/NFS]])=TRUE,(IF(B2573&gt;30000,4,IF(B2573&lt;1000,"ND",0))),"-")</f>
        <v>4</v>
      </c>
      <c r="B2573" s="116">
        <v>47346</v>
      </c>
      <c r="C2573" s="117">
        <v>45454</v>
      </c>
      <c r="D2573" s="116">
        <v>340.82</v>
      </c>
      <c r="E2573" s="117">
        <v>45458</v>
      </c>
      <c r="F2573" s="116">
        <f>COUNTIFS($A$3:A10829,A2573,$B$3:B10829,B2573)</f>
        <v>1</v>
      </c>
      <c r="G2573" s="116"/>
    </row>
    <row r="2574" spans="1:7" x14ac:dyDescent="0.2">
      <c r="A2574" s="116">
        <f>IF(ISNUMBER(Tabela2[[#This Row],[CT-e/NFS]])=TRUE,(IF(B2574&gt;30000,4,IF(B2574&lt;1000,"ND",0))),"-")</f>
        <v>4</v>
      </c>
      <c r="B2574" s="116">
        <v>47347</v>
      </c>
      <c r="C2574" s="117">
        <v>45454</v>
      </c>
      <c r="D2574" s="116">
        <v>385.92</v>
      </c>
      <c r="E2574" s="117">
        <v>45458</v>
      </c>
      <c r="F2574" s="116">
        <f>COUNTIFS($A$3:A10830,A2574,$B$3:B10830,B2574)</f>
        <v>1</v>
      </c>
      <c r="G2574" s="116"/>
    </row>
    <row r="2575" spans="1:7" x14ac:dyDescent="0.2">
      <c r="A2575" s="116">
        <f>IF(ISNUMBER(Tabela2[[#This Row],[CT-e/NFS]])=TRUE,(IF(B2575&gt;30000,4,IF(B2575&lt;1000,"ND",0))),"-")</f>
        <v>4</v>
      </c>
      <c r="B2575" s="116">
        <v>47350</v>
      </c>
      <c r="C2575" s="117">
        <v>45454</v>
      </c>
      <c r="D2575" s="116">
        <v>1245.6099999999999</v>
      </c>
      <c r="E2575" s="117">
        <v>45458</v>
      </c>
      <c r="F2575" s="116">
        <f>COUNTIFS($A$3:A10831,A2575,$B$3:B10831,B2575)</f>
        <v>1</v>
      </c>
      <c r="G2575" s="116"/>
    </row>
    <row r="2576" spans="1:7" x14ac:dyDescent="0.2">
      <c r="A2576" s="116">
        <f>IF(ISNUMBER(Tabela2[[#This Row],[CT-e/NFS]])=TRUE,(IF(B2576&gt;30000,4,IF(B2576&lt;1000,"ND",0))),"-")</f>
        <v>4</v>
      </c>
      <c r="B2576" s="116">
        <v>47345</v>
      </c>
      <c r="C2576" s="117">
        <v>45454</v>
      </c>
      <c r="D2576" s="116">
        <v>410.99</v>
      </c>
      <c r="E2576" s="117">
        <v>45458</v>
      </c>
      <c r="F2576" s="116">
        <f>COUNTIFS($A$3:A10832,A2576,$B$3:B10832,B2576)</f>
        <v>1</v>
      </c>
      <c r="G2576" s="116"/>
    </row>
    <row r="2577" spans="1:7" x14ac:dyDescent="0.2">
      <c r="A2577" s="116">
        <f>IF(ISNUMBER(Tabela2[[#This Row],[CT-e/NFS]])=TRUE,(IF(B2577&gt;30000,4,IF(B2577&lt;1000,"ND",0))),"-")</f>
        <v>4</v>
      </c>
      <c r="B2577" s="116">
        <v>47321</v>
      </c>
      <c r="C2577" s="117">
        <v>45454</v>
      </c>
      <c r="D2577" s="116">
        <v>123.99</v>
      </c>
      <c r="E2577" s="117">
        <v>45458</v>
      </c>
      <c r="F2577" s="116">
        <f>COUNTIFS($A$3:A10833,A2577,$B$3:B10833,B2577)</f>
        <v>1</v>
      </c>
      <c r="G2577" s="116"/>
    </row>
    <row r="2578" spans="1:7" x14ac:dyDescent="0.2">
      <c r="A2578" s="116">
        <f>IF(ISNUMBER(Tabela2[[#This Row],[CT-e/NFS]])=TRUE,(IF(B2578&gt;30000,4,IF(B2578&lt;1000,"ND",0))),"-")</f>
        <v>4</v>
      </c>
      <c r="B2578" s="116">
        <v>47355</v>
      </c>
      <c r="C2578" s="117">
        <v>45454</v>
      </c>
      <c r="D2578" s="116">
        <v>100.5</v>
      </c>
      <c r="E2578" s="117">
        <v>45458</v>
      </c>
      <c r="F2578" s="116">
        <f>COUNTIFS($A$3:A10834,A2578,$B$3:B10834,B2578)</f>
        <v>1</v>
      </c>
      <c r="G2578" s="116"/>
    </row>
    <row r="2579" spans="1:7" x14ac:dyDescent="0.2">
      <c r="A2579" s="116">
        <f>IF(ISNUMBER(Tabela2[[#This Row],[CT-e/NFS]])=TRUE,(IF(B2579&gt;30000,4,IF(B2579&lt;1000,"ND",0))),"-")</f>
        <v>4</v>
      </c>
      <c r="B2579" s="116">
        <v>47356</v>
      </c>
      <c r="C2579" s="117">
        <v>45454</v>
      </c>
      <c r="D2579" s="116">
        <v>181.52</v>
      </c>
      <c r="E2579" s="117">
        <v>45458</v>
      </c>
      <c r="F2579" s="116">
        <f>COUNTIFS($A$3:A10835,A2579,$B$3:B10835,B2579)</f>
        <v>1</v>
      </c>
      <c r="G2579" s="116"/>
    </row>
    <row r="2580" spans="1:7" x14ac:dyDescent="0.2">
      <c r="A2580" s="116">
        <f>IF(ISNUMBER(Tabela2[[#This Row],[CT-e/NFS]])=TRUE,(IF(B2580&gt;30000,4,IF(B2580&lt;1000,"ND",0))),"-")</f>
        <v>4</v>
      </c>
      <c r="B2580" s="116">
        <v>47359</v>
      </c>
      <c r="C2580" s="117">
        <v>45454</v>
      </c>
      <c r="D2580" s="116">
        <v>376.77</v>
      </c>
      <c r="E2580" s="117">
        <v>45458</v>
      </c>
      <c r="F2580" s="116">
        <f>COUNTIFS($A$3:A10836,A2580,$B$3:B10836,B2580)</f>
        <v>1</v>
      </c>
      <c r="G2580" s="116"/>
    </row>
    <row r="2581" spans="1:7" x14ac:dyDescent="0.2">
      <c r="A2581" s="116">
        <f>IF(ISNUMBER(Tabela2[[#This Row],[CT-e/NFS]])=TRUE,(IF(B2581&gt;30000,4,IF(B2581&lt;1000,"ND",0))),"-")</f>
        <v>4</v>
      </c>
      <c r="B2581" s="116">
        <v>47364</v>
      </c>
      <c r="C2581" s="117">
        <v>45454</v>
      </c>
      <c r="D2581" s="116">
        <v>242.3</v>
      </c>
      <c r="E2581" s="117">
        <v>45458</v>
      </c>
      <c r="F2581" s="116">
        <f>COUNTIFS($A$3:A10837,A2581,$B$3:B10837,B2581)</f>
        <v>1</v>
      </c>
      <c r="G2581" s="116"/>
    </row>
    <row r="2582" spans="1:7" x14ac:dyDescent="0.2">
      <c r="A2582" s="116">
        <f>IF(ISNUMBER(Tabela2[[#This Row],[CT-e/NFS]])=TRUE,(IF(B2582&gt;30000,4,IF(B2582&lt;1000,"ND",0))),"-")</f>
        <v>4</v>
      </c>
      <c r="B2582" s="116">
        <v>47360</v>
      </c>
      <c r="C2582" s="117">
        <v>45454</v>
      </c>
      <c r="D2582" s="116">
        <v>125.32</v>
      </c>
      <c r="E2582" s="117">
        <v>45458</v>
      </c>
      <c r="F2582" s="116">
        <f>COUNTIFS($A$3:A10838,A2582,$B$3:B10838,B2582)</f>
        <v>1</v>
      </c>
      <c r="G2582" s="116"/>
    </row>
    <row r="2583" spans="1:7" x14ac:dyDescent="0.2">
      <c r="A2583" s="116">
        <f>IF(ISNUMBER(Tabela2[[#This Row],[CT-e/NFS]])=TRUE,(IF(B2583&gt;30000,4,IF(B2583&lt;1000,"ND",0))),"-")</f>
        <v>4</v>
      </c>
      <c r="B2583" s="116">
        <v>47361</v>
      </c>
      <c r="C2583" s="117">
        <v>45454</v>
      </c>
      <c r="D2583" s="116">
        <v>122.91</v>
      </c>
      <c r="E2583" s="117">
        <v>45458</v>
      </c>
      <c r="F2583" s="116">
        <f>COUNTIFS($A$3:A10839,A2583,$B$3:B10839,B2583)</f>
        <v>1</v>
      </c>
      <c r="G2583" s="116"/>
    </row>
    <row r="2584" spans="1:7" x14ac:dyDescent="0.2">
      <c r="A2584" s="116">
        <f>IF(ISNUMBER(Tabela2[[#This Row],[CT-e/NFS]])=TRUE,(IF(B2584&gt;30000,4,IF(B2584&lt;1000,"ND",0))),"-")</f>
        <v>4</v>
      </c>
      <c r="B2584" s="116">
        <v>47363</v>
      </c>
      <c r="C2584" s="117">
        <v>45454</v>
      </c>
      <c r="D2584" s="116">
        <v>136.06</v>
      </c>
      <c r="E2584" s="117">
        <v>45458</v>
      </c>
      <c r="F2584" s="116">
        <f>COUNTIFS($A$3:A10840,A2584,$B$3:B10840,B2584)</f>
        <v>1</v>
      </c>
      <c r="G2584" s="116"/>
    </row>
    <row r="2585" spans="1:7" x14ac:dyDescent="0.2">
      <c r="A2585" s="116">
        <f>IF(ISNUMBER(Tabela2[[#This Row],[CT-e/NFS]])=TRUE,(IF(B2585&gt;30000,4,IF(B2585&lt;1000,"ND",0))),"-")</f>
        <v>4</v>
      </c>
      <c r="B2585" s="116">
        <v>47370</v>
      </c>
      <c r="C2585" s="117">
        <v>45454</v>
      </c>
      <c r="D2585" s="116">
        <v>240.47</v>
      </c>
      <c r="E2585" s="117">
        <v>45458</v>
      </c>
      <c r="F2585" s="116">
        <f>COUNTIFS($A$3:A10841,A2585,$B$3:B10841,B2585)</f>
        <v>1</v>
      </c>
      <c r="G2585" s="116"/>
    </row>
    <row r="2586" spans="1:7" x14ac:dyDescent="0.2">
      <c r="A2586" s="116">
        <f>IF(ISNUMBER(Tabela2[[#This Row],[CT-e/NFS]])=TRUE,(IF(B2586&gt;30000,4,IF(B2586&lt;1000,"ND",0))),"-")</f>
        <v>4</v>
      </c>
      <c r="B2586" s="116">
        <v>47371</v>
      </c>
      <c r="C2586" s="117">
        <v>45454</v>
      </c>
      <c r="D2586" s="116">
        <v>172.44</v>
      </c>
      <c r="E2586" s="117">
        <v>45458</v>
      </c>
      <c r="F2586" s="116">
        <f>COUNTIFS($A$3:A10842,A2586,$B$3:B10842,B2586)</f>
        <v>1</v>
      </c>
      <c r="G2586" s="116"/>
    </row>
    <row r="2587" spans="1:7" x14ac:dyDescent="0.2">
      <c r="A2587" s="116">
        <f>IF(ISNUMBER(Tabela2[[#This Row],[CT-e/NFS]])=TRUE,(IF(B2587&gt;30000,4,IF(B2587&lt;1000,"ND",0))),"-")</f>
        <v>4</v>
      </c>
      <c r="B2587" s="116">
        <v>47369</v>
      </c>
      <c r="C2587" s="117">
        <v>45454</v>
      </c>
      <c r="D2587" s="116">
        <v>124.2</v>
      </c>
      <c r="E2587" s="117">
        <v>45458</v>
      </c>
      <c r="F2587" s="116">
        <f>COUNTIFS($A$3:A10843,A2587,$B$3:B10843,B2587)</f>
        <v>1</v>
      </c>
      <c r="G2587" s="116"/>
    </row>
    <row r="2588" spans="1:7" x14ac:dyDescent="0.2">
      <c r="A2588" s="116">
        <f>IF(ISNUMBER(Tabela2[[#This Row],[CT-e/NFS]])=TRUE,(IF(B2588&gt;30000,4,IF(B2588&lt;1000,"ND",0))),"-")</f>
        <v>4</v>
      </c>
      <c r="B2588" s="116">
        <v>47368</v>
      </c>
      <c r="C2588" s="117">
        <v>45454</v>
      </c>
      <c r="D2588" s="116">
        <v>251.26</v>
      </c>
      <c r="E2588" s="117">
        <v>45458</v>
      </c>
      <c r="F2588" s="116">
        <f>COUNTIFS($A$3:A10844,A2588,$B$3:B10844,B2588)</f>
        <v>1</v>
      </c>
      <c r="G2588" s="116"/>
    </row>
    <row r="2589" spans="1:7" x14ac:dyDescent="0.2">
      <c r="A2589" s="116">
        <f>IF(ISNUMBER(Tabela2[[#This Row],[CT-e/NFS]])=TRUE,(IF(B2589&gt;30000,4,IF(B2589&lt;1000,"ND",0))),"-")</f>
        <v>4</v>
      </c>
      <c r="B2589" s="116">
        <v>47367</v>
      </c>
      <c r="C2589" s="117">
        <v>45454</v>
      </c>
      <c r="D2589" s="116">
        <v>139.27000000000001</v>
      </c>
      <c r="E2589" s="117">
        <v>45458</v>
      </c>
      <c r="F2589" s="116">
        <f>COUNTIFS($A$3:A10845,A2589,$B$3:B10845,B2589)</f>
        <v>1</v>
      </c>
      <c r="G2589" s="116"/>
    </row>
    <row r="2590" spans="1:7" x14ac:dyDescent="0.2">
      <c r="A2590" s="116">
        <f>IF(ISNUMBER(Tabela2[[#This Row],[CT-e/NFS]])=TRUE,(IF(B2590&gt;30000,4,IF(B2590&lt;1000,"ND",0))),"-")</f>
        <v>4</v>
      </c>
      <c r="B2590" s="116">
        <v>47365</v>
      </c>
      <c r="C2590" s="117">
        <v>45454</v>
      </c>
      <c r="D2590" s="116">
        <v>408.02</v>
      </c>
      <c r="E2590" s="117">
        <v>45458</v>
      </c>
      <c r="F2590" s="116">
        <f>COUNTIFS($A$3:A10846,A2590,$B$3:B10846,B2590)</f>
        <v>1</v>
      </c>
      <c r="G2590" s="116"/>
    </row>
    <row r="2591" spans="1:7" x14ac:dyDescent="0.2">
      <c r="A2591" s="116">
        <f>IF(ISNUMBER(Tabela2[[#This Row],[CT-e/NFS]])=TRUE,(IF(B2591&gt;30000,4,IF(B2591&lt;1000,"ND",0))),"-")</f>
        <v>4</v>
      </c>
      <c r="B2591" s="116">
        <v>47366</v>
      </c>
      <c r="C2591" s="117">
        <v>45454</v>
      </c>
      <c r="D2591" s="116">
        <v>497.68</v>
      </c>
      <c r="E2591" s="117">
        <v>45458</v>
      </c>
      <c r="F2591" s="116">
        <f>COUNTIFS($A$3:A10847,A2591,$B$3:B10847,B2591)</f>
        <v>1</v>
      </c>
      <c r="G2591" s="116"/>
    </row>
    <row r="2592" spans="1:7" x14ac:dyDescent="0.2">
      <c r="A2592" s="116">
        <f>IF(ISNUMBER(Tabela2[[#This Row],[CT-e/NFS]])=TRUE,(IF(B2592&gt;30000,4,IF(B2592&lt;1000,"ND",0))),"-")</f>
        <v>4</v>
      </c>
      <c r="B2592" s="116">
        <v>47372</v>
      </c>
      <c r="C2592" s="117">
        <v>45454</v>
      </c>
      <c r="D2592" s="116">
        <v>122.73</v>
      </c>
      <c r="E2592" s="117">
        <v>45458</v>
      </c>
      <c r="F2592" s="116">
        <f>COUNTIFS($A$3:A10848,A2592,$B$3:B10848,B2592)</f>
        <v>1</v>
      </c>
      <c r="G2592" s="116"/>
    </row>
    <row r="2593" spans="1:7" x14ac:dyDescent="0.2">
      <c r="A2593" s="116">
        <f>IF(ISNUMBER(Tabela2[[#This Row],[CT-e/NFS]])=TRUE,(IF(B2593&gt;30000,4,IF(B2593&lt;1000,"ND",0))),"-")</f>
        <v>4</v>
      </c>
      <c r="B2593" s="116">
        <v>47376</v>
      </c>
      <c r="C2593" s="117">
        <v>45454</v>
      </c>
      <c r="D2593" s="116">
        <v>330.47</v>
      </c>
      <c r="E2593" s="117">
        <v>45458</v>
      </c>
      <c r="F2593" s="116">
        <f>COUNTIFS($A$3:A10849,A2593,$B$3:B10849,B2593)</f>
        <v>1</v>
      </c>
      <c r="G2593" s="116"/>
    </row>
    <row r="2594" spans="1:7" x14ac:dyDescent="0.2">
      <c r="A2594" s="116">
        <f>IF(ISNUMBER(Tabela2[[#This Row],[CT-e/NFS]])=TRUE,(IF(B2594&gt;30000,4,IF(B2594&lt;1000,"ND",0))),"-")</f>
        <v>4</v>
      </c>
      <c r="B2594" s="116">
        <v>47375</v>
      </c>
      <c r="C2594" s="117">
        <v>45454</v>
      </c>
      <c r="D2594" s="116">
        <v>326.27</v>
      </c>
      <c r="E2594" s="117">
        <v>45458</v>
      </c>
      <c r="F2594" s="116">
        <f>COUNTIFS($A$3:A10850,A2594,$B$3:B10850,B2594)</f>
        <v>1</v>
      </c>
      <c r="G2594" s="116"/>
    </row>
    <row r="2595" spans="1:7" x14ac:dyDescent="0.2">
      <c r="A2595" s="116">
        <f>IF(ISNUMBER(Tabela2[[#This Row],[CT-e/NFS]])=TRUE,(IF(B2595&gt;30000,4,IF(B2595&lt;1000,"ND",0))),"-")</f>
        <v>4</v>
      </c>
      <c r="B2595" s="116">
        <v>47374</v>
      </c>
      <c r="C2595" s="117">
        <v>45454</v>
      </c>
      <c r="D2595" s="116">
        <v>1101.56</v>
      </c>
      <c r="E2595" s="117">
        <v>45458</v>
      </c>
      <c r="F2595" s="116">
        <f>COUNTIFS($A$3:A10851,A2595,$B$3:B10851,B2595)</f>
        <v>1</v>
      </c>
      <c r="G2595" s="116"/>
    </row>
    <row r="2596" spans="1:7" x14ac:dyDescent="0.2">
      <c r="A2596" s="116">
        <f>IF(ISNUMBER(Tabela2[[#This Row],[CT-e/NFS]])=TRUE,(IF(B2596&gt;30000,4,IF(B2596&lt;1000,"ND",0))),"-")</f>
        <v>4</v>
      </c>
      <c r="B2596" s="116">
        <v>47378</v>
      </c>
      <c r="C2596" s="117">
        <v>45454</v>
      </c>
      <c r="D2596" s="116">
        <v>419.44</v>
      </c>
      <c r="E2596" s="117">
        <v>45458</v>
      </c>
      <c r="F2596" s="116">
        <f>COUNTIFS($A$3:A10852,A2596,$B$3:B10852,B2596)</f>
        <v>1</v>
      </c>
      <c r="G2596" s="116"/>
    </row>
    <row r="2597" spans="1:7" x14ac:dyDescent="0.2">
      <c r="A2597" s="116">
        <f>IF(ISNUMBER(Tabela2[[#This Row],[CT-e/NFS]])=TRUE,(IF(B2597&gt;30000,4,IF(B2597&lt;1000,"ND",0))),"-")</f>
        <v>4</v>
      </c>
      <c r="B2597" s="116">
        <v>47379</v>
      </c>
      <c r="C2597" s="117">
        <v>45454</v>
      </c>
      <c r="D2597" s="116">
        <v>372.44</v>
      </c>
      <c r="E2597" s="117">
        <v>45458</v>
      </c>
      <c r="F2597" s="116">
        <f>COUNTIFS($A$3:A10853,A2597,$B$3:B10853,B2597)</f>
        <v>1</v>
      </c>
      <c r="G2597" s="116"/>
    </row>
    <row r="2598" spans="1:7" x14ac:dyDescent="0.2">
      <c r="A2598" s="116">
        <f>IF(ISNUMBER(Tabela2[[#This Row],[CT-e/NFS]])=TRUE,(IF(B2598&gt;30000,4,IF(B2598&lt;1000,"ND",0))),"-")</f>
        <v>4</v>
      </c>
      <c r="B2598" s="116">
        <v>47377</v>
      </c>
      <c r="C2598" s="117">
        <v>45454</v>
      </c>
      <c r="D2598" s="116">
        <v>345.84</v>
      </c>
      <c r="E2598" s="117">
        <v>45458</v>
      </c>
      <c r="F2598" s="116">
        <f>COUNTIFS($A$3:A10854,A2598,$B$3:B10854,B2598)</f>
        <v>1</v>
      </c>
      <c r="G2598" s="116"/>
    </row>
    <row r="2599" spans="1:7" x14ac:dyDescent="0.2">
      <c r="A2599" s="116">
        <f>IF(ISNUMBER(Tabela2[[#This Row],[CT-e/NFS]])=TRUE,(IF(B2599&gt;30000,4,IF(B2599&lt;1000,"ND",0))),"-")</f>
        <v>4</v>
      </c>
      <c r="B2599" s="116">
        <v>47388</v>
      </c>
      <c r="C2599" s="117">
        <v>45454</v>
      </c>
      <c r="D2599" s="116">
        <v>122.77</v>
      </c>
      <c r="E2599" s="117">
        <v>45458</v>
      </c>
      <c r="F2599" s="116">
        <f>COUNTIFS($A$3:A10855,A2599,$B$3:B10855,B2599)</f>
        <v>1</v>
      </c>
      <c r="G2599" s="116"/>
    </row>
    <row r="2600" spans="1:7" x14ac:dyDescent="0.2">
      <c r="A2600" s="116">
        <f>IF(ISNUMBER(Tabela2[[#This Row],[CT-e/NFS]])=TRUE,(IF(B2600&gt;30000,4,IF(B2600&lt;1000,"ND",0))),"-")</f>
        <v>4</v>
      </c>
      <c r="B2600" s="116">
        <v>47387</v>
      </c>
      <c r="C2600" s="117">
        <v>45454</v>
      </c>
      <c r="D2600" s="116">
        <v>124.03</v>
      </c>
      <c r="E2600" s="117">
        <v>45458</v>
      </c>
      <c r="F2600" s="116">
        <f>COUNTIFS($A$3:A10856,A2600,$B$3:B10856,B2600)</f>
        <v>1</v>
      </c>
      <c r="G2600" s="116"/>
    </row>
    <row r="2601" spans="1:7" x14ac:dyDescent="0.2">
      <c r="A2601" s="116">
        <f>IF(ISNUMBER(Tabela2[[#This Row],[CT-e/NFS]])=TRUE,(IF(B2601&gt;30000,4,IF(B2601&lt;1000,"ND",0))),"-")</f>
        <v>4</v>
      </c>
      <c r="B2601" s="116">
        <v>47394</v>
      </c>
      <c r="C2601" s="117">
        <v>45454</v>
      </c>
      <c r="D2601" s="116">
        <v>125.56</v>
      </c>
      <c r="E2601" s="117">
        <v>45458</v>
      </c>
      <c r="F2601" s="116">
        <f>COUNTIFS($A$3:A10857,A2601,$B$3:B10857,B2601)</f>
        <v>1</v>
      </c>
      <c r="G2601" s="116"/>
    </row>
    <row r="2602" spans="1:7" x14ac:dyDescent="0.2">
      <c r="A2602" s="116">
        <f>IF(ISNUMBER(Tabela2[[#This Row],[CT-e/NFS]])=TRUE,(IF(B2602&gt;30000,4,IF(B2602&lt;1000,"ND",0))),"-")</f>
        <v>4</v>
      </c>
      <c r="B2602" s="116">
        <v>47384</v>
      </c>
      <c r="C2602" s="117">
        <v>45454</v>
      </c>
      <c r="D2602" s="116">
        <v>310.86</v>
      </c>
      <c r="E2602" s="117">
        <v>45458</v>
      </c>
      <c r="F2602" s="116">
        <f>COUNTIFS($A$3:A10858,A2602,$B$3:B10858,B2602)</f>
        <v>1</v>
      </c>
      <c r="G2602" s="116"/>
    </row>
    <row r="2603" spans="1:7" x14ac:dyDescent="0.2">
      <c r="A2603" s="116">
        <f>IF(ISNUMBER(Tabela2[[#This Row],[CT-e/NFS]])=TRUE,(IF(B2603&gt;30000,4,IF(B2603&lt;1000,"ND",0))),"-")</f>
        <v>4</v>
      </c>
      <c r="B2603" s="116">
        <v>47385</v>
      </c>
      <c r="C2603" s="117">
        <v>45454</v>
      </c>
      <c r="D2603" s="116">
        <v>522.91999999999996</v>
      </c>
      <c r="E2603" s="117">
        <v>45458</v>
      </c>
      <c r="F2603" s="116">
        <f>COUNTIFS($A$3:A10859,A2603,$B$3:B10859,B2603)</f>
        <v>1</v>
      </c>
      <c r="G2603" s="116"/>
    </row>
    <row r="2604" spans="1:7" x14ac:dyDescent="0.2">
      <c r="A2604" s="116">
        <f>IF(ISNUMBER(Tabela2[[#This Row],[CT-e/NFS]])=TRUE,(IF(B2604&gt;30000,4,IF(B2604&lt;1000,"ND",0))),"-")</f>
        <v>4</v>
      </c>
      <c r="B2604" s="116">
        <v>47380</v>
      </c>
      <c r="C2604" s="117">
        <v>45454</v>
      </c>
      <c r="D2604" s="116">
        <v>184.86</v>
      </c>
      <c r="E2604" s="117">
        <v>45458</v>
      </c>
      <c r="F2604" s="116">
        <f>COUNTIFS($A$3:A10860,A2604,$B$3:B10860,B2604)</f>
        <v>1</v>
      </c>
      <c r="G2604" s="116"/>
    </row>
    <row r="2605" spans="1:7" x14ac:dyDescent="0.2">
      <c r="A2605" s="116">
        <f>IF(ISNUMBER(Tabela2[[#This Row],[CT-e/NFS]])=TRUE,(IF(B2605&gt;30000,4,IF(B2605&lt;1000,"ND",0))),"-")</f>
        <v>4</v>
      </c>
      <c r="B2605" s="116">
        <v>47396</v>
      </c>
      <c r="C2605" s="117">
        <v>45454</v>
      </c>
      <c r="D2605" s="116">
        <v>243.98</v>
      </c>
      <c r="E2605" s="117">
        <v>45458</v>
      </c>
      <c r="F2605" s="116">
        <f>COUNTIFS($A$3:A10861,A2605,$B$3:B10861,B2605)</f>
        <v>1</v>
      </c>
      <c r="G2605" s="116"/>
    </row>
    <row r="2606" spans="1:7" x14ac:dyDescent="0.2">
      <c r="A2606" s="116">
        <f>IF(ISNUMBER(Tabela2[[#This Row],[CT-e/NFS]])=TRUE,(IF(B2606&gt;30000,4,IF(B2606&lt;1000,"ND",0))),"-")</f>
        <v>4</v>
      </c>
      <c r="B2606" s="116">
        <v>47395</v>
      </c>
      <c r="C2606" s="117">
        <v>45454</v>
      </c>
      <c r="D2606" s="116">
        <v>1712.69</v>
      </c>
      <c r="E2606" s="117">
        <v>45458</v>
      </c>
      <c r="F2606" s="116">
        <f>COUNTIFS($A$3:A10862,A2606,$B$3:B10862,B2606)</f>
        <v>1</v>
      </c>
      <c r="G2606" s="116"/>
    </row>
    <row r="2607" spans="1:7" x14ac:dyDescent="0.2">
      <c r="A2607" s="116">
        <f>IF(ISNUMBER(Tabela2[[#This Row],[CT-e/NFS]])=TRUE,(IF(B2607&gt;30000,4,IF(B2607&lt;1000,"ND",0))),"-")</f>
        <v>4</v>
      </c>
      <c r="B2607" s="116">
        <v>47391</v>
      </c>
      <c r="C2607" s="117">
        <v>45454</v>
      </c>
      <c r="D2607" s="116">
        <v>1780.3</v>
      </c>
      <c r="E2607" s="117">
        <v>45458</v>
      </c>
      <c r="F2607" s="116">
        <f>COUNTIFS($A$3:A10863,A2607,$B$3:B10863,B2607)</f>
        <v>1</v>
      </c>
      <c r="G2607" s="116"/>
    </row>
    <row r="2608" spans="1:7" x14ac:dyDescent="0.2">
      <c r="A2608" s="116">
        <f>IF(ISNUMBER(Tabela2[[#This Row],[CT-e/NFS]])=TRUE,(IF(B2608&gt;30000,4,IF(B2608&lt;1000,"ND",0))),"-")</f>
        <v>4</v>
      </c>
      <c r="B2608" s="116">
        <v>47381</v>
      </c>
      <c r="C2608" s="117">
        <v>45454</v>
      </c>
      <c r="D2608" s="116">
        <v>124.05</v>
      </c>
      <c r="E2608" s="117">
        <v>45458</v>
      </c>
      <c r="F2608" s="116">
        <f>COUNTIFS($A$3:A10864,A2608,$B$3:B10864,B2608)</f>
        <v>1</v>
      </c>
      <c r="G2608" s="116"/>
    </row>
    <row r="2609" spans="1:7" x14ac:dyDescent="0.2">
      <c r="A2609" s="116">
        <f>IF(ISNUMBER(Tabela2[[#This Row],[CT-e/NFS]])=TRUE,(IF(B2609&gt;30000,4,IF(B2609&lt;1000,"ND",0))),"-")</f>
        <v>4</v>
      </c>
      <c r="B2609" s="116">
        <v>47383</v>
      </c>
      <c r="C2609" s="117">
        <v>45454</v>
      </c>
      <c r="D2609" s="116">
        <v>125.89</v>
      </c>
      <c r="E2609" s="117">
        <v>45458</v>
      </c>
      <c r="F2609" s="116">
        <f>COUNTIFS($A$3:A10865,A2609,$B$3:B10865,B2609)</f>
        <v>1</v>
      </c>
      <c r="G2609" s="116"/>
    </row>
    <row r="2610" spans="1:7" x14ac:dyDescent="0.2">
      <c r="A2610" s="116">
        <f>IF(ISNUMBER(Tabela2[[#This Row],[CT-e/NFS]])=TRUE,(IF(B2610&gt;30000,4,IF(B2610&lt;1000,"ND",0))),"-")</f>
        <v>4</v>
      </c>
      <c r="B2610" s="116">
        <v>47382</v>
      </c>
      <c r="C2610" s="117">
        <v>45454</v>
      </c>
      <c r="D2610" s="116">
        <v>238.82</v>
      </c>
      <c r="E2610" s="117">
        <v>45458</v>
      </c>
      <c r="F2610" s="116">
        <f>COUNTIFS($A$3:A10866,A2610,$B$3:B10866,B2610)</f>
        <v>1</v>
      </c>
      <c r="G2610" s="116"/>
    </row>
    <row r="2611" spans="1:7" x14ac:dyDescent="0.2">
      <c r="A2611" s="116">
        <f>IF(ISNUMBER(Tabela2[[#This Row],[CT-e/NFS]])=TRUE,(IF(B2611&gt;30000,4,IF(B2611&lt;1000,"ND",0))),"-")</f>
        <v>4</v>
      </c>
      <c r="B2611" s="116">
        <v>47398</v>
      </c>
      <c r="C2611" s="117">
        <v>45454</v>
      </c>
      <c r="D2611" s="116">
        <v>111.78</v>
      </c>
      <c r="E2611" s="117">
        <v>45458</v>
      </c>
      <c r="F2611" s="116">
        <f>COUNTIFS($A$3:A10867,A2611,$B$3:B10867,B2611)</f>
        <v>1</v>
      </c>
      <c r="G2611" s="116"/>
    </row>
    <row r="2612" spans="1:7" x14ac:dyDescent="0.2">
      <c r="A2612" s="116">
        <f>IF(ISNUMBER(Tabela2[[#This Row],[CT-e/NFS]])=TRUE,(IF(B2612&gt;30000,4,IF(B2612&lt;1000,"ND",0))),"-")</f>
        <v>4</v>
      </c>
      <c r="B2612" s="116">
        <v>47393</v>
      </c>
      <c r="C2612" s="117">
        <v>45454</v>
      </c>
      <c r="D2612" s="116">
        <v>523.29999999999995</v>
      </c>
      <c r="E2612" s="117">
        <v>45458</v>
      </c>
      <c r="F2612" s="116">
        <f>COUNTIFS($A$3:A10868,A2612,$B$3:B10868,B2612)</f>
        <v>1</v>
      </c>
      <c r="G2612" s="116"/>
    </row>
    <row r="2613" spans="1:7" x14ac:dyDescent="0.2">
      <c r="A2613" s="116">
        <f>IF(ISNUMBER(Tabela2[[#This Row],[CT-e/NFS]])=TRUE,(IF(B2613&gt;30000,4,IF(B2613&lt;1000,"ND",0))),"-")</f>
        <v>4</v>
      </c>
      <c r="B2613" s="116">
        <v>47392</v>
      </c>
      <c r="C2613" s="117">
        <v>45454</v>
      </c>
      <c r="D2613" s="116">
        <v>122.77</v>
      </c>
      <c r="E2613" s="117">
        <v>45458</v>
      </c>
      <c r="F2613" s="116">
        <f>COUNTIFS($A$3:A10869,A2613,$B$3:B10869,B2613)</f>
        <v>1</v>
      </c>
      <c r="G2613" s="116"/>
    </row>
    <row r="2614" spans="1:7" x14ac:dyDescent="0.2">
      <c r="A2614" s="116">
        <f>IF(ISNUMBER(Tabela2[[#This Row],[CT-e/NFS]])=TRUE,(IF(B2614&gt;30000,4,IF(B2614&lt;1000,"ND",0))),"-")</f>
        <v>4</v>
      </c>
      <c r="B2614" s="116">
        <v>47390</v>
      </c>
      <c r="C2614" s="117">
        <v>45454</v>
      </c>
      <c r="D2614" s="116">
        <v>126.19</v>
      </c>
      <c r="E2614" s="117">
        <v>45458</v>
      </c>
      <c r="F2614" s="116">
        <f>COUNTIFS($A$3:A10870,A2614,$B$3:B10870,B2614)</f>
        <v>1</v>
      </c>
      <c r="G2614" s="116"/>
    </row>
    <row r="2615" spans="1:7" x14ac:dyDescent="0.2">
      <c r="A2615" s="116">
        <f>IF(ISNUMBER(Tabela2[[#This Row],[CT-e/NFS]])=TRUE,(IF(B2615&gt;30000,4,IF(B2615&lt;1000,"ND",0))),"-")</f>
        <v>4</v>
      </c>
      <c r="B2615" s="116">
        <v>47389</v>
      </c>
      <c r="C2615" s="117">
        <v>45454</v>
      </c>
      <c r="D2615" s="116">
        <v>246.33</v>
      </c>
      <c r="E2615" s="117">
        <v>45458</v>
      </c>
      <c r="F2615" s="116">
        <f>COUNTIFS($A$3:A10871,A2615,$B$3:B10871,B2615)</f>
        <v>1</v>
      </c>
      <c r="G2615" s="116"/>
    </row>
    <row r="2616" spans="1:7" x14ac:dyDescent="0.2">
      <c r="A2616" s="116">
        <f>IF(ISNUMBER(Tabela2[[#This Row],[CT-e/NFS]])=TRUE,(IF(B2616&gt;30000,4,IF(B2616&lt;1000,"ND",0))),"-")</f>
        <v>4</v>
      </c>
      <c r="B2616" s="116">
        <v>47373</v>
      </c>
      <c r="C2616" s="117">
        <v>45454</v>
      </c>
      <c r="D2616" s="116">
        <v>1086.24</v>
      </c>
      <c r="E2616" s="117">
        <v>45458</v>
      </c>
      <c r="F2616" s="116">
        <f>COUNTIFS($A$3:A10872,A2616,$B$3:B10872,B2616)</f>
        <v>1</v>
      </c>
      <c r="G2616" s="116"/>
    </row>
    <row r="2617" spans="1:7" x14ac:dyDescent="0.2">
      <c r="A2617" s="116">
        <f>IF(ISNUMBER(Tabela2[[#This Row],[CT-e/NFS]])=TRUE,(IF(B2617&gt;30000,4,IF(B2617&lt;1000,"ND",0))),"-")</f>
        <v>4</v>
      </c>
      <c r="B2617" s="116">
        <v>47399</v>
      </c>
      <c r="C2617" s="117">
        <v>45454</v>
      </c>
      <c r="D2617" s="116">
        <v>1086.24</v>
      </c>
      <c r="E2617" s="117">
        <v>45458</v>
      </c>
      <c r="F2617" s="116">
        <f>COUNTIFS($A$3:A10873,A2617,$B$3:B10873,B2617)</f>
        <v>1</v>
      </c>
      <c r="G2617" s="116"/>
    </row>
    <row r="2618" spans="1:7" x14ac:dyDescent="0.2">
      <c r="A2618" s="116">
        <f>IF(ISNUMBER(Tabela2[[#This Row],[CT-e/NFS]])=TRUE,(IF(B2618&gt;30000,4,IF(B2618&lt;1000,"ND",0))),"-")</f>
        <v>4</v>
      </c>
      <c r="B2618" s="116">
        <v>47386</v>
      </c>
      <c r="C2618" s="117">
        <v>45454</v>
      </c>
      <c r="D2618" s="116">
        <v>1086.24</v>
      </c>
      <c r="E2618" s="117">
        <v>45458</v>
      </c>
      <c r="F2618" s="116">
        <f>COUNTIFS($A$3:A10874,A2618,$B$3:B10874,B2618)</f>
        <v>1</v>
      </c>
      <c r="G2618" s="116"/>
    </row>
    <row r="2619" spans="1:7" x14ac:dyDescent="0.2">
      <c r="A2619" s="116">
        <f>IF(ISNUMBER(Tabela2[[#This Row],[CT-e/NFS]])=TRUE,(IF(B2619&gt;30000,4,IF(B2619&lt;1000,"ND",0))),"-")</f>
        <v>4</v>
      </c>
      <c r="B2619" s="116">
        <v>47397</v>
      </c>
      <c r="C2619" s="117">
        <v>45454</v>
      </c>
      <c r="D2619" s="116">
        <v>62.1</v>
      </c>
      <c r="E2619" s="117">
        <v>45458</v>
      </c>
      <c r="F2619" s="116">
        <f>COUNTIFS($A$3:A10875,A2619,$B$3:B10875,B2619)</f>
        <v>1</v>
      </c>
      <c r="G2619" s="116"/>
    </row>
    <row r="2620" spans="1:7" x14ac:dyDescent="0.2">
      <c r="A2620" s="116">
        <f>IF(ISNUMBER(Tabela2[[#This Row],[CT-e/NFS]])=TRUE,(IF(B2620&gt;30000,4,IF(B2620&lt;1000,"ND",0))),"-")</f>
        <v>4</v>
      </c>
      <c r="B2620" s="116">
        <v>47409</v>
      </c>
      <c r="C2620" s="117">
        <v>45454</v>
      </c>
      <c r="D2620" s="116">
        <v>125.93</v>
      </c>
      <c r="E2620" s="117">
        <v>45458</v>
      </c>
      <c r="F2620" s="116">
        <f>COUNTIFS($A$3:A10876,A2620,$B$3:B10876,B2620)</f>
        <v>1</v>
      </c>
      <c r="G2620" s="116"/>
    </row>
    <row r="2621" spans="1:7" x14ac:dyDescent="0.2">
      <c r="A2621" s="116">
        <f>IF(ISNUMBER(Tabela2[[#This Row],[CT-e/NFS]])=TRUE,(IF(B2621&gt;30000,4,IF(B2621&lt;1000,"ND",0))),"-")</f>
        <v>4</v>
      </c>
      <c r="B2621" s="116">
        <v>47413</v>
      </c>
      <c r="C2621" s="117">
        <v>45454</v>
      </c>
      <c r="D2621" s="116">
        <v>126.24</v>
      </c>
      <c r="E2621" s="117">
        <v>45458</v>
      </c>
      <c r="F2621" s="116">
        <f>COUNTIFS($A$3:A10877,A2621,$B$3:B10877,B2621)</f>
        <v>1</v>
      </c>
      <c r="G2621" s="116"/>
    </row>
    <row r="2622" spans="1:7" x14ac:dyDescent="0.2">
      <c r="A2622" s="116">
        <f>IF(ISNUMBER(Tabela2[[#This Row],[CT-e/NFS]])=TRUE,(IF(B2622&gt;30000,4,IF(B2622&lt;1000,"ND",0))),"-")</f>
        <v>4</v>
      </c>
      <c r="B2622" s="116">
        <v>47414</v>
      </c>
      <c r="C2622" s="117">
        <v>45454</v>
      </c>
      <c r="D2622" s="116">
        <v>123.89</v>
      </c>
      <c r="E2622" s="117">
        <v>45458</v>
      </c>
      <c r="F2622" s="116">
        <f>COUNTIFS($A$3:A10878,A2622,$B$3:B10878,B2622)</f>
        <v>1</v>
      </c>
      <c r="G2622" s="116"/>
    </row>
    <row r="2623" spans="1:7" x14ac:dyDescent="0.2">
      <c r="A2623" s="116">
        <f>IF(ISNUMBER(Tabela2[[#This Row],[CT-e/NFS]])=TRUE,(IF(B2623&gt;30000,4,IF(B2623&lt;1000,"ND",0))),"-")</f>
        <v>4</v>
      </c>
      <c r="B2623" s="116">
        <v>47411</v>
      </c>
      <c r="C2623" s="117">
        <v>45454</v>
      </c>
      <c r="D2623" s="116">
        <v>123.51</v>
      </c>
      <c r="E2623" s="117">
        <v>45458</v>
      </c>
      <c r="F2623" s="116">
        <f>COUNTIFS($A$3:A10879,A2623,$B$3:B10879,B2623)</f>
        <v>1</v>
      </c>
      <c r="G2623" s="116"/>
    </row>
    <row r="2624" spans="1:7" x14ac:dyDescent="0.2">
      <c r="A2624" s="116">
        <f>IF(ISNUMBER(Tabela2[[#This Row],[CT-e/NFS]])=TRUE,(IF(B2624&gt;30000,4,IF(B2624&lt;1000,"ND",0))),"-")</f>
        <v>4</v>
      </c>
      <c r="B2624" s="116">
        <v>47412</v>
      </c>
      <c r="C2624" s="117">
        <v>45454</v>
      </c>
      <c r="D2624" s="116">
        <v>125.94</v>
      </c>
      <c r="E2624" s="117">
        <v>45458</v>
      </c>
      <c r="F2624" s="116">
        <f>COUNTIFS($A$3:A10880,A2624,$B$3:B10880,B2624)</f>
        <v>1</v>
      </c>
      <c r="G2624" s="116"/>
    </row>
    <row r="2625" spans="1:7" x14ac:dyDescent="0.2">
      <c r="A2625" s="116">
        <f>IF(ISNUMBER(Tabela2[[#This Row],[CT-e/NFS]])=TRUE,(IF(B2625&gt;30000,4,IF(B2625&lt;1000,"ND",0))),"-")</f>
        <v>4</v>
      </c>
      <c r="B2625" s="116">
        <v>47419</v>
      </c>
      <c r="C2625" s="117">
        <v>45454</v>
      </c>
      <c r="D2625" s="116">
        <v>122.92</v>
      </c>
      <c r="E2625" s="117">
        <v>45458</v>
      </c>
      <c r="F2625" s="116">
        <f>COUNTIFS($A$3:A10881,A2625,$B$3:B10881,B2625)</f>
        <v>1</v>
      </c>
      <c r="G2625" s="116"/>
    </row>
    <row r="2626" spans="1:7" x14ac:dyDescent="0.2">
      <c r="A2626" s="116">
        <f>IF(ISNUMBER(Tabela2[[#This Row],[CT-e/NFS]])=TRUE,(IF(B2626&gt;30000,4,IF(B2626&lt;1000,"ND",0))),"-")</f>
        <v>4</v>
      </c>
      <c r="B2626" s="116">
        <v>47400</v>
      </c>
      <c r="C2626" s="117">
        <v>45454</v>
      </c>
      <c r="D2626" s="116">
        <v>591.70000000000005</v>
      </c>
      <c r="E2626" s="117">
        <v>45458</v>
      </c>
      <c r="F2626" s="116">
        <f>COUNTIFS($A$3:A10882,A2626,$B$3:B10882,B2626)</f>
        <v>1</v>
      </c>
      <c r="G2626" s="116"/>
    </row>
    <row r="2627" spans="1:7" x14ac:dyDescent="0.2">
      <c r="A2627" s="116">
        <f>IF(ISNUMBER(Tabela2[[#This Row],[CT-e/NFS]])=TRUE,(IF(B2627&gt;30000,4,IF(B2627&lt;1000,"ND",0))),"-")</f>
        <v>4</v>
      </c>
      <c r="B2627" s="116">
        <v>47408</v>
      </c>
      <c r="C2627" s="117">
        <v>45454</v>
      </c>
      <c r="D2627" s="116">
        <v>131.9</v>
      </c>
      <c r="E2627" s="117">
        <v>45458</v>
      </c>
      <c r="F2627" s="116">
        <f>COUNTIFS($A$3:A10883,A2627,$B$3:B10883,B2627)</f>
        <v>1</v>
      </c>
      <c r="G2627" s="116"/>
    </row>
    <row r="2628" spans="1:7" x14ac:dyDescent="0.2">
      <c r="A2628" s="116">
        <f>IF(ISNUMBER(Tabela2[[#This Row],[CT-e/NFS]])=TRUE,(IF(B2628&gt;30000,4,IF(B2628&lt;1000,"ND",0))),"-")</f>
        <v>4</v>
      </c>
      <c r="B2628" s="116">
        <v>47404</v>
      </c>
      <c r="C2628" s="117">
        <v>45454</v>
      </c>
      <c r="D2628" s="116">
        <v>123.99</v>
      </c>
      <c r="E2628" s="117">
        <v>45458</v>
      </c>
      <c r="F2628" s="116">
        <f>COUNTIFS($A$3:A10884,A2628,$B$3:B10884,B2628)</f>
        <v>1</v>
      </c>
      <c r="G2628" s="116"/>
    </row>
    <row r="2629" spans="1:7" x14ac:dyDescent="0.2">
      <c r="A2629" s="116">
        <f>IF(ISNUMBER(Tabela2[[#This Row],[CT-e/NFS]])=TRUE,(IF(B2629&gt;30000,4,IF(B2629&lt;1000,"ND",0))),"-")</f>
        <v>4</v>
      </c>
      <c r="B2629" s="116">
        <v>47418</v>
      </c>
      <c r="C2629" s="117">
        <v>45454</v>
      </c>
      <c r="D2629" s="116">
        <v>124.18</v>
      </c>
      <c r="E2629" s="117">
        <v>45458</v>
      </c>
      <c r="F2629" s="116">
        <f>COUNTIFS($A$3:A10885,A2629,$B$3:B10885,B2629)</f>
        <v>1</v>
      </c>
      <c r="G2629" s="116"/>
    </row>
    <row r="2630" spans="1:7" x14ac:dyDescent="0.2">
      <c r="A2630" s="116">
        <f>IF(ISNUMBER(Tabela2[[#This Row],[CT-e/NFS]])=TRUE,(IF(B2630&gt;30000,4,IF(B2630&lt;1000,"ND",0))),"-")</f>
        <v>4</v>
      </c>
      <c r="B2630" s="116">
        <v>47417</v>
      </c>
      <c r="C2630" s="117">
        <v>45454</v>
      </c>
      <c r="D2630" s="116">
        <v>125.69</v>
      </c>
      <c r="E2630" s="117">
        <v>45458</v>
      </c>
      <c r="F2630" s="116">
        <f>COUNTIFS($A$3:A10886,A2630,$B$3:B10886,B2630)</f>
        <v>1</v>
      </c>
      <c r="G2630" s="116"/>
    </row>
    <row r="2631" spans="1:7" x14ac:dyDescent="0.2">
      <c r="A2631" s="116">
        <f>IF(ISNUMBER(Tabela2[[#This Row],[CT-e/NFS]])=TRUE,(IF(B2631&gt;30000,4,IF(B2631&lt;1000,"ND",0))),"-")</f>
        <v>4</v>
      </c>
      <c r="B2631" s="116">
        <v>47405</v>
      </c>
      <c r="C2631" s="117">
        <v>45454</v>
      </c>
      <c r="D2631" s="116">
        <v>124.02</v>
      </c>
      <c r="E2631" s="117">
        <v>45458</v>
      </c>
      <c r="F2631" s="116">
        <f>COUNTIFS($A$3:A10887,A2631,$B$3:B10887,B2631)</f>
        <v>1</v>
      </c>
      <c r="G2631" s="116"/>
    </row>
    <row r="2632" spans="1:7" x14ac:dyDescent="0.2">
      <c r="A2632" s="116">
        <f>IF(ISNUMBER(Tabela2[[#This Row],[CT-e/NFS]])=TRUE,(IF(B2632&gt;30000,4,IF(B2632&lt;1000,"ND",0))),"-")</f>
        <v>4</v>
      </c>
      <c r="B2632" s="116">
        <v>47406</v>
      </c>
      <c r="C2632" s="117">
        <v>45454</v>
      </c>
      <c r="D2632" s="116">
        <v>124.36</v>
      </c>
      <c r="E2632" s="117">
        <v>45458</v>
      </c>
      <c r="F2632" s="116">
        <f>COUNTIFS($A$3:A10888,A2632,$B$3:B10888,B2632)</f>
        <v>1</v>
      </c>
      <c r="G2632" s="116"/>
    </row>
    <row r="2633" spans="1:7" x14ac:dyDescent="0.2">
      <c r="A2633" s="116">
        <f>IF(ISNUMBER(Tabela2[[#This Row],[CT-e/NFS]])=TRUE,(IF(B2633&gt;30000,4,IF(B2633&lt;1000,"ND",0))),"-")</f>
        <v>4</v>
      </c>
      <c r="B2633" s="116">
        <v>47407</v>
      </c>
      <c r="C2633" s="117">
        <v>45454</v>
      </c>
      <c r="D2633" s="116">
        <v>1130.32</v>
      </c>
      <c r="E2633" s="117">
        <v>45458</v>
      </c>
      <c r="F2633" s="116">
        <f>COUNTIFS($A$3:A10889,A2633,$B$3:B10889,B2633)</f>
        <v>1</v>
      </c>
      <c r="G2633" s="116"/>
    </row>
    <row r="2634" spans="1:7" x14ac:dyDescent="0.2">
      <c r="A2634" s="116">
        <f>IF(ISNUMBER(Tabela2[[#This Row],[CT-e/NFS]])=TRUE,(IF(B2634&gt;30000,4,IF(B2634&lt;1000,"ND",0))),"-")</f>
        <v>4</v>
      </c>
      <c r="B2634" s="116">
        <v>47410</v>
      </c>
      <c r="C2634" s="117">
        <v>45454</v>
      </c>
      <c r="D2634" s="116">
        <v>306.24</v>
      </c>
      <c r="E2634" s="117">
        <v>45458</v>
      </c>
      <c r="F2634" s="116">
        <f>COUNTIFS($A$3:A10890,A2634,$B$3:B10890,B2634)</f>
        <v>1</v>
      </c>
      <c r="G2634" s="116"/>
    </row>
    <row r="2635" spans="1:7" x14ac:dyDescent="0.2">
      <c r="A2635" s="116">
        <f>IF(ISNUMBER(Tabela2[[#This Row],[CT-e/NFS]])=TRUE,(IF(B2635&gt;30000,4,IF(B2635&lt;1000,"ND",0))),"-")</f>
        <v>4</v>
      </c>
      <c r="B2635" s="116">
        <v>47401</v>
      </c>
      <c r="C2635" s="117">
        <v>45454</v>
      </c>
      <c r="D2635" s="116">
        <v>279.91000000000003</v>
      </c>
      <c r="E2635" s="117">
        <v>45458</v>
      </c>
      <c r="F2635" s="116">
        <f>COUNTIFS($A$3:A10891,A2635,$B$3:B10891,B2635)</f>
        <v>1</v>
      </c>
      <c r="G2635" s="116"/>
    </row>
    <row r="2636" spans="1:7" x14ac:dyDescent="0.2">
      <c r="A2636" s="116">
        <f>IF(ISNUMBER(Tabela2[[#This Row],[CT-e/NFS]])=TRUE,(IF(B2636&gt;30000,4,IF(B2636&lt;1000,"ND",0))),"-")</f>
        <v>4</v>
      </c>
      <c r="B2636" s="116">
        <v>47416</v>
      </c>
      <c r="C2636" s="117">
        <v>45454</v>
      </c>
      <c r="D2636" s="116">
        <v>125.7</v>
      </c>
      <c r="E2636" s="117">
        <v>45458</v>
      </c>
      <c r="F2636" s="116">
        <f>COUNTIFS($A$3:A10892,A2636,$B$3:B10892,B2636)</f>
        <v>1</v>
      </c>
      <c r="G2636" s="116"/>
    </row>
    <row r="2637" spans="1:7" x14ac:dyDescent="0.2">
      <c r="A2637" s="116">
        <f>IF(ISNUMBER(Tabela2[[#This Row],[CT-e/NFS]])=TRUE,(IF(B2637&gt;30000,4,IF(B2637&lt;1000,"ND",0))),"-")</f>
        <v>4</v>
      </c>
      <c r="B2637" s="116">
        <v>47403</v>
      </c>
      <c r="C2637" s="117">
        <v>45454</v>
      </c>
      <c r="D2637" s="116">
        <v>343.06</v>
      </c>
      <c r="E2637" s="117">
        <v>45458</v>
      </c>
      <c r="F2637" s="116">
        <f>COUNTIFS($A$3:A10893,A2637,$B$3:B10893,B2637)</f>
        <v>1</v>
      </c>
      <c r="G2637" s="116"/>
    </row>
    <row r="2638" spans="1:7" x14ac:dyDescent="0.2">
      <c r="A2638" s="116">
        <f>IF(ISNUMBER(Tabela2[[#This Row],[CT-e/NFS]])=TRUE,(IF(B2638&gt;30000,4,IF(B2638&lt;1000,"ND",0))),"-")</f>
        <v>4</v>
      </c>
      <c r="B2638" s="116">
        <v>47422</v>
      </c>
      <c r="C2638" s="117">
        <v>45454</v>
      </c>
      <c r="D2638" s="116">
        <v>231.08</v>
      </c>
      <c r="E2638" s="117">
        <v>45458</v>
      </c>
      <c r="F2638" s="116">
        <f>COUNTIFS($A$3:A10894,A2638,$B$3:B10894,B2638)</f>
        <v>1</v>
      </c>
      <c r="G2638" s="116"/>
    </row>
    <row r="2639" spans="1:7" x14ac:dyDescent="0.2">
      <c r="A2639" s="116">
        <f>IF(ISNUMBER(Tabela2[[#This Row],[CT-e/NFS]])=TRUE,(IF(B2639&gt;30000,4,IF(B2639&lt;1000,"ND",0))),"-")</f>
        <v>4</v>
      </c>
      <c r="B2639" s="116">
        <v>47402</v>
      </c>
      <c r="C2639" s="117">
        <v>45454</v>
      </c>
      <c r="D2639" s="116">
        <v>125.03</v>
      </c>
      <c r="E2639" s="117">
        <v>45458</v>
      </c>
      <c r="F2639" s="116">
        <f>COUNTIFS($A$3:A10895,A2639,$B$3:B10895,B2639)</f>
        <v>1</v>
      </c>
      <c r="G2639" s="116"/>
    </row>
    <row r="2640" spans="1:7" x14ac:dyDescent="0.2">
      <c r="A2640" s="116">
        <f>IF(ISNUMBER(Tabela2[[#This Row],[CT-e/NFS]])=TRUE,(IF(B2640&gt;30000,4,IF(B2640&lt;1000,"ND",0))),"-")</f>
        <v>4</v>
      </c>
      <c r="B2640" s="116">
        <v>47415</v>
      </c>
      <c r="C2640" s="117">
        <v>45454</v>
      </c>
      <c r="D2640" s="116">
        <v>123.51</v>
      </c>
      <c r="E2640" s="117">
        <v>45458</v>
      </c>
      <c r="F2640" s="116">
        <f>COUNTIFS($A$3:A10896,A2640,$B$3:B10896,B2640)</f>
        <v>1</v>
      </c>
      <c r="G2640" s="116"/>
    </row>
    <row r="2641" spans="1:7" x14ac:dyDescent="0.2">
      <c r="A2641" s="116">
        <f>IF(ISNUMBER(Tabela2[[#This Row],[CT-e/NFS]])=TRUE,(IF(B2641&gt;30000,4,IF(B2641&lt;1000,"ND",0))),"-")</f>
        <v>4</v>
      </c>
      <c r="B2641" s="116">
        <v>47427</v>
      </c>
      <c r="C2641" s="117">
        <v>45454</v>
      </c>
      <c r="D2641" s="116">
        <v>3191.16</v>
      </c>
      <c r="E2641" s="117">
        <v>45458</v>
      </c>
      <c r="F2641" s="116">
        <f>COUNTIFS($A$3:A10897,A2641,$B$3:B10897,B2641)</f>
        <v>1</v>
      </c>
      <c r="G2641" s="116"/>
    </row>
    <row r="2642" spans="1:7" x14ac:dyDescent="0.2">
      <c r="A2642" s="116">
        <f>IF(ISNUMBER(Tabela2[[#This Row],[CT-e/NFS]])=TRUE,(IF(B2642&gt;30000,4,IF(B2642&lt;1000,"ND",0))),"-")</f>
        <v>4</v>
      </c>
      <c r="B2642" s="116">
        <v>47428</v>
      </c>
      <c r="C2642" s="117">
        <v>45454</v>
      </c>
      <c r="D2642" s="116">
        <v>3680.27</v>
      </c>
      <c r="E2642" s="117">
        <v>45458</v>
      </c>
      <c r="F2642" s="116">
        <f>COUNTIFS($A$3:A10898,A2642,$B$3:B10898,B2642)</f>
        <v>1</v>
      </c>
      <c r="G2642" s="116"/>
    </row>
    <row r="2643" spans="1:7" x14ac:dyDescent="0.2">
      <c r="A2643" s="116">
        <f>IF(ISNUMBER(Tabela2[[#This Row],[CT-e/NFS]])=TRUE,(IF(B2643&gt;30000,4,IF(B2643&lt;1000,"ND",0))),"-")</f>
        <v>4</v>
      </c>
      <c r="B2643" s="116">
        <v>47432</v>
      </c>
      <c r="C2643" s="117">
        <v>45454</v>
      </c>
      <c r="D2643" s="116">
        <v>1137.73</v>
      </c>
      <c r="E2643" s="117">
        <v>45458</v>
      </c>
      <c r="F2643" s="116">
        <f>COUNTIFS($A$3:A10899,A2643,$B$3:B10899,B2643)</f>
        <v>1</v>
      </c>
      <c r="G2643" s="116"/>
    </row>
    <row r="2644" spans="1:7" x14ac:dyDescent="0.2">
      <c r="A2644" s="116">
        <f>IF(ISNUMBER(Tabela2[[#This Row],[CT-e/NFS]])=TRUE,(IF(B2644&gt;30000,4,IF(B2644&lt;1000,"ND",0))),"-")</f>
        <v>4</v>
      </c>
      <c r="B2644" s="116">
        <v>47429</v>
      </c>
      <c r="C2644" s="117">
        <v>45454</v>
      </c>
      <c r="D2644" s="116">
        <v>612.53</v>
      </c>
      <c r="E2644" s="117">
        <v>45458</v>
      </c>
      <c r="F2644" s="116">
        <f>COUNTIFS($A$3:A10900,A2644,$B$3:B10900,B2644)</f>
        <v>1</v>
      </c>
      <c r="G2644" s="116"/>
    </row>
    <row r="2645" spans="1:7" x14ac:dyDescent="0.2">
      <c r="A2645" s="116">
        <f>IF(ISNUMBER(Tabela2[[#This Row],[CT-e/NFS]])=TRUE,(IF(B2645&gt;30000,4,IF(B2645&lt;1000,"ND",0))),"-")</f>
        <v>4</v>
      </c>
      <c r="B2645" s="116">
        <v>47430</v>
      </c>
      <c r="C2645" s="117">
        <v>45454</v>
      </c>
      <c r="D2645" s="116">
        <v>541.61</v>
      </c>
      <c r="E2645" s="117">
        <v>45458</v>
      </c>
      <c r="F2645" s="116">
        <f>COUNTIFS($A$3:A10901,A2645,$B$3:B10901,B2645)</f>
        <v>1</v>
      </c>
      <c r="G2645" s="116"/>
    </row>
    <row r="2646" spans="1:7" x14ac:dyDescent="0.2">
      <c r="A2646" s="116">
        <f>IF(ISNUMBER(Tabela2[[#This Row],[CT-e/NFS]])=TRUE,(IF(B2646&gt;30000,4,IF(B2646&lt;1000,"ND",0))),"-")</f>
        <v>4</v>
      </c>
      <c r="B2646" s="116">
        <v>47431</v>
      </c>
      <c r="C2646" s="117">
        <v>45454</v>
      </c>
      <c r="D2646" s="116">
        <v>604.15</v>
      </c>
      <c r="E2646" s="117">
        <v>45458</v>
      </c>
      <c r="F2646" s="116">
        <f>COUNTIFS($A$3:A10902,A2646,$B$3:B10902,B2646)</f>
        <v>1</v>
      </c>
      <c r="G2646" s="116"/>
    </row>
    <row r="2647" spans="1:7" x14ac:dyDescent="0.2">
      <c r="A2647" s="116">
        <f>IF(ISNUMBER(Tabela2[[#This Row],[CT-e/NFS]])=TRUE,(IF(B2647&gt;30000,4,IF(B2647&lt;1000,"ND",0))),"-")</f>
        <v>4</v>
      </c>
      <c r="B2647" s="116">
        <v>47423</v>
      </c>
      <c r="C2647" s="117">
        <v>45454</v>
      </c>
      <c r="D2647" s="116">
        <v>995.84</v>
      </c>
      <c r="E2647" s="117">
        <v>45458</v>
      </c>
      <c r="F2647" s="116">
        <f>COUNTIFS($A$3:A10903,A2647,$B$3:B10903,B2647)</f>
        <v>1</v>
      </c>
      <c r="G2647" s="116"/>
    </row>
    <row r="2648" spans="1:7" x14ac:dyDescent="0.2">
      <c r="A2648" s="116">
        <f>IF(ISNUMBER(Tabela2[[#This Row],[CT-e/NFS]])=TRUE,(IF(B2648&gt;30000,4,IF(B2648&lt;1000,"ND",0))),"-")</f>
        <v>4</v>
      </c>
      <c r="B2648" s="116">
        <v>47446</v>
      </c>
      <c r="C2648" s="117">
        <v>45454</v>
      </c>
      <c r="D2648" s="116">
        <v>461.13</v>
      </c>
      <c r="E2648" s="117">
        <v>45458</v>
      </c>
      <c r="F2648" s="116">
        <f>COUNTIFS($A$3:A10904,A2648,$B$3:B10904,B2648)</f>
        <v>1</v>
      </c>
      <c r="G2648" s="116"/>
    </row>
    <row r="2649" spans="1:7" x14ac:dyDescent="0.2">
      <c r="A2649" s="116">
        <f>IF(ISNUMBER(Tabela2[[#This Row],[CT-e/NFS]])=TRUE,(IF(B2649&gt;30000,4,IF(B2649&lt;1000,"ND",0))),"-")</f>
        <v>4</v>
      </c>
      <c r="B2649" s="116">
        <v>47441</v>
      </c>
      <c r="C2649" s="117">
        <v>45454</v>
      </c>
      <c r="D2649" s="116">
        <v>170.32</v>
      </c>
      <c r="E2649" s="117">
        <v>45458</v>
      </c>
      <c r="F2649" s="116">
        <f>COUNTIFS($A$3:A10905,A2649,$B$3:B10905,B2649)</f>
        <v>1</v>
      </c>
      <c r="G2649" s="116"/>
    </row>
    <row r="2650" spans="1:7" x14ac:dyDescent="0.2">
      <c r="A2650" s="116">
        <f>IF(ISNUMBER(Tabela2[[#This Row],[CT-e/NFS]])=TRUE,(IF(B2650&gt;30000,4,IF(B2650&lt;1000,"ND",0))),"-")</f>
        <v>4</v>
      </c>
      <c r="B2650" s="116">
        <v>47440</v>
      </c>
      <c r="C2650" s="117">
        <v>45454</v>
      </c>
      <c r="D2650" s="116">
        <v>174.32</v>
      </c>
      <c r="E2650" s="117">
        <v>45458</v>
      </c>
      <c r="F2650" s="116">
        <f>COUNTIFS($A$3:A10906,A2650,$B$3:B10906,B2650)</f>
        <v>1</v>
      </c>
      <c r="G2650" s="116"/>
    </row>
    <row r="2651" spans="1:7" x14ac:dyDescent="0.2">
      <c r="A2651" s="116">
        <f>IF(ISNUMBER(Tabela2[[#This Row],[CT-e/NFS]])=TRUE,(IF(B2651&gt;30000,4,IF(B2651&lt;1000,"ND",0))),"-")</f>
        <v>4</v>
      </c>
      <c r="B2651" s="116">
        <v>47443</v>
      </c>
      <c r="C2651" s="117">
        <v>45454</v>
      </c>
      <c r="D2651" s="116">
        <v>242.35</v>
      </c>
      <c r="E2651" s="117">
        <v>45458</v>
      </c>
      <c r="F2651" s="116">
        <f>COUNTIFS($A$3:A10907,A2651,$B$3:B10907,B2651)</f>
        <v>1</v>
      </c>
      <c r="G2651" s="116"/>
    </row>
    <row r="2652" spans="1:7" x14ac:dyDescent="0.2">
      <c r="A2652" s="116">
        <f>IF(ISNUMBER(Tabela2[[#This Row],[CT-e/NFS]])=TRUE,(IF(B2652&gt;30000,4,IF(B2652&lt;1000,"ND",0))),"-")</f>
        <v>4</v>
      </c>
      <c r="B2652" s="116">
        <v>47439</v>
      </c>
      <c r="C2652" s="117">
        <v>45454</v>
      </c>
      <c r="D2652" s="116">
        <v>239.17</v>
      </c>
      <c r="E2652" s="117">
        <v>45458</v>
      </c>
      <c r="F2652" s="116">
        <f>COUNTIFS($A$3:A10908,A2652,$B$3:B10908,B2652)</f>
        <v>1</v>
      </c>
      <c r="G2652" s="116"/>
    </row>
    <row r="2653" spans="1:7" x14ac:dyDescent="0.2">
      <c r="A2653" s="116">
        <f>IF(ISNUMBER(Tabela2[[#This Row],[CT-e/NFS]])=TRUE,(IF(B2653&gt;30000,4,IF(B2653&lt;1000,"ND",0))),"-")</f>
        <v>4</v>
      </c>
      <c r="B2653" s="116">
        <v>47438</v>
      </c>
      <c r="C2653" s="117">
        <v>45454</v>
      </c>
      <c r="D2653" s="116">
        <v>243.9</v>
      </c>
      <c r="E2653" s="117">
        <v>45458</v>
      </c>
      <c r="F2653" s="116">
        <f>COUNTIFS($A$3:A10909,A2653,$B$3:B10909,B2653)</f>
        <v>1</v>
      </c>
      <c r="G2653" s="116"/>
    </row>
    <row r="2654" spans="1:7" x14ac:dyDescent="0.2">
      <c r="A2654" s="116">
        <f>IF(ISNUMBER(Tabela2[[#This Row],[CT-e/NFS]])=TRUE,(IF(B2654&gt;30000,4,IF(B2654&lt;1000,"ND",0))),"-")</f>
        <v>4</v>
      </c>
      <c r="B2654" s="116">
        <v>47445</v>
      </c>
      <c r="C2654" s="117">
        <v>45454</v>
      </c>
      <c r="D2654" s="116">
        <v>303.48</v>
      </c>
      <c r="E2654" s="117">
        <v>45458</v>
      </c>
      <c r="F2654" s="116">
        <f>COUNTIFS($A$3:A10910,A2654,$B$3:B10910,B2654)</f>
        <v>1</v>
      </c>
      <c r="G2654" s="116"/>
    </row>
    <row r="2655" spans="1:7" x14ac:dyDescent="0.2">
      <c r="A2655" s="116">
        <f>IF(ISNUMBER(Tabela2[[#This Row],[CT-e/NFS]])=TRUE,(IF(B2655&gt;30000,4,IF(B2655&lt;1000,"ND",0))),"-")</f>
        <v>4</v>
      </c>
      <c r="B2655" s="116">
        <v>47447</v>
      </c>
      <c r="C2655" s="117">
        <v>45454</v>
      </c>
      <c r="D2655" s="116">
        <v>124.03</v>
      </c>
      <c r="E2655" s="117">
        <v>45458</v>
      </c>
      <c r="F2655" s="116">
        <f>COUNTIFS($A$3:A10911,A2655,$B$3:B10911,B2655)</f>
        <v>1</v>
      </c>
      <c r="G2655" s="116"/>
    </row>
    <row r="2656" spans="1:7" x14ac:dyDescent="0.2">
      <c r="A2656" s="116">
        <f>IF(ISNUMBER(Tabela2[[#This Row],[CT-e/NFS]])=TRUE,(IF(B2656&gt;30000,4,IF(B2656&lt;1000,"ND",0))),"-")</f>
        <v>4</v>
      </c>
      <c r="B2656" s="116">
        <v>47433</v>
      </c>
      <c r="C2656" s="117">
        <v>45454</v>
      </c>
      <c r="D2656" s="116">
        <v>609.98</v>
      </c>
      <c r="E2656" s="117">
        <v>45458</v>
      </c>
      <c r="F2656" s="116">
        <f>COUNTIFS($A$3:A10912,A2656,$B$3:B10912,B2656)</f>
        <v>1</v>
      </c>
      <c r="G2656" s="116"/>
    </row>
    <row r="2657" spans="1:7" x14ac:dyDescent="0.2">
      <c r="A2657" s="116">
        <f>IF(ISNUMBER(Tabela2[[#This Row],[CT-e/NFS]])=TRUE,(IF(B2657&gt;30000,4,IF(B2657&lt;1000,"ND",0))),"-")</f>
        <v>4</v>
      </c>
      <c r="B2657" s="116">
        <v>47444</v>
      </c>
      <c r="C2657" s="117">
        <v>45454</v>
      </c>
      <c r="D2657" s="116">
        <v>1333.38</v>
      </c>
      <c r="E2657" s="117">
        <v>45458</v>
      </c>
      <c r="F2657" s="116">
        <f>COUNTIFS($A$3:A10913,A2657,$B$3:B10913,B2657)</f>
        <v>1</v>
      </c>
      <c r="G2657" s="116"/>
    </row>
    <row r="2658" spans="1:7" x14ac:dyDescent="0.2">
      <c r="A2658" s="116">
        <f>IF(ISNUMBER(Tabela2[[#This Row],[CT-e/NFS]])=TRUE,(IF(B2658&gt;30000,4,IF(B2658&lt;1000,"ND",0))),"-")</f>
        <v>4</v>
      </c>
      <c r="B2658" s="116">
        <v>47437</v>
      </c>
      <c r="C2658" s="117">
        <v>45454</v>
      </c>
      <c r="D2658" s="116">
        <v>125.45</v>
      </c>
      <c r="E2658" s="117">
        <v>45458</v>
      </c>
      <c r="F2658" s="116">
        <f>COUNTIFS($A$3:A10914,A2658,$B$3:B10914,B2658)</f>
        <v>1</v>
      </c>
      <c r="G2658" s="116"/>
    </row>
    <row r="2659" spans="1:7" x14ac:dyDescent="0.2">
      <c r="A2659" s="116">
        <f>IF(ISNUMBER(Tabela2[[#This Row],[CT-e/NFS]])=TRUE,(IF(B2659&gt;30000,4,IF(B2659&lt;1000,"ND",0))),"-")</f>
        <v>4</v>
      </c>
      <c r="B2659" s="116">
        <v>47436</v>
      </c>
      <c r="C2659" s="117">
        <v>45454</v>
      </c>
      <c r="D2659" s="116">
        <v>124.39</v>
      </c>
      <c r="E2659" s="117">
        <v>45458</v>
      </c>
      <c r="F2659" s="116">
        <f>COUNTIFS($A$3:A10915,A2659,$B$3:B10915,B2659)</f>
        <v>1</v>
      </c>
      <c r="G2659" s="116"/>
    </row>
    <row r="2660" spans="1:7" x14ac:dyDescent="0.2">
      <c r="A2660" s="116">
        <f>IF(ISNUMBER(Tabela2[[#This Row],[CT-e/NFS]])=TRUE,(IF(B2660&gt;30000,4,IF(B2660&lt;1000,"ND",0))),"-")</f>
        <v>4</v>
      </c>
      <c r="B2660" s="116">
        <v>47435</v>
      </c>
      <c r="C2660" s="117">
        <v>45454</v>
      </c>
      <c r="D2660" s="116">
        <v>218.89</v>
      </c>
      <c r="E2660" s="117">
        <v>45458</v>
      </c>
      <c r="F2660" s="116">
        <f>COUNTIFS($A$3:A10916,A2660,$B$3:B10916,B2660)</f>
        <v>1</v>
      </c>
      <c r="G2660" s="116"/>
    </row>
    <row r="2661" spans="1:7" x14ac:dyDescent="0.2">
      <c r="A2661" s="116">
        <f>IF(ISNUMBER(Tabela2[[#This Row],[CT-e/NFS]])=TRUE,(IF(B2661&gt;30000,4,IF(B2661&lt;1000,"ND",0))),"-")</f>
        <v>4</v>
      </c>
      <c r="B2661" s="116">
        <v>47434</v>
      </c>
      <c r="C2661" s="117">
        <v>45454</v>
      </c>
      <c r="D2661" s="116">
        <v>517.78</v>
      </c>
      <c r="E2661" s="117">
        <v>45458</v>
      </c>
      <c r="F2661" s="116">
        <f>COUNTIFS($A$3:A10917,A2661,$B$3:B10917,B2661)</f>
        <v>1</v>
      </c>
      <c r="G2661" s="116"/>
    </row>
    <row r="2662" spans="1:7" x14ac:dyDescent="0.2">
      <c r="A2662" s="116">
        <f>IF(ISNUMBER(Tabela2[[#This Row],[CT-e/NFS]])=TRUE,(IF(B2662&gt;30000,4,IF(B2662&lt;1000,"ND",0))),"-")</f>
        <v>4</v>
      </c>
      <c r="B2662" s="116">
        <v>47448</v>
      </c>
      <c r="C2662" s="117">
        <v>45454</v>
      </c>
      <c r="D2662" s="116">
        <v>240.34</v>
      </c>
      <c r="E2662" s="117">
        <v>45458</v>
      </c>
      <c r="F2662" s="116">
        <f>COUNTIFS($A$3:A10918,A2662,$B$3:B10918,B2662)</f>
        <v>1</v>
      </c>
      <c r="G2662" s="116"/>
    </row>
    <row r="2663" spans="1:7" x14ac:dyDescent="0.2">
      <c r="A2663" s="116">
        <f>IF(ISNUMBER(Tabela2[[#This Row],[CT-e/NFS]])=TRUE,(IF(B2663&gt;30000,4,IF(B2663&lt;1000,"ND",0))),"-")</f>
        <v>4</v>
      </c>
      <c r="B2663" s="116">
        <v>47451</v>
      </c>
      <c r="C2663" s="117">
        <v>45454</v>
      </c>
      <c r="D2663" s="116">
        <v>1758.3</v>
      </c>
      <c r="E2663" s="117">
        <v>45458</v>
      </c>
      <c r="F2663" s="116">
        <f>COUNTIFS($A$3:A10919,A2663,$B$3:B10919,B2663)</f>
        <v>1</v>
      </c>
      <c r="G2663" s="116"/>
    </row>
    <row r="2664" spans="1:7" x14ac:dyDescent="0.2">
      <c r="A2664" s="116">
        <f>IF(ISNUMBER(Tabela2[[#This Row],[CT-e/NFS]])=TRUE,(IF(B2664&gt;30000,4,IF(B2664&lt;1000,"ND",0))),"-")</f>
        <v>4</v>
      </c>
      <c r="B2664" s="116">
        <v>47454</v>
      </c>
      <c r="C2664" s="117">
        <v>45454</v>
      </c>
      <c r="D2664" s="116">
        <v>1137.73</v>
      </c>
      <c r="E2664" s="117">
        <v>45458</v>
      </c>
      <c r="F2664" s="116">
        <f>COUNTIFS($A$3:A10920,A2664,$B$3:B10920,B2664)</f>
        <v>1</v>
      </c>
      <c r="G2664" s="116"/>
    </row>
    <row r="2665" spans="1:7" x14ac:dyDescent="0.2">
      <c r="A2665" s="116">
        <f>IF(ISNUMBER(Tabela2[[#This Row],[CT-e/NFS]])=TRUE,(IF(B2665&gt;30000,4,IF(B2665&lt;1000,"ND",0))),"-")</f>
        <v>4</v>
      </c>
      <c r="B2665" s="116">
        <v>47475</v>
      </c>
      <c r="C2665" s="117">
        <v>45454</v>
      </c>
      <c r="D2665" s="116">
        <v>124.15</v>
      </c>
      <c r="E2665" s="117">
        <v>45458</v>
      </c>
      <c r="F2665" s="116">
        <f>COUNTIFS($A$3:A10921,A2665,$B$3:B10921,B2665)</f>
        <v>1</v>
      </c>
      <c r="G2665" s="116"/>
    </row>
    <row r="2666" spans="1:7" x14ac:dyDescent="0.2">
      <c r="A2666" s="116">
        <f>IF(ISNUMBER(Tabela2[[#This Row],[CT-e/NFS]])=TRUE,(IF(B2666&gt;30000,4,IF(B2666&lt;1000,"ND",0))),"-")</f>
        <v>4</v>
      </c>
      <c r="B2666" s="116">
        <v>47458</v>
      </c>
      <c r="C2666" s="117">
        <v>45454</v>
      </c>
      <c r="D2666" s="116">
        <v>240.76</v>
      </c>
      <c r="E2666" s="117">
        <v>45458</v>
      </c>
      <c r="F2666" s="116">
        <f>COUNTIFS($A$3:A10922,A2666,$B$3:B10922,B2666)</f>
        <v>1</v>
      </c>
      <c r="G2666" s="116"/>
    </row>
    <row r="2667" spans="1:7" x14ac:dyDescent="0.2">
      <c r="A2667" s="116">
        <f>IF(ISNUMBER(Tabela2[[#This Row],[CT-e/NFS]])=TRUE,(IF(B2667&gt;30000,4,IF(B2667&lt;1000,"ND",0))),"-")</f>
        <v>4</v>
      </c>
      <c r="B2667" s="116">
        <v>47455</v>
      </c>
      <c r="C2667" s="117">
        <v>45454</v>
      </c>
      <c r="D2667" s="116">
        <v>241.56</v>
      </c>
      <c r="E2667" s="117">
        <v>45458</v>
      </c>
      <c r="F2667" s="116">
        <f>COUNTIFS($A$3:A10923,A2667,$B$3:B10923,B2667)</f>
        <v>1</v>
      </c>
      <c r="G2667" s="116"/>
    </row>
    <row r="2668" spans="1:7" x14ac:dyDescent="0.2">
      <c r="A2668" s="116">
        <f>IF(ISNUMBER(Tabela2[[#This Row],[CT-e/NFS]])=TRUE,(IF(B2668&gt;30000,4,IF(B2668&lt;1000,"ND",0))),"-")</f>
        <v>4</v>
      </c>
      <c r="B2668" s="116">
        <v>47460</v>
      </c>
      <c r="C2668" s="117">
        <v>45454</v>
      </c>
      <c r="D2668" s="116">
        <v>124.2</v>
      </c>
      <c r="E2668" s="117">
        <v>45458</v>
      </c>
      <c r="F2668" s="116">
        <f>COUNTIFS($A$3:A10924,A2668,$B$3:B10924,B2668)</f>
        <v>1</v>
      </c>
      <c r="G2668" s="116"/>
    </row>
    <row r="2669" spans="1:7" x14ac:dyDescent="0.2">
      <c r="A2669" s="116">
        <f>IF(ISNUMBER(Tabela2[[#This Row],[CT-e/NFS]])=TRUE,(IF(B2669&gt;30000,4,IF(B2669&lt;1000,"ND",0))),"-")</f>
        <v>4</v>
      </c>
      <c r="B2669" s="116">
        <v>47457</v>
      </c>
      <c r="C2669" s="117">
        <v>45454</v>
      </c>
      <c r="D2669" s="116">
        <v>241.94</v>
      </c>
      <c r="E2669" s="117">
        <v>45458</v>
      </c>
      <c r="F2669" s="116">
        <f>COUNTIFS($A$3:A10925,A2669,$B$3:B10925,B2669)</f>
        <v>1</v>
      </c>
      <c r="G2669" s="116"/>
    </row>
    <row r="2670" spans="1:7" x14ac:dyDescent="0.2">
      <c r="A2670" s="116">
        <f>IF(ISNUMBER(Tabela2[[#This Row],[CT-e/NFS]])=TRUE,(IF(B2670&gt;30000,4,IF(B2670&lt;1000,"ND",0))),"-")</f>
        <v>4</v>
      </c>
      <c r="B2670" s="116">
        <v>47459</v>
      </c>
      <c r="C2670" s="117">
        <v>45454</v>
      </c>
      <c r="D2670" s="116">
        <v>1027.68</v>
      </c>
      <c r="E2670" s="117">
        <v>45458</v>
      </c>
      <c r="F2670" s="116">
        <f>COUNTIFS($A$3:A10926,A2670,$B$3:B10926,B2670)</f>
        <v>1</v>
      </c>
      <c r="G2670" s="116"/>
    </row>
    <row r="2671" spans="1:7" x14ac:dyDescent="0.2">
      <c r="A2671" s="116">
        <f>IF(ISNUMBER(Tabela2[[#This Row],[CT-e/NFS]])=TRUE,(IF(B2671&gt;30000,4,IF(B2671&lt;1000,"ND",0))),"-")</f>
        <v>4</v>
      </c>
      <c r="B2671" s="116">
        <v>47466</v>
      </c>
      <c r="C2671" s="117">
        <v>45454</v>
      </c>
      <c r="D2671" s="116">
        <v>414.82</v>
      </c>
      <c r="E2671" s="117">
        <v>45458</v>
      </c>
      <c r="F2671" s="116">
        <f>COUNTIFS($A$3:A10927,A2671,$B$3:B10927,B2671)</f>
        <v>1</v>
      </c>
      <c r="G2671" s="116"/>
    </row>
    <row r="2672" spans="1:7" x14ac:dyDescent="0.2">
      <c r="A2672" s="116">
        <f>IF(ISNUMBER(Tabela2[[#This Row],[CT-e/NFS]])=TRUE,(IF(B2672&gt;30000,4,IF(B2672&lt;1000,"ND",0))),"-")</f>
        <v>4</v>
      </c>
      <c r="B2672" s="116">
        <v>47465</v>
      </c>
      <c r="C2672" s="117">
        <v>45454</v>
      </c>
      <c r="D2672" s="116">
        <v>168.92</v>
      </c>
      <c r="E2672" s="117">
        <v>45458</v>
      </c>
      <c r="F2672" s="116">
        <f>COUNTIFS($A$3:A10928,A2672,$B$3:B10928,B2672)</f>
        <v>1</v>
      </c>
      <c r="G2672" s="116"/>
    </row>
    <row r="2673" spans="1:7" x14ac:dyDescent="0.2">
      <c r="A2673" s="116">
        <f>IF(ISNUMBER(Tabela2[[#This Row],[CT-e/NFS]])=TRUE,(IF(B2673&gt;30000,4,IF(B2673&lt;1000,"ND",0))),"-")</f>
        <v>4</v>
      </c>
      <c r="B2673" s="116">
        <v>47477</v>
      </c>
      <c r="C2673" s="117">
        <v>45454</v>
      </c>
      <c r="D2673" s="116">
        <v>126.67</v>
      </c>
      <c r="E2673" s="117">
        <v>45458</v>
      </c>
      <c r="F2673" s="116">
        <f>COUNTIFS($A$3:A10929,A2673,$B$3:B10929,B2673)</f>
        <v>1</v>
      </c>
      <c r="G2673" s="116"/>
    </row>
    <row r="2674" spans="1:7" x14ac:dyDescent="0.2">
      <c r="A2674" s="116">
        <f>IF(ISNUMBER(Tabela2[[#This Row],[CT-e/NFS]])=TRUE,(IF(B2674&gt;30000,4,IF(B2674&lt;1000,"ND",0))),"-")</f>
        <v>4</v>
      </c>
      <c r="B2674" s="116">
        <v>47450</v>
      </c>
      <c r="C2674" s="117">
        <v>45454</v>
      </c>
      <c r="D2674" s="116">
        <v>65.94</v>
      </c>
      <c r="E2674" s="117">
        <v>45458</v>
      </c>
      <c r="F2674" s="116">
        <f>COUNTIFS($A$3:A10930,A2674,$B$3:B10930,B2674)</f>
        <v>1</v>
      </c>
      <c r="G2674" s="116"/>
    </row>
    <row r="2675" spans="1:7" x14ac:dyDescent="0.2">
      <c r="A2675" s="116">
        <f>IF(ISNUMBER(Tabela2[[#This Row],[CT-e/NFS]])=TRUE,(IF(B2675&gt;30000,4,IF(B2675&lt;1000,"ND",0))),"-")</f>
        <v>4</v>
      </c>
      <c r="B2675" s="116">
        <v>47452</v>
      </c>
      <c r="C2675" s="117">
        <v>45454</v>
      </c>
      <c r="D2675" s="116">
        <v>118.69</v>
      </c>
      <c r="E2675" s="117">
        <v>45458</v>
      </c>
      <c r="F2675" s="116">
        <f>COUNTIFS($A$3:A10931,A2675,$B$3:B10931,B2675)</f>
        <v>1</v>
      </c>
      <c r="G2675" s="116"/>
    </row>
    <row r="2676" spans="1:7" x14ac:dyDescent="0.2">
      <c r="A2676" s="116">
        <f>IF(ISNUMBER(Tabela2[[#This Row],[CT-e/NFS]])=TRUE,(IF(B2676&gt;30000,4,IF(B2676&lt;1000,"ND",0))),"-")</f>
        <v>4</v>
      </c>
      <c r="B2676" s="116">
        <v>47470</v>
      </c>
      <c r="C2676" s="117">
        <v>45454</v>
      </c>
      <c r="D2676" s="116">
        <v>241.03</v>
      </c>
      <c r="E2676" s="117">
        <v>45458</v>
      </c>
      <c r="F2676" s="116">
        <f>COUNTIFS($A$3:A10932,A2676,$B$3:B10932,B2676)</f>
        <v>1</v>
      </c>
      <c r="G2676" s="116"/>
    </row>
    <row r="2677" spans="1:7" x14ac:dyDescent="0.2">
      <c r="A2677" s="116">
        <f>IF(ISNUMBER(Tabela2[[#This Row],[CT-e/NFS]])=TRUE,(IF(B2677&gt;30000,4,IF(B2677&lt;1000,"ND",0))),"-")</f>
        <v>4</v>
      </c>
      <c r="B2677" s="116">
        <v>47471</v>
      </c>
      <c r="C2677" s="117">
        <v>45454</v>
      </c>
      <c r="D2677" s="116">
        <v>125.16</v>
      </c>
      <c r="E2677" s="117">
        <v>45458</v>
      </c>
      <c r="F2677" s="116">
        <f>COUNTIFS($A$3:A10933,A2677,$B$3:B10933,B2677)</f>
        <v>1</v>
      </c>
      <c r="G2677" s="116"/>
    </row>
    <row r="2678" spans="1:7" x14ac:dyDescent="0.2">
      <c r="A2678" s="116">
        <f>IF(ISNUMBER(Tabela2[[#This Row],[CT-e/NFS]])=TRUE,(IF(B2678&gt;30000,4,IF(B2678&lt;1000,"ND",0))),"-")</f>
        <v>4</v>
      </c>
      <c r="B2678" s="116">
        <v>47476</v>
      </c>
      <c r="C2678" s="117">
        <v>45454</v>
      </c>
      <c r="D2678" s="116">
        <v>668.78</v>
      </c>
      <c r="E2678" s="117">
        <v>45458</v>
      </c>
      <c r="F2678" s="116">
        <f>COUNTIFS($A$3:A10934,A2678,$B$3:B10934,B2678)</f>
        <v>1</v>
      </c>
      <c r="G2678" s="116"/>
    </row>
    <row r="2679" spans="1:7" x14ac:dyDescent="0.2">
      <c r="A2679" s="116">
        <f>IF(ISNUMBER(Tabela2[[#This Row],[CT-e/NFS]])=TRUE,(IF(B2679&gt;30000,4,IF(B2679&lt;1000,"ND",0))),"-")</f>
        <v>4</v>
      </c>
      <c r="B2679" s="116">
        <v>47478</v>
      </c>
      <c r="C2679" s="117">
        <v>45454</v>
      </c>
      <c r="D2679" s="116">
        <v>122.74</v>
      </c>
      <c r="E2679" s="117">
        <v>45458</v>
      </c>
      <c r="F2679" s="116">
        <f>COUNTIFS($A$3:A10935,A2679,$B$3:B10935,B2679)</f>
        <v>1</v>
      </c>
      <c r="G2679" s="116"/>
    </row>
    <row r="2680" spans="1:7" x14ac:dyDescent="0.2">
      <c r="A2680" s="116">
        <f>IF(ISNUMBER(Tabela2[[#This Row],[CT-e/NFS]])=TRUE,(IF(B2680&gt;30000,4,IF(B2680&lt;1000,"ND",0))),"-")</f>
        <v>4</v>
      </c>
      <c r="B2680" s="116">
        <v>47472</v>
      </c>
      <c r="C2680" s="117">
        <v>45454</v>
      </c>
      <c r="D2680" s="116">
        <v>125.34</v>
      </c>
      <c r="E2680" s="117">
        <v>45458</v>
      </c>
      <c r="F2680" s="116">
        <f>COUNTIFS($A$3:A10936,A2680,$B$3:B10936,B2680)</f>
        <v>1</v>
      </c>
      <c r="G2680" s="116"/>
    </row>
    <row r="2681" spans="1:7" x14ac:dyDescent="0.2">
      <c r="A2681" s="116">
        <f>IF(ISNUMBER(Tabela2[[#This Row],[CT-e/NFS]])=TRUE,(IF(B2681&gt;30000,4,IF(B2681&lt;1000,"ND",0))),"-")</f>
        <v>4</v>
      </c>
      <c r="B2681" s="116">
        <v>47474</v>
      </c>
      <c r="C2681" s="117">
        <v>45454</v>
      </c>
      <c r="D2681" s="116">
        <v>123.32</v>
      </c>
      <c r="E2681" s="117">
        <v>45458</v>
      </c>
      <c r="F2681" s="116">
        <f>COUNTIFS($A$3:A10937,A2681,$B$3:B10937,B2681)</f>
        <v>1</v>
      </c>
      <c r="G2681" s="116"/>
    </row>
    <row r="2682" spans="1:7" x14ac:dyDescent="0.2">
      <c r="A2682" s="116">
        <f>IF(ISNUMBER(Tabela2[[#This Row],[CT-e/NFS]])=TRUE,(IF(B2682&gt;30000,4,IF(B2682&lt;1000,"ND",0))),"-")</f>
        <v>4</v>
      </c>
      <c r="B2682" s="116">
        <v>47483</v>
      </c>
      <c r="C2682" s="117">
        <v>45454</v>
      </c>
      <c r="D2682" s="116">
        <v>111.76</v>
      </c>
      <c r="E2682" s="117">
        <v>45458</v>
      </c>
      <c r="F2682" s="116">
        <f>COUNTIFS($A$3:A10938,A2682,$B$3:B10938,B2682)</f>
        <v>1</v>
      </c>
      <c r="G2682" s="116"/>
    </row>
    <row r="2683" spans="1:7" x14ac:dyDescent="0.2">
      <c r="A2683" s="116">
        <f>IF(ISNUMBER(Tabela2[[#This Row],[CT-e/NFS]])=TRUE,(IF(B2683&gt;30000,4,IF(B2683&lt;1000,"ND",0))),"-")</f>
        <v>4</v>
      </c>
      <c r="B2683" s="116">
        <v>47442</v>
      </c>
      <c r="C2683" s="117">
        <v>45454</v>
      </c>
      <c r="D2683" s="116">
        <v>242.3</v>
      </c>
      <c r="E2683" s="117">
        <v>45458</v>
      </c>
      <c r="F2683" s="116">
        <f>COUNTIFS($A$3:A10939,A2683,$B$3:B10939,B2683)</f>
        <v>1</v>
      </c>
      <c r="G2683" s="116"/>
    </row>
    <row r="2684" spans="1:7" x14ac:dyDescent="0.2">
      <c r="A2684" s="116">
        <f>IF(ISNUMBER(Tabela2[[#This Row],[CT-e/NFS]])=TRUE,(IF(B2684&gt;30000,4,IF(B2684&lt;1000,"ND",0))),"-")</f>
        <v>4</v>
      </c>
      <c r="B2684" s="116">
        <v>47456</v>
      </c>
      <c r="C2684" s="117">
        <v>45454</v>
      </c>
      <c r="D2684" s="116">
        <v>86.09</v>
      </c>
      <c r="E2684" s="117">
        <v>45458</v>
      </c>
      <c r="F2684" s="116">
        <f>COUNTIFS($A$3:A10940,A2684,$B$3:B10940,B2684)</f>
        <v>1</v>
      </c>
      <c r="G2684" s="116"/>
    </row>
    <row r="2685" spans="1:7" x14ac:dyDescent="0.2">
      <c r="A2685" s="116">
        <f>IF(ISNUMBER(Tabela2[[#This Row],[CT-e/NFS]])=TRUE,(IF(B2685&gt;30000,4,IF(B2685&lt;1000,"ND",0))),"-")</f>
        <v>0</v>
      </c>
      <c r="B2685" s="116">
        <v>21568</v>
      </c>
      <c r="C2685" s="117">
        <v>45454</v>
      </c>
      <c r="D2685" s="116">
        <v>77.069999999999993</v>
      </c>
      <c r="E2685" s="117">
        <v>45458</v>
      </c>
      <c r="F2685" s="116">
        <f>COUNTIFS($A$3:A10941,A2685,$B$3:B10941,B2685)</f>
        <v>1</v>
      </c>
      <c r="G2685" s="116"/>
    </row>
    <row r="2686" spans="1:7" x14ac:dyDescent="0.2">
      <c r="A2686" s="116">
        <f>IF(ISNUMBER(Tabela2[[#This Row],[CT-e/NFS]])=TRUE,(IF(B2686&gt;30000,4,IF(B2686&lt;1000,"ND",0))),"-")</f>
        <v>0</v>
      </c>
      <c r="B2686" s="116">
        <v>21566</v>
      </c>
      <c r="C2686" s="117">
        <v>45454</v>
      </c>
      <c r="D2686" s="116">
        <v>76.58</v>
      </c>
      <c r="E2686" s="117">
        <v>45458</v>
      </c>
      <c r="F2686" s="116">
        <f>COUNTIFS($A$3:A10942,A2686,$B$3:B10942,B2686)</f>
        <v>1</v>
      </c>
      <c r="G2686" s="116"/>
    </row>
    <row r="2687" spans="1:7" x14ac:dyDescent="0.2">
      <c r="A2687" s="116">
        <f>IF(ISNUMBER(Tabela2[[#This Row],[CT-e/NFS]])=TRUE,(IF(B2687&gt;30000,4,IF(B2687&lt;1000,"ND",0))),"-")</f>
        <v>0</v>
      </c>
      <c r="B2687" s="116">
        <v>21582</v>
      </c>
      <c r="C2687" s="117">
        <v>45454</v>
      </c>
      <c r="D2687" s="116">
        <v>128.46</v>
      </c>
      <c r="E2687" s="117">
        <v>45458</v>
      </c>
      <c r="F2687" s="116">
        <f>COUNTIFS($A$3:A10943,A2687,$B$3:B10943,B2687)</f>
        <v>1</v>
      </c>
      <c r="G2687" s="116"/>
    </row>
    <row r="2688" spans="1:7" x14ac:dyDescent="0.2">
      <c r="A2688" s="116">
        <f>IF(ISNUMBER(Tabela2[[#This Row],[CT-e/NFS]])=TRUE,(IF(B2688&gt;30000,4,IF(B2688&lt;1000,"ND",0))),"-")</f>
        <v>0</v>
      </c>
      <c r="B2688" s="116">
        <v>21584</v>
      </c>
      <c r="C2688" s="117">
        <v>45454</v>
      </c>
      <c r="D2688" s="116">
        <v>86.14</v>
      </c>
      <c r="E2688" s="117">
        <v>45458</v>
      </c>
      <c r="F2688" s="116">
        <f>COUNTIFS($A$3:A10944,A2688,$B$3:B10944,B2688)</f>
        <v>1</v>
      </c>
      <c r="G2688" s="116"/>
    </row>
    <row r="2689" spans="1:7" x14ac:dyDescent="0.2">
      <c r="A2689" s="116">
        <f>IF(ISNUMBER(Tabela2[[#This Row],[CT-e/NFS]])=TRUE,(IF(B2689&gt;30000,4,IF(B2689&lt;1000,"ND",0))),"-")</f>
        <v>0</v>
      </c>
      <c r="B2689" s="116">
        <v>21585</v>
      </c>
      <c r="C2689" s="117">
        <v>45454</v>
      </c>
      <c r="D2689" s="116">
        <v>158.52000000000001</v>
      </c>
      <c r="E2689" s="117">
        <v>45458</v>
      </c>
      <c r="F2689" s="116">
        <f>COUNTIFS($A$3:A10945,A2689,$B$3:B10945,B2689)</f>
        <v>1</v>
      </c>
      <c r="G2689" s="116"/>
    </row>
    <row r="2690" spans="1:7" x14ac:dyDescent="0.2">
      <c r="A2690" s="116">
        <f>IF(ISNUMBER(Tabela2[[#This Row],[CT-e/NFS]])=TRUE,(IF(B2690&gt;30000,4,IF(B2690&lt;1000,"ND",0))),"-")</f>
        <v>0</v>
      </c>
      <c r="B2690" s="116">
        <v>21588</v>
      </c>
      <c r="C2690" s="117">
        <v>45454</v>
      </c>
      <c r="D2690" s="116">
        <v>77.45</v>
      </c>
      <c r="E2690" s="117">
        <v>45458</v>
      </c>
      <c r="F2690" s="116">
        <f>COUNTIFS($A$3:A10946,A2690,$B$3:B10946,B2690)</f>
        <v>1</v>
      </c>
      <c r="G2690" s="116"/>
    </row>
    <row r="2691" spans="1:7" x14ac:dyDescent="0.2">
      <c r="A2691" s="116">
        <f>IF(ISNUMBER(Tabela2[[#This Row],[CT-e/NFS]])=TRUE,(IF(B2691&gt;30000,4,IF(B2691&lt;1000,"ND",0))),"-")</f>
        <v>0</v>
      </c>
      <c r="B2691" s="116">
        <v>21590</v>
      </c>
      <c r="C2691" s="117">
        <v>45454</v>
      </c>
      <c r="D2691" s="116">
        <v>76.41</v>
      </c>
      <c r="E2691" s="117">
        <v>45458</v>
      </c>
      <c r="F2691" s="116">
        <f>COUNTIFS($A$3:A10947,A2691,$B$3:B10947,B2691)</f>
        <v>1</v>
      </c>
      <c r="G2691" s="116"/>
    </row>
    <row r="2692" spans="1:7" x14ac:dyDescent="0.2">
      <c r="A2692" s="116">
        <f>IF(ISNUMBER(Tabela2[[#This Row],[CT-e/NFS]])=TRUE,(IF(B2692&gt;30000,4,IF(B2692&lt;1000,"ND",0))),"-")</f>
        <v>0</v>
      </c>
      <c r="B2692" s="116">
        <v>21589</v>
      </c>
      <c r="C2692" s="117">
        <v>45454</v>
      </c>
      <c r="D2692" s="116">
        <v>76.16</v>
      </c>
      <c r="E2692" s="117">
        <v>45458</v>
      </c>
      <c r="F2692" s="116">
        <f>COUNTIFS($A$3:A10948,A2692,$B$3:B10948,B2692)</f>
        <v>1</v>
      </c>
      <c r="G2692" s="116"/>
    </row>
    <row r="2693" spans="1:7" x14ac:dyDescent="0.2">
      <c r="A2693" s="116">
        <f>IF(ISNUMBER(Tabela2[[#This Row],[CT-e/NFS]])=TRUE,(IF(B2693&gt;30000,4,IF(B2693&lt;1000,"ND",0))),"-")</f>
        <v>0</v>
      </c>
      <c r="B2693" s="116">
        <v>21591</v>
      </c>
      <c r="C2693" s="117">
        <v>45454</v>
      </c>
      <c r="D2693" s="116">
        <v>77.010000000000005</v>
      </c>
      <c r="E2693" s="117">
        <v>45458</v>
      </c>
      <c r="F2693" s="116">
        <f>COUNTIFS($A$3:A10949,A2693,$B$3:B10949,B2693)</f>
        <v>1</v>
      </c>
      <c r="G2693" s="116"/>
    </row>
    <row r="2694" spans="1:7" x14ac:dyDescent="0.2">
      <c r="A2694" s="116">
        <f>IF(ISNUMBER(Tabela2[[#This Row],[CT-e/NFS]])=TRUE,(IF(B2694&gt;30000,4,IF(B2694&lt;1000,"ND",0))),"-")</f>
        <v>0</v>
      </c>
      <c r="B2694" s="116">
        <v>21586</v>
      </c>
      <c r="C2694" s="117">
        <v>45454</v>
      </c>
      <c r="D2694" s="116">
        <v>77.06</v>
      </c>
      <c r="E2694" s="117">
        <v>45458</v>
      </c>
      <c r="F2694" s="116">
        <f>COUNTIFS($A$3:A10950,A2694,$B$3:B10950,B2694)</f>
        <v>1</v>
      </c>
      <c r="G2694" s="116"/>
    </row>
    <row r="2695" spans="1:7" x14ac:dyDescent="0.2">
      <c r="A2695" s="116">
        <f>IF(ISNUMBER(Tabela2[[#This Row],[CT-e/NFS]])=TRUE,(IF(B2695&gt;30000,4,IF(B2695&lt;1000,"ND",0))),"-")</f>
        <v>0</v>
      </c>
      <c r="B2695" s="116">
        <v>21587</v>
      </c>
      <c r="C2695" s="117">
        <v>45454</v>
      </c>
      <c r="D2695" s="116">
        <v>77.260000000000005</v>
      </c>
      <c r="E2695" s="117">
        <v>45458</v>
      </c>
      <c r="F2695" s="116">
        <f>COUNTIFS($A$3:A10951,A2695,$B$3:B10951,B2695)</f>
        <v>1</v>
      </c>
      <c r="G2695" s="116"/>
    </row>
    <row r="2696" spans="1:7" x14ac:dyDescent="0.2">
      <c r="A2696" s="116">
        <f>IF(ISNUMBER(Tabela2[[#This Row],[CT-e/NFS]])=TRUE,(IF(B2696&gt;30000,4,IF(B2696&lt;1000,"ND",0))),"-")</f>
        <v>0</v>
      </c>
      <c r="B2696" s="116">
        <v>21593</v>
      </c>
      <c r="C2696" s="117">
        <v>45454</v>
      </c>
      <c r="D2696" s="116">
        <v>160.38</v>
      </c>
      <c r="E2696" s="117">
        <v>45458</v>
      </c>
      <c r="F2696" s="116">
        <f>COUNTIFS($A$3:A10952,A2696,$B$3:B10952,B2696)</f>
        <v>1</v>
      </c>
      <c r="G2696" s="116"/>
    </row>
    <row r="2697" spans="1:7" x14ac:dyDescent="0.2">
      <c r="A2697" s="116">
        <f>IF(ISNUMBER(Tabela2[[#This Row],[CT-e/NFS]])=TRUE,(IF(B2697&gt;30000,4,IF(B2697&lt;1000,"ND",0))),"-")</f>
        <v>0</v>
      </c>
      <c r="B2697" s="116">
        <v>21592</v>
      </c>
      <c r="C2697" s="117">
        <v>45454</v>
      </c>
      <c r="D2697" s="116">
        <v>75.64</v>
      </c>
      <c r="E2697" s="117">
        <v>45458</v>
      </c>
      <c r="F2697" s="116">
        <f>COUNTIFS($A$3:A10953,A2697,$B$3:B10953,B2697)</f>
        <v>1</v>
      </c>
      <c r="G2697" s="116"/>
    </row>
    <row r="2698" spans="1:7" x14ac:dyDescent="0.2">
      <c r="A2698" s="116">
        <f>IF(ISNUMBER(Tabela2[[#This Row],[CT-e/NFS]])=TRUE,(IF(B2698&gt;30000,4,IF(B2698&lt;1000,"ND",0))),"-")</f>
        <v>0</v>
      </c>
      <c r="B2698" s="116">
        <v>21594</v>
      </c>
      <c r="C2698" s="117">
        <v>45454</v>
      </c>
      <c r="D2698" s="116">
        <v>75.64</v>
      </c>
      <c r="E2698" s="117">
        <v>45458</v>
      </c>
      <c r="F2698" s="116">
        <f>COUNTIFS($A$3:A10954,A2698,$B$3:B10954,B2698)</f>
        <v>1</v>
      </c>
      <c r="G2698" s="116"/>
    </row>
    <row r="2699" spans="1:7" x14ac:dyDescent="0.2">
      <c r="A2699" s="116">
        <f>IF(ISNUMBER(Tabela2[[#This Row],[CT-e/NFS]])=TRUE,(IF(B2699&gt;30000,4,IF(B2699&lt;1000,"ND",0))),"-")</f>
        <v>0</v>
      </c>
      <c r="B2699" s="116">
        <v>21597</v>
      </c>
      <c r="C2699" s="117">
        <v>45454</v>
      </c>
      <c r="D2699" s="116">
        <v>75.7</v>
      </c>
      <c r="E2699" s="117">
        <v>45458</v>
      </c>
      <c r="F2699" s="116">
        <f>COUNTIFS($A$3:A10955,A2699,$B$3:B10955,B2699)</f>
        <v>1</v>
      </c>
      <c r="G2699" s="116"/>
    </row>
    <row r="2700" spans="1:7" x14ac:dyDescent="0.2">
      <c r="A2700" s="116">
        <f>IF(ISNUMBER(Tabela2[[#This Row],[CT-e/NFS]])=TRUE,(IF(B2700&gt;30000,4,IF(B2700&lt;1000,"ND",0))),"-")</f>
        <v>0</v>
      </c>
      <c r="B2700" s="116">
        <v>21598</v>
      </c>
      <c r="C2700" s="117">
        <v>45454</v>
      </c>
      <c r="D2700" s="116">
        <v>76.489999999999995</v>
      </c>
      <c r="E2700" s="117">
        <v>45458</v>
      </c>
      <c r="F2700" s="116">
        <f>COUNTIFS($A$3:A10956,A2700,$B$3:B10956,B2700)</f>
        <v>1</v>
      </c>
      <c r="G2700" s="116"/>
    </row>
    <row r="2701" spans="1:7" x14ac:dyDescent="0.2">
      <c r="A2701" s="116">
        <f>IF(ISNUMBER(Tabela2[[#This Row],[CT-e/NFS]])=TRUE,(IF(B2701&gt;30000,4,IF(B2701&lt;1000,"ND",0))),"-")</f>
        <v>0</v>
      </c>
      <c r="B2701" s="116">
        <v>21600</v>
      </c>
      <c r="C2701" s="117">
        <v>45454</v>
      </c>
      <c r="D2701" s="116">
        <v>76.27</v>
      </c>
      <c r="E2701" s="117">
        <v>45458</v>
      </c>
      <c r="F2701" s="116">
        <f>COUNTIFS($A$3:A10957,A2701,$B$3:B10957,B2701)</f>
        <v>1</v>
      </c>
      <c r="G2701" s="116"/>
    </row>
    <row r="2702" spans="1:7" x14ac:dyDescent="0.2">
      <c r="A2702" s="116">
        <f>IF(ISNUMBER(Tabela2[[#This Row],[CT-e/NFS]])=TRUE,(IF(B2702&gt;30000,4,IF(B2702&lt;1000,"ND",0))),"-")</f>
        <v>0</v>
      </c>
      <c r="B2702" s="116">
        <v>21595</v>
      </c>
      <c r="C2702" s="117">
        <v>45454</v>
      </c>
      <c r="D2702" s="116">
        <v>76.58</v>
      </c>
      <c r="E2702" s="117">
        <v>45458</v>
      </c>
      <c r="F2702" s="116">
        <f>COUNTIFS($A$3:A10958,A2702,$B$3:B10958,B2702)</f>
        <v>1</v>
      </c>
      <c r="G2702" s="116"/>
    </row>
    <row r="2703" spans="1:7" x14ac:dyDescent="0.2">
      <c r="A2703" s="116">
        <f>IF(ISNUMBER(Tabela2[[#This Row],[CT-e/NFS]])=TRUE,(IF(B2703&gt;30000,4,IF(B2703&lt;1000,"ND",0))),"-")</f>
        <v>0</v>
      </c>
      <c r="B2703" s="116">
        <v>21596</v>
      </c>
      <c r="C2703" s="117">
        <v>45454</v>
      </c>
      <c r="D2703" s="116">
        <v>77.06</v>
      </c>
      <c r="E2703" s="117">
        <v>45458</v>
      </c>
      <c r="F2703" s="116">
        <f>COUNTIFS($A$3:A10959,A2703,$B$3:B10959,B2703)</f>
        <v>1</v>
      </c>
      <c r="G2703" s="116"/>
    </row>
    <row r="2704" spans="1:7" x14ac:dyDescent="0.2">
      <c r="A2704" s="116">
        <f>IF(ISNUMBER(Tabela2[[#This Row],[CT-e/NFS]])=TRUE,(IF(B2704&gt;30000,4,IF(B2704&lt;1000,"ND",0))),"-")</f>
        <v>0</v>
      </c>
      <c r="B2704" s="116">
        <v>21599</v>
      </c>
      <c r="C2704" s="117">
        <v>45454</v>
      </c>
      <c r="D2704" s="116">
        <v>96.77</v>
      </c>
      <c r="E2704" s="117">
        <v>45458</v>
      </c>
      <c r="F2704" s="116">
        <f>COUNTIFS($A$3:A10960,A2704,$B$3:B10960,B2704)</f>
        <v>1</v>
      </c>
      <c r="G2704" s="116"/>
    </row>
    <row r="2705" spans="1:7" x14ac:dyDescent="0.2">
      <c r="A2705" s="116">
        <f>IF(ISNUMBER(Tabela2[[#This Row],[CT-e/NFS]])=TRUE,(IF(B2705&gt;30000,4,IF(B2705&lt;1000,"ND",0))),"-")</f>
        <v>0</v>
      </c>
      <c r="B2705" s="116">
        <v>21601</v>
      </c>
      <c r="C2705" s="117">
        <v>45454</v>
      </c>
      <c r="D2705" s="116">
        <v>416.35</v>
      </c>
      <c r="E2705" s="117">
        <v>45458</v>
      </c>
      <c r="F2705" s="116">
        <f>COUNTIFS($A$3:A10961,A2705,$B$3:B10961,B2705)</f>
        <v>1</v>
      </c>
      <c r="G2705" s="116"/>
    </row>
    <row r="2706" spans="1:7" x14ac:dyDescent="0.2">
      <c r="A2706" s="116">
        <f>IF(ISNUMBER(Tabela2[[#This Row],[CT-e/NFS]])=TRUE,(IF(B2706&gt;30000,4,IF(B2706&lt;1000,"ND",0))),"-")</f>
        <v>0</v>
      </c>
      <c r="B2706" s="116">
        <v>21602</v>
      </c>
      <c r="C2706" s="117">
        <v>45454</v>
      </c>
      <c r="D2706" s="116">
        <v>139.25</v>
      </c>
      <c r="E2706" s="117">
        <v>45458</v>
      </c>
      <c r="F2706" s="116">
        <f>COUNTIFS($A$3:A10962,A2706,$B$3:B10962,B2706)</f>
        <v>1</v>
      </c>
      <c r="G2706" s="116"/>
    </row>
    <row r="2707" spans="1:7" x14ac:dyDescent="0.2">
      <c r="A2707" s="116">
        <f>IF(ISNUMBER(Tabela2[[#This Row],[CT-e/NFS]])=TRUE,(IF(B2707&gt;30000,4,IF(B2707&lt;1000,"ND",0))),"-")</f>
        <v>4</v>
      </c>
      <c r="B2707" s="116">
        <v>47486</v>
      </c>
      <c r="C2707" s="117">
        <v>45454</v>
      </c>
      <c r="D2707" s="116">
        <v>1137.73</v>
      </c>
      <c r="E2707" s="117">
        <v>45458</v>
      </c>
      <c r="F2707" s="116">
        <f>COUNTIFS($A$3:A10963,A2707,$B$3:B10963,B2707)</f>
        <v>1</v>
      </c>
      <c r="G2707" s="116"/>
    </row>
    <row r="2708" spans="1:7" x14ac:dyDescent="0.2">
      <c r="A2708" s="116">
        <f>IF(ISNUMBER(Tabela2[[#This Row],[CT-e/NFS]])=TRUE,(IF(B2708&gt;30000,4,IF(B2708&lt;1000,"ND",0))),"-")</f>
        <v>4</v>
      </c>
      <c r="B2708" s="116">
        <v>47473</v>
      </c>
      <c r="C2708" s="117">
        <v>45454</v>
      </c>
      <c r="D2708" s="116">
        <v>122.73</v>
      </c>
      <c r="E2708" s="117">
        <v>45458</v>
      </c>
      <c r="F2708" s="116">
        <f>COUNTIFS($A$3:A10964,A2708,$B$3:B10964,B2708)</f>
        <v>1</v>
      </c>
      <c r="G2708" s="116"/>
    </row>
    <row r="2709" spans="1:7" x14ac:dyDescent="0.2">
      <c r="A2709" s="116">
        <f>IF(ISNUMBER(Tabela2[[#This Row],[CT-e/NFS]])=TRUE,(IF(B2709&gt;30000,4,IF(B2709&lt;1000,"ND",0))),"-")</f>
        <v>4</v>
      </c>
      <c r="B2709" s="116">
        <v>47481</v>
      </c>
      <c r="C2709" s="117">
        <v>45454</v>
      </c>
      <c r="D2709" s="116">
        <v>416.44</v>
      </c>
      <c r="E2709" s="117">
        <v>45458</v>
      </c>
      <c r="F2709" s="116">
        <f>COUNTIFS($A$3:A10965,A2709,$B$3:B10965,B2709)</f>
        <v>1</v>
      </c>
      <c r="G2709" s="116"/>
    </row>
    <row r="2710" spans="1:7" x14ac:dyDescent="0.2">
      <c r="A2710" s="116">
        <f>IF(ISNUMBER(Tabela2[[#This Row],[CT-e/NFS]])=TRUE,(IF(B2710&gt;30000,4,IF(B2710&lt;1000,"ND",0))),"-")</f>
        <v>4</v>
      </c>
      <c r="B2710" s="116">
        <v>47480</v>
      </c>
      <c r="C2710" s="117">
        <v>45454</v>
      </c>
      <c r="D2710" s="116">
        <v>230.56</v>
      </c>
      <c r="E2710" s="117">
        <v>45458</v>
      </c>
      <c r="F2710" s="116">
        <f>COUNTIFS($A$3:A10966,A2710,$B$3:B10966,B2710)</f>
        <v>1</v>
      </c>
      <c r="G2710" s="116"/>
    </row>
    <row r="2711" spans="1:7" x14ac:dyDescent="0.2">
      <c r="A2711" s="116">
        <f>IF(ISNUMBER(Tabela2[[#This Row],[CT-e/NFS]])=TRUE,(IF(B2711&gt;30000,4,IF(B2711&lt;1000,"ND",0))),"-")</f>
        <v>4</v>
      </c>
      <c r="B2711" s="116">
        <v>47482</v>
      </c>
      <c r="C2711" s="117">
        <v>45454</v>
      </c>
      <c r="D2711" s="116">
        <v>62.01</v>
      </c>
      <c r="E2711" s="117">
        <v>45458</v>
      </c>
      <c r="F2711" s="116">
        <f>COUNTIFS($A$3:A10967,A2711,$B$3:B10967,B2711)</f>
        <v>1</v>
      </c>
      <c r="G2711" s="116"/>
    </row>
    <row r="2712" spans="1:7" x14ac:dyDescent="0.2">
      <c r="A2712" s="116">
        <f>IF(ISNUMBER(Tabela2[[#This Row],[CT-e/NFS]])=TRUE,(IF(B2712&gt;30000,4,IF(B2712&lt;1000,"ND",0))),"-")</f>
        <v>4</v>
      </c>
      <c r="B2712" s="116">
        <v>47488</v>
      </c>
      <c r="C2712" s="117">
        <v>45454</v>
      </c>
      <c r="D2712" s="116">
        <v>382.32</v>
      </c>
      <c r="E2712" s="117">
        <v>45458</v>
      </c>
      <c r="F2712" s="116">
        <f>COUNTIFS($A$3:A10968,A2712,$B$3:B10968,B2712)</f>
        <v>1</v>
      </c>
      <c r="G2712" s="116"/>
    </row>
    <row r="2713" spans="1:7" x14ac:dyDescent="0.2">
      <c r="A2713" s="116">
        <f>IF(ISNUMBER(Tabela2[[#This Row],[CT-e/NFS]])=TRUE,(IF(B2713&gt;30000,4,IF(B2713&lt;1000,"ND",0))),"-")</f>
        <v>4</v>
      </c>
      <c r="B2713" s="116">
        <v>47487</v>
      </c>
      <c r="C2713" s="117">
        <v>45454</v>
      </c>
      <c r="D2713" s="116">
        <v>391.52</v>
      </c>
      <c r="E2713" s="117">
        <v>45458</v>
      </c>
      <c r="F2713" s="116">
        <f>COUNTIFS($A$3:A10969,A2713,$B$3:B10969,B2713)</f>
        <v>1</v>
      </c>
      <c r="G2713" s="116"/>
    </row>
    <row r="2714" spans="1:7" x14ac:dyDescent="0.2">
      <c r="A2714" s="116">
        <f>IF(ISNUMBER(Tabela2[[#This Row],[CT-e/NFS]])=TRUE,(IF(B2714&gt;30000,4,IF(B2714&lt;1000,"ND",0))),"-")</f>
        <v>4</v>
      </c>
      <c r="B2714" s="116">
        <v>47462</v>
      </c>
      <c r="C2714" s="117">
        <v>45454</v>
      </c>
      <c r="D2714" s="116">
        <v>420.24</v>
      </c>
      <c r="E2714" s="117">
        <v>45458</v>
      </c>
      <c r="F2714" s="116">
        <f>COUNTIFS($A$3:A10970,A2714,$B$3:B10970,B2714)</f>
        <v>1</v>
      </c>
      <c r="G2714" s="116"/>
    </row>
    <row r="2715" spans="1:7" x14ac:dyDescent="0.2">
      <c r="A2715" s="116">
        <f>IF(ISNUMBER(Tabela2[[#This Row],[CT-e/NFS]])=TRUE,(IF(B2715&gt;30000,4,IF(B2715&lt;1000,"ND",0))),"-")</f>
        <v>4</v>
      </c>
      <c r="B2715" s="116">
        <v>47464</v>
      </c>
      <c r="C2715" s="117">
        <v>45454</v>
      </c>
      <c r="D2715" s="116">
        <v>207.5</v>
      </c>
      <c r="E2715" s="117">
        <v>45458</v>
      </c>
      <c r="F2715" s="116">
        <f>COUNTIFS($A$3:A10971,A2715,$B$3:B10971,B2715)</f>
        <v>1</v>
      </c>
      <c r="G2715" s="116"/>
    </row>
    <row r="2716" spans="1:7" x14ac:dyDescent="0.2">
      <c r="A2716" s="116">
        <f>IF(ISNUMBER(Tabela2[[#This Row],[CT-e/NFS]])=TRUE,(IF(B2716&gt;30000,4,IF(B2716&lt;1000,"ND",0))),"-")</f>
        <v>4</v>
      </c>
      <c r="B2716" s="116">
        <v>47468</v>
      </c>
      <c r="C2716" s="117">
        <v>45454</v>
      </c>
      <c r="D2716" s="116">
        <v>124.05</v>
      </c>
      <c r="E2716" s="117">
        <v>45458</v>
      </c>
      <c r="F2716" s="116">
        <f>COUNTIFS($A$3:A10972,A2716,$B$3:B10972,B2716)</f>
        <v>1</v>
      </c>
      <c r="G2716" s="116"/>
    </row>
    <row r="2717" spans="1:7" x14ac:dyDescent="0.2">
      <c r="A2717" s="116">
        <f>IF(ISNUMBER(Tabela2[[#This Row],[CT-e/NFS]])=TRUE,(IF(B2717&gt;30000,4,IF(B2717&lt;1000,"ND",0))),"-")</f>
        <v>4</v>
      </c>
      <c r="B2717" s="116">
        <v>47467</v>
      </c>
      <c r="C2717" s="117">
        <v>45454</v>
      </c>
      <c r="D2717" s="116">
        <v>125.94</v>
      </c>
      <c r="E2717" s="117">
        <v>45458</v>
      </c>
      <c r="F2717" s="116">
        <f>COUNTIFS($A$3:A10973,A2717,$B$3:B10973,B2717)</f>
        <v>1</v>
      </c>
      <c r="G2717" s="116"/>
    </row>
    <row r="2718" spans="1:7" x14ac:dyDescent="0.2">
      <c r="A2718" s="116">
        <f>IF(ISNUMBER(Tabela2[[#This Row],[CT-e/NFS]])=TRUE,(IF(B2718&gt;30000,4,IF(B2718&lt;1000,"ND",0))),"-")</f>
        <v>4</v>
      </c>
      <c r="B2718" s="116">
        <v>47469</v>
      </c>
      <c r="C2718" s="117">
        <v>45454</v>
      </c>
      <c r="D2718" s="116">
        <v>124.16</v>
      </c>
      <c r="E2718" s="117">
        <v>45458</v>
      </c>
      <c r="F2718" s="116">
        <f>COUNTIFS($A$3:A10974,A2718,$B$3:B10974,B2718)</f>
        <v>1</v>
      </c>
      <c r="G2718" s="116"/>
    </row>
    <row r="2719" spans="1:7" x14ac:dyDescent="0.2">
      <c r="A2719" s="116">
        <f>IF(ISNUMBER(Tabela2[[#This Row],[CT-e/NFS]])=TRUE,(IF(B2719&gt;30000,4,IF(B2719&lt;1000,"ND",0))),"-")</f>
        <v>4</v>
      </c>
      <c r="B2719" s="116">
        <v>47463</v>
      </c>
      <c r="C2719" s="117">
        <v>45454</v>
      </c>
      <c r="D2719" s="116">
        <v>224.16</v>
      </c>
      <c r="E2719" s="117">
        <v>45458</v>
      </c>
      <c r="F2719" s="116">
        <f>COUNTIFS($A$3:A10975,A2719,$B$3:B10975,B2719)</f>
        <v>1</v>
      </c>
      <c r="G2719" s="116"/>
    </row>
    <row r="2720" spans="1:7" x14ac:dyDescent="0.2">
      <c r="A2720" s="116">
        <f>IF(ISNUMBER(Tabela2[[#This Row],[CT-e/NFS]])=TRUE,(IF(B2720&gt;30000,4,IF(B2720&lt;1000,"ND",0))),"-")</f>
        <v>4</v>
      </c>
      <c r="B2720" s="116">
        <v>47497</v>
      </c>
      <c r="C2720" s="117">
        <v>45454</v>
      </c>
      <c r="D2720" s="116">
        <v>125.25</v>
      </c>
      <c r="E2720" s="117">
        <v>45458</v>
      </c>
      <c r="F2720" s="116">
        <f>COUNTIFS($A$3:A10976,A2720,$B$3:B10976,B2720)</f>
        <v>1</v>
      </c>
      <c r="G2720" s="116"/>
    </row>
    <row r="2721" spans="1:7" x14ac:dyDescent="0.2">
      <c r="A2721" s="116">
        <f>IF(ISNUMBER(Tabela2[[#This Row],[CT-e/NFS]])=TRUE,(IF(B2721&gt;30000,4,IF(B2721&lt;1000,"ND",0))),"-")</f>
        <v>4</v>
      </c>
      <c r="B2721" s="116">
        <v>47502</v>
      </c>
      <c r="C2721" s="117">
        <v>45454</v>
      </c>
      <c r="D2721" s="116">
        <v>124.03</v>
      </c>
      <c r="E2721" s="117">
        <v>45458</v>
      </c>
      <c r="F2721" s="116">
        <f>COUNTIFS($A$3:A10977,A2721,$B$3:B10977,B2721)</f>
        <v>1</v>
      </c>
      <c r="G2721" s="116"/>
    </row>
    <row r="2722" spans="1:7" x14ac:dyDescent="0.2">
      <c r="A2722" s="116">
        <f>IF(ISNUMBER(Tabela2[[#This Row],[CT-e/NFS]])=TRUE,(IF(B2722&gt;30000,4,IF(B2722&lt;1000,"ND",0))),"-")</f>
        <v>4</v>
      </c>
      <c r="B2722" s="116">
        <v>47493</v>
      </c>
      <c r="C2722" s="117">
        <v>45454</v>
      </c>
      <c r="D2722" s="116">
        <v>124.15</v>
      </c>
      <c r="E2722" s="117">
        <v>45458</v>
      </c>
      <c r="F2722" s="116">
        <f>COUNTIFS($A$3:A10978,A2722,$B$3:B10978,B2722)</f>
        <v>1</v>
      </c>
      <c r="G2722" s="116"/>
    </row>
    <row r="2723" spans="1:7" x14ac:dyDescent="0.2">
      <c r="A2723" s="116">
        <f>IF(ISNUMBER(Tabela2[[#This Row],[CT-e/NFS]])=TRUE,(IF(B2723&gt;30000,4,IF(B2723&lt;1000,"ND",0))),"-")</f>
        <v>4</v>
      </c>
      <c r="B2723" s="116">
        <v>47501</v>
      </c>
      <c r="C2723" s="117">
        <v>45454</v>
      </c>
      <c r="D2723" s="116">
        <v>125.8</v>
      </c>
      <c r="E2723" s="117">
        <v>45458</v>
      </c>
      <c r="F2723" s="116">
        <f>COUNTIFS($A$3:A10979,A2723,$B$3:B10979,B2723)</f>
        <v>1</v>
      </c>
      <c r="G2723" s="116"/>
    </row>
    <row r="2724" spans="1:7" x14ac:dyDescent="0.2">
      <c r="A2724" s="116">
        <f>IF(ISNUMBER(Tabela2[[#This Row],[CT-e/NFS]])=TRUE,(IF(B2724&gt;30000,4,IF(B2724&lt;1000,"ND",0))),"-")</f>
        <v>4</v>
      </c>
      <c r="B2724" s="116">
        <v>47500</v>
      </c>
      <c r="C2724" s="117">
        <v>45454</v>
      </c>
      <c r="D2724" s="116">
        <v>124.03</v>
      </c>
      <c r="E2724" s="117">
        <v>45458</v>
      </c>
      <c r="F2724" s="116">
        <f>COUNTIFS($A$3:A10980,A2724,$B$3:B10980,B2724)</f>
        <v>1</v>
      </c>
      <c r="G2724" s="116"/>
    </row>
    <row r="2725" spans="1:7" x14ac:dyDescent="0.2">
      <c r="A2725" s="116">
        <f>IF(ISNUMBER(Tabela2[[#This Row],[CT-e/NFS]])=TRUE,(IF(B2725&gt;30000,4,IF(B2725&lt;1000,"ND",0))),"-")</f>
        <v>4</v>
      </c>
      <c r="B2725" s="116">
        <v>47491</v>
      </c>
      <c r="C2725" s="117">
        <v>45454</v>
      </c>
      <c r="D2725" s="116">
        <v>124.1</v>
      </c>
      <c r="E2725" s="117">
        <v>45458</v>
      </c>
      <c r="F2725" s="116">
        <f>COUNTIFS($A$3:A10981,A2725,$B$3:B10981,B2725)</f>
        <v>1</v>
      </c>
      <c r="G2725" s="116"/>
    </row>
    <row r="2726" spans="1:7" x14ac:dyDescent="0.2">
      <c r="A2726" s="116">
        <f>IF(ISNUMBER(Tabela2[[#This Row],[CT-e/NFS]])=TRUE,(IF(B2726&gt;30000,4,IF(B2726&lt;1000,"ND",0))),"-")</f>
        <v>4</v>
      </c>
      <c r="B2726" s="116">
        <v>47496</v>
      </c>
      <c r="C2726" s="117">
        <v>45454</v>
      </c>
      <c r="D2726" s="116">
        <v>124.27</v>
      </c>
      <c r="E2726" s="117">
        <v>45458</v>
      </c>
      <c r="F2726" s="116">
        <f>COUNTIFS($A$3:A10982,A2726,$B$3:B10982,B2726)</f>
        <v>1</v>
      </c>
      <c r="G2726" s="116"/>
    </row>
    <row r="2727" spans="1:7" x14ac:dyDescent="0.2">
      <c r="A2727" s="116">
        <f>IF(ISNUMBER(Tabela2[[#This Row],[CT-e/NFS]])=TRUE,(IF(B2727&gt;30000,4,IF(B2727&lt;1000,"ND",0))),"-")</f>
        <v>4</v>
      </c>
      <c r="B2727" s="116">
        <v>47495</v>
      </c>
      <c r="C2727" s="117">
        <v>45454</v>
      </c>
      <c r="D2727" s="116">
        <v>125.25</v>
      </c>
      <c r="E2727" s="117">
        <v>45458</v>
      </c>
      <c r="F2727" s="116">
        <f>COUNTIFS($A$3:A10983,A2727,$B$3:B10983,B2727)</f>
        <v>1</v>
      </c>
      <c r="G2727" s="116"/>
    </row>
    <row r="2728" spans="1:7" x14ac:dyDescent="0.2">
      <c r="A2728" s="116">
        <f>IF(ISNUMBER(Tabela2[[#This Row],[CT-e/NFS]])=TRUE,(IF(B2728&gt;30000,4,IF(B2728&lt;1000,"ND",0))),"-")</f>
        <v>4</v>
      </c>
      <c r="B2728" s="116">
        <v>47508</v>
      </c>
      <c r="C2728" s="117">
        <v>45454</v>
      </c>
      <c r="D2728" s="116">
        <v>123.89</v>
      </c>
      <c r="E2728" s="117">
        <v>45458</v>
      </c>
      <c r="F2728" s="116">
        <f>COUNTIFS($A$3:A10984,A2728,$B$3:B10984,B2728)</f>
        <v>1</v>
      </c>
      <c r="G2728" s="116"/>
    </row>
    <row r="2729" spans="1:7" x14ac:dyDescent="0.2">
      <c r="A2729" s="116">
        <f>IF(ISNUMBER(Tabela2[[#This Row],[CT-e/NFS]])=TRUE,(IF(B2729&gt;30000,4,IF(B2729&lt;1000,"ND",0))),"-")</f>
        <v>4</v>
      </c>
      <c r="B2729" s="116">
        <v>47511</v>
      </c>
      <c r="C2729" s="117">
        <v>45454</v>
      </c>
      <c r="D2729" s="116">
        <v>240.27</v>
      </c>
      <c r="E2729" s="117">
        <v>45458</v>
      </c>
      <c r="F2729" s="116">
        <f>COUNTIFS($A$3:A10985,A2729,$B$3:B10985,B2729)</f>
        <v>1</v>
      </c>
      <c r="G2729" s="116"/>
    </row>
    <row r="2730" spans="1:7" x14ac:dyDescent="0.2">
      <c r="A2730" s="116">
        <f>IF(ISNUMBER(Tabela2[[#This Row],[CT-e/NFS]])=TRUE,(IF(B2730&gt;30000,4,IF(B2730&lt;1000,"ND",0))),"-")</f>
        <v>4</v>
      </c>
      <c r="B2730" s="116">
        <v>47514</v>
      </c>
      <c r="C2730" s="117">
        <v>45454</v>
      </c>
      <c r="D2730" s="116">
        <v>125.34</v>
      </c>
      <c r="E2730" s="117">
        <v>45458</v>
      </c>
      <c r="F2730" s="116">
        <f>COUNTIFS($A$3:A10986,A2730,$B$3:B10986,B2730)</f>
        <v>1</v>
      </c>
      <c r="G2730" s="116"/>
    </row>
    <row r="2731" spans="1:7" x14ac:dyDescent="0.2">
      <c r="A2731" s="116">
        <f>IF(ISNUMBER(Tabela2[[#This Row],[CT-e/NFS]])=TRUE,(IF(B2731&gt;30000,4,IF(B2731&lt;1000,"ND",0))),"-")</f>
        <v>4</v>
      </c>
      <c r="B2731" s="116">
        <v>47520</v>
      </c>
      <c r="C2731" s="117">
        <v>45454</v>
      </c>
      <c r="D2731" s="116">
        <v>124.41</v>
      </c>
      <c r="E2731" s="117">
        <v>45458</v>
      </c>
      <c r="F2731" s="116">
        <f>COUNTIFS($A$3:A10987,A2731,$B$3:B10987,B2731)</f>
        <v>1</v>
      </c>
      <c r="G2731" s="116"/>
    </row>
    <row r="2732" spans="1:7" x14ac:dyDescent="0.2">
      <c r="A2732" s="116">
        <f>IF(ISNUMBER(Tabela2[[#This Row],[CT-e/NFS]])=TRUE,(IF(B2732&gt;30000,4,IF(B2732&lt;1000,"ND",0))),"-")</f>
        <v>4</v>
      </c>
      <c r="B2732" s="116">
        <v>47519</v>
      </c>
      <c r="C2732" s="117">
        <v>45454</v>
      </c>
      <c r="D2732" s="116">
        <v>125.56</v>
      </c>
      <c r="E2732" s="117">
        <v>45458</v>
      </c>
      <c r="F2732" s="116">
        <f>COUNTIFS($A$3:A10988,A2732,$B$3:B10988,B2732)</f>
        <v>1</v>
      </c>
      <c r="G2732" s="116"/>
    </row>
    <row r="2733" spans="1:7" x14ac:dyDescent="0.2">
      <c r="A2733" s="116">
        <f>IF(ISNUMBER(Tabela2[[#This Row],[CT-e/NFS]])=TRUE,(IF(B2733&gt;30000,4,IF(B2733&lt;1000,"ND",0))),"-")</f>
        <v>4</v>
      </c>
      <c r="B2733" s="116">
        <v>47517</v>
      </c>
      <c r="C2733" s="117">
        <v>45454</v>
      </c>
      <c r="D2733" s="116">
        <v>246.33</v>
      </c>
      <c r="E2733" s="117">
        <v>45458</v>
      </c>
      <c r="F2733" s="116">
        <f>COUNTIFS($A$3:A10989,A2733,$B$3:B10989,B2733)</f>
        <v>1</v>
      </c>
      <c r="G2733" s="116"/>
    </row>
    <row r="2734" spans="1:7" x14ac:dyDescent="0.2">
      <c r="A2734" s="116">
        <f>IF(ISNUMBER(Tabela2[[#This Row],[CT-e/NFS]])=TRUE,(IF(B2734&gt;30000,4,IF(B2734&lt;1000,"ND",0))),"-")</f>
        <v>4</v>
      </c>
      <c r="B2734" s="116">
        <v>47498</v>
      </c>
      <c r="C2734" s="117">
        <v>45454</v>
      </c>
      <c r="D2734" s="116">
        <v>124.32</v>
      </c>
      <c r="E2734" s="117">
        <v>45458</v>
      </c>
      <c r="F2734" s="116">
        <f>COUNTIFS($A$3:A10990,A2734,$B$3:B10990,B2734)</f>
        <v>1</v>
      </c>
      <c r="G2734" s="116"/>
    </row>
    <row r="2735" spans="1:7" x14ac:dyDescent="0.2">
      <c r="A2735" s="116">
        <f>IF(ISNUMBER(Tabela2[[#This Row],[CT-e/NFS]])=TRUE,(IF(B2735&gt;30000,4,IF(B2735&lt;1000,"ND",0))),"-")</f>
        <v>4</v>
      </c>
      <c r="B2735" s="116">
        <v>47492</v>
      </c>
      <c r="C2735" s="117">
        <v>45454</v>
      </c>
      <c r="D2735" s="116">
        <v>123.09</v>
      </c>
      <c r="E2735" s="117">
        <v>45458</v>
      </c>
      <c r="F2735" s="116">
        <f>COUNTIFS($A$3:A10991,A2735,$B$3:B10991,B2735)</f>
        <v>1</v>
      </c>
      <c r="G2735" s="116"/>
    </row>
    <row r="2736" spans="1:7" x14ac:dyDescent="0.2">
      <c r="A2736" s="116">
        <f>IF(ISNUMBER(Tabela2[[#This Row],[CT-e/NFS]])=TRUE,(IF(B2736&gt;30000,4,IF(B2736&lt;1000,"ND",0))),"-")</f>
        <v>4</v>
      </c>
      <c r="B2736" s="116">
        <v>47494</v>
      </c>
      <c r="C2736" s="117">
        <v>45454</v>
      </c>
      <c r="D2736" s="116">
        <v>123.13</v>
      </c>
      <c r="E2736" s="117">
        <v>45458</v>
      </c>
      <c r="F2736" s="116">
        <f>COUNTIFS($A$3:A10992,A2736,$B$3:B10992,B2736)</f>
        <v>1</v>
      </c>
      <c r="G2736" s="116"/>
    </row>
    <row r="2737" spans="1:7" x14ac:dyDescent="0.2">
      <c r="A2737" s="116">
        <f>IF(ISNUMBER(Tabela2[[#This Row],[CT-e/NFS]])=TRUE,(IF(B2737&gt;30000,4,IF(B2737&lt;1000,"ND",0))),"-")</f>
        <v>4</v>
      </c>
      <c r="B2737" s="116">
        <v>47516</v>
      </c>
      <c r="C2737" s="117">
        <v>45454</v>
      </c>
      <c r="D2737" s="116">
        <v>217.68</v>
      </c>
      <c r="E2737" s="117">
        <v>45458</v>
      </c>
      <c r="F2737" s="116">
        <f>COUNTIFS($A$3:A10993,A2737,$B$3:B10993,B2737)</f>
        <v>1</v>
      </c>
      <c r="G2737" s="116"/>
    </row>
    <row r="2738" spans="1:7" x14ac:dyDescent="0.2">
      <c r="A2738" s="116">
        <f>IF(ISNUMBER(Tabela2[[#This Row],[CT-e/NFS]])=TRUE,(IF(B2738&gt;30000,4,IF(B2738&lt;1000,"ND",0))),"-")</f>
        <v>4</v>
      </c>
      <c r="B2738" s="116">
        <v>47515</v>
      </c>
      <c r="C2738" s="117">
        <v>45454</v>
      </c>
      <c r="D2738" s="116">
        <v>120.51</v>
      </c>
      <c r="E2738" s="117">
        <v>45458</v>
      </c>
      <c r="F2738" s="116">
        <f>COUNTIFS($A$3:A10994,A2738,$B$3:B10994,B2738)</f>
        <v>1</v>
      </c>
      <c r="G2738" s="116"/>
    </row>
    <row r="2739" spans="1:7" x14ac:dyDescent="0.2">
      <c r="A2739" s="116">
        <f>IF(ISNUMBER(Tabela2[[#This Row],[CT-e/NFS]])=TRUE,(IF(B2739&gt;30000,4,IF(B2739&lt;1000,"ND",0))),"-")</f>
        <v>4</v>
      </c>
      <c r="B2739" s="116">
        <v>47504</v>
      </c>
      <c r="C2739" s="117">
        <v>45454</v>
      </c>
      <c r="D2739" s="116">
        <v>111.88</v>
      </c>
      <c r="E2739" s="117">
        <v>45458</v>
      </c>
      <c r="F2739" s="116">
        <f>COUNTIFS($A$3:A10995,A2739,$B$3:B10995,B2739)</f>
        <v>1</v>
      </c>
      <c r="G2739" s="116"/>
    </row>
    <row r="2740" spans="1:7" x14ac:dyDescent="0.2">
      <c r="A2740" s="116">
        <f>IF(ISNUMBER(Tabela2[[#This Row],[CT-e/NFS]])=TRUE,(IF(B2740&gt;30000,4,IF(B2740&lt;1000,"ND",0))),"-")</f>
        <v>4</v>
      </c>
      <c r="B2740" s="116">
        <v>47503</v>
      </c>
      <c r="C2740" s="117">
        <v>45454</v>
      </c>
      <c r="D2740" s="116">
        <v>62.07</v>
      </c>
      <c r="E2740" s="117">
        <v>45458</v>
      </c>
      <c r="F2740" s="116">
        <f>COUNTIFS($A$3:A10996,A2740,$B$3:B10996,B2740)</f>
        <v>1</v>
      </c>
      <c r="G2740" s="116"/>
    </row>
    <row r="2741" spans="1:7" x14ac:dyDescent="0.2">
      <c r="A2741" s="116">
        <f>IF(ISNUMBER(Tabela2[[#This Row],[CT-e/NFS]])=TRUE,(IF(B2741&gt;30000,4,IF(B2741&lt;1000,"ND",0))),"-")</f>
        <v>4</v>
      </c>
      <c r="B2741" s="116">
        <v>47506</v>
      </c>
      <c r="C2741" s="117">
        <v>45454</v>
      </c>
      <c r="D2741" s="116">
        <v>62.1</v>
      </c>
      <c r="E2741" s="117">
        <v>45458</v>
      </c>
      <c r="F2741" s="116">
        <f>COUNTIFS($A$3:A10997,A2741,$B$3:B10997,B2741)</f>
        <v>1</v>
      </c>
      <c r="G2741" s="116"/>
    </row>
    <row r="2742" spans="1:7" x14ac:dyDescent="0.2">
      <c r="A2742" s="116">
        <f>IF(ISNUMBER(Tabela2[[#This Row],[CT-e/NFS]])=TRUE,(IF(B2742&gt;30000,4,IF(B2742&lt;1000,"ND",0))),"-")</f>
        <v>4</v>
      </c>
      <c r="B2742" s="116">
        <v>47507</v>
      </c>
      <c r="C2742" s="117">
        <v>45454</v>
      </c>
      <c r="D2742" s="116">
        <v>111.19</v>
      </c>
      <c r="E2742" s="117">
        <v>45458</v>
      </c>
      <c r="F2742" s="116">
        <f>COUNTIFS($A$3:A10998,A2742,$B$3:B10998,B2742)</f>
        <v>1</v>
      </c>
      <c r="G2742" s="116"/>
    </row>
    <row r="2743" spans="1:7" x14ac:dyDescent="0.2">
      <c r="A2743" s="116">
        <f>IF(ISNUMBER(Tabela2[[#This Row],[CT-e/NFS]])=TRUE,(IF(B2743&gt;30000,4,IF(B2743&lt;1000,"ND",0))),"-")</f>
        <v>4</v>
      </c>
      <c r="B2743" s="116">
        <v>47490</v>
      </c>
      <c r="C2743" s="117">
        <v>45454</v>
      </c>
      <c r="D2743" s="116">
        <v>125.36</v>
      </c>
      <c r="E2743" s="117">
        <v>45458</v>
      </c>
      <c r="F2743" s="116">
        <f>COUNTIFS($A$3:A10999,A2743,$B$3:B10999,B2743)</f>
        <v>1</v>
      </c>
      <c r="G2743" s="116"/>
    </row>
    <row r="2744" spans="1:7" x14ac:dyDescent="0.2">
      <c r="A2744" s="116">
        <f>IF(ISNUMBER(Tabela2[[#This Row],[CT-e/NFS]])=TRUE,(IF(B2744&gt;30000,4,IF(B2744&lt;1000,"ND",0))),"-")</f>
        <v>0</v>
      </c>
      <c r="B2744" s="116">
        <v>21603</v>
      </c>
      <c r="C2744" s="117">
        <v>45454</v>
      </c>
      <c r="D2744" s="116">
        <v>79.25</v>
      </c>
      <c r="E2744" s="117">
        <v>45458</v>
      </c>
      <c r="F2744" s="116">
        <f>COUNTIFS($A$3:A11000,A2744,$B$3:B11000,B2744)</f>
        <v>1</v>
      </c>
      <c r="G2744" s="116"/>
    </row>
    <row r="2745" spans="1:7" x14ac:dyDescent="0.2">
      <c r="A2745" s="116">
        <f>IF(ISNUMBER(Tabela2[[#This Row],[CT-e/NFS]])=TRUE,(IF(B2745&gt;30000,4,IF(B2745&lt;1000,"ND",0))),"-")</f>
        <v>0</v>
      </c>
      <c r="B2745" s="116">
        <v>21604</v>
      </c>
      <c r="C2745" s="117">
        <v>45454</v>
      </c>
      <c r="D2745" s="116">
        <v>142.66</v>
      </c>
      <c r="E2745" s="117">
        <v>45458</v>
      </c>
      <c r="F2745" s="116">
        <f>COUNTIFS($A$3:A11001,A2745,$B$3:B11001,B2745)</f>
        <v>1</v>
      </c>
      <c r="G2745" s="116"/>
    </row>
    <row r="2746" spans="1:7" x14ac:dyDescent="0.2">
      <c r="A2746" s="116">
        <f>IF(ISNUMBER(Tabela2[[#This Row],[CT-e/NFS]])=TRUE,(IF(B2746&gt;30000,4,IF(B2746&lt;1000,"ND",0))),"-")</f>
        <v>0</v>
      </c>
      <c r="B2746" s="116">
        <v>21606</v>
      </c>
      <c r="C2746" s="117">
        <v>45454</v>
      </c>
      <c r="D2746" s="116">
        <v>43.02</v>
      </c>
      <c r="E2746" s="117">
        <v>45458</v>
      </c>
      <c r="F2746" s="116">
        <f>COUNTIFS($A$3:A11002,A2746,$B$3:B11002,B2746)</f>
        <v>1</v>
      </c>
      <c r="G2746" s="116"/>
    </row>
    <row r="2747" spans="1:7" x14ac:dyDescent="0.2">
      <c r="A2747" s="116">
        <f>IF(ISNUMBER(Tabela2[[#This Row],[CT-e/NFS]])=TRUE,(IF(B2747&gt;30000,4,IF(B2747&lt;1000,"ND",0))),"-")</f>
        <v>0</v>
      </c>
      <c r="B2747" s="116">
        <v>21605</v>
      </c>
      <c r="C2747" s="117">
        <v>45454</v>
      </c>
      <c r="D2747" s="116">
        <v>77.760000000000005</v>
      </c>
      <c r="E2747" s="117">
        <v>45458</v>
      </c>
      <c r="F2747" s="116">
        <f>COUNTIFS($A$3:A11003,A2747,$B$3:B11003,B2747)</f>
        <v>1</v>
      </c>
      <c r="G2747" s="116"/>
    </row>
    <row r="2748" spans="1:7" x14ac:dyDescent="0.2">
      <c r="A2748" s="116">
        <f>IF(ISNUMBER(Tabela2[[#This Row],[CT-e/NFS]])=TRUE,(IF(B2748&gt;30000,4,IF(B2748&lt;1000,"ND",0))),"-")</f>
        <v>0</v>
      </c>
      <c r="B2748" s="116">
        <v>21607</v>
      </c>
      <c r="C2748" s="117">
        <v>45454</v>
      </c>
      <c r="D2748" s="116">
        <v>38.72</v>
      </c>
      <c r="E2748" s="117">
        <v>45458</v>
      </c>
      <c r="F2748" s="116">
        <f>COUNTIFS($A$3:A11004,A2748,$B$3:B11004,B2748)</f>
        <v>1</v>
      </c>
      <c r="G2748" s="116"/>
    </row>
    <row r="2749" spans="1:7" x14ac:dyDescent="0.2">
      <c r="A2749" s="116">
        <f>IF(ISNUMBER(Tabela2[[#This Row],[CT-e/NFS]])=TRUE,(IF(B2749&gt;30000,4,IF(B2749&lt;1000,"ND",0))),"-")</f>
        <v>0</v>
      </c>
      <c r="B2749" s="116">
        <v>21608</v>
      </c>
      <c r="C2749" s="117">
        <v>45454</v>
      </c>
      <c r="D2749" s="116">
        <v>69.7</v>
      </c>
      <c r="E2749" s="117">
        <v>45458</v>
      </c>
      <c r="F2749" s="116">
        <f>COUNTIFS($A$3:A11005,A2749,$B$3:B11005,B2749)</f>
        <v>1</v>
      </c>
      <c r="G2749" s="116"/>
    </row>
    <row r="2750" spans="1:7" x14ac:dyDescent="0.2">
      <c r="A2750" s="116">
        <f>IF(ISNUMBER(Tabela2[[#This Row],[CT-e/NFS]])=TRUE,(IF(B2750&gt;30000,4,IF(B2750&lt;1000,"ND",0))),"-")</f>
        <v>0</v>
      </c>
      <c r="B2750" s="116">
        <v>21543</v>
      </c>
      <c r="C2750" s="117">
        <v>45454</v>
      </c>
      <c r="D2750" s="116">
        <v>75.680000000000007</v>
      </c>
      <c r="E2750" s="117">
        <v>45458</v>
      </c>
      <c r="F2750" s="116">
        <f>COUNTIFS($A$3:A11006,A2750,$B$3:B11006,B2750)</f>
        <v>1</v>
      </c>
      <c r="G2750" s="116"/>
    </row>
    <row r="2751" spans="1:7" x14ac:dyDescent="0.2">
      <c r="A2751" s="116">
        <f>IF(ISNUMBER(Tabela2[[#This Row],[CT-e/NFS]])=TRUE,(IF(B2751&gt;30000,4,IF(B2751&lt;1000,"ND",0))),"-")</f>
        <v>0</v>
      </c>
      <c r="B2751" s="116">
        <v>21546</v>
      </c>
      <c r="C2751" s="117">
        <v>45454</v>
      </c>
      <c r="D2751" s="116">
        <v>77.010000000000005</v>
      </c>
      <c r="E2751" s="117">
        <v>45458</v>
      </c>
      <c r="F2751" s="116">
        <f>COUNTIFS($A$3:A11007,A2751,$B$3:B11007,B2751)</f>
        <v>1</v>
      </c>
      <c r="G2751" s="116"/>
    </row>
    <row r="2752" spans="1:7" x14ac:dyDescent="0.2">
      <c r="A2752" s="116">
        <f>IF(ISNUMBER(Tabela2[[#This Row],[CT-e/NFS]])=TRUE,(IF(B2752&gt;30000,4,IF(B2752&lt;1000,"ND",0))),"-")</f>
        <v>0</v>
      </c>
      <c r="B2752" s="116">
        <v>21547</v>
      </c>
      <c r="C2752" s="117">
        <v>45454</v>
      </c>
      <c r="D2752" s="116">
        <v>76.34</v>
      </c>
      <c r="E2752" s="117">
        <v>45458</v>
      </c>
      <c r="F2752" s="116">
        <f>COUNTIFS($A$3:A11008,A2752,$B$3:B11008,B2752)</f>
        <v>1</v>
      </c>
      <c r="G2752" s="116"/>
    </row>
    <row r="2753" spans="1:7" x14ac:dyDescent="0.2">
      <c r="A2753" s="116">
        <f>IF(ISNUMBER(Tabela2[[#This Row],[CT-e/NFS]])=TRUE,(IF(B2753&gt;30000,4,IF(B2753&lt;1000,"ND",0))),"-")</f>
        <v>0</v>
      </c>
      <c r="B2753" s="116">
        <v>21544</v>
      </c>
      <c r="C2753" s="117">
        <v>45454</v>
      </c>
      <c r="D2753" s="116">
        <v>75.709999999999994</v>
      </c>
      <c r="E2753" s="117">
        <v>45458</v>
      </c>
      <c r="F2753" s="116">
        <f>COUNTIFS($A$3:A11009,A2753,$B$3:B11009,B2753)</f>
        <v>1</v>
      </c>
      <c r="G2753" s="116"/>
    </row>
    <row r="2754" spans="1:7" x14ac:dyDescent="0.2">
      <c r="A2754" s="116">
        <f>IF(ISNUMBER(Tabela2[[#This Row],[CT-e/NFS]])=TRUE,(IF(B2754&gt;30000,4,IF(B2754&lt;1000,"ND",0))),"-")</f>
        <v>0</v>
      </c>
      <c r="B2754" s="116">
        <v>21545</v>
      </c>
      <c r="C2754" s="117">
        <v>45454</v>
      </c>
      <c r="D2754" s="116">
        <v>76.95</v>
      </c>
      <c r="E2754" s="117">
        <v>45458</v>
      </c>
      <c r="F2754" s="116">
        <f>COUNTIFS($A$3:A11010,A2754,$B$3:B11010,B2754)</f>
        <v>1</v>
      </c>
      <c r="G2754" s="116"/>
    </row>
    <row r="2755" spans="1:7" x14ac:dyDescent="0.2">
      <c r="A2755" s="116">
        <f>IF(ISNUMBER(Tabela2[[#This Row],[CT-e/NFS]])=TRUE,(IF(B2755&gt;30000,4,IF(B2755&lt;1000,"ND",0))),"-")</f>
        <v>4</v>
      </c>
      <c r="B2755" s="116">
        <v>47426</v>
      </c>
      <c r="C2755" s="117">
        <v>45454</v>
      </c>
      <c r="D2755" s="116">
        <v>5163.13</v>
      </c>
      <c r="E2755" s="117">
        <v>45458</v>
      </c>
      <c r="F2755" s="116">
        <f>COUNTIFS($A$3:A11011,A2755,$B$3:B11011,B2755)</f>
        <v>1</v>
      </c>
      <c r="G2755" s="116"/>
    </row>
    <row r="2756" spans="1:7" x14ac:dyDescent="0.2">
      <c r="A2756" s="116">
        <f>IF(ISNUMBER(Tabela2[[#This Row],[CT-e/NFS]])=TRUE,(IF(B2756&gt;30000,4,IF(B2756&lt;1000,"ND",0))),"-")</f>
        <v>4</v>
      </c>
      <c r="B2756" s="116">
        <v>47425</v>
      </c>
      <c r="C2756" s="117">
        <v>45454</v>
      </c>
      <c r="D2756" s="116">
        <v>9637.84</v>
      </c>
      <c r="E2756" s="117">
        <v>45458</v>
      </c>
      <c r="F2756" s="116">
        <f>COUNTIFS($A$3:A11012,A2756,$B$3:B11012,B2756)</f>
        <v>1</v>
      </c>
      <c r="G2756" s="116"/>
    </row>
    <row r="2757" spans="1:7" x14ac:dyDescent="0.2">
      <c r="A2757" s="116">
        <f>IF(ISNUMBER(Tabela2[[#This Row],[CT-e/NFS]])=TRUE,(IF(B2757&gt;30000,4,IF(B2757&lt;1000,"ND",0))),"-")</f>
        <v>0</v>
      </c>
      <c r="B2757" s="116">
        <v>21552</v>
      </c>
      <c r="C2757" s="117">
        <v>45454</v>
      </c>
      <c r="D2757" s="116">
        <v>75.680000000000007</v>
      </c>
      <c r="E2757" s="117">
        <v>45458</v>
      </c>
      <c r="F2757" s="116">
        <f>COUNTIFS($A$3:A11013,A2757,$B$3:B11013,B2757)</f>
        <v>1</v>
      </c>
      <c r="G2757" s="116"/>
    </row>
    <row r="2758" spans="1:7" x14ac:dyDescent="0.2">
      <c r="A2758" s="116">
        <f>IF(ISNUMBER(Tabela2[[#This Row],[CT-e/NFS]])=TRUE,(IF(B2758&gt;30000,4,IF(B2758&lt;1000,"ND",0))),"-")</f>
        <v>0</v>
      </c>
      <c r="B2758" s="116">
        <v>21548</v>
      </c>
      <c r="C2758" s="117">
        <v>45454</v>
      </c>
      <c r="D2758" s="116">
        <v>75.8</v>
      </c>
      <c r="E2758" s="117">
        <v>45458</v>
      </c>
      <c r="F2758" s="116">
        <f>COUNTIFS($A$3:A11014,A2758,$B$3:B11014,B2758)</f>
        <v>1</v>
      </c>
      <c r="G2758" s="116"/>
    </row>
    <row r="2759" spans="1:7" x14ac:dyDescent="0.2">
      <c r="A2759" s="116">
        <f>IF(ISNUMBER(Tabela2[[#This Row],[CT-e/NFS]])=TRUE,(IF(B2759&gt;30000,4,IF(B2759&lt;1000,"ND",0))),"-")</f>
        <v>0</v>
      </c>
      <c r="B2759" s="116">
        <v>21549</v>
      </c>
      <c r="C2759" s="117">
        <v>45454</v>
      </c>
      <c r="D2759" s="116">
        <v>77.010000000000005</v>
      </c>
      <c r="E2759" s="117">
        <v>45458</v>
      </c>
      <c r="F2759" s="116">
        <f>COUNTIFS($A$3:A11015,A2759,$B$3:B11015,B2759)</f>
        <v>1</v>
      </c>
      <c r="G2759" s="116"/>
    </row>
    <row r="2760" spans="1:7" x14ac:dyDescent="0.2">
      <c r="A2760" s="116">
        <f>IF(ISNUMBER(Tabela2[[#This Row],[CT-e/NFS]])=TRUE,(IF(B2760&gt;30000,4,IF(B2760&lt;1000,"ND",0))),"-")</f>
        <v>0</v>
      </c>
      <c r="B2760" s="116">
        <v>21550</v>
      </c>
      <c r="C2760" s="117">
        <v>45454</v>
      </c>
      <c r="D2760" s="116">
        <v>76.099999999999994</v>
      </c>
      <c r="E2760" s="117">
        <v>45458</v>
      </c>
      <c r="F2760" s="116">
        <f>COUNTIFS($A$3:A11016,A2760,$B$3:B11016,B2760)</f>
        <v>1</v>
      </c>
      <c r="G2760" s="116"/>
    </row>
    <row r="2761" spans="1:7" x14ac:dyDescent="0.2">
      <c r="A2761" s="116">
        <f>IF(ISNUMBER(Tabela2[[#This Row],[CT-e/NFS]])=TRUE,(IF(B2761&gt;30000,4,IF(B2761&lt;1000,"ND",0))),"-")</f>
        <v>0</v>
      </c>
      <c r="B2761" s="116">
        <v>21551</v>
      </c>
      <c r="C2761" s="117">
        <v>45454</v>
      </c>
      <c r="D2761" s="116">
        <v>77</v>
      </c>
      <c r="E2761" s="117">
        <v>45458</v>
      </c>
      <c r="F2761" s="116">
        <f>COUNTIFS($A$3:A11017,A2761,$B$3:B11017,B2761)</f>
        <v>1</v>
      </c>
      <c r="G2761" s="116"/>
    </row>
    <row r="2762" spans="1:7" x14ac:dyDescent="0.2">
      <c r="A2762" s="116">
        <f>IF(ISNUMBER(Tabela2[[#This Row],[CT-e/NFS]])=TRUE,(IF(B2762&gt;30000,4,IF(B2762&lt;1000,"ND",0))),"-")</f>
        <v>0</v>
      </c>
      <c r="B2762" s="116">
        <v>21553</v>
      </c>
      <c r="C2762" s="117">
        <v>45454</v>
      </c>
      <c r="D2762" s="116">
        <v>76.95</v>
      </c>
      <c r="E2762" s="117">
        <v>45458</v>
      </c>
      <c r="F2762" s="116">
        <f>COUNTIFS($A$3:A11018,A2762,$B$3:B11018,B2762)</f>
        <v>1</v>
      </c>
      <c r="G2762" s="116"/>
    </row>
    <row r="2763" spans="1:7" x14ac:dyDescent="0.2">
      <c r="A2763" s="116">
        <f>IF(ISNUMBER(Tabela2[[#This Row],[CT-e/NFS]])=TRUE,(IF(B2763&gt;30000,4,IF(B2763&lt;1000,"ND",0))),"-")</f>
        <v>0</v>
      </c>
      <c r="B2763" s="116">
        <v>21554</v>
      </c>
      <c r="C2763" s="117">
        <v>45454</v>
      </c>
      <c r="D2763" s="116">
        <v>36.69</v>
      </c>
      <c r="E2763" s="117">
        <v>45458</v>
      </c>
      <c r="F2763" s="116">
        <f>COUNTIFS($A$3:A11019,A2763,$B$3:B11019,B2763)</f>
        <v>1</v>
      </c>
      <c r="G2763" s="116"/>
    </row>
    <row r="2764" spans="1:7" x14ac:dyDescent="0.2">
      <c r="A2764" s="116">
        <f>IF(ISNUMBER(Tabela2[[#This Row],[CT-e/NFS]])=TRUE,(IF(B2764&gt;30000,4,IF(B2764&lt;1000,"ND",0))),"-")</f>
        <v>0</v>
      </c>
      <c r="B2764" s="116">
        <v>21556</v>
      </c>
      <c r="C2764" s="117">
        <v>45454</v>
      </c>
      <c r="D2764" s="116">
        <v>76.34</v>
      </c>
      <c r="E2764" s="117">
        <v>45458</v>
      </c>
      <c r="F2764" s="116">
        <f>COUNTIFS($A$3:A11020,A2764,$B$3:B11020,B2764)</f>
        <v>1</v>
      </c>
      <c r="G2764" s="116"/>
    </row>
    <row r="2765" spans="1:7" x14ac:dyDescent="0.2">
      <c r="A2765" s="116">
        <f>IF(ISNUMBER(Tabela2[[#This Row],[CT-e/NFS]])=TRUE,(IF(B2765&gt;30000,4,IF(B2765&lt;1000,"ND",0))),"-")</f>
        <v>0</v>
      </c>
      <c r="B2765" s="116">
        <v>21555</v>
      </c>
      <c r="C2765" s="117">
        <v>45454</v>
      </c>
      <c r="D2765" s="116">
        <v>80.19</v>
      </c>
      <c r="E2765" s="117">
        <v>45458</v>
      </c>
      <c r="F2765" s="116">
        <f>COUNTIFS($A$3:A11021,A2765,$B$3:B11021,B2765)</f>
        <v>1</v>
      </c>
      <c r="G2765" s="116"/>
    </row>
    <row r="2766" spans="1:7" x14ac:dyDescent="0.2">
      <c r="A2766" s="116">
        <f>IF(ISNUMBER(Tabela2[[#This Row],[CT-e/NFS]])=TRUE,(IF(B2766&gt;30000,4,IF(B2766&lt;1000,"ND",0))),"-")</f>
        <v>0</v>
      </c>
      <c r="B2766" s="116">
        <v>21557</v>
      </c>
      <c r="C2766" s="117">
        <v>45454</v>
      </c>
      <c r="D2766" s="116">
        <v>101.29</v>
      </c>
      <c r="E2766" s="117">
        <v>45458</v>
      </c>
      <c r="F2766" s="116">
        <f>COUNTIFS($A$3:A11022,A2766,$B$3:B11022,B2766)</f>
        <v>1</v>
      </c>
      <c r="G2766" s="116"/>
    </row>
    <row r="2767" spans="1:7" x14ac:dyDescent="0.2">
      <c r="A2767" s="116">
        <f>IF(ISNUMBER(Tabela2[[#This Row],[CT-e/NFS]])=TRUE,(IF(B2767&gt;30000,4,IF(B2767&lt;1000,"ND",0))),"-")</f>
        <v>0</v>
      </c>
      <c r="B2767" s="116">
        <v>21558</v>
      </c>
      <c r="C2767" s="117">
        <v>45454</v>
      </c>
      <c r="D2767" s="116">
        <v>515.41</v>
      </c>
      <c r="E2767" s="117">
        <v>45458</v>
      </c>
      <c r="F2767" s="116">
        <f>COUNTIFS($A$3:A11023,A2767,$B$3:B11023,B2767)</f>
        <v>1</v>
      </c>
      <c r="G2767" s="116"/>
    </row>
    <row r="2768" spans="1:7" x14ac:dyDescent="0.2">
      <c r="A2768" s="116">
        <f>IF(ISNUMBER(Tabela2[[#This Row],[CT-e/NFS]])=TRUE,(IF(B2768&gt;30000,4,IF(B2768&lt;1000,"ND",0))),"-")</f>
        <v>0</v>
      </c>
      <c r="B2768" s="116">
        <v>21559</v>
      </c>
      <c r="C2768" s="117">
        <v>45454</v>
      </c>
      <c r="D2768" s="116">
        <v>515.41</v>
      </c>
      <c r="E2768" s="117">
        <v>45458</v>
      </c>
      <c r="F2768" s="116">
        <f>COUNTIFS($A$3:A11024,A2768,$B$3:B11024,B2768)</f>
        <v>1</v>
      </c>
      <c r="G2768" s="116"/>
    </row>
    <row r="2769" spans="1:7" x14ac:dyDescent="0.2">
      <c r="A2769" s="116">
        <f>IF(ISNUMBER(Tabela2[[#This Row],[CT-e/NFS]])=TRUE,(IF(B2769&gt;30000,4,IF(B2769&lt;1000,"ND",0))),"-")</f>
        <v>0</v>
      </c>
      <c r="B2769" s="116">
        <v>21560</v>
      </c>
      <c r="C2769" s="117">
        <v>45454</v>
      </c>
      <c r="D2769" s="116">
        <v>122.49</v>
      </c>
      <c r="E2769" s="117">
        <v>45458</v>
      </c>
      <c r="F2769" s="116">
        <f>COUNTIFS($A$3:A11025,A2769,$B$3:B11025,B2769)</f>
        <v>1</v>
      </c>
      <c r="G2769" s="116"/>
    </row>
    <row r="2770" spans="1:7" x14ac:dyDescent="0.2">
      <c r="A2770" s="116">
        <f>IF(ISNUMBER(Tabela2[[#This Row],[CT-e/NFS]])=TRUE,(IF(B2770&gt;30000,4,IF(B2770&lt;1000,"ND",0))),"-")</f>
        <v>0</v>
      </c>
      <c r="B2770" s="116">
        <v>21561</v>
      </c>
      <c r="C2770" s="117">
        <v>45454</v>
      </c>
      <c r="D2770" s="116">
        <v>104.88</v>
      </c>
      <c r="E2770" s="117">
        <v>45458</v>
      </c>
      <c r="F2770" s="116">
        <f>COUNTIFS($A$3:A11026,A2770,$B$3:B11026,B2770)</f>
        <v>1</v>
      </c>
      <c r="G2770" s="116"/>
    </row>
    <row r="2771" spans="1:7" x14ac:dyDescent="0.2">
      <c r="A2771" s="116">
        <f>IF(ISNUMBER(Tabela2[[#This Row],[CT-e/NFS]])=TRUE,(IF(B2771&gt;30000,4,IF(B2771&lt;1000,"ND",0))),"-")</f>
        <v>0</v>
      </c>
      <c r="B2771" s="116">
        <v>21562</v>
      </c>
      <c r="C2771" s="117">
        <v>45454</v>
      </c>
      <c r="D2771" s="116">
        <v>134.66999999999999</v>
      </c>
      <c r="E2771" s="117">
        <v>45458</v>
      </c>
      <c r="F2771" s="116">
        <f>COUNTIFS($A$3:A11027,A2771,$B$3:B11027,B2771)</f>
        <v>1</v>
      </c>
      <c r="G2771" s="116"/>
    </row>
    <row r="2772" spans="1:7" x14ac:dyDescent="0.2">
      <c r="A2772" s="116">
        <f>IF(ISNUMBER(Tabela2[[#This Row],[CT-e/NFS]])=TRUE,(IF(B2772&gt;30000,4,IF(B2772&lt;1000,"ND",0))),"-")</f>
        <v>0</v>
      </c>
      <c r="B2772" s="116">
        <v>21563</v>
      </c>
      <c r="C2772" s="117">
        <v>45454</v>
      </c>
      <c r="D2772" s="116">
        <v>76.95</v>
      </c>
      <c r="E2772" s="117">
        <v>45458</v>
      </c>
      <c r="F2772" s="116">
        <f>COUNTIFS($A$3:A11028,A2772,$B$3:B11028,B2772)</f>
        <v>1</v>
      </c>
      <c r="G2772" s="116"/>
    </row>
    <row r="2773" spans="1:7" x14ac:dyDescent="0.2">
      <c r="A2773" s="116">
        <f>IF(ISNUMBER(Tabela2[[#This Row],[CT-e/NFS]])=TRUE,(IF(B2773&gt;30000,4,IF(B2773&lt;1000,"ND",0))),"-")</f>
        <v>0</v>
      </c>
      <c r="B2773" s="116">
        <v>21564</v>
      </c>
      <c r="C2773" s="117">
        <v>45454</v>
      </c>
      <c r="D2773" s="116">
        <v>404.26</v>
      </c>
      <c r="E2773" s="117">
        <v>45458</v>
      </c>
      <c r="F2773" s="116">
        <f>COUNTIFS($A$3:A11029,A2773,$B$3:B11029,B2773)</f>
        <v>1</v>
      </c>
      <c r="G2773" s="116"/>
    </row>
    <row r="2774" spans="1:7" x14ac:dyDescent="0.2">
      <c r="A2774" s="116">
        <f>IF(ISNUMBER(Tabela2[[#This Row],[CT-e/NFS]])=TRUE,(IF(B2774&gt;30000,4,IF(B2774&lt;1000,"ND",0))),"-")</f>
        <v>0</v>
      </c>
      <c r="B2774" s="116">
        <v>21565</v>
      </c>
      <c r="C2774" s="117">
        <v>45454</v>
      </c>
      <c r="D2774" s="116">
        <v>338.19</v>
      </c>
      <c r="E2774" s="117">
        <v>45458</v>
      </c>
      <c r="F2774" s="116">
        <f>COUNTIFS($A$3:A11030,A2774,$B$3:B11030,B2774)</f>
        <v>1</v>
      </c>
      <c r="G2774" s="116"/>
    </row>
    <row r="2775" spans="1:7" x14ac:dyDescent="0.2">
      <c r="A2775" s="116">
        <f>IF(ISNUMBER(Tabela2[[#This Row],[CT-e/NFS]])=TRUE,(IF(B2775&gt;30000,4,IF(B2775&lt;1000,"ND",0))),"-")</f>
        <v>0</v>
      </c>
      <c r="B2775" s="116">
        <v>21567</v>
      </c>
      <c r="C2775" s="117">
        <v>45454</v>
      </c>
      <c r="D2775" s="116">
        <v>76.959999999999994</v>
      </c>
      <c r="E2775" s="117">
        <v>45458</v>
      </c>
      <c r="F2775" s="116">
        <f>COUNTIFS($A$3:A11031,A2775,$B$3:B11031,B2775)</f>
        <v>1</v>
      </c>
      <c r="G2775" s="116"/>
    </row>
    <row r="2776" spans="1:7" x14ac:dyDescent="0.2">
      <c r="A2776" s="116">
        <f>IF(ISNUMBER(Tabela2[[#This Row],[CT-e/NFS]])=TRUE,(IF(B2776&gt;30000,4,IF(B2776&lt;1000,"ND",0))),"-")</f>
        <v>0</v>
      </c>
      <c r="B2776" s="116">
        <v>21569</v>
      </c>
      <c r="C2776" s="117">
        <v>45454</v>
      </c>
      <c r="D2776" s="116">
        <v>77.08</v>
      </c>
      <c r="E2776" s="117">
        <v>45458</v>
      </c>
      <c r="F2776" s="116">
        <f>COUNTIFS($A$3:A11032,A2776,$B$3:B11032,B2776)</f>
        <v>1</v>
      </c>
      <c r="G2776" s="116"/>
    </row>
    <row r="2777" spans="1:7" x14ac:dyDescent="0.2">
      <c r="A2777" s="116">
        <f>IF(ISNUMBER(Tabela2[[#This Row],[CT-e/NFS]])=TRUE,(IF(B2777&gt;30000,4,IF(B2777&lt;1000,"ND",0))),"-")</f>
        <v>0</v>
      </c>
      <c r="B2777" s="116">
        <v>21570</v>
      </c>
      <c r="C2777" s="117">
        <v>45454</v>
      </c>
      <c r="D2777" s="116">
        <v>75.8</v>
      </c>
      <c r="E2777" s="117">
        <v>45458</v>
      </c>
      <c r="F2777" s="116">
        <f>COUNTIFS($A$3:A11033,A2777,$B$3:B11033,B2777)</f>
        <v>1</v>
      </c>
      <c r="G2777" s="116"/>
    </row>
    <row r="2778" spans="1:7" x14ac:dyDescent="0.2">
      <c r="A2778" s="116">
        <f>IF(ISNUMBER(Tabela2[[#This Row],[CT-e/NFS]])=TRUE,(IF(B2778&gt;30000,4,IF(B2778&lt;1000,"ND",0))),"-")</f>
        <v>0</v>
      </c>
      <c r="B2778" s="116">
        <v>21571</v>
      </c>
      <c r="C2778" s="117">
        <v>45454</v>
      </c>
      <c r="D2778" s="116">
        <v>81.400000000000006</v>
      </c>
      <c r="E2778" s="117">
        <v>45458</v>
      </c>
      <c r="F2778" s="116">
        <f>COUNTIFS($A$3:A11034,A2778,$B$3:B11034,B2778)</f>
        <v>1</v>
      </c>
      <c r="G2778" s="116"/>
    </row>
    <row r="2779" spans="1:7" x14ac:dyDescent="0.2">
      <c r="A2779" s="116">
        <f>IF(ISNUMBER(Tabela2[[#This Row],[CT-e/NFS]])=TRUE,(IF(B2779&gt;30000,4,IF(B2779&lt;1000,"ND",0))),"-")</f>
        <v>0</v>
      </c>
      <c r="B2779" s="116">
        <v>21572</v>
      </c>
      <c r="C2779" s="117">
        <v>45454</v>
      </c>
      <c r="D2779" s="116">
        <v>101.07</v>
      </c>
      <c r="E2779" s="117">
        <v>45458</v>
      </c>
      <c r="F2779" s="116">
        <f>COUNTIFS($A$3:A11035,A2779,$B$3:B11035,B2779)</f>
        <v>1</v>
      </c>
      <c r="G2779" s="116"/>
    </row>
    <row r="2780" spans="1:7" x14ac:dyDescent="0.2">
      <c r="A2780" s="116">
        <f>IF(ISNUMBER(Tabela2[[#This Row],[CT-e/NFS]])=TRUE,(IF(B2780&gt;30000,4,IF(B2780&lt;1000,"ND",0))),"-")</f>
        <v>0</v>
      </c>
      <c r="B2780" s="116">
        <v>21575</v>
      </c>
      <c r="C2780" s="117">
        <v>45454</v>
      </c>
      <c r="D2780" s="116">
        <v>113.28</v>
      </c>
      <c r="E2780" s="117">
        <v>45458</v>
      </c>
      <c r="F2780" s="116">
        <f>COUNTIFS($A$3:A11036,A2780,$B$3:B11036,B2780)</f>
        <v>1</v>
      </c>
      <c r="G2780" s="116"/>
    </row>
    <row r="2781" spans="1:7" x14ac:dyDescent="0.2">
      <c r="A2781" s="116">
        <f>IF(ISNUMBER(Tabela2[[#This Row],[CT-e/NFS]])=TRUE,(IF(B2781&gt;30000,4,IF(B2781&lt;1000,"ND",0))),"-")</f>
        <v>0</v>
      </c>
      <c r="B2781" s="116">
        <v>21576</v>
      </c>
      <c r="C2781" s="117">
        <v>45454</v>
      </c>
      <c r="D2781" s="116">
        <v>237.05</v>
      </c>
      <c r="E2781" s="117">
        <v>45458</v>
      </c>
      <c r="F2781" s="116">
        <f>COUNTIFS($A$3:A11037,A2781,$B$3:B11037,B2781)</f>
        <v>1</v>
      </c>
      <c r="G2781" s="116"/>
    </row>
    <row r="2782" spans="1:7" x14ac:dyDescent="0.2">
      <c r="A2782" s="116">
        <f>IF(ISNUMBER(Tabela2[[#This Row],[CT-e/NFS]])=TRUE,(IF(B2782&gt;30000,4,IF(B2782&lt;1000,"ND",0))),"-")</f>
        <v>0</v>
      </c>
      <c r="B2782" s="116">
        <v>21577</v>
      </c>
      <c r="C2782" s="117">
        <v>45454</v>
      </c>
      <c r="D2782" s="116">
        <v>100.95</v>
      </c>
      <c r="E2782" s="117">
        <v>45458</v>
      </c>
      <c r="F2782" s="116">
        <f>COUNTIFS($A$3:A11038,A2782,$B$3:B11038,B2782)</f>
        <v>1</v>
      </c>
      <c r="G2782" s="116"/>
    </row>
    <row r="2783" spans="1:7" x14ac:dyDescent="0.2">
      <c r="A2783" s="116">
        <f>IF(ISNUMBER(Tabela2[[#This Row],[CT-e/NFS]])=TRUE,(IF(B2783&gt;30000,4,IF(B2783&lt;1000,"ND",0))),"-")</f>
        <v>0</v>
      </c>
      <c r="B2783" s="116">
        <v>21573</v>
      </c>
      <c r="C2783" s="117">
        <v>45454</v>
      </c>
      <c r="D2783" s="116">
        <v>201.9</v>
      </c>
      <c r="E2783" s="117">
        <v>45458</v>
      </c>
      <c r="F2783" s="116">
        <f>COUNTIFS($A$3:A11039,A2783,$B$3:B11039,B2783)</f>
        <v>1</v>
      </c>
      <c r="G2783" s="116"/>
    </row>
    <row r="2784" spans="1:7" x14ac:dyDescent="0.2">
      <c r="A2784" s="116">
        <f>IF(ISNUMBER(Tabela2[[#This Row],[CT-e/NFS]])=TRUE,(IF(B2784&gt;30000,4,IF(B2784&lt;1000,"ND",0))),"-")</f>
        <v>4</v>
      </c>
      <c r="B2784" s="116">
        <v>47424</v>
      </c>
      <c r="C2784" s="117">
        <v>45454</v>
      </c>
      <c r="D2784" s="116">
        <v>10119.719999999999</v>
      </c>
      <c r="E2784" s="117">
        <v>45458</v>
      </c>
      <c r="F2784" s="116">
        <f>COUNTIFS($A$3:A11040,A2784,$B$3:B11040,B2784)</f>
        <v>1</v>
      </c>
      <c r="G2784" s="116"/>
    </row>
    <row r="2785" spans="1:7" x14ac:dyDescent="0.2">
      <c r="A2785" s="116">
        <f>IF(ISNUMBER(Tabela2[[#This Row],[CT-e/NFS]])=TRUE,(IF(B2785&gt;30000,4,IF(B2785&lt;1000,"ND",0))),"-")</f>
        <v>4</v>
      </c>
      <c r="B2785" s="116">
        <v>47461</v>
      </c>
      <c r="C2785" s="117">
        <v>45454</v>
      </c>
      <c r="D2785" s="116">
        <v>125.08</v>
      </c>
      <c r="E2785" s="117">
        <v>45458</v>
      </c>
      <c r="F2785" s="116">
        <f>COUNTIFS($A$3:A11041,A2785,$B$3:B11041,B2785)</f>
        <v>1</v>
      </c>
      <c r="G2785" s="116"/>
    </row>
    <row r="2786" spans="1:7" x14ac:dyDescent="0.2">
      <c r="A2786" s="116">
        <f>IF(ISNUMBER(Tabela2[[#This Row],[CT-e/NFS]])=TRUE,(IF(B2786&gt;30000,4,IF(B2786&lt;1000,"ND",0))),"-")</f>
        <v>4</v>
      </c>
      <c r="B2786" s="116">
        <v>47513</v>
      </c>
      <c r="C2786" s="117">
        <v>45454</v>
      </c>
      <c r="D2786" s="116">
        <v>111.76</v>
      </c>
      <c r="E2786" s="117">
        <v>45458</v>
      </c>
      <c r="F2786" s="116">
        <f>COUNTIFS($A$3:A11042,A2786,$B$3:B11042,B2786)</f>
        <v>1</v>
      </c>
      <c r="G2786" s="116"/>
    </row>
    <row r="2787" spans="1:7" x14ac:dyDescent="0.2">
      <c r="A2787" s="116">
        <f>IF(ISNUMBER(Tabela2[[#This Row],[CT-e/NFS]])=TRUE,(IF(B2787&gt;30000,4,IF(B2787&lt;1000,"ND",0))),"-")</f>
        <v>4</v>
      </c>
      <c r="B2787" s="116">
        <v>47512</v>
      </c>
      <c r="C2787" s="117">
        <v>45454</v>
      </c>
      <c r="D2787" s="116">
        <v>62.01</v>
      </c>
      <c r="E2787" s="117">
        <v>45458</v>
      </c>
      <c r="F2787" s="116">
        <f>COUNTIFS($A$3:A11043,A2787,$B$3:B11043,B2787)</f>
        <v>1</v>
      </c>
      <c r="G2787" s="116"/>
    </row>
    <row r="2788" spans="1:7" x14ac:dyDescent="0.2">
      <c r="A2788" s="116">
        <f>IF(ISNUMBER(Tabela2[[#This Row],[CT-e/NFS]])=TRUE,(IF(B2788&gt;30000,4,IF(B2788&lt;1000,"ND",0))),"-")</f>
        <v>4</v>
      </c>
      <c r="B2788" s="116">
        <v>47505</v>
      </c>
      <c r="C2788" s="117">
        <v>45454</v>
      </c>
      <c r="D2788" s="116">
        <v>231.83</v>
      </c>
      <c r="E2788" s="117">
        <v>45458</v>
      </c>
      <c r="F2788" s="116">
        <f>COUNTIFS($A$3:A11044,A2788,$B$3:B11044,B2788)</f>
        <v>1</v>
      </c>
      <c r="G2788" s="116"/>
    </row>
    <row r="2789" spans="1:7" x14ac:dyDescent="0.2">
      <c r="A2789" s="116">
        <f>IF(ISNUMBER(Tabela2[[#This Row],[CT-e/NFS]])=TRUE,(IF(B2789&gt;30000,4,IF(B2789&lt;1000,"ND",0))),"-")</f>
        <v>0</v>
      </c>
      <c r="B2789" s="116">
        <v>21490</v>
      </c>
      <c r="C2789" s="117">
        <v>45454</v>
      </c>
      <c r="D2789" s="116">
        <v>39.31</v>
      </c>
      <c r="E2789" s="117">
        <v>45458</v>
      </c>
      <c r="F2789" s="116">
        <f>COUNTIFS($A$3:A11045,A2789,$B$3:B11045,B2789)</f>
        <v>1</v>
      </c>
      <c r="G2789" s="116"/>
    </row>
    <row r="2790" spans="1:7" x14ac:dyDescent="0.2">
      <c r="A2790" s="116">
        <f>IF(ISNUMBER(Tabela2[[#This Row],[CT-e/NFS]])=TRUE,(IF(B2790&gt;30000,4,IF(B2790&lt;1000,"ND",0))),"-")</f>
        <v>0</v>
      </c>
      <c r="B2790" s="116">
        <v>21489</v>
      </c>
      <c r="C2790" s="117">
        <v>45454</v>
      </c>
      <c r="D2790" s="116">
        <v>68.34</v>
      </c>
      <c r="E2790" s="117">
        <v>45458</v>
      </c>
      <c r="F2790" s="116">
        <f>COUNTIFS($A$3:A11046,A2790,$B$3:B11046,B2790)</f>
        <v>1</v>
      </c>
      <c r="G2790" s="116"/>
    </row>
    <row r="2791" spans="1:7" x14ac:dyDescent="0.2">
      <c r="A2791" s="116">
        <f>IF(ISNUMBER(Tabela2[[#This Row],[CT-e/NFS]])=TRUE,(IF(B2791&gt;30000,4,IF(B2791&lt;1000,"ND",0))),"-")</f>
        <v>0</v>
      </c>
      <c r="B2791" s="116">
        <v>21537</v>
      </c>
      <c r="C2791" s="117">
        <v>45454</v>
      </c>
      <c r="D2791" s="116">
        <v>844.3</v>
      </c>
      <c r="E2791" s="117">
        <v>45458</v>
      </c>
      <c r="F2791" s="116">
        <f>COUNTIFS($A$3:A11047,A2791,$B$3:B11047,B2791)</f>
        <v>1</v>
      </c>
      <c r="G2791" s="116"/>
    </row>
    <row r="2792" spans="1:7" x14ac:dyDescent="0.2">
      <c r="A2792" s="116">
        <f>IF(ISNUMBER(Tabela2[[#This Row],[CT-e/NFS]])=TRUE,(IF(B2792&gt;30000,4,IF(B2792&lt;1000,"ND",0))),"-")</f>
        <v>0</v>
      </c>
      <c r="B2792" s="116">
        <v>21533</v>
      </c>
      <c r="C2792" s="117">
        <v>45454</v>
      </c>
      <c r="D2792" s="116">
        <v>338.2</v>
      </c>
      <c r="E2792" s="117">
        <v>45458</v>
      </c>
      <c r="F2792" s="116">
        <f>COUNTIFS($A$3:A11048,A2792,$B$3:B11048,B2792)</f>
        <v>1</v>
      </c>
      <c r="G2792" s="116"/>
    </row>
    <row r="2793" spans="1:7" x14ac:dyDescent="0.2">
      <c r="A2793" s="116">
        <f>IF(ISNUMBER(Tabela2[[#This Row],[CT-e/NFS]])=TRUE,(IF(B2793&gt;30000,4,IF(B2793&lt;1000,"ND",0))),"-")</f>
        <v>4</v>
      </c>
      <c r="B2793" s="116">
        <v>47489</v>
      </c>
      <c r="C2793" s="117">
        <v>45454</v>
      </c>
      <c r="D2793" s="116">
        <v>513.84</v>
      </c>
      <c r="E2793" s="117">
        <v>45458</v>
      </c>
      <c r="F2793" s="116">
        <f>COUNTIFS($A$3:A11049,A2793,$B$3:B11049,B2793)</f>
        <v>1</v>
      </c>
      <c r="G2793" s="116"/>
    </row>
    <row r="2794" spans="1:7" x14ac:dyDescent="0.2">
      <c r="A2794" s="116">
        <f>IF(ISNUMBER(Tabela2[[#This Row],[CT-e/NFS]])=TRUE,(IF(B2794&gt;30000,4,IF(B2794&lt;1000,"ND",0))),"-")</f>
        <v>4</v>
      </c>
      <c r="B2794" s="116">
        <v>47449</v>
      </c>
      <c r="C2794" s="117">
        <v>45454</v>
      </c>
      <c r="D2794" s="116">
        <v>126.11</v>
      </c>
      <c r="E2794" s="117">
        <v>45458</v>
      </c>
      <c r="F2794" s="116">
        <f>COUNTIFS($A$3:A11050,A2794,$B$3:B11050,B2794)</f>
        <v>1</v>
      </c>
      <c r="G2794" s="116"/>
    </row>
    <row r="2795" spans="1:7" x14ac:dyDescent="0.2">
      <c r="A2795" s="116" t="str">
        <f>IF(ISNUMBER(Tabela2[[#This Row],[CT-e/NFS]])=TRUE,(IF(B2795&gt;30000,4,IF(B2795&lt;1000,"ND",0))),"-")</f>
        <v>ND</v>
      </c>
      <c r="B2795" s="116">
        <v>211</v>
      </c>
      <c r="C2795" s="117">
        <v>45454</v>
      </c>
      <c r="D2795" s="116">
        <v>1387.88</v>
      </c>
      <c r="E2795" s="117">
        <v>45458</v>
      </c>
      <c r="F2795" s="116">
        <f>COUNTIFS($A$3:A11051,A2795,$B$3:B11051,B2795)</f>
        <v>1</v>
      </c>
      <c r="G2795" s="116"/>
    </row>
    <row r="2796" spans="1:7" x14ac:dyDescent="0.2">
      <c r="A2796" s="116" t="str">
        <f>IF(ISNUMBER(Tabela2[[#This Row],[CT-e/NFS]])=TRUE,(IF(B2796&gt;30000,4,IF(B2796&lt;1000,"ND",0))),"-")</f>
        <v>ND</v>
      </c>
      <c r="B2796" s="116">
        <v>212</v>
      </c>
      <c r="C2796" s="117">
        <v>45454</v>
      </c>
      <c r="D2796" s="116">
        <v>1178.2</v>
      </c>
      <c r="E2796" s="117">
        <v>45458</v>
      </c>
      <c r="F2796" s="116">
        <f>COUNTIFS($A$3:A11052,A2796,$B$3:B11052,B2796)</f>
        <v>1</v>
      </c>
      <c r="G2796" s="116"/>
    </row>
    <row r="2797" spans="1:7" x14ac:dyDescent="0.2">
      <c r="A2797" s="116" t="str">
        <f>IF(ISNUMBER(Tabela2[[#This Row],[CT-e/NFS]])=TRUE,(IF(B2797&gt;30000,4,IF(B2797&lt;1000,"ND",0))),"-")</f>
        <v>ND</v>
      </c>
      <c r="B2797" s="116">
        <v>213</v>
      </c>
      <c r="C2797" s="117">
        <v>45454</v>
      </c>
      <c r="D2797" s="116">
        <v>2084.64</v>
      </c>
      <c r="E2797" s="117">
        <v>45458</v>
      </c>
      <c r="F2797" s="116">
        <f>COUNTIFS($A$3:A11053,A2797,$B$3:B11053,B2797)</f>
        <v>1</v>
      </c>
      <c r="G2797" s="116"/>
    </row>
    <row r="2798" spans="1:7" x14ac:dyDescent="0.2">
      <c r="A2798" s="116" t="str">
        <f>IF(ISNUMBER(Tabela2[[#This Row],[CT-e/NFS]])=TRUE,(IF(B2798&gt;30000,4,IF(B2798&lt;1000,"ND",0))),"-")</f>
        <v>ND</v>
      </c>
      <c r="B2798" s="116">
        <v>214</v>
      </c>
      <c r="C2798" s="117">
        <v>45454</v>
      </c>
      <c r="D2798" s="116">
        <v>883.86</v>
      </c>
      <c r="E2798" s="117">
        <v>45458</v>
      </c>
      <c r="F2798" s="116">
        <f>COUNTIFS($A$3:A11054,A2798,$B$3:B11054,B2798)</f>
        <v>1</v>
      </c>
      <c r="G2798" s="116"/>
    </row>
    <row r="2799" spans="1:7" x14ac:dyDescent="0.2">
      <c r="A2799" s="116" t="str">
        <f>IF(ISNUMBER(Tabela2[[#This Row],[CT-e/NFS]])=TRUE,(IF(B2799&gt;30000,4,IF(B2799&lt;1000,"ND",0))),"-")</f>
        <v>ND</v>
      </c>
      <c r="B2799" s="116">
        <v>215</v>
      </c>
      <c r="C2799" s="117">
        <v>45454</v>
      </c>
      <c r="D2799" s="116">
        <v>1183.96</v>
      </c>
      <c r="E2799" s="117">
        <v>45458</v>
      </c>
      <c r="F2799" s="116">
        <f>COUNTIFS($A$3:A11055,A2799,$B$3:B11055,B2799)</f>
        <v>1</v>
      </c>
      <c r="G2799" s="116"/>
    </row>
    <row r="2800" spans="1:7" x14ac:dyDescent="0.2">
      <c r="A2800" s="116" t="str">
        <f>IF(ISNUMBER(Tabela2[[#This Row],[CT-e/NFS]])=TRUE,(IF(B2800&gt;30000,4,IF(B2800&lt;1000,"ND",0))),"-")</f>
        <v>ND</v>
      </c>
      <c r="B2800" s="116">
        <v>216</v>
      </c>
      <c r="C2800" s="117">
        <v>45454</v>
      </c>
      <c r="D2800" s="116">
        <v>1370.13</v>
      </c>
      <c r="E2800" s="117">
        <v>45458</v>
      </c>
      <c r="F2800" s="116">
        <f>COUNTIFS($A$3:A11056,A2800,$B$3:B11056,B2800)</f>
        <v>1</v>
      </c>
      <c r="G2800" s="116"/>
    </row>
    <row r="2801" spans="1:7" x14ac:dyDescent="0.2">
      <c r="A2801" s="116">
        <f>IF(ISNUMBER(Tabela2[[#This Row],[CT-e/NFS]])=TRUE,(IF(B2801&gt;30000,4,IF(B2801&lt;1000,"ND",0))),"-")</f>
        <v>4</v>
      </c>
      <c r="B2801" s="116">
        <v>47162</v>
      </c>
      <c r="C2801" s="117">
        <v>45444</v>
      </c>
      <c r="D2801" s="116">
        <v>124.06</v>
      </c>
      <c r="E2801" s="117">
        <v>45458</v>
      </c>
      <c r="F2801" s="116">
        <f>COUNTIFS($A$3:A11057,A2801,$B$3:B11057,B2801)</f>
        <v>1</v>
      </c>
      <c r="G2801" s="116"/>
    </row>
    <row r="2802" spans="1:7" x14ac:dyDescent="0.2">
      <c r="A2802" s="116">
        <f>IF(ISNUMBER(Tabela2[[#This Row],[CT-e/NFS]])=TRUE,(IF(B2802&gt;30000,4,IF(B2802&lt;1000,"ND",0))),"-")</f>
        <v>4</v>
      </c>
      <c r="B2802" s="116">
        <v>47158</v>
      </c>
      <c r="C2802" s="117">
        <v>45444</v>
      </c>
      <c r="D2802" s="116">
        <v>122.89</v>
      </c>
      <c r="E2802" s="117">
        <v>45458</v>
      </c>
      <c r="F2802" s="116">
        <f>COUNTIFS($A$3:A11058,A2802,$B$3:B11058,B2802)</f>
        <v>1</v>
      </c>
      <c r="G2802" s="116"/>
    </row>
    <row r="2803" spans="1:7" x14ac:dyDescent="0.2">
      <c r="A2803" s="116">
        <f>IF(ISNUMBER(Tabela2[[#This Row],[CT-e/NFS]])=TRUE,(IF(B2803&gt;30000,4,IF(B2803&lt;1000,"ND",0))),"-")</f>
        <v>4</v>
      </c>
      <c r="B2803" s="116">
        <v>47156</v>
      </c>
      <c r="C2803" s="117">
        <v>45444</v>
      </c>
      <c r="D2803" s="116">
        <v>126.19</v>
      </c>
      <c r="E2803" s="117">
        <v>45458</v>
      </c>
      <c r="F2803" s="116">
        <f>COUNTIFS($A$3:A11059,A2803,$B$3:B11059,B2803)</f>
        <v>1</v>
      </c>
      <c r="G2803" s="116"/>
    </row>
    <row r="2804" spans="1:7" x14ac:dyDescent="0.2">
      <c r="A2804" s="116">
        <f>IF(ISNUMBER(Tabela2[[#This Row],[CT-e/NFS]])=TRUE,(IF(B2804&gt;30000,4,IF(B2804&lt;1000,"ND",0))),"-")</f>
        <v>4</v>
      </c>
      <c r="B2804" s="116">
        <v>47159</v>
      </c>
      <c r="C2804" s="117">
        <v>45444</v>
      </c>
      <c r="D2804" s="116">
        <v>124.51</v>
      </c>
      <c r="E2804" s="117">
        <v>45458</v>
      </c>
      <c r="F2804" s="116">
        <f>COUNTIFS($A$3:A11060,A2804,$B$3:B11060,B2804)</f>
        <v>1</v>
      </c>
      <c r="G2804" s="116"/>
    </row>
    <row r="2805" spans="1:7" x14ac:dyDescent="0.2">
      <c r="A2805" s="116">
        <f>IF(ISNUMBER(Tabela2[[#This Row],[CT-e/NFS]])=TRUE,(IF(B2805&gt;30000,4,IF(B2805&lt;1000,"ND",0))),"-")</f>
        <v>4</v>
      </c>
      <c r="B2805" s="116">
        <v>47160</v>
      </c>
      <c r="C2805" s="117">
        <v>45444</v>
      </c>
      <c r="D2805" s="116">
        <v>238.95</v>
      </c>
      <c r="E2805" s="117">
        <v>45458</v>
      </c>
      <c r="F2805" s="116">
        <f>COUNTIFS($A$3:A11061,A2805,$B$3:B11061,B2805)</f>
        <v>1</v>
      </c>
      <c r="G2805" s="116"/>
    </row>
    <row r="2806" spans="1:7" x14ac:dyDescent="0.2">
      <c r="A2806" s="116">
        <f>IF(ISNUMBER(Tabela2[[#This Row],[CT-e/NFS]])=TRUE,(IF(B2806&gt;30000,4,IF(B2806&lt;1000,"ND",0))),"-")</f>
        <v>4</v>
      </c>
      <c r="B2806" s="116">
        <v>47157</v>
      </c>
      <c r="C2806" s="117">
        <v>45444</v>
      </c>
      <c r="D2806" s="116">
        <v>123.25</v>
      </c>
      <c r="E2806" s="117">
        <v>45458</v>
      </c>
      <c r="F2806" s="116">
        <f>COUNTIFS($A$3:A11062,A2806,$B$3:B11062,B2806)</f>
        <v>1</v>
      </c>
      <c r="G2806" s="116"/>
    </row>
    <row r="2807" spans="1:7" x14ac:dyDescent="0.2">
      <c r="A2807" s="116">
        <f>IF(ISNUMBER(Tabela2[[#This Row],[CT-e/NFS]])=TRUE,(IF(B2807&gt;30000,4,IF(B2807&lt;1000,"ND",0))),"-")</f>
        <v>4</v>
      </c>
      <c r="B2807" s="116">
        <v>47152</v>
      </c>
      <c r="C2807" s="117">
        <v>45444</v>
      </c>
      <c r="D2807" s="116">
        <v>124.19</v>
      </c>
      <c r="E2807" s="117">
        <v>45458</v>
      </c>
      <c r="F2807" s="116">
        <f>COUNTIFS($A$3:A11063,A2807,$B$3:B11063,B2807)</f>
        <v>1</v>
      </c>
      <c r="G2807" s="116"/>
    </row>
    <row r="2808" spans="1:7" x14ac:dyDescent="0.2">
      <c r="A2808" s="116">
        <f>IF(ISNUMBER(Tabela2[[#This Row],[CT-e/NFS]])=TRUE,(IF(B2808&gt;30000,4,IF(B2808&lt;1000,"ND",0))),"-")</f>
        <v>4</v>
      </c>
      <c r="B2808" s="116">
        <v>47150</v>
      </c>
      <c r="C2808" s="117">
        <v>45444</v>
      </c>
      <c r="D2808" s="116">
        <v>125.11</v>
      </c>
      <c r="E2808" s="117">
        <v>45458</v>
      </c>
      <c r="F2808" s="116">
        <f>COUNTIFS($A$3:A11064,A2808,$B$3:B11064,B2808)</f>
        <v>1</v>
      </c>
      <c r="G2808" s="116"/>
    </row>
    <row r="2809" spans="1:7" x14ac:dyDescent="0.2">
      <c r="A2809" s="116">
        <f>IF(ISNUMBER(Tabela2[[#This Row],[CT-e/NFS]])=TRUE,(IF(B2809&gt;30000,4,IF(B2809&lt;1000,"ND",0))),"-")</f>
        <v>4</v>
      </c>
      <c r="B2809" s="116">
        <v>47161</v>
      </c>
      <c r="C2809" s="117">
        <v>45444</v>
      </c>
      <c r="D2809" s="116">
        <v>396.45</v>
      </c>
      <c r="E2809" s="117">
        <v>45458</v>
      </c>
      <c r="F2809" s="116">
        <f>COUNTIFS($A$3:A11065,A2809,$B$3:B11065,B2809)</f>
        <v>1</v>
      </c>
      <c r="G2809" s="116"/>
    </row>
    <row r="2810" spans="1:7" x14ac:dyDescent="0.2">
      <c r="A2810" s="116">
        <f>IF(ISNUMBER(Tabela2[[#This Row],[CT-e/NFS]])=TRUE,(IF(B2810&gt;30000,4,IF(B2810&lt;1000,"ND",0))),"-")</f>
        <v>4</v>
      </c>
      <c r="B2810" s="116">
        <v>47151</v>
      </c>
      <c r="C2810" s="117">
        <v>45444</v>
      </c>
      <c r="D2810" s="116">
        <v>136.80000000000001</v>
      </c>
      <c r="E2810" s="117">
        <v>45458</v>
      </c>
      <c r="F2810" s="116">
        <f>COUNTIFS($A$3:A11066,A2810,$B$3:B11066,B2810)</f>
        <v>1</v>
      </c>
      <c r="G2810" s="116"/>
    </row>
    <row r="2811" spans="1:7" x14ac:dyDescent="0.2">
      <c r="A2811" s="116">
        <f>IF(ISNUMBER(Tabela2[[#This Row],[CT-e/NFS]])=TRUE,(IF(B2811&gt;30000,4,IF(B2811&lt;1000,"ND",0))),"-")</f>
        <v>4</v>
      </c>
      <c r="B2811" s="116">
        <v>47174</v>
      </c>
      <c r="C2811" s="117">
        <v>45444</v>
      </c>
      <c r="D2811" s="116">
        <v>609.98</v>
      </c>
      <c r="E2811" s="117">
        <v>45458</v>
      </c>
      <c r="F2811" s="116">
        <f>COUNTIFS($A$3:A11068,A2811,$B$3:B11068,B2811)</f>
        <v>1</v>
      </c>
      <c r="G2811" s="116"/>
    </row>
    <row r="2812" spans="1:7" x14ac:dyDescent="0.2">
      <c r="A2812" s="116">
        <f>IF(ISNUMBER(Tabela2[[#This Row],[CT-e/NFS]])=TRUE,(IF(B2812&gt;30000,4,IF(B2812&lt;1000,"ND",0))),"-")</f>
        <v>4</v>
      </c>
      <c r="B2812" s="116">
        <v>47176</v>
      </c>
      <c r="C2812" s="117">
        <v>45444</v>
      </c>
      <c r="D2812" s="116">
        <v>520.45000000000005</v>
      </c>
      <c r="E2812" s="117">
        <v>45458</v>
      </c>
      <c r="F2812" s="116">
        <f>COUNTIFS($A$3:A11069,A2812,$B$3:B11069,B2812)</f>
        <v>1</v>
      </c>
      <c r="G2812" s="116"/>
    </row>
    <row r="2813" spans="1:7" x14ac:dyDescent="0.2">
      <c r="A2813" s="116">
        <f>IF(ISNUMBER(Tabela2[[#This Row],[CT-e/NFS]])=TRUE,(IF(B2813&gt;30000,4,IF(B2813&lt;1000,"ND",0))),"-")</f>
        <v>4</v>
      </c>
      <c r="B2813" s="116">
        <v>47175</v>
      </c>
      <c r="C2813" s="117">
        <v>45444</v>
      </c>
      <c r="D2813" s="116">
        <v>1148.8599999999999</v>
      </c>
      <c r="E2813" s="117">
        <v>45458</v>
      </c>
      <c r="F2813" s="116">
        <f>COUNTIFS($A$3:A11070,A2813,$B$3:B11070,B2813)</f>
        <v>1</v>
      </c>
      <c r="G2813" s="116"/>
    </row>
    <row r="2814" spans="1:7" x14ac:dyDescent="0.2">
      <c r="A2814" s="116">
        <f>IF(ISNUMBER(Tabela2[[#This Row],[CT-e/NFS]])=TRUE,(IF(B2814&gt;30000,4,IF(B2814&lt;1000,"ND",0))),"-")</f>
        <v>4</v>
      </c>
      <c r="B2814" s="116">
        <v>47163</v>
      </c>
      <c r="C2814" s="117">
        <v>45444</v>
      </c>
      <c r="D2814" s="116">
        <v>122.81</v>
      </c>
      <c r="E2814" s="117">
        <v>45458</v>
      </c>
      <c r="F2814" s="116">
        <f>COUNTIFS($A$3:A11071,A2814,$B$3:B11071,B2814)</f>
        <v>1</v>
      </c>
      <c r="G2814" s="116"/>
    </row>
    <row r="2815" spans="1:7" x14ac:dyDescent="0.2">
      <c r="A2815" s="116">
        <f>IF(ISNUMBER(Tabela2[[#This Row],[CT-e/NFS]])=TRUE,(IF(B2815&gt;30000,4,IF(B2815&lt;1000,"ND",0))),"-")</f>
        <v>4</v>
      </c>
      <c r="B2815" s="116">
        <v>47184</v>
      </c>
      <c r="C2815" s="117">
        <v>45444</v>
      </c>
      <c r="D2815" s="116">
        <v>124.3</v>
      </c>
      <c r="E2815" s="117">
        <v>45458</v>
      </c>
      <c r="F2815" s="116">
        <f>COUNTIFS($A$3:A11072,A2815,$B$3:B11072,B2815)</f>
        <v>1</v>
      </c>
      <c r="G2815" s="116"/>
    </row>
    <row r="2816" spans="1:7" x14ac:dyDescent="0.2">
      <c r="A2816" s="116">
        <f>IF(ISNUMBER(Tabela2[[#This Row],[CT-e/NFS]])=TRUE,(IF(B2816&gt;30000,4,IF(B2816&lt;1000,"ND",0))),"-")</f>
        <v>4</v>
      </c>
      <c r="B2816" s="116">
        <v>47182</v>
      </c>
      <c r="C2816" s="117">
        <v>45444</v>
      </c>
      <c r="D2816" s="116">
        <v>239.14</v>
      </c>
      <c r="E2816" s="117">
        <v>45458</v>
      </c>
      <c r="F2816" s="116">
        <f>COUNTIFS($A$3:A11073,A2816,$B$3:B11073,B2816)</f>
        <v>1</v>
      </c>
      <c r="G2816" s="116"/>
    </row>
    <row r="2817" spans="1:7" x14ac:dyDescent="0.2">
      <c r="A2817" s="116">
        <f>IF(ISNUMBER(Tabela2[[#This Row],[CT-e/NFS]])=TRUE,(IF(B2817&gt;30000,4,IF(B2817&lt;1000,"ND",0))),"-")</f>
        <v>4</v>
      </c>
      <c r="B2817" s="116">
        <v>47183</v>
      </c>
      <c r="C2817" s="117">
        <v>45444</v>
      </c>
      <c r="D2817" s="116">
        <v>122.92</v>
      </c>
      <c r="E2817" s="117">
        <v>45458</v>
      </c>
      <c r="F2817" s="116">
        <f>COUNTIFS($A$3:A11075,A2817,$B$3:B11075,B2817)</f>
        <v>1</v>
      </c>
      <c r="G2817" s="116"/>
    </row>
    <row r="2818" spans="1:7" x14ac:dyDescent="0.2">
      <c r="A2818" s="116">
        <f>IF(ISNUMBER(Tabela2[[#This Row],[CT-e/NFS]])=TRUE,(IF(B2818&gt;30000,4,IF(B2818&lt;1000,"ND",0))),"-")</f>
        <v>4</v>
      </c>
      <c r="B2818" s="116">
        <v>47193</v>
      </c>
      <c r="C2818" s="117">
        <v>45444</v>
      </c>
      <c r="D2818" s="116">
        <v>86.76</v>
      </c>
      <c r="E2818" s="117">
        <v>45458</v>
      </c>
      <c r="F2818" s="116">
        <f>COUNTIFS($A$3:A11076,A2818,$B$3:B11076,B2818)</f>
        <v>1</v>
      </c>
      <c r="G2818" s="116"/>
    </row>
    <row r="2819" spans="1:7" x14ac:dyDescent="0.2">
      <c r="A2819" s="116">
        <f>IF(ISNUMBER(Tabela2[[#This Row],[CT-e/NFS]])=TRUE,(IF(B2819&gt;30000,4,IF(B2819&lt;1000,"ND",0))),"-")</f>
        <v>4</v>
      </c>
      <c r="B2819" s="116">
        <v>47185</v>
      </c>
      <c r="C2819" s="117">
        <v>45444</v>
      </c>
      <c r="D2819" s="116">
        <v>123.92</v>
      </c>
      <c r="E2819" s="117">
        <v>45458</v>
      </c>
      <c r="F2819" s="116">
        <f>COUNTIFS($A$3:A11079,A2819,$B$3:B11079,B2819)</f>
        <v>1</v>
      </c>
      <c r="G2819" s="116"/>
    </row>
    <row r="2820" spans="1:7" x14ac:dyDescent="0.2">
      <c r="A2820" s="116">
        <f>IF(ISNUMBER(Tabela2[[#This Row],[CT-e/NFS]])=TRUE,(IF(B2820&gt;30000,4,IF(B2820&lt;1000,"ND",0))),"-")</f>
        <v>4</v>
      </c>
      <c r="B2820" s="116">
        <v>47186</v>
      </c>
      <c r="C2820" s="117">
        <v>45444</v>
      </c>
      <c r="D2820" s="116">
        <v>168.09</v>
      </c>
      <c r="E2820" s="117">
        <v>45458</v>
      </c>
      <c r="F2820" s="116">
        <f>COUNTIFS($A$3:A11080,A2820,$B$3:B11080,B2820)</f>
        <v>1</v>
      </c>
      <c r="G2820" s="116"/>
    </row>
    <row r="2821" spans="1:7" x14ac:dyDescent="0.2">
      <c r="A2821" s="116">
        <f>IF(ISNUMBER(Tabela2[[#This Row],[CT-e/NFS]])=TRUE,(IF(B2821&gt;30000,4,IF(B2821&lt;1000,"ND",0))),"-")</f>
        <v>4</v>
      </c>
      <c r="B2821" s="116">
        <v>47194</v>
      </c>
      <c r="C2821" s="117">
        <v>45444</v>
      </c>
      <c r="D2821" s="116">
        <v>146.57</v>
      </c>
      <c r="E2821" s="117">
        <v>45458</v>
      </c>
      <c r="F2821" s="116">
        <f>COUNTIFS($A$3:A11081,A2821,$B$3:B11081,B2821)</f>
        <v>1</v>
      </c>
      <c r="G2821" s="116"/>
    </row>
    <row r="2822" spans="1:7" x14ac:dyDescent="0.2">
      <c r="A2822" s="116">
        <f>IF(ISNUMBER(Tabela2[[#This Row],[CT-e/NFS]])=TRUE,(IF(B2822&gt;30000,4,IF(B2822&lt;1000,"ND",0))),"-")</f>
        <v>4</v>
      </c>
      <c r="B2822" s="116">
        <v>47188</v>
      </c>
      <c r="C2822" s="117">
        <v>45444</v>
      </c>
      <c r="D2822" s="116">
        <v>124.52</v>
      </c>
      <c r="E2822" s="117">
        <v>45458</v>
      </c>
      <c r="F2822" s="116">
        <f>COUNTIFS($A$3:A11082,A2822,$B$3:B11082,B2822)</f>
        <v>1</v>
      </c>
      <c r="G2822" s="116"/>
    </row>
    <row r="2823" spans="1:7" x14ac:dyDescent="0.2">
      <c r="A2823" s="116">
        <f>IF(ISNUMBER(Tabela2[[#This Row],[CT-e/NFS]])=TRUE,(IF(B2823&gt;30000,4,IF(B2823&lt;1000,"ND",0))),"-")</f>
        <v>4</v>
      </c>
      <c r="B2823" s="116">
        <v>47189</v>
      </c>
      <c r="C2823" s="117">
        <v>45444</v>
      </c>
      <c r="D2823" s="116">
        <v>770.76</v>
      </c>
      <c r="E2823" s="117">
        <v>45458</v>
      </c>
      <c r="F2823" s="116">
        <f>COUNTIFS($A$3:A11083,A2823,$B$3:B11083,B2823)</f>
        <v>1</v>
      </c>
      <c r="G2823" s="116"/>
    </row>
    <row r="2824" spans="1:7" x14ac:dyDescent="0.2">
      <c r="A2824" s="116">
        <f>IF(ISNUMBER(Tabela2[[#This Row],[CT-e/NFS]])=TRUE,(IF(B2824&gt;30000,4,IF(B2824&lt;1000,"ND",0))),"-")</f>
        <v>4</v>
      </c>
      <c r="B2824" s="116">
        <v>47187</v>
      </c>
      <c r="C2824" s="117">
        <v>45444</v>
      </c>
      <c r="D2824" s="116">
        <v>124.39</v>
      </c>
      <c r="E2824" s="117">
        <v>45458</v>
      </c>
      <c r="F2824" s="116">
        <f>COUNTIFS($A$3:A11084,A2824,$B$3:B11084,B2824)</f>
        <v>1</v>
      </c>
      <c r="G2824" s="116"/>
    </row>
    <row r="2825" spans="1:7" x14ac:dyDescent="0.2">
      <c r="A2825" s="116">
        <f>IF(ISNUMBER(Tabela2[[#This Row],[CT-e/NFS]])=TRUE,(IF(B2825&gt;30000,4,IF(B2825&lt;1000,"ND",0))),"-")</f>
        <v>4</v>
      </c>
      <c r="B2825" s="116">
        <v>47191</v>
      </c>
      <c r="C2825" s="117">
        <v>45444</v>
      </c>
      <c r="D2825" s="116">
        <v>125.56</v>
      </c>
      <c r="E2825" s="117">
        <v>45458</v>
      </c>
      <c r="F2825" s="116">
        <f>COUNTIFS($A$3:A11085,A2825,$B$3:B11085,B2825)</f>
        <v>1</v>
      </c>
      <c r="G2825" s="116"/>
    </row>
    <row r="2826" spans="1:7" x14ac:dyDescent="0.2">
      <c r="A2826" s="116">
        <f>IF(ISNUMBER(Tabela2[[#This Row],[CT-e/NFS]])=TRUE,(IF(B2826&gt;30000,4,IF(B2826&lt;1000,"ND",0))),"-")</f>
        <v>4</v>
      </c>
      <c r="B2826" s="116">
        <v>47192</v>
      </c>
      <c r="C2826" s="117">
        <v>45444</v>
      </c>
      <c r="D2826" s="116">
        <v>439.24</v>
      </c>
      <c r="E2826" s="117">
        <v>45458</v>
      </c>
      <c r="F2826" s="116">
        <f>COUNTIFS($A$3:A11086,A2826,$B$3:B11086,B2826)</f>
        <v>1</v>
      </c>
      <c r="G2826" s="116"/>
    </row>
    <row r="2827" spans="1:7" x14ac:dyDescent="0.2">
      <c r="A2827" s="116">
        <f>IF(ISNUMBER(Tabela2[[#This Row],[CT-e/NFS]])=TRUE,(IF(B2827&gt;30000,4,IF(B2827&lt;1000,"ND",0))),"-")</f>
        <v>4</v>
      </c>
      <c r="B2827" s="116">
        <v>47190</v>
      </c>
      <c r="C2827" s="117">
        <v>45444</v>
      </c>
      <c r="D2827" s="116">
        <v>124.52</v>
      </c>
      <c r="E2827" s="117">
        <v>45458</v>
      </c>
      <c r="F2827" s="116">
        <f>COUNTIFS($A$3:A11087,A2827,$B$3:B11087,B2827)</f>
        <v>1</v>
      </c>
      <c r="G2827" s="116"/>
    </row>
    <row r="2828" spans="1:7" x14ac:dyDescent="0.2">
      <c r="A2828" s="116">
        <f>IF(ISNUMBER(Tabela2[[#This Row],[CT-e/NFS]])=TRUE,(IF(B2828&gt;30000,4,IF(B2828&lt;1000,"ND",0))),"-")</f>
        <v>0</v>
      </c>
      <c r="B2828" s="116">
        <v>21457</v>
      </c>
      <c r="C2828" s="117">
        <v>45444</v>
      </c>
      <c r="D2828" s="116">
        <v>76.489999999999995</v>
      </c>
      <c r="E2828" s="117">
        <v>45458</v>
      </c>
      <c r="F2828" s="116">
        <f>COUNTIFS($A$3:A11088,A2828,$B$3:B11088,B2828)</f>
        <v>1</v>
      </c>
      <c r="G2828" s="116"/>
    </row>
    <row r="2829" spans="1:7" x14ac:dyDescent="0.2">
      <c r="A2829" s="116">
        <f>IF(ISNUMBER(Tabela2[[#This Row],[CT-e/NFS]])=TRUE,(IF(B2829&gt;30000,4,IF(B2829&lt;1000,"ND",0))),"-")</f>
        <v>0</v>
      </c>
      <c r="B2829" s="116">
        <v>21463</v>
      </c>
      <c r="C2829" s="117">
        <v>45444</v>
      </c>
      <c r="D2829" s="116">
        <v>76.28</v>
      </c>
      <c r="E2829" s="117">
        <v>45458</v>
      </c>
      <c r="F2829" s="116">
        <f>COUNTIFS($A$3:A11089,A2829,$B$3:B11089,B2829)</f>
        <v>1</v>
      </c>
      <c r="G2829" s="116"/>
    </row>
    <row r="2830" spans="1:7" x14ac:dyDescent="0.2">
      <c r="A2830" s="116">
        <f>IF(ISNUMBER(Tabela2[[#This Row],[CT-e/NFS]])=TRUE,(IF(B2830&gt;30000,4,IF(B2830&lt;1000,"ND",0))),"-")</f>
        <v>0</v>
      </c>
      <c r="B2830" s="116">
        <v>21461</v>
      </c>
      <c r="C2830" s="117">
        <v>45444</v>
      </c>
      <c r="D2830" s="116">
        <v>75.81</v>
      </c>
      <c r="E2830" s="117">
        <v>45458</v>
      </c>
      <c r="F2830" s="116">
        <f>COUNTIFS($A$3:A11090,A2830,$B$3:B11090,B2830)</f>
        <v>1</v>
      </c>
      <c r="G2830" s="116"/>
    </row>
    <row r="2831" spans="1:7" x14ac:dyDescent="0.2">
      <c r="A2831" s="116">
        <f>IF(ISNUMBER(Tabela2[[#This Row],[CT-e/NFS]])=TRUE,(IF(B2831&gt;30000,4,IF(B2831&lt;1000,"ND",0))),"-")</f>
        <v>0</v>
      </c>
      <c r="B2831" s="116">
        <v>21460</v>
      </c>
      <c r="C2831" s="117">
        <v>45444</v>
      </c>
      <c r="D2831" s="116">
        <v>76</v>
      </c>
      <c r="E2831" s="117">
        <v>45458</v>
      </c>
      <c r="F2831" s="116">
        <f>COUNTIFS($A$3:A11091,A2831,$B$3:B11091,B2831)</f>
        <v>1</v>
      </c>
      <c r="G2831" s="116"/>
    </row>
    <row r="2832" spans="1:7" x14ac:dyDescent="0.2">
      <c r="A2832" s="116">
        <f>IF(ISNUMBER(Tabela2[[#This Row],[CT-e/NFS]])=TRUE,(IF(B2832&gt;30000,4,IF(B2832&lt;1000,"ND",0))),"-")</f>
        <v>0</v>
      </c>
      <c r="B2832" s="116">
        <v>21459</v>
      </c>
      <c r="C2832" s="117">
        <v>45444</v>
      </c>
      <c r="D2832" s="116">
        <v>77.680000000000007</v>
      </c>
      <c r="E2832" s="117">
        <v>45458</v>
      </c>
      <c r="F2832" s="116">
        <f>COUNTIFS($A$3:A11092,A2832,$B$3:B11092,B2832)</f>
        <v>1</v>
      </c>
      <c r="G2832" s="116"/>
    </row>
    <row r="2833" spans="1:7" x14ac:dyDescent="0.2">
      <c r="A2833" s="116">
        <f>IF(ISNUMBER(Tabela2[[#This Row],[CT-e/NFS]])=TRUE,(IF(B2833&gt;30000,4,IF(B2833&lt;1000,"ND",0))),"-")</f>
        <v>0</v>
      </c>
      <c r="B2833" s="116">
        <v>21462</v>
      </c>
      <c r="C2833" s="117">
        <v>45444</v>
      </c>
      <c r="D2833" s="116">
        <v>75.69</v>
      </c>
      <c r="E2833" s="117">
        <v>45458</v>
      </c>
      <c r="F2833" s="116">
        <f>COUNTIFS($A$3:A11093,A2833,$B$3:B11093,B2833)</f>
        <v>1</v>
      </c>
      <c r="G2833" s="116"/>
    </row>
    <row r="2834" spans="1:7" x14ac:dyDescent="0.2">
      <c r="A2834" s="116">
        <f>IF(ISNUMBER(Tabela2[[#This Row],[CT-e/NFS]])=TRUE,(IF(B2834&gt;30000,4,IF(B2834&lt;1000,"ND",0))),"-")</f>
        <v>0</v>
      </c>
      <c r="B2834" s="116">
        <v>21456</v>
      </c>
      <c r="C2834" s="117">
        <v>45444</v>
      </c>
      <c r="D2834" s="116">
        <v>172.68</v>
      </c>
      <c r="E2834" s="117">
        <v>45458</v>
      </c>
      <c r="F2834" s="116">
        <f>COUNTIFS($A$3:A11094,A2834,$B$3:B11094,B2834)</f>
        <v>1</v>
      </c>
      <c r="G2834" s="116"/>
    </row>
    <row r="2835" spans="1:7" x14ac:dyDescent="0.2">
      <c r="A2835" s="116">
        <f>IF(ISNUMBER(Tabela2[[#This Row],[CT-e/NFS]])=TRUE,(IF(B2835&gt;30000,4,IF(B2835&lt;1000,"ND",0))),"-")</f>
        <v>0</v>
      </c>
      <c r="B2835" s="116">
        <v>21458</v>
      </c>
      <c r="C2835" s="117">
        <v>45444</v>
      </c>
      <c r="D2835" s="116">
        <v>77.180000000000007</v>
      </c>
      <c r="E2835" s="117">
        <v>45458</v>
      </c>
      <c r="F2835" s="116">
        <f>COUNTIFS($A$3:A11095,A2835,$B$3:B11095,B2835)</f>
        <v>1</v>
      </c>
      <c r="G2835" s="116"/>
    </row>
    <row r="2836" spans="1:7" x14ac:dyDescent="0.2">
      <c r="A2836" s="116">
        <f>IF(ISNUMBER(Tabela2[[#This Row],[CT-e/NFS]])=TRUE,(IF(B2836&gt;30000,4,IF(B2836&lt;1000,"ND",0))),"-")</f>
        <v>0</v>
      </c>
      <c r="B2836" s="116">
        <v>21455</v>
      </c>
      <c r="C2836" s="117">
        <v>45444</v>
      </c>
      <c r="D2836" s="116">
        <v>76.95</v>
      </c>
      <c r="E2836" s="117">
        <v>45458</v>
      </c>
      <c r="F2836" s="116">
        <f>COUNTIFS($A$3:A11096,A2836,$B$3:B11096,B2836)</f>
        <v>1</v>
      </c>
      <c r="G2836" s="116"/>
    </row>
    <row r="2837" spans="1:7" x14ac:dyDescent="0.2">
      <c r="A2837" s="116">
        <f>IF(ISNUMBER(Tabela2[[#This Row],[CT-e/NFS]])=TRUE,(IF(B2837&gt;30000,4,IF(B2837&lt;1000,"ND",0))),"-")</f>
        <v>0</v>
      </c>
      <c r="B2837" s="116">
        <v>21454</v>
      </c>
      <c r="C2837" s="117">
        <v>45444</v>
      </c>
      <c r="D2837" s="116">
        <v>75.599999999999994</v>
      </c>
      <c r="E2837" s="117">
        <v>45458</v>
      </c>
      <c r="F2837" s="116">
        <f>COUNTIFS($A$3:A11097,A2837,$B$3:B11097,B2837)</f>
        <v>1</v>
      </c>
      <c r="G2837" s="116"/>
    </row>
    <row r="2838" spans="1:7" x14ac:dyDescent="0.2">
      <c r="A2838" s="116">
        <f>IF(ISNUMBER(Tabela2[[#This Row],[CT-e/NFS]])=TRUE,(IF(B2838&gt;30000,4,IF(B2838&lt;1000,"ND",0))),"-")</f>
        <v>0</v>
      </c>
      <c r="B2838" s="116">
        <v>21464</v>
      </c>
      <c r="C2838" s="117">
        <v>45444</v>
      </c>
      <c r="D2838" s="116">
        <v>76.36</v>
      </c>
      <c r="E2838" s="117">
        <v>45458</v>
      </c>
      <c r="F2838" s="116">
        <f>COUNTIFS($A$3:A11098,A2838,$B$3:B11098,B2838)</f>
        <v>1</v>
      </c>
      <c r="G2838" s="116"/>
    </row>
    <row r="2839" spans="1:7" x14ac:dyDescent="0.2">
      <c r="A2839" s="116">
        <f>IF(ISNUMBER(Tabela2[[#This Row],[CT-e/NFS]])=TRUE,(IF(B2839&gt;30000,4,IF(B2839&lt;1000,"ND",0))),"-")</f>
        <v>0</v>
      </c>
      <c r="B2839" s="116">
        <v>21481</v>
      </c>
      <c r="C2839" s="117">
        <v>45444</v>
      </c>
      <c r="D2839" s="116">
        <v>102.45</v>
      </c>
      <c r="E2839" s="117">
        <v>45458</v>
      </c>
      <c r="F2839" s="116">
        <f>COUNTIFS($A$3:A11099,A2839,$B$3:B11099,B2839)</f>
        <v>1</v>
      </c>
      <c r="G2839" s="116"/>
    </row>
    <row r="2840" spans="1:7" x14ac:dyDescent="0.2">
      <c r="A2840" s="116">
        <f>IF(ISNUMBER(Tabela2[[#This Row],[CT-e/NFS]])=TRUE,(IF(B2840&gt;30000,4,IF(B2840&lt;1000,"ND",0))),"-")</f>
        <v>0</v>
      </c>
      <c r="B2840" s="116">
        <v>21480</v>
      </c>
      <c r="C2840" s="117">
        <v>45444</v>
      </c>
      <c r="D2840" s="116">
        <v>77.2</v>
      </c>
      <c r="E2840" s="117">
        <v>45458</v>
      </c>
      <c r="F2840" s="116">
        <f>COUNTIFS($A$3:A11100,A2840,$B$3:B11100,B2840)</f>
        <v>1</v>
      </c>
      <c r="G2840" s="116"/>
    </row>
    <row r="2841" spans="1:7" x14ac:dyDescent="0.2">
      <c r="A2841" s="116">
        <f>IF(ISNUMBER(Tabela2[[#This Row],[CT-e/NFS]])=TRUE,(IF(B2841&gt;30000,4,IF(B2841&lt;1000,"ND",0))),"-")</f>
        <v>0</v>
      </c>
      <c r="B2841" s="116">
        <v>21479</v>
      </c>
      <c r="C2841" s="117">
        <v>45444</v>
      </c>
      <c r="D2841" s="116">
        <v>75.8</v>
      </c>
      <c r="E2841" s="117">
        <v>45458</v>
      </c>
      <c r="F2841" s="116">
        <f>COUNTIFS($A$3:A11101,A2841,$B$3:B11101,B2841)</f>
        <v>1</v>
      </c>
      <c r="G2841" s="116"/>
    </row>
    <row r="2842" spans="1:7" x14ac:dyDescent="0.2">
      <c r="A2842" s="116">
        <f>IF(ISNUMBER(Tabela2[[#This Row],[CT-e/NFS]])=TRUE,(IF(B2842&gt;30000,4,IF(B2842&lt;1000,"ND",0))),"-")</f>
        <v>0</v>
      </c>
      <c r="B2842" s="116">
        <v>21478</v>
      </c>
      <c r="C2842" s="117">
        <v>45444</v>
      </c>
      <c r="D2842" s="116">
        <v>76.349999999999994</v>
      </c>
      <c r="E2842" s="117">
        <v>45458</v>
      </c>
      <c r="F2842" s="116">
        <f>COUNTIFS($A$3:A11102,A2842,$B$3:B11102,B2842)</f>
        <v>1</v>
      </c>
      <c r="G2842" s="116"/>
    </row>
    <row r="2843" spans="1:7" x14ac:dyDescent="0.2">
      <c r="A2843" s="116">
        <f>IF(ISNUMBER(Tabela2[[#This Row],[CT-e/NFS]])=TRUE,(IF(B2843&gt;30000,4,IF(B2843&lt;1000,"ND",0))),"-")</f>
        <v>0</v>
      </c>
      <c r="B2843" s="116">
        <v>21477</v>
      </c>
      <c r="C2843" s="117">
        <v>45444</v>
      </c>
      <c r="D2843" s="116">
        <v>77.09</v>
      </c>
      <c r="E2843" s="117">
        <v>45458</v>
      </c>
      <c r="F2843" s="116">
        <f>COUNTIFS($A$3:A11103,A2843,$B$3:B11103,B2843)</f>
        <v>1</v>
      </c>
      <c r="G2843" s="116"/>
    </row>
    <row r="2844" spans="1:7" x14ac:dyDescent="0.2">
      <c r="A2844" s="116">
        <f>IF(ISNUMBER(Tabela2[[#This Row],[CT-e/NFS]])=TRUE,(IF(B2844&gt;30000,4,IF(B2844&lt;1000,"ND",0))),"-")</f>
        <v>0</v>
      </c>
      <c r="B2844" s="116">
        <v>21474</v>
      </c>
      <c r="C2844" s="117">
        <v>45444</v>
      </c>
      <c r="D2844" s="116">
        <v>126.77</v>
      </c>
      <c r="E2844" s="117">
        <v>45458</v>
      </c>
      <c r="F2844" s="116">
        <f>COUNTIFS($A$3:A11104,A2844,$B$3:B11104,B2844)</f>
        <v>1</v>
      </c>
      <c r="G2844" s="116"/>
    </row>
    <row r="2845" spans="1:7" x14ac:dyDescent="0.2">
      <c r="A2845" s="116">
        <f>IF(ISNUMBER(Tabela2[[#This Row],[CT-e/NFS]])=TRUE,(IF(B2845&gt;30000,4,IF(B2845&lt;1000,"ND",0))),"-")</f>
        <v>0</v>
      </c>
      <c r="B2845" s="116">
        <v>21476</v>
      </c>
      <c r="C2845" s="117">
        <v>45444</v>
      </c>
      <c r="D2845" s="116">
        <v>104.88</v>
      </c>
      <c r="E2845" s="117">
        <v>45458</v>
      </c>
      <c r="F2845" s="116">
        <f>COUNTIFS($A$3:A11105,A2845,$B$3:B11105,B2845)</f>
        <v>1</v>
      </c>
      <c r="G2845" s="116"/>
    </row>
    <row r="2846" spans="1:7" x14ac:dyDescent="0.2">
      <c r="A2846" s="116">
        <f>IF(ISNUMBER(Tabela2[[#This Row],[CT-e/NFS]])=TRUE,(IF(B2846&gt;30000,4,IF(B2846&lt;1000,"ND",0))),"-")</f>
        <v>0</v>
      </c>
      <c r="B2846" s="116">
        <v>21473</v>
      </c>
      <c r="C2846" s="117">
        <v>45444</v>
      </c>
      <c r="D2846" s="116">
        <v>76.27</v>
      </c>
      <c r="E2846" s="117">
        <v>45458</v>
      </c>
      <c r="F2846" s="116">
        <f>COUNTIFS($A$3:A11106,A2846,$B$3:B11106,B2846)</f>
        <v>1</v>
      </c>
      <c r="G2846" s="116"/>
    </row>
    <row r="2847" spans="1:7" x14ac:dyDescent="0.2">
      <c r="A2847" s="116">
        <f>IF(ISNUMBER(Tabela2[[#This Row],[CT-e/NFS]])=TRUE,(IF(B2847&gt;30000,4,IF(B2847&lt;1000,"ND",0))),"-")</f>
        <v>0</v>
      </c>
      <c r="B2847" s="116">
        <v>21470</v>
      </c>
      <c r="C2847" s="117">
        <v>45444</v>
      </c>
      <c r="D2847" s="116">
        <v>75.69</v>
      </c>
      <c r="E2847" s="117">
        <v>45458</v>
      </c>
      <c r="F2847" s="116">
        <f>COUNTIFS($A$3:A11110,A2847,$B$3:B11110,B2847)</f>
        <v>1</v>
      </c>
      <c r="G2847" s="116"/>
    </row>
    <row r="2848" spans="1:7" x14ac:dyDescent="0.2">
      <c r="A2848" s="116">
        <f>IF(ISNUMBER(Tabela2[[#This Row],[CT-e/NFS]])=TRUE,(IF(B2848&gt;30000,4,IF(B2848&lt;1000,"ND",0))),"-")</f>
        <v>0</v>
      </c>
      <c r="B2848" s="116">
        <v>21469</v>
      </c>
      <c r="C2848" s="117">
        <v>45444</v>
      </c>
      <c r="D2848" s="116">
        <v>76.41</v>
      </c>
      <c r="E2848" s="117">
        <v>45458</v>
      </c>
      <c r="F2848" s="116">
        <f>COUNTIFS($A$3:A11111,A2848,$B$3:B11111,B2848)</f>
        <v>1</v>
      </c>
      <c r="G2848" s="116"/>
    </row>
    <row r="2849" spans="1:7" x14ac:dyDescent="0.2">
      <c r="A2849" s="116">
        <f>IF(ISNUMBER(Tabela2[[#This Row],[CT-e/NFS]])=TRUE,(IF(B2849&gt;30000,4,IF(B2849&lt;1000,"ND",0))),"-")</f>
        <v>0</v>
      </c>
      <c r="B2849" s="116">
        <v>21468</v>
      </c>
      <c r="C2849" s="117">
        <v>45444</v>
      </c>
      <c r="D2849" s="116">
        <v>76</v>
      </c>
      <c r="E2849" s="117">
        <v>45458</v>
      </c>
      <c r="F2849" s="116">
        <f>COUNTIFS($A$3:A11112,A2849,$B$3:B11112,B2849)</f>
        <v>1</v>
      </c>
      <c r="G2849" s="116"/>
    </row>
    <row r="2850" spans="1:7" x14ac:dyDescent="0.2">
      <c r="A2850" s="116">
        <f>IF(ISNUMBER(Tabela2[[#This Row],[CT-e/NFS]])=TRUE,(IF(B2850&gt;30000,4,IF(B2850&lt;1000,"ND",0))),"-")</f>
        <v>0</v>
      </c>
      <c r="B2850" s="116">
        <v>21467</v>
      </c>
      <c r="C2850" s="117">
        <v>45444</v>
      </c>
      <c r="D2850" s="116">
        <v>77.69</v>
      </c>
      <c r="E2850" s="117">
        <v>45458</v>
      </c>
      <c r="F2850" s="116">
        <f>COUNTIFS($A$3:A11113,A2850,$B$3:B11113,B2850)</f>
        <v>1</v>
      </c>
      <c r="G2850" s="116"/>
    </row>
    <row r="2851" spans="1:7" x14ac:dyDescent="0.2">
      <c r="A2851" s="116">
        <f>IF(ISNUMBER(Tabela2[[#This Row],[CT-e/NFS]])=TRUE,(IF(B2851&gt;30000,4,IF(B2851&lt;1000,"ND",0))),"-")</f>
        <v>0</v>
      </c>
      <c r="B2851" s="116">
        <v>21466</v>
      </c>
      <c r="C2851" s="117">
        <v>45444</v>
      </c>
      <c r="D2851" s="116">
        <v>79.25</v>
      </c>
      <c r="E2851" s="117">
        <v>45458</v>
      </c>
      <c r="F2851" s="116">
        <f>COUNTIFS($A$3:A11114,A2851,$B$3:B11114,B2851)</f>
        <v>1</v>
      </c>
      <c r="G2851" s="116"/>
    </row>
    <row r="2852" spans="1:7" x14ac:dyDescent="0.2">
      <c r="A2852" s="116">
        <f>IF(ISNUMBER(Tabela2[[#This Row],[CT-e/NFS]])=TRUE,(IF(B2852&gt;30000,4,IF(B2852&lt;1000,"ND",0))),"-")</f>
        <v>0</v>
      </c>
      <c r="B2852" s="116">
        <v>21465</v>
      </c>
      <c r="C2852" s="117">
        <v>45444</v>
      </c>
      <c r="D2852" s="116">
        <v>280.54000000000002</v>
      </c>
      <c r="E2852" s="117">
        <v>45458</v>
      </c>
      <c r="F2852" s="116">
        <f>COUNTIFS($A$3:A11115,A2852,$B$3:B11115,B2852)</f>
        <v>1</v>
      </c>
      <c r="G2852" s="116"/>
    </row>
    <row r="2853" spans="1:7" x14ac:dyDescent="0.2">
      <c r="A2853" s="116">
        <f>IF(ISNUMBER(Tabela2[[#This Row],[CT-e/NFS]])=TRUE,(IF(B2853&gt;30000,4,IF(B2853&lt;1000,"ND",0))),"-")</f>
        <v>4</v>
      </c>
      <c r="B2853" s="116">
        <v>47201</v>
      </c>
      <c r="C2853" s="117">
        <v>45444</v>
      </c>
      <c r="D2853" s="116">
        <v>199.97</v>
      </c>
      <c r="E2853" s="117">
        <v>45458</v>
      </c>
      <c r="F2853" s="116">
        <f>COUNTIFS($A$3:A11116,A2853,$B$3:B11116,B2853)</f>
        <v>1</v>
      </c>
      <c r="G2853" s="116"/>
    </row>
    <row r="2854" spans="1:7" x14ac:dyDescent="0.2">
      <c r="A2854" s="116">
        <f>IF(ISNUMBER(Tabela2[[#This Row],[CT-e/NFS]])=TRUE,(IF(B2854&gt;30000,4,IF(B2854&lt;1000,"ND",0))),"-")</f>
        <v>4</v>
      </c>
      <c r="B2854" s="116">
        <v>47200</v>
      </c>
      <c r="C2854" s="117">
        <v>45444</v>
      </c>
      <c r="D2854" s="116">
        <v>205.53</v>
      </c>
      <c r="E2854" s="117">
        <v>45458</v>
      </c>
      <c r="F2854" s="116">
        <f>COUNTIFS($A$3:A11117,A2854,$B$3:B11117,B2854)</f>
        <v>1</v>
      </c>
      <c r="G2854" s="116"/>
    </row>
    <row r="2855" spans="1:7" x14ac:dyDescent="0.2">
      <c r="A2855" s="116">
        <f>IF(ISNUMBER(Tabela2[[#This Row],[CT-e/NFS]])=TRUE,(IF(B2855&gt;30000,4,IF(B2855&lt;1000,"ND",0))),"-")</f>
        <v>4</v>
      </c>
      <c r="B2855" s="116">
        <v>47181</v>
      </c>
      <c r="C2855" s="117">
        <v>45444</v>
      </c>
      <c r="D2855" s="116">
        <v>1245.6099999999999</v>
      </c>
      <c r="E2855" s="117">
        <v>45458</v>
      </c>
      <c r="F2855" s="116">
        <f>COUNTIFS($A$3:A11118,A2855,$B$3:B11118,B2855)</f>
        <v>1</v>
      </c>
      <c r="G2855" s="116"/>
    </row>
    <row r="2856" spans="1:7" x14ac:dyDescent="0.2">
      <c r="A2856" s="116">
        <f>IF(ISNUMBER(Tabela2[[#This Row],[CT-e/NFS]])=TRUE,(IF(B2856&gt;30000,4,IF(B2856&lt;1000,"ND",0))),"-")</f>
        <v>0</v>
      </c>
      <c r="B2856" s="116">
        <v>21482</v>
      </c>
      <c r="C2856" s="117">
        <v>45444</v>
      </c>
      <c r="D2856" s="116">
        <v>348.37</v>
      </c>
      <c r="E2856" s="117">
        <v>45458</v>
      </c>
      <c r="F2856" s="116">
        <f>COUNTIFS($A$3:A11120,A2856,$B$3:B11120,B2856)</f>
        <v>1</v>
      </c>
      <c r="G2856" s="116"/>
    </row>
    <row r="2857" spans="1:7" x14ac:dyDescent="0.2">
      <c r="A2857" s="116">
        <f>IF(ISNUMBER(Tabela2[[#This Row],[CT-e/NFS]])=TRUE,(IF(B2857&gt;30000,4,IF(B2857&lt;1000,"ND",0))),"-")</f>
        <v>4</v>
      </c>
      <c r="B2857" s="116">
        <v>47199</v>
      </c>
      <c r="C2857" s="117">
        <v>45444</v>
      </c>
      <c r="D2857" s="116">
        <v>732.23</v>
      </c>
      <c r="E2857" s="117">
        <v>45458</v>
      </c>
      <c r="F2857" s="116">
        <f>COUNTIFS($A$3:A11121,A2857,$B$3:B11121,B2857)</f>
        <v>1</v>
      </c>
      <c r="G2857" s="116"/>
    </row>
    <row r="2858" spans="1:7" x14ac:dyDescent="0.2">
      <c r="A2858" s="116">
        <f>IF(ISNUMBER(Tabela2[[#This Row],[CT-e/NFS]])=TRUE,(IF(B2858&gt;30000,4,IF(B2858&lt;1000,"ND",0))),"-")</f>
        <v>4</v>
      </c>
      <c r="B2858" s="116">
        <v>47206</v>
      </c>
      <c r="C2858" s="117">
        <v>45444</v>
      </c>
      <c r="D2858" s="116">
        <v>124.26</v>
      </c>
      <c r="E2858" s="117">
        <v>45458</v>
      </c>
      <c r="F2858" s="116">
        <f>COUNTIFS($A$3:A11122,A2858,$B$3:B11122,B2858)</f>
        <v>1</v>
      </c>
      <c r="G2858" s="116"/>
    </row>
    <row r="2859" spans="1:7" x14ac:dyDescent="0.2">
      <c r="A2859" s="116">
        <f>IF(ISNUMBER(Tabela2[[#This Row],[CT-e/NFS]])=TRUE,(IF(B2859&gt;30000,4,IF(B2859&lt;1000,"ND",0))),"-")</f>
        <v>4</v>
      </c>
      <c r="B2859" s="116">
        <v>47211</v>
      </c>
      <c r="C2859" s="117">
        <v>45444</v>
      </c>
      <c r="D2859" s="116">
        <v>239.93</v>
      </c>
      <c r="E2859" s="117">
        <v>45458</v>
      </c>
      <c r="F2859" s="116">
        <f>COUNTIFS($A$3:A11123,A2859,$B$3:B11123,B2859)</f>
        <v>1</v>
      </c>
      <c r="G2859" s="116"/>
    </row>
    <row r="2860" spans="1:7" x14ac:dyDescent="0.2">
      <c r="A2860" s="116">
        <f>IF(ISNUMBER(Tabela2[[#This Row],[CT-e/NFS]])=TRUE,(IF(B2860&gt;30000,4,IF(B2860&lt;1000,"ND",0))),"-")</f>
        <v>4</v>
      </c>
      <c r="B2860" s="116">
        <v>47208</v>
      </c>
      <c r="C2860" s="117">
        <v>45444</v>
      </c>
      <c r="D2860" s="116">
        <v>124.31</v>
      </c>
      <c r="E2860" s="117">
        <v>45458</v>
      </c>
      <c r="F2860" s="116">
        <f>COUNTIFS($A$3:A11124,A2860,$B$3:B11124,B2860)</f>
        <v>1</v>
      </c>
      <c r="G2860" s="116"/>
    </row>
    <row r="2861" spans="1:7" x14ac:dyDescent="0.2">
      <c r="A2861" s="116">
        <f>IF(ISNUMBER(Tabela2[[#This Row],[CT-e/NFS]])=TRUE,(IF(B2861&gt;30000,4,IF(B2861&lt;1000,"ND",0))),"-")</f>
        <v>4</v>
      </c>
      <c r="B2861" s="116">
        <v>47209</v>
      </c>
      <c r="C2861" s="117">
        <v>45444</v>
      </c>
      <c r="D2861" s="116">
        <v>238.99</v>
      </c>
      <c r="E2861" s="117">
        <v>45458</v>
      </c>
      <c r="F2861" s="116">
        <f>COUNTIFS($A$3:A11125,A2861,$B$3:B11125,B2861)</f>
        <v>1</v>
      </c>
      <c r="G2861" s="116"/>
    </row>
    <row r="2862" spans="1:7" x14ac:dyDescent="0.2">
      <c r="A2862" s="116">
        <f>IF(ISNUMBER(Tabela2[[#This Row],[CT-e/NFS]])=TRUE,(IF(B2862&gt;30000,4,IF(B2862&lt;1000,"ND",0))),"-")</f>
        <v>4</v>
      </c>
      <c r="B2862" s="116">
        <v>47217</v>
      </c>
      <c r="C2862" s="117">
        <v>45444</v>
      </c>
      <c r="D2862" s="116">
        <v>123.13</v>
      </c>
      <c r="E2862" s="117">
        <v>45458</v>
      </c>
      <c r="F2862" s="116">
        <f>COUNTIFS($A$3:A11126,A2862,$B$3:B11126,B2862)</f>
        <v>1</v>
      </c>
      <c r="G2862" s="116"/>
    </row>
    <row r="2863" spans="1:7" x14ac:dyDescent="0.2">
      <c r="A2863" s="116">
        <f>IF(ISNUMBER(Tabela2[[#This Row],[CT-e/NFS]])=TRUE,(IF(B2863&gt;30000,4,IF(B2863&lt;1000,"ND",0))),"-")</f>
        <v>4</v>
      </c>
      <c r="B2863" s="116">
        <v>47205</v>
      </c>
      <c r="C2863" s="117">
        <v>45444</v>
      </c>
      <c r="D2863" s="116">
        <v>582.26</v>
      </c>
      <c r="E2863" s="117">
        <v>45458</v>
      </c>
      <c r="F2863" s="116">
        <f>COUNTIFS($A$3:A11127,A2863,$B$3:B11127,B2863)</f>
        <v>1</v>
      </c>
      <c r="G2863" s="116"/>
    </row>
    <row r="2864" spans="1:7" x14ac:dyDescent="0.2">
      <c r="A2864" s="116">
        <f>IF(ISNUMBER(Tabela2[[#This Row],[CT-e/NFS]])=TRUE,(IF(B2864&gt;30000,4,IF(B2864&lt;1000,"ND",0))),"-")</f>
        <v>4</v>
      </c>
      <c r="B2864" s="116">
        <v>47221</v>
      </c>
      <c r="C2864" s="117">
        <v>45444</v>
      </c>
      <c r="D2864" s="116">
        <v>124.15</v>
      </c>
      <c r="E2864" s="117">
        <v>45458</v>
      </c>
      <c r="F2864" s="116">
        <f>COUNTIFS($A$3:A11128,A2864,$B$3:B11128,B2864)</f>
        <v>1</v>
      </c>
      <c r="G2864" s="116"/>
    </row>
    <row r="2865" spans="1:7" x14ac:dyDescent="0.2">
      <c r="A2865" s="116">
        <f>IF(ISNUMBER(Tabela2[[#This Row],[CT-e/NFS]])=TRUE,(IF(B2865&gt;30000,4,IF(B2865&lt;1000,"ND",0))),"-")</f>
        <v>4</v>
      </c>
      <c r="B2865" s="116">
        <v>47216</v>
      </c>
      <c r="C2865" s="117">
        <v>45444</v>
      </c>
      <c r="D2865" s="116">
        <v>123.51</v>
      </c>
      <c r="E2865" s="117">
        <v>45458</v>
      </c>
      <c r="F2865" s="116">
        <f>COUNTIFS($A$3:A11129,A2865,$B$3:B11129,B2865)</f>
        <v>1</v>
      </c>
      <c r="G2865" s="116"/>
    </row>
    <row r="2866" spans="1:7" x14ac:dyDescent="0.2">
      <c r="A2866" s="116">
        <f>IF(ISNUMBER(Tabela2[[#This Row],[CT-e/NFS]])=TRUE,(IF(B2866&gt;30000,4,IF(B2866&lt;1000,"ND",0))),"-")</f>
        <v>4</v>
      </c>
      <c r="B2866" s="116">
        <v>47220</v>
      </c>
      <c r="C2866" s="117">
        <v>45444</v>
      </c>
      <c r="D2866" s="116">
        <v>122.76</v>
      </c>
      <c r="E2866" s="117">
        <v>45458</v>
      </c>
      <c r="F2866" s="116">
        <f>COUNTIFS($A$3:A11130,A2866,$B$3:B11130,B2866)</f>
        <v>1</v>
      </c>
      <c r="G2866" s="116"/>
    </row>
    <row r="2867" spans="1:7" x14ac:dyDescent="0.2">
      <c r="A2867" s="116">
        <f>IF(ISNUMBER(Tabela2[[#This Row],[CT-e/NFS]])=TRUE,(IF(B2867&gt;30000,4,IF(B2867&lt;1000,"ND",0))),"-")</f>
        <v>4</v>
      </c>
      <c r="B2867" s="116">
        <v>47212</v>
      </c>
      <c r="C2867" s="117">
        <v>45444</v>
      </c>
      <c r="D2867" s="116">
        <v>1130.32</v>
      </c>
      <c r="E2867" s="117">
        <v>45458</v>
      </c>
      <c r="F2867" s="116">
        <f>COUNTIFS($A$3:A11131,A2867,$B$3:B11131,B2867)</f>
        <v>1</v>
      </c>
      <c r="G2867" s="116"/>
    </row>
    <row r="2868" spans="1:7" x14ac:dyDescent="0.2">
      <c r="A2868" s="116">
        <f>IF(ISNUMBER(Tabela2[[#This Row],[CT-e/NFS]])=TRUE,(IF(B2868&gt;30000,4,IF(B2868&lt;1000,"ND",0))),"-")</f>
        <v>4</v>
      </c>
      <c r="B2868" s="116">
        <v>47213</v>
      </c>
      <c r="C2868" s="117">
        <v>45444</v>
      </c>
      <c r="D2868" s="116">
        <v>87.78</v>
      </c>
      <c r="E2868" s="117">
        <v>45458</v>
      </c>
      <c r="F2868" s="116">
        <f>COUNTIFS($A$3:A11132,A2868,$B$3:B11132,B2868)</f>
        <v>1</v>
      </c>
      <c r="G2868" s="116"/>
    </row>
    <row r="2869" spans="1:7" x14ac:dyDescent="0.2">
      <c r="A2869" s="116">
        <f>IF(ISNUMBER(Tabela2[[#This Row],[CT-e/NFS]])=TRUE,(IF(B2869&gt;30000,4,IF(B2869&lt;1000,"ND",0))),"-")</f>
        <v>4</v>
      </c>
      <c r="B2869" s="116">
        <v>47231</v>
      </c>
      <c r="C2869" s="117">
        <v>45444</v>
      </c>
      <c r="D2869" s="116">
        <v>122.73</v>
      </c>
      <c r="E2869" s="117">
        <v>45458</v>
      </c>
      <c r="F2869" s="116">
        <f>COUNTIFS($A$3:A11133,A2869,$B$3:B11133,B2869)</f>
        <v>1</v>
      </c>
      <c r="G2869" s="116"/>
    </row>
    <row r="2870" spans="1:7" x14ac:dyDescent="0.2">
      <c r="A2870" s="116">
        <f>IF(ISNUMBER(Tabela2[[#This Row],[CT-e/NFS]])=TRUE,(IF(B2870&gt;30000,4,IF(B2870&lt;1000,"ND",0))),"-")</f>
        <v>4</v>
      </c>
      <c r="B2870" s="116">
        <v>47232</v>
      </c>
      <c r="C2870" s="117">
        <v>45444</v>
      </c>
      <c r="D2870" s="116">
        <v>122.73</v>
      </c>
      <c r="E2870" s="117">
        <v>45458</v>
      </c>
      <c r="F2870" s="116">
        <f>COUNTIFS($A$3:A11134,A2870,$B$3:B11134,B2870)</f>
        <v>1</v>
      </c>
      <c r="G2870" s="116"/>
    </row>
    <row r="2871" spans="1:7" x14ac:dyDescent="0.2">
      <c r="A2871" s="116">
        <f>IF(ISNUMBER(Tabela2[[#This Row],[CT-e/NFS]])=TRUE,(IF(B2871&gt;30000,4,IF(B2871&lt;1000,"ND",0))),"-")</f>
        <v>4</v>
      </c>
      <c r="B2871" s="116">
        <v>47222</v>
      </c>
      <c r="C2871" s="117">
        <v>45444</v>
      </c>
      <c r="D2871" s="116">
        <v>532.98</v>
      </c>
      <c r="E2871" s="117">
        <v>45458</v>
      </c>
      <c r="F2871" s="116">
        <f>COUNTIFS($A$3:A11135,A2871,$B$3:B11135,B2871)</f>
        <v>1</v>
      </c>
      <c r="G2871" s="116"/>
    </row>
    <row r="2872" spans="1:7" x14ac:dyDescent="0.2">
      <c r="A2872" s="116">
        <f>IF(ISNUMBER(Tabela2[[#This Row],[CT-e/NFS]])=TRUE,(IF(B2872&gt;30000,4,IF(B2872&lt;1000,"ND",0))),"-")</f>
        <v>4</v>
      </c>
      <c r="B2872" s="116">
        <v>47223</v>
      </c>
      <c r="C2872" s="117">
        <v>45444</v>
      </c>
      <c r="D2872" s="116">
        <v>125.39</v>
      </c>
      <c r="E2872" s="117">
        <v>45458</v>
      </c>
      <c r="F2872" s="116">
        <f>COUNTIFS($A$3:A11136,A2872,$B$3:B11136,B2872)</f>
        <v>1</v>
      </c>
      <c r="G2872" s="116"/>
    </row>
    <row r="2873" spans="1:7" x14ac:dyDescent="0.2">
      <c r="A2873" s="116">
        <f>IF(ISNUMBER(Tabela2[[#This Row],[CT-e/NFS]])=TRUE,(IF(B2873&gt;30000,4,IF(B2873&lt;1000,"ND",0))),"-")</f>
        <v>4</v>
      </c>
      <c r="B2873" s="116">
        <v>47237</v>
      </c>
      <c r="C2873" s="117">
        <v>45444</v>
      </c>
      <c r="D2873" s="116">
        <v>215.06</v>
      </c>
      <c r="E2873" s="117">
        <v>45458</v>
      </c>
      <c r="F2873" s="116">
        <f>COUNTIFS($A$3:A11138,A2873,$B$3:B11138,B2873)</f>
        <v>1</v>
      </c>
      <c r="G2873" s="116"/>
    </row>
    <row r="2874" spans="1:7" x14ac:dyDescent="0.2">
      <c r="A2874" s="116">
        <f>IF(ISNUMBER(Tabela2[[#This Row],[CT-e/NFS]])=TRUE,(IF(B2874&gt;30000,4,IF(B2874&lt;1000,"ND",0))),"-")</f>
        <v>4</v>
      </c>
      <c r="B2874" s="116">
        <v>47236</v>
      </c>
      <c r="C2874" s="117">
        <v>45444</v>
      </c>
      <c r="D2874" s="116">
        <v>119.48</v>
      </c>
      <c r="E2874" s="117">
        <v>45458</v>
      </c>
      <c r="F2874" s="116">
        <f>COUNTIFS($A$3:A11139,A2874,$B$3:B11139,B2874)</f>
        <v>1</v>
      </c>
      <c r="G2874" s="116"/>
    </row>
    <row r="2875" spans="1:7" x14ac:dyDescent="0.2">
      <c r="A2875" s="116">
        <f>IF(ISNUMBER(Tabela2[[#This Row],[CT-e/NFS]])=TRUE,(IF(B2875&gt;30000,4,IF(B2875&lt;1000,"ND",0))),"-")</f>
        <v>4</v>
      </c>
      <c r="B2875" s="116">
        <v>47239</v>
      </c>
      <c r="C2875" s="117">
        <v>45444</v>
      </c>
      <c r="D2875" s="116">
        <v>215.22</v>
      </c>
      <c r="E2875" s="117">
        <v>45458</v>
      </c>
      <c r="F2875" s="116">
        <f>COUNTIFS($A$3:A11140,A2875,$B$3:B11140,B2875)</f>
        <v>1</v>
      </c>
      <c r="G2875" s="116"/>
    </row>
    <row r="2876" spans="1:7" x14ac:dyDescent="0.2">
      <c r="A2876" s="116">
        <f>IF(ISNUMBER(Tabela2[[#This Row],[CT-e/NFS]])=TRUE,(IF(B2876&gt;30000,4,IF(B2876&lt;1000,"ND",0))),"-")</f>
        <v>4</v>
      </c>
      <c r="B2876" s="116">
        <v>47238</v>
      </c>
      <c r="C2876" s="117">
        <v>45444</v>
      </c>
      <c r="D2876" s="116">
        <v>239.14</v>
      </c>
      <c r="E2876" s="117">
        <v>45458</v>
      </c>
      <c r="F2876" s="116">
        <f>COUNTIFS($A$3:A11141,A2876,$B$3:B11141,B2876)</f>
        <v>1</v>
      </c>
      <c r="G2876" s="116"/>
    </row>
    <row r="2877" spans="1:7" x14ac:dyDescent="0.2">
      <c r="A2877" s="116">
        <f>IF(ISNUMBER(Tabela2[[#This Row],[CT-e/NFS]])=TRUE,(IF(B2877&gt;30000,4,IF(B2877&lt;1000,"ND",0))),"-")</f>
        <v>4</v>
      </c>
      <c r="B2877" s="116">
        <v>47241</v>
      </c>
      <c r="C2877" s="117">
        <v>45444</v>
      </c>
      <c r="D2877" s="116">
        <v>327.60000000000002</v>
      </c>
      <c r="E2877" s="117">
        <v>45458</v>
      </c>
      <c r="F2877" s="116">
        <f>COUNTIFS($A$3:A11142,A2877,$B$3:B11142,B2877)</f>
        <v>1</v>
      </c>
      <c r="G2877" s="116"/>
    </row>
    <row r="2878" spans="1:7" x14ac:dyDescent="0.2">
      <c r="A2878" s="116">
        <f>IF(ISNUMBER(Tabela2[[#This Row],[CT-e/NFS]])=TRUE,(IF(B2878&gt;30000,4,IF(B2878&lt;1000,"ND",0))),"-")</f>
        <v>4</v>
      </c>
      <c r="B2878" s="116">
        <v>47240</v>
      </c>
      <c r="C2878" s="117">
        <v>45444</v>
      </c>
      <c r="D2878" s="116">
        <v>269.55</v>
      </c>
      <c r="E2878" s="117">
        <v>45458</v>
      </c>
      <c r="F2878" s="116">
        <f>COUNTIFS($A$3:A11143,A2878,$B$3:B11143,B2878)</f>
        <v>1</v>
      </c>
      <c r="G2878" s="116"/>
    </row>
    <row r="2879" spans="1:7" x14ac:dyDescent="0.2">
      <c r="A2879" s="116">
        <f>IF(ISNUMBER(Tabela2[[#This Row],[CT-e/NFS]])=TRUE,(IF(B2879&gt;30000,4,IF(B2879&lt;1000,"ND",0))),"-")</f>
        <v>4</v>
      </c>
      <c r="B2879" s="116">
        <v>47242</v>
      </c>
      <c r="C2879" s="117">
        <v>45444</v>
      </c>
      <c r="D2879" s="116">
        <v>1161.1400000000001</v>
      </c>
      <c r="E2879" s="117">
        <v>45458</v>
      </c>
      <c r="F2879" s="116">
        <f>COUNTIFS($A$3:A11144,A2879,$B$3:B11144,B2879)</f>
        <v>1</v>
      </c>
      <c r="G2879" s="116"/>
    </row>
    <row r="2880" spans="1:7" x14ac:dyDescent="0.2">
      <c r="A2880" s="116">
        <f>IF(ISNUMBER(Tabela2[[#This Row],[CT-e/NFS]])=TRUE,(IF(B2880&gt;30000,4,IF(B2880&lt;1000,"ND",0))),"-")</f>
        <v>4</v>
      </c>
      <c r="B2880" s="116">
        <v>47198</v>
      </c>
      <c r="C2880" s="117">
        <v>45444</v>
      </c>
      <c r="D2880" s="116">
        <v>12261.93</v>
      </c>
      <c r="E2880" s="117">
        <v>45458</v>
      </c>
      <c r="F2880" s="116">
        <f>COUNTIFS($A$3:A11145,A2880,$B$3:B11145,B2880)</f>
        <v>1</v>
      </c>
      <c r="G2880" s="116"/>
    </row>
    <row r="2881" spans="1:7" x14ac:dyDescent="0.2">
      <c r="A2881" s="116">
        <f>IF(ISNUMBER(Tabela2[[#This Row],[CT-e/NFS]])=TRUE,(IF(B2881&gt;30000,4,IF(B2881&lt;1000,"ND",0))),"-")</f>
        <v>4</v>
      </c>
      <c r="B2881" s="116">
        <v>47197</v>
      </c>
      <c r="C2881" s="117">
        <v>45444</v>
      </c>
      <c r="D2881" s="116">
        <v>6826.27</v>
      </c>
      <c r="E2881" s="117">
        <v>45458</v>
      </c>
      <c r="F2881" s="116">
        <f>COUNTIFS($A$3:A11146,A2881,$B$3:B11146,B2881)</f>
        <v>1</v>
      </c>
      <c r="G2881" s="116"/>
    </row>
    <row r="2882" spans="1:7" x14ac:dyDescent="0.2">
      <c r="A2882" s="116">
        <f>IF(ISNUMBER(Tabela2[[#This Row],[CT-e/NFS]])=TRUE,(IF(B2882&gt;30000,4,IF(B2882&lt;1000,"ND",0))),"-")</f>
        <v>4</v>
      </c>
      <c r="B2882" s="116">
        <v>47227</v>
      </c>
      <c r="C2882" s="117">
        <v>45444</v>
      </c>
      <c r="D2882" s="116">
        <v>122.73</v>
      </c>
      <c r="E2882" s="117">
        <v>45458</v>
      </c>
      <c r="F2882" s="116">
        <f>COUNTIFS($A$3:A11147,A2882,$B$3:B11147,B2882)</f>
        <v>1</v>
      </c>
      <c r="G2882" s="116"/>
    </row>
    <row r="2883" spans="1:7" x14ac:dyDescent="0.2">
      <c r="A2883" s="116">
        <f>IF(ISNUMBER(Tabela2[[#This Row],[CT-e/NFS]])=TRUE,(IF(B2883&gt;30000,4,IF(B2883&lt;1000,"ND",0))),"-")</f>
        <v>4</v>
      </c>
      <c r="B2883" s="116">
        <v>47207</v>
      </c>
      <c r="C2883" s="117">
        <v>45444</v>
      </c>
      <c r="D2883" s="116">
        <v>931.82</v>
      </c>
      <c r="E2883" s="117">
        <v>45458</v>
      </c>
      <c r="F2883" s="116">
        <f>COUNTIFS($A$3:A11148,A2883,$B$3:B11148,B2883)</f>
        <v>1</v>
      </c>
      <c r="G2883" s="116"/>
    </row>
    <row r="2884" spans="1:7" x14ac:dyDescent="0.2">
      <c r="A2884" s="116">
        <f>IF(ISNUMBER(Tabela2[[#This Row],[CT-e/NFS]])=TRUE,(IF(B2884&gt;30000,4,IF(B2884&lt;1000,"ND",0))),"-")</f>
        <v>4</v>
      </c>
      <c r="B2884" s="116">
        <v>47203</v>
      </c>
      <c r="C2884" s="117">
        <v>45444</v>
      </c>
      <c r="D2884" s="116">
        <v>123.2</v>
      </c>
      <c r="E2884" s="117">
        <v>45458</v>
      </c>
      <c r="F2884" s="116">
        <f>COUNTIFS($A$3:A11149,A2884,$B$3:B11149,B2884)</f>
        <v>1</v>
      </c>
      <c r="G2884" s="116"/>
    </row>
    <row r="2885" spans="1:7" x14ac:dyDescent="0.2">
      <c r="A2885" s="116">
        <f>IF(ISNUMBER(Tabela2[[#This Row],[CT-e/NFS]])=TRUE,(IF(B2885&gt;30000,4,IF(B2885&lt;1000,"ND",0))),"-")</f>
        <v>4</v>
      </c>
      <c r="B2885" s="116">
        <v>47214</v>
      </c>
      <c r="C2885" s="117">
        <v>45444</v>
      </c>
      <c r="D2885" s="116">
        <v>147.80000000000001</v>
      </c>
      <c r="E2885" s="117">
        <v>45458</v>
      </c>
      <c r="F2885" s="116">
        <f>COUNTIFS($A$3:A11150,A2885,$B$3:B11150,B2885)</f>
        <v>1</v>
      </c>
      <c r="G2885" s="116"/>
    </row>
    <row r="2886" spans="1:7" x14ac:dyDescent="0.2">
      <c r="A2886" s="116">
        <f>IF(ISNUMBER(Tabela2[[#This Row],[CT-e/NFS]])=TRUE,(IF(B2886&gt;30000,4,IF(B2886&lt;1000,"ND",0))),"-")</f>
        <v>4</v>
      </c>
      <c r="B2886" s="116">
        <v>47215</v>
      </c>
      <c r="C2886" s="117">
        <v>45444</v>
      </c>
      <c r="D2886" s="116">
        <v>124.3</v>
      </c>
      <c r="E2886" s="117">
        <v>45458</v>
      </c>
      <c r="F2886" s="116">
        <f>COUNTIFS($A$3:A11151,A2886,$B$3:B11151,B2886)</f>
        <v>1</v>
      </c>
      <c r="G2886" s="116"/>
    </row>
    <row r="2887" spans="1:7" x14ac:dyDescent="0.2">
      <c r="A2887" s="116">
        <f>IF(ISNUMBER(Tabela2[[#This Row],[CT-e/NFS]])=TRUE,(IF(B2887&gt;30000,4,IF(B2887&lt;1000,"ND",0))),"-")</f>
        <v>4</v>
      </c>
      <c r="B2887" s="116">
        <v>47218</v>
      </c>
      <c r="C2887" s="117">
        <v>45444</v>
      </c>
      <c r="D2887" s="116">
        <v>126.53</v>
      </c>
      <c r="E2887" s="117">
        <v>45458</v>
      </c>
      <c r="F2887" s="116">
        <f>COUNTIFS($A$3:A11152,A2887,$B$3:B11152,B2887)</f>
        <v>1</v>
      </c>
      <c r="G2887" s="116"/>
    </row>
    <row r="2888" spans="1:7" x14ac:dyDescent="0.2">
      <c r="A2888" s="116">
        <f>IF(ISNUMBER(Tabela2[[#This Row],[CT-e/NFS]])=TRUE,(IF(B2888&gt;30000,4,IF(B2888&lt;1000,"ND",0))),"-")</f>
        <v>4</v>
      </c>
      <c r="B2888" s="116">
        <v>47219</v>
      </c>
      <c r="C2888" s="117">
        <v>45444</v>
      </c>
      <c r="D2888" s="116">
        <v>122.77</v>
      </c>
      <c r="E2888" s="117">
        <v>45458</v>
      </c>
      <c r="F2888" s="116">
        <f>COUNTIFS($A$3:A11153,A2888,$B$3:B11153,B2888)</f>
        <v>1</v>
      </c>
      <c r="G2888" s="116"/>
    </row>
    <row r="2889" spans="1:7" x14ac:dyDescent="0.2">
      <c r="A2889" s="116">
        <f>IF(ISNUMBER(Tabela2[[#This Row],[CT-e/NFS]])=TRUE,(IF(B2889&gt;30000,4,IF(B2889&lt;1000,"ND",0))),"-")</f>
        <v>4</v>
      </c>
      <c r="B2889" s="116">
        <v>47259</v>
      </c>
      <c r="C2889" s="117">
        <v>45444</v>
      </c>
      <c r="D2889" s="116">
        <v>577.27</v>
      </c>
      <c r="E2889" s="117">
        <v>45458</v>
      </c>
      <c r="F2889" s="116">
        <f>COUNTIFS($A$3:A11154,A2889,$B$3:B11154,B2889)</f>
        <v>1</v>
      </c>
      <c r="G2889" s="116"/>
    </row>
    <row r="2890" spans="1:7" x14ac:dyDescent="0.2">
      <c r="A2890" s="116">
        <f>IF(ISNUMBER(Tabela2[[#This Row],[CT-e/NFS]])=TRUE,(IF(B2890&gt;30000,4,IF(B2890&lt;1000,"ND",0))),"-")</f>
        <v>4</v>
      </c>
      <c r="B2890" s="116">
        <v>47258</v>
      </c>
      <c r="C2890" s="117">
        <v>45444</v>
      </c>
      <c r="D2890" s="116">
        <v>560.45000000000005</v>
      </c>
      <c r="E2890" s="117">
        <v>45458</v>
      </c>
      <c r="F2890" s="116">
        <f>COUNTIFS($A$3:A11155,A2890,$B$3:B11155,B2890)</f>
        <v>1</v>
      </c>
      <c r="G2890" s="116"/>
    </row>
    <row r="2891" spans="1:7" x14ac:dyDescent="0.2">
      <c r="A2891" s="116">
        <f>IF(ISNUMBER(Tabela2[[#This Row],[CT-e/NFS]])=TRUE,(IF(B2891&gt;30000,4,IF(B2891&lt;1000,"ND",0))),"-")</f>
        <v>4</v>
      </c>
      <c r="B2891" s="116">
        <v>47256</v>
      </c>
      <c r="C2891" s="117">
        <v>45444</v>
      </c>
      <c r="D2891" s="116">
        <v>123.92</v>
      </c>
      <c r="E2891" s="117">
        <v>45458</v>
      </c>
      <c r="F2891" s="116">
        <f>COUNTIFS($A$3:A11156,A2891,$B$3:B11156,B2891)</f>
        <v>1</v>
      </c>
      <c r="G2891" s="116"/>
    </row>
    <row r="2892" spans="1:7" x14ac:dyDescent="0.2">
      <c r="A2892" s="116">
        <f>IF(ISNUMBER(Tabela2[[#This Row],[CT-e/NFS]])=TRUE,(IF(B2892&gt;30000,4,IF(B2892&lt;1000,"ND",0))),"-")</f>
        <v>4</v>
      </c>
      <c r="B2892" s="116">
        <v>47252</v>
      </c>
      <c r="C2892" s="117">
        <v>45444</v>
      </c>
      <c r="D2892" s="116">
        <v>124.03</v>
      </c>
      <c r="E2892" s="117">
        <v>45458</v>
      </c>
      <c r="F2892" s="116">
        <f>COUNTIFS($A$3:A11157,A2892,$B$3:B11157,B2892)</f>
        <v>1</v>
      </c>
      <c r="G2892" s="116"/>
    </row>
    <row r="2893" spans="1:7" x14ac:dyDescent="0.2">
      <c r="A2893" s="116">
        <f>IF(ISNUMBER(Tabela2[[#This Row],[CT-e/NFS]])=TRUE,(IF(B2893&gt;30000,4,IF(B2893&lt;1000,"ND",0))),"-")</f>
        <v>4</v>
      </c>
      <c r="B2893" s="116">
        <v>47251</v>
      </c>
      <c r="C2893" s="117">
        <v>45444</v>
      </c>
      <c r="D2893" s="116">
        <v>124.03</v>
      </c>
      <c r="E2893" s="117">
        <v>45458</v>
      </c>
      <c r="F2893" s="116">
        <f>COUNTIFS($A$3:A11158,A2893,$B$3:B11158,B2893)</f>
        <v>1</v>
      </c>
      <c r="G2893" s="116"/>
    </row>
    <row r="2894" spans="1:7" x14ac:dyDescent="0.2">
      <c r="A2894" s="116">
        <f>IF(ISNUMBER(Tabela2[[#This Row],[CT-e/NFS]])=TRUE,(IF(B2894&gt;30000,4,IF(B2894&lt;1000,"ND",0))),"-")</f>
        <v>4</v>
      </c>
      <c r="B2894" s="116">
        <v>47257</v>
      </c>
      <c r="C2894" s="117">
        <v>45444</v>
      </c>
      <c r="D2894" s="116">
        <v>238.82</v>
      </c>
      <c r="E2894" s="117">
        <v>45458</v>
      </c>
      <c r="F2894" s="116">
        <f>COUNTIFS($A$3:A11159,A2894,$B$3:B11159,B2894)</f>
        <v>1</v>
      </c>
      <c r="G2894" s="116"/>
    </row>
    <row r="2895" spans="1:7" x14ac:dyDescent="0.2">
      <c r="A2895" s="116">
        <f>IF(ISNUMBER(Tabela2[[#This Row],[CT-e/NFS]])=TRUE,(IF(B2895&gt;30000,4,IF(B2895&lt;1000,"ND",0))),"-")</f>
        <v>4</v>
      </c>
      <c r="B2895" s="116">
        <v>47255</v>
      </c>
      <c r="C2895" s="117">
        <v>45444</v>
      </c>
      <c r="D2895" s="116">
        <v>126.01</v>
      </c>
      <c r="E2895" s="117">
        <v>45458</v>
      </c>
      <c r="F2895" s="116">
        <f>COUNTIFS($A$3:A11160,A2895,$B$3:B11160,B2895)</f>
        <v>1</v>
      </c>
      <c r="G2895" s="116"/>
    </row>
    <row r="2896" spans="1:7" x14ac:dyDescent="0.2">
      <c r="A2896" s="116">
        <f>IF(ISNUMBER(Tabela2[[#This Row],[CT-e/NFS]])=TRUE,(IF(B2896&gt;30000,4,IF(B2896&lt;1000,"ND",0))),"-")</f>
        <v>4</v>
      </c>
      <c r="B2896" s="116">
        <v>47250</v>
      </c>
      <c r="C2896" s="117">
        <v>45444</v>
      </c>
      <c r="D2896" s="116">
        <v>123.9</v>
      </c>
      <c r="E2896" s="117">
        <v>45458</v>
      </c>
      <c r="F2896" s="116">
        <f>COUNTIFS($A$3:A11161,A2896,$B$3:B11161,B2896)</f>
        <v>1</v>
      </c>
      <c r="G2896" s="116"/>
    </row>
    <row r="2897" spans="1:7" x14ac:dyDescent="0.2">
      <c r="A2897" s="116">
        <f>IF(ISNUMBER(Tabela2[[#This Row],[CT-e/NFS]])=TRUE,(IF(B2897&gt;30000,4,IF(B2897&lt;1000,"ND",0))),"-")</f>
        <v>4</v>
      </c>
      <c r="B2897" s="116">
        <v>47253</v>
      </c>
      <c r="C2897" s="117">
        <v>45444</v>
      </c>
      <c r="D2897" s="116">
        <v>413.09</v>
      </c>
      <c r="E2897" s="117">
        <v>45458</v>
      </c>
      <c r="F2897" s="116">
        <f>COUNTIFS($A$3:A11162,A2897,$B$3:B11162,B2897)</f>
        <v>1</v>
      </c>
      <c r="G2897" s="116"/>
    </row>
    <row r="2898" spans="1:7" x14ac:dyDescent="0.2">
      <c r="A2898" s="116">
        <f>IF(ISNUMBER(Tabela2[[#This Row],[CT-e/NFS]])=TRUE,(IF(B2898&gt;30000,4,IF(B2898&lt;1000,"ND",0))),"-")</f>
        <v>4</v>
      </c>
      <c r="B2898" s="116">
        <v>47249</v>
      </c>
      <c r="C2898" s="117">
        <v>45444</v>
      </c>
      <c r="D2898" s="116">
        <v>125.56</v>
      </c>
      <c r="E2898" s="117">
        <v>45458</v>
      </c>
      <c r="F2898" s="116">
        <f>COUNTIFS($A$3:A11163,A2898,$B$3:B11163,B2898)</f>
        <v>1</v>
      </c>
      <c r="G2898" s="116"/>
    </row>
    <row r="2899" spans="1:7" x14ac:dyDescent="0.2">
      <c r="A2899" s="116">
        <f>IF(ISNUMBER(Tabela2[[#This Row],[CT-e/NFS]])=TRUE,(IF(B2899&gt;30000,4,IF(B2899&lt;1000,"ND",0))),"-")</f>
        <v>4</v>
      </c>
      <c r="B2899" s="116">
        <v>47247</v>
      </c>
      <c r="C2899" s="117">
        <v>45444</v>
      </c>
      <c r="D2899" s="116">
        <v>125.64</v>
      </c>
      <c r="E2899" s="117">
        <v>45458</v>
      </c>
      <c r="F2899" s="116">
        <f>COUNTIFS($A$3:A11164,A2899,$B$3:B11164,B2899)</f>
        <v>1</v>
      </c>
      <c r="G2899" s="116"/>
    </row>
    <row r="2900" spans="1:7" x14ac:dyDescent="0.2">
      <c r="A2900" s="116">
        <f>IF(ISNUMBER(Tabela2[[#This Row],[CT-e/NFS]])=TRUE,(IF(B2900&gt;30000,4,IF(B2900&lt;1000,"ND",0))),"-")</f>
        <v>4</v>
      </c>
      <c r="B2900" s="116">
        <v>47248</v>
      </c>
      <c r="C2900" s="117">
        <v>45444</v>
      </c>
      <c r="D2900" s="116">
        <v>123.05</v>
      </c>
      <c r="E2900" s="117">
        <v>45458</v>
      </c>
      <c r="F2900" s="116">
        <f>COUNTIFS($A$3:A11165,A2900,$B$3:B11165,B2900)</f>
        <v>1</v>
      </c>
      <c r="G2900" s="116"/>
    </row>
    <row r="2901" spans="1:7" x14ac:dyDescent="0.2">
      <c r="A2901" s="116">
        <f>IF(ISNUMBER(Tabela2[[#This Row],[CT-e/NFS]])=TRUE,(IF(B2901&gt;30000,4,IF(B2901&lt;1000,"ND",0))),"-")</f>
        <v>4</v>
      </c>
      <c r="B2901" s="116">
        <v>47246</v>
      </c>
      <c r="C2901" s="117">
        <v>45444</v>
      </c>
      <c r="D2901" s="116">
        <v>125.08</v>
      </c>
      <c r="E2901" s="117">
        <v>45458</v>
      </c>
      <c r="F2901" s="116">
        <f>COUNTIFS($A$3:A11166,A2901,$B$3:B11166,B2901)</f>
        <v>1</v>
      </c>
      <c r="G2901" s="116"/>
    </row>
    <row r="2902" spans="1:7" x14ac:dyDescent="0.2">
      <c r="A2902" s="116">
        <f>IF(ISNUMBER(Tabela2[[#This Row],[CT-e/NFS]])=TRUE,(IF(B2902&gt;30000,4,IF(B2902&lt;1000,"ND",0))),"-")</f>
        <v>4</v>
      </c>
      <c r="B2902" s="116">
        <v>47245</v>
      </c>
      <c r="C2902" s="117">
        <v>45444</v>
      </c>
      <c r="D2902" s="116">
        <v>124.35</v>
      </c>
      <c r="E2902" s="117">
        <v>45458</v>
      </c>
      <c r="F2902" s="116">
        <f>COUNTIFS($A$3:A11167,A2902,$B$3:B11167,B2902)</f>
        <v>1</v>
      </c>
      <c r="G2902" s="116"/>
    </row>
    <row r="2903" spans="1:7" x14ac:dyDescent="0.2">
      <c r="A2903" s="116">
        <f>IF(ISNUMBER(Tabela2[[#This Row],[CT-e/NFS]])=TRUE,(IF(B2903&gt;30000,4,IF(B2903&lt;1000,"ND",0))),"-")</f>
        <v>4</v>
      </c>
      <c r="B2903" s="116">
        <v>47244</v>
      </c>
      <c r="C2903" s="117">
        <v>45444</v>
      </c>
      <c r="D2903" s="116">
        <v>126.65</v>
      </c>
      <c r="E2903" s="117">
        <v>45458</v>
      </c>
      <c r="F2903" s="116">
        <f>COUNTIFS($A$3:A11168,A2903,$B$3:B11168,B2903)</f>
        <v>1</v>
      </c>
      <c r="G2903" s="116"/>
    </row>
    <row r="2904" spans="1:7" x14ac:dyDescent="0.2">
      <c r="A2904" s="116">
        <f>IF(ISNUMBER(Tabela2[[#This Row],[CT-e/NFS]])=TRUE,(IF(B2904&gt;30000,4,IF(B2904&lt;1000,"ND",0))),"-")</f>
        <v>4</v>
      </c>
      <c r="B2904" s="116">
        <v>47243</v>
      </c>
      <c r="C2904" s="117">
        <v>45444</v>
      </c>
      <c r="D2904" s="116">
        <v>310.38</v>
      </c>
      <c r="E2904" s="117">
        <v>45458</v>
      </c>
      <c r="F2904" s="116">
        <f>COUNTIFS($A$3:A11169,A2904,$B$3:B11169,B2904)</f>
        <v>1</v>
      </c>
      <c r="G2904" s="116"/>
    </row>
    <row r="2905" spans="1:7" x14ac:dyDescent="0.2">
      <c r="A2905" s="116">
        <f>IF(ISNUMBER(Tabela2[[#This Row],[CT-e/NFS]])=TRUE,(IF(B2905&gt;30000,4,IF(B2905&lt;1000,"ND",0))),"-")</f>
        <v>4</v>
      </c>
      <c r="B2905" s="116">
        <v>47254</v>
      </c>
      <c r="C2905" s="117">
        <v>45444</v>
      </c>
      <c r="D2905" s="116">
        <v>803.49</v>
      </c>
      <c r="E2905" s="117">
        <v>45458</v>
      </c>
      <c r="F2905" s="116">
        <f>COUNTIFS($A$3:A11170,A2905,$B$3:B11170,B2905)</f>
        <v>1</v>
      </c>
      <c r="G2905" s="116"/>
    </row>
    <row r="2906" spans="1:7" x14ac:dyDescent="0.2">
      <c r="A2906" s="116">
        <f>IF(ISNUMBER(Tabela2[[#This Row],[CT-e/NFS]])=TRUE,(IF(B2906&gt;30000,4,IF(B2906&lt;1000,"ND",0))),"-")</f>
        <v>4</v>
      </c>
      <c r="B2906" s="116">
        <v>47263</v>
      </c>
      <c r="C2906" s="117">
        <v>45444</v>
      </c>
      <c r="D2906" s="116">
        <v>359.02</v>
      </c>
      <c r="E2906" s="117">
        <v>45458</v>
      </c>
      <c r="F2906" s="116">
        <f>COUNTIFS($A$3:A11171,A2906,$B$3:B11171,B2906)</f>
        <v>1</v>
      </c>
      <c r="G2906" s="116"/>
    </row>
    <row r="2907" spans="1:7" x14ac:dyDescent="0.2">
      <c r="A2907" s="116">
        <f>IF(ISNUMBER(Tabela2[[#This Row],[CT-e/NFS]])=TRUE,(IF(B2907&gt;30000,4,IF(B2907&lt;1000,"ND",0))),"-")</f>
        <v>4</v>
      </c>
      <c r="B2907" s="116">
        <v>47265</v>
      </c>
      <c r="C2907" s="117">
        <v>45444</v>
      </c>
      <c r="D2907" s="116">
        <v>203.77</v>
      </c>
      <c r="E2907" s="117">
        <v>45458</v>
      </c>
      <c r="F2907" s="116">
        <f>COUNTIFS($A$3:A11172,A2907,$B$3:B11172,B2907)</f>
        <v>1</v>
      </c>
      <c r="G2907" s="116"/>
    </row>
    <row r="2908" spans="1:7" x14ac:dyDescent="0.2">
      <c r="A2908" s="116">
        <f>IF(ISNUMBER(Tabela2[[#This Row],[CT-e/NFS]])=TRUE,(IF(B2908&gt;30000,4,IF(B2908&lt;1000,"ND",0))),"-")</f>
        <v>4</v>
      </c>
      <c r="B2908" s="116">
        <v>47266</v>
      </c>
      <c r="C2908" s="117">
        <v>45444</v>
      </c>
      <c r="D2908" s="116">
        <v>371.16</v>
      </c>
      <c r="E2908" s="117">
        <v>45458</v>
      </c>
      <c r="F2908" s="116">
        <f>COUNTIFS($A$3:A11173,A2908,$B$3:B11173,B2908)</f>
        <v>1</v>
      </c>
      <c r="G2908" s="116"/>
    </row>
    <row r="2909" spans="1:7" x14ac:dyDescent="0.2">
      <c r="A2909" s="116">
        <f>IF(ISNUMBER(Tabela2[[#This Row],[CT-e/NFS]])=TRUE,(IF(B2909&gt;30000,4,IF(B2909&lt;1000,"ND",0))),"-")</f>
        <v>4</v>
      </c>
      <c r="B2909" s="116">
        <v>47264</v>
      </c>
      <c r="C2909" s="117">
        <v>45444</v>
      </c>
      <c r="D2909" s="116">
        <v>203.77</v>
      </c>
      <c r="E2909" s="117">
        <v>45458</v>
      </c>
      <c r="F2909" s="116">
        <f>COUNTIFS($A$3:A11174,A2909,$B$3:B11174,B2909)</f>
        <v>1</v>
      </c>
      <c r="G2909" s="116"/>
    </row>
    <row r="2910" spans="1:7" x14ac:dyDescent="0.2">
      <c r="A2910" s="116">
        <f>IF(ISNUMBER(Tabela2[[#This Row],[CT-e/NFS]])=TRUE,(IF(B2910&gt;30000,4,IF(B2910&lt;1000,"ND",0))),"-")</f>
        <v>4</v>
      </c>
      <c r="B2910" s="116">
        <v>47210</v>
      </c>
      <c r="C2910" s="117">
        <v>45444</v>
      </c>
      <c r="D2910" s="116">
        <v>715.91</v>
      </c>
      <c r="E2910" s="117">
        <v>45458</v>
      </c>
      <c r="F2910" s="116">
        <f>COUNTIFS($A$3:A11175,A2910,$B$3:B11175,B2910)</f>
        <v>1</v>
      </c>
      <c r="G2910" s="116"/>
    </row>
    <row r="2911" spans="1:7" x14ac:dyDescent="0.2">
      <c r="A2911" s="116">
        <f>IF(ISNUMBER(Tabela2[[#This Row],[CT-e/NFS]])=TRUE,(IF(B2911&gt;30000,4,IF(B2911&lt;1000,"ND",0))),"-")</f>
        <v>4</v>
      </c>
      <c r="B2911" s="116">
        <v>47273</v>
      </c>
      <c r="C2911" s="117">
        <v>45444</v>
      </c>
      <c r="D2911" s="116">
        <v>239.97</v>
      </c>
      <c r="E2911" s="117">
        <v>45458</v>
      </c>
      <c r="F2911" s="116">
        <f>COUNTIFS($A$3:A11176,A2911,$B$3:B11176,B2911)</f>
        <v>1</v>
      </c>
      <c r="G2911" s="116"/>
    </row>
    <row r="2912" spans="1:7" x14ac:dyDescent="0.2">
      <c r="A2912" s="116">
        <f>IF(ISNUMBER(Tabela2[[#This Row],[CT-e/NFS]])=TRUE,(IF(B2912&gt;30000,4,IF(B2912&lt;1000,"ND",0))),"-")</f>
        <v>4</v>
      </c>
      <c r="B2912" s="116">
        <v>47274</v>
      </c>
      <c r="C2912" s="117">
        <v>45444</v>
      </c>
      <c r="D2912" s="116">
        <v>238.86</v>
      </c>
      <c r="E2912" s="117">
        <v>45458</v>
      </c>
      <c r="F2912" s="116">
        <f>COUNTIFS($A$3:A11177,A2912,$B$3:B11177,B2912)</f>
        <v>1</v>
      </c>
      <c r="G2912" s="116"/>
    </row>
    <row r="2913" spans="1:7" x14ac:dyDescent="0.2">
      <c r="A2913" s="116">
        <f>IF(ISNUMBER(Tabela2[[#This Row],[CT-e/NFS]])=TRUE,(IF(B2913&gt;30000,4,IF(B2913&lt;1000,"ND",0))),"-")</f>
        <v>4</v>
      </c>
      <c r="B2913" s="116">
        <v>47275</v>
      </c>
      <c r="C2913" s="117">
        <v>45444</v>
      </c>
      <c r="D2913" s="116">
        <v>242.6</v>
      </c>
      <c r="E2913" s="117">
        <v>45458</v>
      </c>
      <c r="F2913" s="116">
        <f>COUNTIFS($A$3:A11178,A2913,$B$3:B11178,B2913)</f>
        <v>1</v>
      </c>
      <c r="G2913" s="116"/>
    </row>
    <row r="2914" spans="1:7" x14ac:dyDescent="0.2">
      <c r="A2914" s="116">
        <f>IF(ISNUMBER(Tabela2[[#This Row],[CT-e/NFS]])=TRUE,(IF(B2914&gt;30000,4,IF(B2914&lt;1000,"ND",0))),"-")</f>
        <v>4</v>
      </c>
      <c r="B2914" s="116">
        <v>47272</v>
      </c>
      <c r="C2914" s="117">
        <v>45444</v>
      </c>
      <c r="D2914" s="116">
        <v>467.33</v>
      </c>
      <c r="E2914" s="117">
        <v>45458</v>
      </c>
      <c r="F2914" s="116">
        <f>COUNTIFS($A$3:A11179,A2914,$B$3:B11179,B2914)</f>
        <v>1</v>
      </c>
      <c r="G2914" s="116"/>
    </row>
    <row r="2915" spans="1:7" x14ac:dyDescent="0.2">
      <c r="A2915" s="116">
        <f>IF(ISNUMBER(Tabela2[[#This Row],[CT-e/NFS]])=TRUE,(IF(B2915&gt;30000,4,IF(B2915&lt;1000,"ND",0))),"-")</f>
        <v>4</v>
      </c>
      <c r="B2915" s="116">
        <v>47268</v>
      </c>
      <c r="C2915" s="117">
        <v>45444</v>
      </c>
      <c r="D2915" s="116">
        <v>879.4</v>
      </c>
      <c r="E2915" s="117">
        <v>45458</v>
      </c>
      <c r="F2915" s="116">
        <f>COUNTIFS($A$3:A11180,A2915,$B$3:B11180,B2915)</f>
        <v>1</v>
      </c>
      <c r="G2915" s="116"/>
    </row>
    <row r="2916" spans="1:7" x14ac:dyDescent="0.2">
      <c r="A2916" s="116">
        <f>IF(ISNUMBER(Tabela2[[#This Row],[CT-e/NFS]])=TRUE,(IF(B2916&gt;30000,4,IF(B2916&lt;1000,"ND",0))),"-")</f>
        <v>4</v>
      </c>
      <c r="B2916" s="116">
        <v>47269</v>
      </c>
      <c r="C2916" s="117">
        <v>45444</v>
      </c>
      <c r="D2916" s="116">
        <v>288.55</v>
      </c>
      <c r="E2916" s="117">
        <v>45458</v>
      </c>
      <c r="F2916" s="116">
        <f>COUNTIFS($A$3:A11181,A2916,$B$3:B11181,B2916)</f>
        <v>1</v>
      </c>
      <c r="G2916" s="116"/>
    </row>
    <row r="2917" spans="1:7" x14ac:dyDescent="0.2">
      <c r="A2917" s="116">
        <f>IF(ISNUMBER(Tabela2[[#This Row],[CT-e/NFS]])=TRUE,(IF(B2917&gt;30000,4,IF(B2917&lt;1000,"ND",0))),"-")</f>
        <v>4</v>
      </c>
      <c r="B2917" s="116">
        <v>47271</v>
      </c>
      <c r="C2917" s="117">
        <v>45444</v>
      </c>
      <c r="D2917" s="116">
        <v>620.75</v>
      </c>
      <c r="E2917" s="117">
        <v>45458</v>
      </c>
      <c r="F2917" s="116">
        <f>COUNTIFS($A$3:A11182,A2917,$B$3:B11182,B2917)</f>
        <v>1</v>
      </c>
      <c r="G2917" s="116"/>
    </row>
    <row r="2918" spans="1:7" x14ac:dyDescent="0.2">
      <c r="A2918" s="116">
        <f>IF(ISNUMBER(Tabela2[[#This Row],[CT-e/NFS]])=TRUE,(IF(B2918&gt;30000,4,IF(B2918&lt;1000,"ND",0))),"-")</f>
        <v>4</v>
      </c>
      <c r="B2918" s="116">
        <v>47283</v>
      </c>
      <c r="C2918" s="117">
        <v>45444</v>
      </c>
      <c r="D2918" s="116">
        <v>227.08</v>
      </c>
      <c r="E2918" s="117">
        <v>45458</v>
      </c>
      <c r="F2918" s="116">
        <f>COUNTIFS($A$3:A11183,A2918,$B$3:B11183,B2918)</f>
        <v>1</v>
      </c>
      <c r="G2918" s="116"/>
    </row>
    <row r="2919" spans="1:7" x14ac:dyDescent="0.2">
      <c r="A2919" s="116">
        <f>IF(ISNUMBER(Tabela2[[#This Row],[CT-e/NFS]])=TRUE,(IF(B2919&gt;30000,4,IF(B2919&lt;1000,"ND",0))),"-")</f>
        <v>4</v>
      </c>
      <c r="B2919" s="116">
        <v>47282</v>
      </c>
      <c r="C2919" s="117">
        <v>45444</v>
      </c>
      <c r="D2919" s="116">
        <v>125.6</v>
      </c>
      <c r="E2919" s="117">
        <v>45458</v>
      </c>
      <c r="F2919" s="116">
        <f>COUNTIFS($A$3:A11184,A2919,$B$3:B11184,B2919)</f>
        <v>1</v>
      </c>
      <c r="G2919" s="116"/>
    </row>
    <row r="2920" spans="1:7" x14ac:dyDescent="0.2">
      <c r="A2920" s="116">
        <f>IF(ISNUMBER(Tabela2[[#This Row],[CT-e/NFS]])=TRUE,(IF(B2920&gt;30000,4,IF(B2920&lt;1000,"ND",0))),"-")</f>
        <v>4</v>
      </c>
      <c r="B2920" s="116">
        <v>47270</v>
      </c>
      <c r="C2920" s="117">
        <v>45444</v>
      </c>
      <c r="D2920" s="116">
        <v>124.22</v>
      </c>
      <c r="E2920" s="117">
        <v>45458</v>
      </c>
      <c r="F2920" s="116">
        <f>COUNTIFS($A$3:A11185,A2920,$B$3:B11185,B2920)</f>
        <v>1</v>
      </c>
      <c r="G2920" s="116"/>
    </row>
    <row r="2921" spans="1:7" x14ac:dyDescent="0.2">
      <c r="A2921" s="116">
        <f>IF(ISNUMBER(Tabela2[[#This Row],[CT-e/NFS]])=TRUE,(IF(B2921&gt;30000,4,IF(B2921&lt;1000,"ND",0))),"-")</f>
        <v>4</v>
      </c>
      <c r="B2921" s="116">
        <v>47286</v>
      </c>
      <c r="C2921" s="117">
        <v>45444</v>
      </c>
      <c r="D2921" s="116">
        <v>199.03</v>
      </c>
      <c r="E2921" s="117">
        <v>45458</v>
      </c>
      <c r="F2921" s="116">
        <f>COUNTIFS($A$3:A11186,A2921,$B$3:B11186,B2921)</f>
        <v>1</v>
      </c>
      <c r="G2921" s="116"/>
    </row>
    <row r="2922" spans="1:7" x14ac:dyDescent="0.2">
      <c r="A2922" s="116">
        <f>IF(ISNUMBER(Tabela2[[#This Row],[CT-e/NFS]])=TRUE,(IF(B2922&gt;30000,4,IF(B2922&lt;1000,"ND",0))),"-")</f>
        <v>4</v>
      </c>
      <c r="B2922" s="116">
        <v>47280</v>
      </c>
      <c r="C2922" s="117">
        <v>45444</v>
      </c>
      <c r="D2922" s="116">
        <v>178.93</v>
      </c>
      <c r="E2922" s="117">
        <v>45458</v>
      </c>
      <c r="F2922" s="116">
        <f>COUNTIFS($A$3:A11187,A2922,$B$3:B11187,B2922)</f>
        <v>1</v>
      </c>
      <c r="G2922" s="116"/>
    </row>
    <row r="2923" spans="1:7" x14ac:dyDescent="0.2">
      <c r="A2923" s="116">
        <f>IF(ISNUMBER(Tabela2[[#This Row],[CT-e/NFS]])=TRUE,(IF(B2923&gt;30000,4,IF(B2923&lt;1000,"ND",0))),"-")</f>
        <v>4</v>
      </c>
      <c r="B2923" s="116">
        <v>47281</v>
      </c>
      <c r="C2923" s="117">
        <v>45444</v>
      </c>
      <c r="D2923" s="116">
        <v>151.65</v>
      </c>
      <c r="E2923" s="117">
        <v>45458</v>
      </c>
      <c r="F2923" s="116">
        <f>COUNTIFS($A$3:A11188,A2923,$B$3:B11188,B2923)</f>
        <v>1</v>
      </c>
      <c r="G2923" s="116"/>
    </row>
    <row r="2924" spans="1:7" x14ac:dyDescent="0.2">
      <c r="A2924" s="116">
        <f>IF(ISNUMBER(Tabela2[[#This Row],[CT-e/NFS]])=TRUE,(IF(B2924&gt;30000,4,IF(B2924&lt;1000,"ND",0))),"-")</f>
        <v>4</v>
      </c>
      <c r="B2924" s="116">
        <v>47267</v>
      </c>
      <c r="C2924" s="117">
        <v>45444</v>
      </c>
      <c r="D2924" s="116">
        <v>448.32</v>
      </c>
      <c r="E2924" s="117">
        <v>45458</v>
      </c>
      <c r="F2924" s="116">
        <f>COUNTIFS($A$3:A11189,A2924,$B$3:B11189,B2924)</f>
        <v>1</v>
      </c>
      <c r="G2924" s="116"/>
    </row>
    <row r="2925" spans="1:7" x14ac:dyDescent="0.2">
      <c r="A2925" s="116">
        <f>IF(ISNUMBER(Tabela2[[#This Row],[CT-e/NFS]])=TRUE,(IF(B2925&gt;30000,4,IF(B2925&lt;1000,"ND",0))),"-")</f>
        <v>4</v>
      </c>
      <c r="B2925" s="116">
        <v>47279</v>
      </c>
      <c r="C2925" s="117">
        <v>45444</v>
      </c>
      <c r="D2925" s="116">
        <v>246.33</v>
      </c>
      <c r="E2925" s="117">
        <v>45458</v>
      </c>
      <c r="F2925" s="116">
        <f>COUNTIFS($A$3:A11190,A2925,$B$3:B11190,B2925)</f>
        <v>1</v>
      </c>
      <c r="G2925" s="116"/>
    </row>
    <row r="2926" spans="1:7" x14ac:dyDescent="0.2">
      <c r="A2926" s="116">
        <f>IF(ISNUMBER(Tabela2[[#This Row],[CT-e/NFS]])=TRUE,(IF(B2926&gt;30000,4,IF(B2926&lt;1000,"ND",0))),"-")</f>
        <v>4</v>
      </c>
      <c r="B2926" s="116">
        <v>47169</v>
      </c>
      <c r="C2926" s="117">
        <v>45444</v>
      </c>
      <c r="D2926" s="116">
        <v>124.16</v>
      </c>
      <c r="E2926" s="117">
        <v>45458</v>
      </c>
      <c r="F2926" s="116">
        <f>COUNTIFS($A$3:A11191,A2926,$B$3:B11191,B2926)</f>
        <v>1</v>
      </c>
      <c r="G2926" s="116"/>
    </row>
    <row r="2927" spans="1:7" x14ac:dyDescent="0.2">
      <c r="A2927" s="116">
        <f>IF(ISNUMBER(Tabela2[[#This Row],[CT-e/NFS]])=TRUE,(IF(B2927&gt;30000,4,IF(B2927&lt;1000,"ND",0))),"-")</f>
        <v>4</v>
      </c>
      <c r="B2927" s="116">
        <v>47196</v>
      </c>
      <c r="C2927" s="117">
        <v>45444</v>
      </c>
      <c r="D2927" s="116">
        <v>111.89</v>
      </c>
      <c r="E2927" s="117">
        <v>45458</v>
      </c>
      <c r="F2927" s="116">
        <f>COUNTIFS($A$3:A11192,A2927,$B$3:B11192,B2927)</f>
        <v>1</v>
      </c>
      <c r="G2927" s="116"/>
    </row>
    <row r="2928" spans="1:7" x14ac:dyDescent="0.2">
      <c r="A2928" s="116">
        <f>IF(ISNUMBER(Tabela2[[#This Row],[CT-e/NFS]])=TRUE,(IF(B2928&gt;30000,4,IF(B2928&lt;1000,"ND",0))),"-")</f>
        <v>4</v>
      </c>
      <c r="B2928" s="116">
        <v>47195</v>
      </c>
      <c r="C2928" s="117">
        <v>45444</v>
      </c>
      <c r="D2928" s="116">
        <v>62.08</v>
      </c>
      <c r="E2928" s="117">
        <v>45458</v>
      </c>
      <c r="F2928" s="116">
        <f>COUNTIFS($A$3:A11193,A2928,$B$3:B11193,B2928)</f>
        <v>1</v>
      </c>
      <c r="G2928" s="116"/>
    </row>
    <row r="2929" spans="1:7" x14ac:dyDescent="0.2">
      <c r="A2929" s="116">
        <f>IF(ISNUMBER(Tabela2[[#This Row],[CT-e/NFS]])=TRUE,(IF(B2929&gt;30000,4,IF(B2929&lt;1000,"ND",0))),"-")</f>
        <v>4</v>
      </c>
      <c r="B2929" s="116">
        <v>47290</v>
      </c>
      <c r="C2929" s="117">
        <v>45444</v>
      </c>
      <c r="D2929" s="116">
        <v>1756.28</v>
      </c>
      <c r="E2929" s="117">
        <v>45458</v>
      </c>
      <c r="F2929" s="116">
        <f>COUNTIFS($A$3:A11194,A2929,$B$3:B11194,B2929)</f>
        <v>1</v>
      </c>
      <c r="G2929" s="116"/>
    </row>
    <row r="2930" spans="1:7" x14ac:dyDescent="0.2">
      <c r="A2930" s="116">
        <f>IF(ISNUMBER(Tabela2[[#This Row],[CT-e/NFS]])=TRUE,(IF(B2930&gt;30000,4,IF(B2930&lt;1000,"ND",0))),"-")</f>
        <v>4</v>
      </c>
      <c r="B2930" s="116">
        <v>47276</v>
      </c>
      <c r="C2930" s="117">
        <v>45444</v>
      </c>
      <c r="D2930" s="116">
        <v>1472.61</v>
      </c>
      <c r="E2930" s="117">
        <v>45458</v>
      </c>
      <c r="F2930" s="116">
        <f>COUNTIFS($A$3:A11195,A2930,$B$3:B11195,B2930)</f>
        <v>1</v>
      </c>
      <c r="G2930" s="116"/>
    </row>
    <row r="2931" spans="1:7" x14ac:dyDescent="0.2">
      <c r="A2931" s="116">
        <f>IF(ISNUMBER(Tabela2[[#This Row],[CT-e/NFS]])=TRUE,(IF(B2931&gt;30000,4,IF(B2931&lt;1000,"ND",0))),"-")</f>
        <v>4</v>
      </c>
      <c r="B2931" s="116">
        <v>47278</v>
      </c>
      <c r="C2931" s="117">
        <v>45444</v>
      </c>
      <c r="D2931" s="116">
        <v>725.45</v>
      </c>
      <c r="E2931" s="117">
        <v>45458</v>
      </c>
      <c r="F2931" s="116">
        <f>COUNTIFS($A$3:A11196,A2931,$B$3:B11196,B2931)</f>
        <v>1</v>
      </c>
      <c r="G2931" s="116"/>
    </row>
    <row r="2932" spans="1:7" x14ac:dyDescent="0.2">
      <c r="A2932" s="116">
        <f>IF(ISNUMBER(Tabela2[[#This Row],[CT-e/NFS]])=TRUE,(IF(B2932&gt;30000,4,IF(B2932&lt;1000,"ND",0))),"-")</f>
        <v>4</v>
      </c>
      <c r="B2932" s="116">
        <v>47277</v>
      </c>
      <c r="C2932" s="117">
        <v>45444</v>
      </c>
      <c r="D2932" s="116">
        <v>401.74</v>
      </c>
      <c r="E2932" s="117">
        <v>45458</v>
      </c>
      <c r="F2932" s="116">
        <f>COUNTIFS($A$3:A11197,A2932,$B$3:B11197,B2932)</f>
        <v>1</v>
      </c>
      <c r="G2932" s="116"/>
    </row>
    <row r="2933" spans="1:7" x14ac:dyDescent="0.2">
      <c r="A2933" s="116">
        <f>IF(ISNUMBER(Tabela2[[#This Row],[CT-e/NFS]])=TRUE,(IF(B2933&gt;30000,4,IF(B2933&lt;1000,"ND",0))),"-")</f>
        <v>4</v>
      </c>
      <c r="B2933" s="116">
        <v>47284</v>
      </c>
      <c r="C2933" s="117">
        <v>45444</v>
      </c>
      <c r="D2933" s="116">
        <v>61.94</v>
      </c>
      <c r="E2933" s="117">
        <v>45458</v>
      </c>
      <c r="F2933" s="116">
        <f>COUNTIFS($A$3:A11198,A2933,$B$3:B11198,B2933)</f>
        <v>1</v>
      </c>
      <c r="G2933" s="116"/>
    </row>
    <row r="2934" spans="1:7" x14ac:dyDescent="0.2">
      <c r="A2934" s="116">
        <f>IF(ISNUMBER(Tabela2[[#This Row],[CT-e/NFS]])=TRUE,(IF(B2934&gt;30000,4,IF(B2934&lt;1000,"ND",0))),"-")</f>
        <v>4</v>
      </c>
      <c r="B2934" s="116">
        <v>47285</v>
      </c>
      <c r="C2934" s="117">
        <v>45444</v>
      </c>
      <c r="D2934" s="116">
        <v>111.63</v>
      </c>
      <c r="E2934" s="117">
        <v>45458</v>
      </c>
      <c r="F2934" s="116">
        <f>COUNTIFS($A$3:A11199,A2934,$B$3:B11199,B2934)</f>
        <v>1</v>
      </c>
      <c r="G2934" s="116"/>
    </row>
    <row r="2935" spans="1:7" x14ac:dyDescent="0.2">
      <c r="A2935" s="116">
        <f>IF(ISNUMBER(Tabela2[[#This Row],[CT-e/NFS]])=TRUE,(IF(B2935&gt;30000,4,IF(B2935&lt;1000,"ND",0))),"-")</f>
        <v>4</v>
      </c>
      <c r="B2935" s="116">
        <v>47287</v>
      </c>
      <c r="C2935" s="117">
        <v>45444</v>
      </c>
      <c r="D2935" s="116">
        <v>1796.03</v>
      </c>
      <c r="E2935" s="117">
        <v>45458</v>
      </c>
      <c r="F2935" s="116">
        <f>COUNTIFS($A$3:A11200,A2935,$B$3:B11200,B2935)</f>
        <v>1</v>
      </c>
      <c r="G2935" s="116"/>
    </row>
    <row r="2936" spans="1:7" x14ac:dyDescent="0.2">
      <c r="A2936" s="116">
        <f>IF(ISNUMBER(Tabela2[[#This Row],[CT-e/NFS]])=TRUE,(IF(B2936&gt;30000,4,IF(B2936&lt;1000,"ND",0))),"-")</f>
        <v>4</v>
      </c>
      <c r="B2936" s="116">
        <v>47289</v>
      </c>
      <c r="C2936" s="117">
        <v>45444</v>
      </c>
      <c r="D2936" s="116">
        <v>467.33</v>
      </c>
      <c r="E2936" s="117">
        <v>45458</v>
      </c>
      <c r="F2936" s="116">
        <f>COUNTIFS($A$3:A11201,A2936,$B$3:B11201,B2936)</f>
        <v>1</v>
      </c>
      <c r="G2936" s="116"/>
    </row>
    <row r="2937" spans="1:7" x14ac:dyDescent="0.2">
      <c r="A2937" s="116">
        <f>IF(ISNUMBER(Tabela2[[#This Row],[CT-e/NFS]])=TRUE,(IF(B2937&gt;30000,4,IF(B2937&lt;1000,"ND",0))),"-")</f>
        <v>4</v>
      </c>
      <c r="B2937" s="116">
        <v>47296</v>
      </c>
      <c r="C2937" s="117">
        <v>45444</v>
      </c>
      <c r="D2937" s="116">
        <v>355.11</v>
      </c>
      <c r="E2937" s="117">
        <v>45458</v>
      </c>
      <c r="F2937" s="116">
        <f>COUNTIFS($A$3:A11202,A2937,$B$3:B11202,B2937)</f>
        <v>1</v>
      </c>
      <c r="G2937" s="116"/>
    </row>
    <row r="2938" spans="1:7" x14ac:dyDescent="0.2">
      <c r="A2938" s="116">
        <f>IF(ISNUMBER(Tabela2[[#This Row],[CT-e/NFS]])=TRUE,(IF(B2938&gt;30000,4,IF(B2938&lt;1000,"ND",0))),"-")</f>
        <v>4</v>
      </c>
      <c r="B2938" s="116">
        <v>47295</v>
      </c>
      <c r="C2938" s="117">
        <v>45444</v>
      </c>
      <c r="D2938" s="116">
        <v>681.82</v>
      </c>
      <c r="E2938" s="117">
        <v>45458</v>
      </c>
      <c r="F2938" s="116">
        <f>COUNTIFS($A$3:A11203,A2938,$B$3:B11203,B2938)</f>
        <v>1</v>
      </c>
      <c r="G2938" s="116"/>
    </row>
    <row r="2939" spans="1:7" x14ac:dyDescent="0.2">
      <c r="A2939" s="116">
        <f>IF(ISNUMBER(Tabela2[[#This Row],[CT-e/NFS]])=TRUE,(IF(B2939&gt;30000,4,IF(B2939&lt;1000,"ND",0))),"-")</f>
        <v>4</v>
      </c>
      <c r="B2939" s="116">
        <v>47288</v>
      </c>
      <c r="C2939" s="117">
        <v>45444</v>
      </c>
      <c r="D2939" s="116">
        <v>454.19</v>
      </c>
      <c r="E2939" s="117">
        <v>45458</v>
      </c>
      <c r="F2939" s="116">
        <f>COUNTIFS($A$3:A11204,A2939,$B$3:B11204,B2939)</f>
        <v>1</v>
      </c>
      <c r="G2939" s="116"/>
    </row>
    <row r="2940" spans="1:7" x14ac:dyDescent="0.2">
      <c r="A2940" s="116">
        <f>IF(ISNUMBER(Tabela2[[#This Row],[CT-e/NFS]])=TRUE,(IF(B2940&gt;30000,4,IF(B2940&lt;1000,"ND",0))),"-")</f>
        <v>4</v>
      </c>
      <c r="B2940" s="116">
        <v>47168</v>
      </c>
      <c r="C2940" s="117">
        <v>45444</v>
      </c>
      <c r="D2940" s="116">
        <v>223.42</v>
      </c>
      <c r="E2940" s="117">
        <v>45458</v>
      </c>
      <c r="F2940" s="116">
        <f>COUNTIFS($A$3:A11205,A2940,$B$3:B11205,B2940)</f>
        <v>1</v>
      </c>
      <c r="G2940" s="116"/>
    </row>
    <row r="2941" spans="1:7" x14ac:dyDescent="0.2">
      <c r="A2941" s="116">
        <f>IF(ISNUMBER(Tabela2[[#This Row],[CT-e/NFS]])=TRUE,(IF(B2941&gt;30000,4,IF(B2941&lt;1000,"ND",0))),"-")</f>
        <v>4</v>
      </c>
      <c r="B2941" s="116">
        <v>47167</v>
      </c>
      <c r="C2941" s="117">
        <v>45444</v>
      </c>
      <c r="D2941" s="116">
        <v>124.24</v>
      </c>
      <c r="E2941" s="117">
        <v>45458</v>
      </c>
      <c r="F2941" s="116">
        <f>COUNTIFS($A$3:A11206,A2941,$B$3:B11206,B2941)</f>
        <v>1</v>
      </c>
      <c r="G2941" s="116"/>
    </row>
    <row r="2942" spans="1:7" x14ac:dyDescent="0.2">
      <c r="A2942" s="116">
        <f>IF(ISNUMBER(Tabela2[[#This Row],[CT-e/NFS]])=TRUE,(IF(B2942&gt;30000,4,IF(B2942&lt;1000,"ND",0))),"-")</f>
        <v>4</v>
      </c>
      <c r="B2942" s="116">
        <v>47293</v>
      </c>
      <c r="C2942" s="117">
        <v>45444</v>
      </c>
      <c r="D2942" s="116">
        <v>122.89</v>
      </c>
      <c r="E2942" s="117">
        <v>45458</v>
      </c>
      <c r="F2942" s="116">
        <f>COUNTIFS($A$3:A11207,A2942,$B$3:B11207,B2942)</f>
        <v>1</v>
      </c>
      <c r="G2942" s="116"/>
    </row>
    <row r="2943" spans="1:7" x14ac:dyDescent="0.2">
      <c r="A2943" s="116">
        <f>IF(ISNUMBER(Tabela2[[#This Row],[CT-e/NFS]])=TRUE,(IF(B2943&gt;30000,4,IF(B2943&lt;1000,"ND",0))),"-")</f>
        <v>4</v>
      </c>
      <c r="B2943" s="116">
        <v>47292</v>
      </c>
      <c r="C2943" s="117">
        <v>45444</v>
      </c>
      <c r="D2943" s="116">
        <v>136.06</v>
      </c>
      <c r="E2943" s="117">
        <v>45458</v>
      </c>
      <c r="F2943" s="116">
        <f>COUNTIFS($A$3:A11208,A2943,$B$3:B11208,B2943)</f>
        <v>1</v>
      </c>
      <c r="G2943" s="116"/>
    </row>
    <row r="2944" spans="1:7" x14ac:dyDescent="0.2">
      <c r="A2944" s="116">
        <f>IF(ISNUMBER(Tabela2[[#This Row],[CT-e/NFS]])=TRUE,(IF(B2944&gt;30000,4,IF(B2944&lt;1000,"ND",0))),"-")</f>
        <v>4</v>
      </c>
      <c r="B2944" s="116">
        <v>47294</v>
      </c>
      <c r="C2944" s="117">
        <v>45444</v>
      </c>
      <c r="D2944" s="116">
        <v>681.82</v>
      </c>
      <c r="E2944" s="117">
        <v>45458</v>
      </c>
      <c r="F2944" s="116">
        <f>COUNTIFS($A$3:A11209,A2944,$B$3:B11209,B2944)</f>
        <v>1</v>
      </c>
      <c r="G2944" s="116"/>
    </row>
    <row r="2945" spans="1:7" x14ac:dyDescent="0.2">
      <c r="A2945" s="116">
        <f>IF(ISNUMBER(Tabela2[[#This Row],[CT-e/NFS]])=TRUE,(IF(B2945&gt;30000,4,IF(B2945&lt;1000,"ND",0))),"-")</f>
        <v>4</v>
      </c>
      <c r="B2945" s="116">
        <v>47307</v>
      </c>
      <c r="C2945" s="117">
        <v>45444</v>
      </c>
      <c r="D2945" s="116">
        <v>123.89</v>
      </c>
      <c r="E2945" s="117">
        <v>45458</v>
      </c>
      <c r="F2945" s="116">
        <f>COUNTIFS($A$3:A11210,A2945,$B$3:B11210,B2945)</f>
        <v>1</v>
      </c>
      <c r="G2945" s="116"/>
    </row>
    <row r="2946" spans="1:7" x14ac:dyDescent="0.2">
      <c r="A2946" s="116">
        <f>IF(ISNUMBER(Tabela2[[#This Row],[CT-e/NFS]])=TRUE,(IF(B2946&gt;30000,4,IF(B2946&lt;1000,"ND",0))),"-")</f>
        <v>4</v>
      </c>
      <c r="B2946" s="116">
        <v>47308</v>
      </c>
      <c r="C2946" s="117">
        <v>45444</v>
      </c>
      <c r="D2946" s="116">
        <v>241.03</v>
      </c>
      <c r="E2946" s="117">
        <v>45458</v>
      </c>
      <c r="F2946" s="116">
        <f>COUNTIFS($A$3:A11211,A2946,$B$3:B11211,B2946)</f>
        <v>1</v>
      </c>
      <c r="G2946" s="116"/>
    </row>
    <row r="2947" spans="1:7" x14ac:dyDescent="0.2">
      <c r="A2947" s="116">
        <f>IF(ISNUMBER(Tabela2[[#This Row],[CT-e/NFS]])=TRUE,(IF(B2947&gt;30000,4,IF(B2947&lt;1000,"ND",0))),"-")</f>
        <v>4</v>
      </c>
      <c r="B2947" s="116">
        <v>47291</v>
      </c>
      <c r="C2947" s="117">
        <v>45444</v>
      </c>
      <c r="D2947" s="116">
        <v>122.92</v>
      </c>
      <c r="E2947" s="117">
        <v>45458</v>
      </c>
      <c r="F2947" s="116">
        <f>COUNTIFS($A$3:A11212,A2947,$B$3:B11212,B2947)</f>
        <v>1</v>
      </c>
      <c r="G2947" s="116"/>
    </row>
    <row r="2948" spans="1:7" x14ac:dyDescent="0.2">
      <c r="A2948" s="116">
        <f>IF(ISNUMBER(Tabela2[[#This Row],[CT-e/NFS]])=TRUE,(IF(B2948&gt;30000,4,IF(B2948&lt;1000,"ND",0))),"-")</f>
        <v>4</v>
      </c>
      <c r="B2948" s="116">
        <v>47302</v>
      </c>
      <c r="C2948" s="117">
        <v>45444</v>
      </c>
      <c r="D2948" s="116">
        <v>227.63</v>
      </c>
      <c r="E2948" s="117">
        <v>45458</v>
      </c>
      <c r="F2948" s="116">
        <f>COUNTIFS($A$3:A11213,A2948,$B$3:B11213,B2948)</f>
        <v>1</v>
      </c>
      <c r="G2948" s="116"/>
    </row>
    <row r="2949" spans="1:7" x14ac:dyDescent="0.2">
      <c r="A2949" s="116">
        <f>IF(ISNUMBER(Tabela2[[#This Row],[CT-e/NFS]])=TRUE,(IF(B2949&gt;30000,4,IF(B2949&lt;1000,"ND",0))),"-")</f>
        <v>4</v>
      </c>
      <c r="B2949" s="116">
        <v>47305</v>
      </c>
      <c r="C2949" s="117">
        <v>45444</v>
      </c>
      <c r="D2949" s="116">
        <v>124.03</v>
      </c>
      <c r="E2949" s="117">
        <v>45458</v>
      </c>
      <c r="F2949" s="116">
        <f>COUNTIFS($A$3:A11214,A2949,$B$3:B11214,B2949)</f>
        <v>1</v>
      </c>
      <c r="G2949" s="116"/>
    </row>
    <row r="2950" spans="1:7" x14ac:dyDescent="0.2">
      <c r="A2950" s="116">
        <f>IF(ISNUMBER(Tabela2[[#This Row],[CT-e/NFS]])=TRUE,(IF(B2950&gt;30000,4,IF(B2950&lt;1000,"ND",0))),"-")</f>
        <v>4</v>
      </c>
      <c r="B2950" s="116">
        <v>47303</v>
      </c>
      <c r="C2950" s="117">
        <v>45444</v>
      </c>
      <c r="D2950" s="116">
        <v>310.38</v>
      </c>
      <c r="E2950" s="117">
        <v>45458</v>
      </c>
      <c r="F2950" s="116">
        <f>COUNTIFS($A$3:A11215,A2950,$B$3:B11215,B2950)</f>
        <v>1</v>
      </c>
      <c r="G2950" s="116"/>
    </row>
    <row r="2951" spans="1:7" x14ac:dyDescent="0.2">
      <c r="A2951" s="116">
        <f>IF(ISNUMBER(Tabela2[[#This Row],[CT-e/NFS]])=TRUE,(IF(B2951&gt;30000,4,IF(B2951&lt;1000,"ND",0))),"-")</f>
        <v>4</v>
      </c>
      <c r="B2951" s="116">
        <v>47304</v>
      </c>
      <c r="C2951" s="117">
        <v>45444</v>
      </c>
      <c r="D2951" s="116">
        <v>251.26</v>
      </c>
      <c r="E2951" s="117">
        <v>45458</v>
      </c>
      <c r="F2951" s="116">
        <f>COUNTIFS($A$3:A11216,A2951,$B$3:B11216,B2951)</f>
        <v>1</v>
      </c>
      <c r="G2951" s="116"/>
    </row>
    <row r="2952" spans="1:7" x14ac:dyDescent="0.2">
      <c r="A2952" s="116">
        <f>IF(ISNUMBER(Tabela2[[#This Row],[CT-e/NFS]])=TRUE,(IF(B2952&gt;30000,4,IF(B2952&lt;1000,"ND",0))),"-")</f>
        <v>4</v>
      </c>
      <c r="B2952" s="116">
        <v>47306</v>
      </c>
      <c r="C2952" s="117">
        <v>45444</v>
      </c>
      <c r="D2952" s="116">
        <v>124.16</v>
      </c>
      <c r="E2952" s="117">
        <v>45458</v>
      </c>
      <c r="F2952" s="116">
        <f>COUNTIFS($A$3:A11217,A2952,$B$3:B11217,B2952)</f>
        <v>1</v>
      </c>
      <c r="G2952" s="116"/>
    </row>
    <row r="2953" spans="1:7" x14ac:dyDescent="0.2">
      <c r="A2953" s="116">
        <f>IF(ISNUMBER(Tabela2[[#This Row],[CT-e/NFS]])=TRUE,(IF(B2953&gt;30000,4,IF(B2953&lt;1000,"ND",0))),"-")</f>
        <v>4</v>
      </c>
      <c r="B2953" s="116">
        <v>47297</v>
      </c>
      <c r="C2953" s="117">
        <v>45444</v>
      </c>
      <c r="D2953" s="116">
        <v>124.42</v>
      </c>
      <c r="E2953" s="117">
        <v>45458</v>
      </c>
      <c r="F2953" s="116">
        <f>COUNTIFS($A$3:A11218,A2953,$B$3:B11218,B2953)</f>
        <v>1</v>
      </c>
      <c r="G2953" s="116"/>
    </row>
    <row r="2954" spans="1:7" x14ac:dyDescent="0.2">
      <c r="A2954" s="116">
        <f>IF(ISNUMBER(Tabela2[[#This Row],[CT-e/NFS]])=TRUE,(IF(B2954&gt;30000,4,IF(B2954&lt;1000,"ND",0))),"-")</f>
        <v>4</v>
      </c>
      <c r="B2954" s="116">
        <v>47299</v>
      </c>
      <c r="C2954" s="117">
        <v>45444</v>
      </c>
      <c r="D2954" s="116">
        <v>125.83</v>
      </c>
      <c r="E2954" s="117">
        <v>45458</v>
      </c>
      <c r="F2954" s="116">
        <f>COUNTIFS($A$3:A11219,A2954,$B$3:B11219,B2954)</f>
        <v>1</v>
      </c>
      <c r="G2954" s="116"/>
    </row>
    <row r="2955" spans="1:7" x14ac:dyDescent="0.2">
      <c r="A2955" s="116">
        <f>IF(ISNUMBER(Tabela2[[#This Row],[CT-e/NFS]])=TRUE,(IF(B2955&gt;30000,4,IF(B2955&lt;1000,"ND",0))),"-")</f>
        <v>4</v>
      </c>
      <c r="B2955" s="116">
        <v>47300</v>
      </c>
      <c r="C2955" s="117">
        <v>45444</v>
      </c>
      <c r="D2955" s="116">
        <v>124.26</v>
      </c>
      <c r="E2955" s="117">
        <v>45458</v>
      </c>
      <c r="F2955" s="116">
        <f>COUNTIFS($A$3:A11220,A2955,$B$3:B11220,B2955)</f>
        <v>1</v>
      </c>
      <c r="G2955" s="116"/>
    </row>
    <row r="2956" spans="1:7" x14ac:dyDescent="0.2">
      <c r="A2956" s="116">
        <f>IF(ISNUMBER(Tabela2[[#This Row],[CT-e/NFS]])=TRUE,(IF(B2956&gt;30000,4,IF(B2956&lt;1000,"ND",0))),"-")</f>
        <v>4</v>
      </c>
      <c r="B2956" s="116">
        <v>47298</v>
      </c>
      <c r="C2956" s="117">
        <v>45444</v>
      </c>
      <c r="D2956" s="116">
        <v>189.77</v>
      </c>
      <c r="E2956" s="117">
        <v>45458</v>
      </c>
      <c r="F2956" s="116">
        <f>COUNTIFS($A$3:A11221,A2956,$B$3:B11221,B2956)</f>
        <v>1</v>
      </c>
      <c r="G2956" s="116"/>
    </row>
    <row r="2957" spans="1:7" x14ac:dyDescent="0.2">
      <c r="A2957" s="116">
        <f>IF(ISNUMBER(Tabela2[[#This Row],[CT-e/NFS]])=TRUE,(IF(B2957&gt;30000,4,IF(B2957&lt;1000,"ND",0))),"-")</f>
        <v>4</v>
      </c>
      <c r="B2957" s="116">
        <v>47301</v>
      </c>
      <c r="C2957" s="117">
        <v>45444</v>
      </c>
      <c r="D2957" s="116">
        <v>122.92</v>
      </c>
      <c r="E2957" s="117">
        <v>45458</v>
      </c>
      <c r="F2957" s="116">
        <f>COUNTIFS($A$3:A11222,A2957,$B$3:B11222,B2957)</f>
        <v>1</v>
      </c>
      <c r="G2957" s="116"/>
    </row>
    <row r="2958" spans="1:7" x14ac:dyDescent="0.2">
      <c r="A2958" s="116">
        <f>IF(ISNUMBER(Tabela2[[#This Row],[CT-e/NFS]])=TRUE,(IF(B2958&gt;30000,4,IF(B2958&lt;1000,"ND",0))),"-")</f>
        <v>4</v>
      </c>
      <c r="B2958" s="116">
        <v>47314</v>
      </c>
      <c r="C2958" s="117">
        <v>45444</v>
      </c>
      <c r="D2958" s="116">
        <v>1796.03</v>
      </c>
      <c r="E2958" s="117">
        <v>45458</v>
      </c>
      <c r="F2958" s="116">
        <f>COUNTIFS($A$3:A11223,A2958,$B$3:B11223,B2958)</f>
        <v>1</v>
      </c>
      <c r="G2958" s="116"/>
    </row>
    <row r="2959" spans="1:7" x14ac:dyDescent="0.2">
      <c r="A2959" s="116">
        <f>IF(ISNUMBER(Tabela2[[#This Row],[CT-e/NFS]])=TRUE,(IF(B2959&gt;30000,4,IF(B2959&lt;1000,"ND",0))),"-")</f>
        <v>4</v>
      </c>
      <c r="B2959" s="116">
        <v>47316</v>
      </c>
      <c r="C2959" s="117">
        <v>45444</v>
      </c>
      <c r="D2959" s="116">
        <v>445.14</v>
      </c>
      <c r="E2959" s="117">
        <v>45458</v>
      </c>
      <c r="F2959" s="116">
        <f>COUNTIFS($A$3:A11224,A2959,$B$3:B11224,B2959)</f>
        <v>1</v>
      </c>
      <c r="G2959" s="116"/>
    </row>
    <row r="2960" spans="1:7" x14ac:dyDescent="0.2">
      <c r="A2960" s="116">
        <f>IF(ISNUMBER(Tabela2[[#This Row],[CT-e/NFS]])=TRUE,(IF(B2960&gt;30000,4,IF(B2960&lt;1000,"ND",0))),"-")</f>
        <v>4</v>
      </c>
      <c r="B2960" s="116">
        <v>47315</v>
      </c>
      <c r="C2960" s="117">
        <v>45444</v>
      </c>
      <c r="D2960" s="116">
        <v>1313.16</v>
      </c>
      <c r="E2960" s="117">
        <v>45458</v>
      </c>
      <c r="F2960" s="116">
        <f>COUNTIFS($A$3:A11225,A2960,$B$3:B11225,B2960)</f>
        <v>1</v>
      </c>
      <c r="G2960" s="116"/>
    </row>
    <row r="2961" spans="1:7" x14ac:dyDescent="0.2">
      <c r="A2961" s="116">
        <f>IF(ISNUMBER(Tabela2[[#This Row],[CT-e/NFS]])=TRUE,(IF(B2961&gt;30000,4,IF(B2961&lt;1000,"ND",0))),"-")</f>
        <v>4</v>
      </c>
      <c r="B2961" s="116">
        <v>47313</v>
      </c>
      <c r="C2961" s="117">
        <v>45444</v>
      </c>
      <c r="D2961" s="116">
        <v>1758.3</v>
      </c>
      <c r="E2961" s="117">
        <v>45458</v>
      </c>
      <c r="F2961" s="116">
        <f>COUNTIFS($A$3:A11226,A2961,$B$3:B11226,B2961)</f>
        <v>1</v>
      </c>
      <c r="G2961" s="116"/>
    </row>
    <row r="2962" spans="1:7" x14ac:dyDescent="0.2">
      <c r="A2962" s="116">
        <f>IF(ISNUMBER(Tabela2[[#This Row],[CT-e/NFS]])=TRUE,(IF(B2962&gt;30000,4,IF(B2962&lt;1000,"ND",0))),"-")</f>
        <v>4</v>
      </c>
      <c r="B2962" s="116">
        <v>47310</v>
      </c>
      <c r="C2962" s="117">
        <v>45444</v>
      </c>
      <c r="D2962" s="116">
        <v>723.14</v>
      </c>
      <c r="E2962" s="117">
        <v>45458</v>
      </c>
      <c r="F2962" s="116">
        <f>COUNTIFS($A$3:A11227,A2962,$B$3:B11227,B2962)</f>
        <v>1</v>
      </c>
      <c r="G2962" s="116"/>
    </row>
    <row r="2963" spans="1:7" x14ac:dyDescent="0.2">
      <c r="A2963" s="116">
        <f>IF(ISNUMBER(Tabela2[[#This Row],[CT-e/NFS]])=TRUE,(IF(B2963&gt;30000,4,IF(B2963&lt;1000,"ND",0))),"-")</f>
        <v>4</v>
      </c>
      <c r="B2963" s="116">
        <v>47311</v>
      </c>
      <c r="C2963" s="117">
        <v>45444</v>
      </c>
      <c r="D2963" s="116">
        <v>401.74</v>
      </c>
      <c r="E2963" s="117">
        <v>45458</v>
      </c>
      <c r="F2963" s="116">
        <f>COUNTIFS($A$3:A11228,A2963,$B$3:B11228,B2963)</f>
        <v>1</v>
      </c>
      <c r="G2963" s="116"/>
    </row>
    <row r="2964" spans="1:7" x14ac:dyDescent="0.2">
      <c r="A2964" s="116">
        <f>IF(ISNUMBER(Tabela2[[#This Row],[CT-e/NFS]])=TRUE,(IF(B2964&gt;30000,4,IF(B2964&lt;1000,"ND",0))),"-")</f>
        <v>4</v>
      </c>
      <c r="B2964" s="116">
        <v>47312</v>
      </c>
      <c r="C2964" s="117">
        <v>45444</v>
      </c>
      <c r="D2964" s="116">
        <v>1858.34</v>
      </c>
      <c r="E2964" s="117">
        <v>45458</v>
      </c>
      <c r="F2964" s="116">
        <f>COUNTIFS($A$3:A11229,A2964,$B$3:B11229,B2964)</f>
        <v>1</v>
      </c>
      <c r="G2964" s="116"/>
    </row>
    <row r="2965" spans="1:7" x14ac:dyDescent="0.2">
      <c r="A2965" s="116">
        <f>IF(ISNUMBER(Tabela2[[#This Row],[CT-e/NFS]])=TRUE,(IF(B2965&gt;30000,4,IF(B2965&lt;1000,"ND",0))),"-")</f>
        <v>4</v>
      </c>
      <c r="B2965" s="116">
        <v>47166</v>
      </c>
      <c r="C2965" s="117">
        <v>45444</v>
      </c>
      <c r="D2965" s="116">
        <v>227.27</v>
      </c>
      <c r="E2965" s="117">
        <v>45458</v>
      </c>
      <c r="F2965" s="116">
        <f>COUNTIFS($A$3:A11230,A2965,$B$3:B11230,B2965)</f>
        <v>1</v>
      </c>
      <c r="G2965" s="116"/>
    </row>
    <row r="2966" spans="1:7" x14ac:dyDescent="0.2">
      <c r="A2966" s="116">
        <f>IF(ISNUMBER(Tabela2[[#This Row],[CT-e/NFS]])=TRUE,(IF(B2966&gt;30000,4,IF(B2966&lt;1000,"ND",0))),"-")</f>
        <v>4</v>
      </c>
      <c r="B2966" s="116">
        <v>47229</v>
      </c>
      <c r="C2966" s="117">
        <v>45444</v>
      </c>
      <c r="D2966" s="116">
        <v>959.44</v>
      </c>
      <c r="E2966" s="117">
        <v>45458</v>
      </c>
      <c r="F2966" s="116">
        <f>COUNTIFS($A$3:A11231,A2966,$B$3:B11231,B2966)</f>
        <v>1</v>
      </c>
      <c r="G2966" s="116"/>
    </row>
    <row r="2967" spans="1:7" x14ac:dyDescent="0.2">
      <c r="A2967" s="116">
        <f>IF(ISNUMBER(Tabela2[[#This Row],[CT-e/NFS]])=TRUE,(IF(B2967&gt;30000,4,IF(B2967&lt;1000,"ND",0))),"-")</f>
        <v>4</v>
      </c>
      <c r="B2967" s="116">
        <v>47170</v>
      </c>
      <c r="C2967" s="117">
        <v>45444</v>
      </c>
      <c r="D2967" s="116">
        <v>396.45</v>
      </c>
      <c r="E2967" s="117">
        <v>45458</v>
      </c>
      <c r="F2967" s="116">
        <f>COUNTIFS($A$3:A11232,A2967,$B$3:B11232,B2967)</f>
        <v>1</v>
      </c>
      <c r="G2967" s="116"/>
    </row>
    <row r="2968" spans="1:7" x14ac:dyDescent="0.2">
      <c r="A2968" s="116">
        <f>IF(ISNUMBER(Tabela2[[#This Row],[CT-e/NFS]])=TRUE,(IF(B2968&gt;30000,4,IF(B2968&lt;1000,"ND",0))),"-")</f>
        <v>4</v>
      </c>
      <c r="B2968" s="116">
        <v>47228</v>
      </c>
      <c r="C2968" s="117">
        <v>45444</v>
      </c>
      <c r="D2968" s="116">
        <v>396.45</v>
      </c>
      <c r="E2968" s="117">
        <v>45458</v>
      </c>
      <c r="F2968" s="116">
        <f>COUNTIFS($A$3:A11233,A2968,$B$3:B11233,B2968)</f>
        <v>1</v>
      </c>
      <c r="G2968" s="116"/>
    </row>
    <row r="2969" spans="1:7" x14ac:dyDescent="0.2">
      <c r="A2969" s="116">
        <f>IF(ISNUMBER(Tabela2[[#This Row],[CT-e/NFS]])=TRUE,(IF(B2969&gt;30000,4,IF(B2969&lt;1000,"ND",0))),"-")</f>
        <v>4</v>
      </c>
      <c r="B2969" s="116">
        <v>47522</v>
      </c>
      <c r="C2969" s="117">
        <v>45464</v>
      </c>
      <c r="D2969" s="116">
        <v>322.27</v>
      </c>
      <c r="E2969" s="117">
        <v>45473</v>
      </c>
      <c r="F2969" s="116">
        <f>COUNTIFS($A$3:A11225,A2969,$B$3:B11225,B2969)</f>
        <v>1</v>
      </c>
      <c r="G2969" s="116"/>
    </row>
    <row r="2970" spans="1:7" x14ac:dyDescent="0.2">
      <c r="A2970" s="116">
        <f>IF(ISNUMBER(Tabela2[[#This Row],[CT-e/NFS]])=TRUE,(IF(B2970&gt;30000,4,IF(B2970&lt;1000,"ND",0))),"-")</f>
        <v>4</v>
      </c>
      <c r="B2970" s="116">
        <v>47524</v>
      </c>
      <c r="C2970" s="117">
        <v>45464</v>
      </c>
      <c r="D2970" s="116">
        <v>1105.3800000000001</v>
      </c>
      <c r="E2970" s="117">
        <v>45473</v>
      </c>
      <c r="F2970" s="116">
        <f>COUNTIFS($A$3:A11226,A2970,$B$3:B11226,B2970)</f>
        <v>1</v>
      </c>
      <c r="G2970" s="116"/>
    </row>
    <row r="2971" spans="1:7" x14ac:dyDescent="0.2">
      <c r="A2971" s="116">
        <f>IF(ISNUMBER(Tabela2[[#This Row],[CT-e/NFS]])=TRUE,(IF(B2971&gt;30000,4,IF(B2971&lt;1000,"ND",0))),"-")</f>
        <v>4</v>
      </c>
      <c r="B2971" s="116">
        <v>47523</v>
      </c>
      <c r="C2971" s="117">
        <v>45464</v>
      </c>
      <c r="D2971" s="116">
        <v>330.65</v>
      </c>
      <c r="E2971" s="117">
        <v>45473</v>
      </c>
      <c r="F2971" s="116">
        <f>COUNTIFS($A$3:A11227,A2971,$B$3:B11227,B2971)</f>
        <v>1</v>
      </c>
      <c r="G2971" s="116"/>
    </row>
    <row r="2972" spans="1:7" x14ac:dyDescent="0.2">
      <c r="A2972" s="116">
        <f>IF(ISNUMBER(Tabela2[[#This Row],[CT-e/NFS]])=TRUE,(IF(B2972&gt;30000,4,IF(B2972&lt;1000,"ND",0))),"-")</f>
        <v>4</v>
      </c>
      <c r="B2972" s="116">
        <v>47521</v>
      </c>
      <c r="C2972" s="117">
        <v>45464</v>
      </c>
      <c r="D2972" s="116">
        <v>1137.73</v>
      </c>
      <c r="E2972" s="117">
        <v>45473</v>
      </c>
      <c r="F2972" s="116">
        <f>COUNTIFS($A$3:A11228,A2972,$B$3:B11228,B2972)</f>
        <v>1</v>
      </c>
      <c r="G2972" s="116"/>
    </row>
    <row r="2973" spans="1:7" x14ac:dyDescent="0.2">
      <c r="A2973" s="116">
        <f>IF(ISNUMBER(Tabela2[[#This Row],[CT-e/NFS]])=TRUE,(IF(B2973&gt;30000,4,IF(B2973&lt;1000,"ND",0))),"-")</f>
        <v>4</v>
      </c>
      <c r="B2973" s="116">
        <v>47532</v>
      </c>
      <c r="C2973" s="117">
        <v>45464</v>
      </c>
      <c r="D2973" s="116">
        <v>165.85</v>
      </c>
      <c r="E2973" s="117">
        <v>45473</v>
      </c>
      <c r="F2973" s="116">
        <f>COUNTIFS($A$3:A11229,A2973,$B$3:B11229,B2973)</f>
        <v>1</v>
      </c>
      <c r="G2973" s="116"/>
    </row>
    <row r="2974" spans="1:7" x14ac:dyDescent="0.2">
      <c r="A2974" s="116">
        <f>IF(ISNUMBER(Tabela2[[#This Row],[CT-e/NFS]])=TRUE,(IF(B2974&gt;30000,4,IF(B2974&lt;1000,"ND",0))),"-")</f>
        <v>4</v>
      </c>
      <c r="B2974" s="116">
        <v>47534</v>
      </c>
      <c r="C2974" s="117">
        <v>45464</v>
      </c>
      <c r="D2974" s="116">
        <v>125.56</v>
      </c>
      <c r="E2974" s="117">
        <v>45473</v>
      </c>
      <c r="F2974" s="116">
        <f>COUNTIFS($A$3:A11230,A2974,$B$3:B11230,B2974)</f>
        <v>1</v>
      </c>
      <c r="G2974" s="116"/>
    </row>
    <row r="2975" spans="1:7" x14ac:dyDescent="0.2">
      <c r="A2975" s="116">
        <f>IF(ISNUMBER(Tabela2[[#This Row],[CT-e/NFS]])=TRUE,(IF(B2975&gt;30000,4,IF(B2975&lt;1000,"ND",0))),"-")</f>
        <v>4</v>
      </c>
      <c r="B2975" s="116">
        <v>47531</v>
      </c>
      <c r="C2975" s="117">
        <v>45464</v>
      </c>
      <c r="D2975" s="116">
        <v>254.22</v>
      </c>
      <c r="E2975" s="117">
        <v>45473</v>
      </c>
      <c r="F2975" s="116">
        <f>COUNTIFS($A$3:A11231,A2975,$B$3:B11231,B2975)</f>
        <v>1</v>
      </c>
      <c r="G2975" s="116"/>
    </row>
    <row r="2976" spans="1:7" x14ac:dyDescent="0.2">
      <c r="A2976" s="116">
        <f>IF(ISNUMBER(Tabela2[[#This Row],[CT-e/NFS]])=TRUE,(IF(B2976&gt;30000,4,IF(B2976&lt;1000,"ND",0))),"-")</f>
        <v>4</v>
      </c>
      <c r="B2976" s="116">
        <v>47529</v>
      </c>
      <c r="C2976" s="117">
        <v>45464</v>
      </c>
      <c r="D2976" s="116">
        <v>170.26</v>
      </c>
      <c r="E2976" s="117">
        <v>45473</v>
      </c>
      <c r="F2976" s="116">
        <f>COUNTIFS($A$3:A11232,A2976,$B$3:B11232,B2976)</f>
        <v>1</v>
      </c>
      <c r="G2976" s="116"/>
    </row>
    <row r="2977" spans="1:7" x14ac:dyDescent="0.2">
      <c r="A2977" s="116">
        <f>IF(ISNUMBER(Tabela2[[#This Row],[CT-e/NFS]])=TRUE,(IF(B2977&gt;30000,4,IF(B2977&lt;1000,"ND",0))),"-")</f>
        <v>4</v>
      </c>
      <c r="B2977" s="116">
        <v>47530</v>
      </c>
      <c r="C2977" s="117">
        <v>45464</v>
      </c>
      <c r="D2977" s="116">
        <v>123.94</v>
      </c>
      <c r="E2977" s="117">
        <v>45473</v>
      </c>
      <c r="F2977" s="116">
        <f>COUNTIFS($A$3:A11233,A2977,$B$3:B11233,B2977)</f>
        <v>1</v>
      </c>
      <c r="G2977" s="116"/>
    </row>
    <row r="2978" spans="1:7" x14ac:dyDescent="0.2">
      <c r="A2978" s="116">
        <f>IF(ISNUMBER(Tabela2[[#This Row],[CT-e/NFS]])=TRUE,(IF(B2978&gt;30000,4,IF(B2978&lt;1000,"ND",0))),"-")</f>
        <v>4</v>
      </c>
      <c r="B2978" s="116">
        <v>47526</v>
      </c>
      <c r="C2978" s="117">
        <v>45464</v>
      </c>
      <c r="D2978" s="116">
        <v>461.34</v>
      </c>
      <c r="E2978" s="117">
        <v>45473</v>
      </c>
      <c r="F2978" s="116">
        <f>COUNTIFS($A$3:A11234,A2978,$B$3:B11234,B2978)</f>
        <v>1</v>
      </c>
      <c r="G2978" s="116"/>
    </row>
    <row r="2979" spans="1:7" x14ac:dyDescent="0.2">
      <c r="A2979" s="116">
        <f>IF(ISNUMBER(Tabela2[[#This Row],[CT-e/NFS]])=TRUE,(IF(B2979&gt;30000,4,IF(B2979&lt;1000,"ND",0))),"-")</f>
        <v>4</v>
      </c>
      <c r="B2979" s="116">
        <v>47525</v>
      </c>
      <c r="C2979" s="117">
        <v>45464</v>
      </c>
      <c r="D2979" s="116">
        <v>123.13</v>
      </c>
      <c r="E2979" s="117">
        <v>45473</v>
      </c>
      <c r="F2979" s="116">
        <f>COUNTIFS($A$3:A11235,A2979,$B$3:B11235,B2979)</f>
        <v>1</v>
      </c>
      <c r="G2979" s="116"/>
    </row>
    <row r="2980" spans="1:7" x14ac:dyDescent="0.2">
      <c r="A2980" s="116">
        <f>IF(ISNUMBER(Tabela2[[#This Row],[CT-e/NFS]])=TRUE,(IF(B2980&gt;30000,4,IF(B2980&lt;1000,"ND",0))),"-")</f>
        <v>4</v>
      </c>
      <c r="B2980" s="116">
        <v>47528</v>
      </c>
      <c r="C2980" s="117">
        <v>45464</v>
      </c>
      <c r="D2980" s="116">
        <v>86.88</v>
      </c>
      <c r="E2980" s="117">
        <v>45473</v>
      </c>
      <c r="F2980" s="116">
        <f>COUNTIFS($A$3:A11236,A2980,$B$3:B11236,B2980)</f>
        <v>1</v>
      </c>
      <c r="G2980" s="116"/>
    </row>
    <row r="2981" spans="1:7" x14ac:dyDescent="0.2">
      <c r="A2981" s="116">
        <f>IF(ISNUMBER(Tabela2[[#This Row],[CT-e/NFS]])=TRUE,(IF(B2981&gt;30000,4,IF(B2981&lt;1000,"ND",0))),"-")</f>
        <v>4</v>
      </c>
      <c r="B2981" s="116">
        <v>47527</v>
      </c>
      <c r="C2981" s="117">
        <v>45464</v>
      </c>
      <c r="D2981" s="116">
        <v>124.34</v>
      </c>
      <c r="E2981" s="117">
        <v>45473</v>
      </c>
      <c r="F2981" s="116">
        <f>COUNTIFS($A$3:A11237,A2981,$B$3:B11237,B2981)</f>
        <v>1</v>
      </c>
      <c r="G2981" s="116"/>
    </row>
    <row r="2982" spans="1:7" x14ac:dyDescent="0.2">
      <c r="A2982" s="116">
        <f>IF(ISNUMBER(Tabela2[[#This Row],[CT-e/NFS]])=TRUE,(IF(B2982&gt;30000,4,IF(B2982&lt;1000,"ND",0))),"-")</f>
        <v>4</v>
      </c>
      <c r="B2982" s="116">
        <v>47538</v>
      </c>
      <c r="C2982" s="117">
        <v>45464</v>
      </c>
      <c r="D2982" s="116">
        <v>111.49</v>
      </c>
      <c r="E2982" s="117">
        <v>45473</v>
      </c>
      <c r="F2982" s="116">
        <f>COUNTIFS($A$3:A11238,A2982,$B$3:B11238,B2982)</f>
        <v>1</v>
      </c>
      <c r="G2982" s="116"/>
    </row>
    <row r="2983" spans="1:7" x14ac:dyDescent="0.2">
      <c r="A2983" s="116">
        <f>IF(ISNUMBER(Tabela2[[#This Row],[CT-e/NFS]])=TRUE,(IF(B2983&gt;30000,4,IF(B2983&lt;1000,"ND",0))),"-")</f>
        <v>4</v>
      </c>
      <c r="B2983" s="116">
        <v>47537</v>
      </c>
      <c r="C2983" s="117">
        <v>45464</v>
      </c>
      <c r="D2983" s="116">
        <v>61.94</v>
      </c>
      <c r="E2983" s="117">
        <v>45473</v>
      </c>
      <c r="F2983" s="116">
        <f>COUNTIFS($A$3:A11239,A2983,$B$3:B11239,B2983)</f>
        <v>1</v>
      </c>
      <c r="G2983" s="116"/>
    </row>
    <row r="2984" spans="1:7" x14ac:dyDescent="0.2">
      <c r="A2984" s="116">
        <f>IF(ISNUMBER(Tabela2[[#This Row],[CT-e/NFS]])=TRUE,(IF(B2984&gt;30000,4,IF(B2984&lt;1000,"ND",0))),"-")</f>
        <v>4</v>
      </c>
      <c r="B2984" s="116">
        <v>47541</v>
      </c>
      <c r="C2984" s="117">
        <v>45464</v>
      </c>
      <c r="D2984" s="116">
        <v>557.84</v>
      </c>
      <c r="E2984" s="117">
        <v>45473</v>
      </c>
      <c r="F2984" s="116">
        <f>COUNTIFS($A$3:A11240,A2984,$B$3:B11240,B2984)</f>
        <v>1</v>
      </c>
      <c r="G2984" s="116"/>
    </row>
    <row r="2985" spans="1:7" x14ac:dyDescent="0.2">
      <c r="A2985" s="116">
        <f>IF(ISNUMBER(Tabela2[[#This Row],[CT-e/NFS]])=TRUE,(IF(B2985&gt;30000,4,IF(B2985&lt;1000,"ND",0))),"-")</f>
        <v>4</v>
      </c>
      <c r="B2985" s="116">
        <v>47542</v>
      </c>
      <c r="C2985" s="117">
        <v>45464</v>
      </c>
      <c r="D2985" s="116">
        <v>579.89</v>
      </c>
      <c r="E2985" s="117">
        <v>45473</v>
      </c>
      <c r="F2985" s="116">
        <f>COUNTIFS($A$3:A11241,A2985,$B$3:B11241,B2985)</f>
        <v>1</v>
      </c>
      <c r="G2985" s="116"/>
    </row>
    <row r="2986" spans="1:7" x14ac:dyDescent="0.2">
      <c r="A2986" s="116">
        <f>IF(ISNUMBER(Tabela2[[#This Row],[CT-e/NFS]])=TRUE,(IF(B2986&gt;30000,4,IF(B2986&lt;1000,"ND",0))),"-")</f>
        <v>4</v>
      </c>
      <c r="B2986" s="116">
        <v>47547</v>
      </c>
      <c r="C2986" s="117">
        <v>45464</v>
      </c>
      <c r="D2986" s="116">
        <v>125.35</v>
      </c>
      <c r="E2986" s="117">
        <v>45473</v>
      </c>
      <c r="F2986" s="116">
        <f>COUNTIFS($A$3:A11242,A2986,$B$3:B11242,B2986)</f>
        <v>1</v>
      </c>
      <c r="G2986" s="116"/>
    </row>
    <row r="2987" spans="1:7" x14ac:dyDescent="0.2">
      <c r="A2987" s="116">
        <f>IF(ISNUMBER(Tabela2[[#This Row],[CT-e/NFS]])=TRUE,(IF(B2987&gt;30000,4,IF(B2987&lt;1000,"ND",0))),"-")</f>
        <v>4</v>
      </c>
      <c r="B2987" s="116">
        <v>47548</v>
      </c>
      <c r="C2987" s="117">
        <v>45464</v>
      </c>
      <c r="D2987" s="116">
        <v>125.57</v>
      </c>
      <c r="E2987" s="117">
        <v>45473</v>
      </c>
      <c r="F2987" s="116">
        <f>COUNTIFS($A$3:A11243,A2987,$B$3:B11243,B2987)</f>
        <v>1</v>
      </c>
      <c r="G2987" s="116"/>
    </row>
    <row r="2988" spans="1:7" x14ac:dyDescent="0.2">
      <c r="A2988" s="116">
        <f>IF(ISNUMBER(Tabela2[[#This Row],[CT-e/NFS]])=TRUE,(IF(B2988&gt;30000,4,IF(B2988&lt;1000,"ND",0))),"-")</f>
        <v>4</v>
      </c>
      <c r="B2988" s="116">
        <v>47546</v>
      </c>
      <c r="C2988" s="117">
        <v>45464</v>
      </c>
      <c r="D2988" s="116">
        <v>124.31</v>
      </c>
      <c r="E2988" s="117">
        <v>45473</v>
      </c>
      <c r="F2988" s="116">
        <f>COUNTIFS($A$3:A11244,A2988,$B$3:B11244,B2988)</f>
        <v>1</v>
      </c>
      <c r="G2988" s="116"/>
    </row>
    <row r="2989" spans="1:7" x14ac:dyDescent="0.2">
      <c r="A2989" s="116">
        <f>IF(ISNUMBER(Tabela2[[#This Row],[CT-e/NFS]])=TRUE,(IF(B2989&gt;30000,4,IF(B2989&lt;1000,"ND",0))),"-")</f>
        <v>4</v>
      </c>
      <c r="B2989" s="116">
        <v>47552</v>
      </c>
      <c r="C2989" s="117">
        <v>45464</v>
      </c>
      <c r="D2989" s="116">
        <v>125.92</v>
      </c>
      <c r="E2989" s="117">
        <v>45473</v>
      </c>
      <c r="F2989" s="116">
        <f>COUNTIFS($A$3:A11245,A2989,$B$3:B11245,B2989)</f>
        <v>1</v>
      </c>
      <c r="G2989" s="116"/>
    </row>
    <row r="2990" spans="1:7" x14ac:dyDescent="0.2">
      <c r="A2990" s="116">
        <f>IF(ISNUMBER(Tabela2[[#This Row],[CT-e/NFS]])=TRUE,(IF(B2990&gt;30000,4,IF(B2990&lt;1000,"ND",0))),"-")</f>
        <v>4</v>
      </c>
      <c r="B2990" s="116">
        <v>47540</v>
      </c>
      <c r="C2990" s="117">
        <v>45464</v>
      </c>
      <c r="D2990" s="116">
        <v>1086.24</v>
      </c>
      <c r="E2990" s="117">
        <v>45473</v>
      </c>
      <c r="F2990" s="116">
        <f>COUNTIFS($A$3:A11246,A2990,$B$3:B11246,B2990)</f>
        <v>1</v>
      </c>
      <c r="G2990" s="116"/>
    </row>
    <row r="2991" spans="1:7" x14ac:dyDescent="0.2">
      <c r="A2991" s="116">
        <f>IF(ISNUMBER(Tabela2[[#This Row],[CT-e/NFS]])=TRUE,(IF(B2991&gt;30000,4,IF(B2991&lt;1000,"ND",0))),"-")</f>
        <v>4</v>
      </c>
      <c r="B2991" s="116">
        <v>47539</v>
      </c>
      <c r="C2991" s="117">
        <v>45464</v>
      </c>
      <c r="D2991" s="116">
        <v>845.8</v>
      </c>
      <c r="E2991" s="117">
        <v>45473</v>
      </c>
      <c r="F2991" s="116">
        <f>COUNTIFS($A$3:A11247,A2991,$B$3:B11247,B2991)</f>
        <v>1</v>
      </c>
      <c r="G2991" s="116"/>
    </row>
    <row r="2992" spans="1:7" x14ac:dyDescent="0.2">
      <c r="A2992" s="116">
        <f>IF(ISNUMBER(Tabela2[[#This Row],[CT-e/NFS]])=TRUE,(IF(B2992&gt;30000,4,IF(B2992&lt;1000,"ND",0))),"-")</f>
        <v>4</v>
      </c>
      <c r="B2992" s="116">
        <v>47543</v>
      </c>
      <c r="C2992" s="117">
        <v>45464</v>
      </c>
      <c r="D2992" s="116">
        <v>223.42</v>
      </c>
      <c r="E2992" s="117">
        <v>45473</v>
      </c>
      <c r="F2992" s="116">
        <f>COUNTIFS($A$3:A11248,A2992,$B$3:B11248,B2992)</f>
        <v>1</v>
      </c>
      <c r="G2992" s="116"/>
    </row>
    <row r="2993" spans="1:7" x14ac:dyDescent="0.2">
      <c r="A2993" s="116">
        <f>IF(ISNUMBER(Tabela2[[#This Row],[CT-e/NFS]])=TRUE,(IF(B2993&gt;30000,4,IF(B2993&lt;1000,"ND",0))),"-")</f>
        <v>4</v>
      </c>
      <c r="B2993" s="116">
        <v>47544</v>
      </c>
      <c r="C2993" s="117">
        <v>45464</v>
      </c>
      <c r="D2993" s="116">
        <v>396.44</v>
      </c>
      <c r="E2993" s="117">
        <v>45473</v>
      </c>
      <c r="F2993" s="116">
        <f>COUNTIFS($A$3:A11249,A2993,$B$3:B11249,B2993)</f>
        <v>1</v>
      </c>
      <c r="G2993" s="116"/>
    </row>
    <row r="2994" spans="1:7" x14ac:dyDescent="0.2">
      <c r="A2994" s="116">
        <f>IF(ISNUMBER(Tabela2[[#This Row],[CT-e/NFS]])=TRUE,(IF(B2994&gt;30000,4,IF(B2994&lt;1000,"ND",0))),"-")</f>
        <v>4</v>
      </c>
      <c r="B2994" s="116">
        <v>47551</v>
      </c>
      <c r="C2994" s="117">
        <v>45464</v>
      </c>
      <c r="D2994" s="116">
        <v>1027.68</v>
      </c>
      <c r="E2994" s="117">
        <v>45473</v>
      </c>
      <c r="F2994" s="116">
        <f>COUNTIFS($A$3:A11250,A2994,$B$3:B11250,B2994)</f>
        <v>1</v>
      </c>
      <c r="G2994" s="116"/>
    </row>
    <row r="2995" spans="1:7" x14ac:dyDescent="0.2">
      <c r="A2995" s="116">
        <f>IF(ISNUMBER(Tabela2[[#This Row],[CT-e/NFS]])=TRUE,(IF(B2995&gt;30000,4,IF(B2995&lt;1000,"ND",0))),"-")</f>
        <v>4</v>
      </c>
      <c r="B2995" s="116">
        <v>47550</v>
      </c>
      <c r="C2995" s="117">
        <v>45464</v>
      </c>
      <c r="D2995" s="116">
        <v>124.32</v>
      </c>
      <c r="E2995" s="117">
        <v>45473</v>
      </c>
      <c r="F2995" s="116">
        <f>COUNTIFS($A$3:A11251,A2995,$B$3:B11251,B2995)</f>
        <v>1</v>
      </c>
      <c r="G2995" s="116"/>
    </row>
    <row r="2996" spans="1:7" x14ac:dyDescent="0.2">
      <c r="A2996" s="116">
        <f>IF(ISNUMBER(Tabela2[[#This Row],[CT-e/NFS]])=TRUE,(IF(B2996&gt;30000,4,IF(B2996&lt;1000,"ND",0))),"-")</f>
        <v>4</v>
      </c>
      <c r="B2996" s="116">
        <v>47549</v>
      </c>
      <c r="C2996" s="117">
        <v>45464</v>
      </c>
      <c r="D2996" s="116">
        <v>306.02</v>
      </c>
      <c r="E2996" s="117">
        <v>45473</v>
      </c>
      <c r="F2996" s="116">
        <f>COUNTIFS($A$3:A11252,A2996,$B$3:B11252,B2996)</f>
        <v>1</v>
      </c>
      <c r="G2996" s="116"/>
    </row>
    <row r="2997" spans="1:7" x14ac:dyDescent="0.2">
      <c r="A2997" s="116">
        <f>IF(ISNUMBER(Tabela2[[#This Row],[CT-e/NFS]])=TRUE,(IF(B2997&gt;30000,4,IF(B2997&lt;1000,"ND",0))),"-")</f>
        <v>0</v>
      </c>
      <c r="B2997" s="116">
        <v>21613</v>
      </c>
      <c r="C2997" s="117">
        <v>45464</v>
      </c>
      <c r="D2997" s="116">
        <v>320.22000000000003</v>
      </c>
      <c r="E2997" s="117">
        <v>45473</v>
      </c>
      <c r="F2997" s="116">
        <f>COUNTIFS($A$3:A11253,A2997,$B$3:B11253,B2997)</f>
        <v>1</v>
      </c>
      <c r="G2997" s="116"/>
    </row>
    <row r="2998" spans="1:7" x14ac:dyDescent="0.2">
      <c r="A2998" s="116">
        <f>IF(ISNUMBER(Tabela2[[#This Row],[CT-e/NFS]])=TRUE,(IF(B2998&gt;30000,4,IF(B2998&lt;1000,"ND",0))),"-")</f>
        <v>0</v>
      </c>
      <c r="B2998" s="116">
        <v>21619</v>
      </c>
      <c r="C2998" s="117">
        <v>45464</v>
      </c>
      <c r="D2998" s="116">
        <v>145.47</v>
      </c>
      <c r="E2998" s="117">
        <v>45473</v>
      </c>
      <c r="F2998" s="116">
        <f>COUNTIFS($A$3:A11254,A2998,$B$3:B11254,B2998)</f>
        <v>1</v>
      </c>
      <c r="G2998" s="116"/>
    </row>
    <row r="2999" spans="1:7" x14ac:dyDescent="0.2">
      <c r="A2999" s="116">
        <f>IF(ISNUMBER(Tabela2[[#This Row],[CT-e/NFS]])=TRUE,(IF(B2999&gt;30000,4,IF(B2999&lt;1000,"ND",0))),"-")</f>
        <v>0</v>
      </c>
      <c r="B2999" s="116">
        <v>21618</v>
      </c>
      <c r="C2999" s="117">
        <v>45464</v>
      </c>
      <c r="D2999" s="116">
        <v>128.04</v>
      </c>
      <c r="E2999" s="117">
        <v>45473</v>
      </c>
      <c r="F2999" s="116">
        <f>COUNTIFS($A$3:A11255,A2999,$B$3:B11255,B2999)</f>
        <v>1</v>
      </c>
      <c r="G2999" s="116"/>
    </row>
    <row r="3000" spans="1:7" x14ac:dyDescent="0.2">
      <c r="A3000" s="116">
        <f>IF(ISNUMBER(Tabela2[[#This Row],[CT-e/NFS]])=TRUE,(IF(B3000&gt;30000,4,IF(B3000&lt;1000,"ND",0))),"-")</f>
        <v>0</v>
      </c>
      <c r="B3000" s="116">
        <v>21617</v>
      </c>
      <c r="C3000" s="117">
        <v>45464</v>
      </c>
      <c r="D3000" s="116">
        <v>75.7</v>
      </c>
      <c r="E3000" s="117">
        <v>45473</v>
      </c>
      <c r="F3000" s="116">
        <f>COUNTIFS($A$3:A11256,A3000,$B$3:B11256,B3000)</f>
        <v>1</v>
      </c>
      <c r="G3000" s="116"/>
    </row>
    <row r="3001" spans="1:7" x14ac:dyDescent="0.2">
      <c r="A3001" s="116">
        <f>IF(ISNUMBER(Tabela2[[#This Row],[CT-e/NFS]])=TRUE,(IF(B3001&gt;30000,4,IF(B3001&lt;1000,"ND",0))),"-")</f>
        <v>0</v>
      </c>
      <c r="B3001" s="116">
        <v>21616</v>
      </c>
      <c r="C3001" s="117">
        <v>45464</v>
      </c>
      <c r="D3001" s="116">
        <v>76.010000000000005</v>
      </c>
      <c r="E3001" s="117">
        <v>45473</v>
      </c>
      <c r="F3001" s="116">
        <f>COUNTIFS($A$3:A11257,A3001,$B$3:B11257,B3001)</f>
        <v>1</v>
      </c>
      <c r="G3001" s="116"/>
    </row>
    <row r="3002" spans="1:7" x14ac:dyDescent="0.2">
      <c r="A3002" s="116">
        <f>IF(ISNUMBER(Tabela2[[#This Row],[CT-e/NFS]])=TRUE,(IF(B3002&gt;30000,4,IF(B3002&lt;1000,"ND",0))),"-")</f>
        <v>0</v>
      </c>
      <c r="B3002" s="116">
        <v>21615</v>
      </c>
      <c r="C3002" s="117">
        <v>45464</v>
      </c>
      <c r="D3002" s="116">
        <v>76.08</v>
      </c>
      <c r="E3002" s="117">
        <v>45473</v>
      </c>
      <c r="F3002" s="116">
        <f>COUNTIFS($A$3:A11258,A3002,$B$3:B11258,B3002)</f>
        <v>1</v>
      </c>
      <c r="G3002" s="116"/>
    </row>
    <row r="3003" spans="1:7" x14ac:dyDescent="0.2">
      <c r="A3003" s="116">
        <f>IF(ISNUMBER(Tabela2[[#This Row],[CT-e/NFS]])=TRUE,(IF(B3003&gt;30000,4,IF(B3003&lt;1000,"ND",0))),"-")</f>
        <v>0</v>
      </c>
      <c r="B3003" s="116">
        <v>21614</v>
      </c>
      <c r="C3003" s="117">
        <v>45464</v>
      </c>
      <c r="D3003" s="116">
        <v>75.81</v>
      </c>
      <c r="E3003" s="117">
        <v>45473</v>
      </c>
      <c r="F3003" s="116">
        <f>COUNTIFS($A$3:A11259,A3003,$B$3:B11259,B3003)</f>
        <v>1</v>
      </c>
      <c r="G3003" s="116"/>
    </row>
    <row r="3004" spans="1:7" x14ac:dyDescent="0.2">
      <c r="A3004" s="116">
        <f>IF(ISNUMBER(Tabela2[[#This Row],[CT-e/NFS]])=TRUE,(IF(B3004&gt;30000,4,IF(B3004&lt;1000,"ND",0))),"-")</f>
        <v>0</v>
      </c>
      <c r="B3004" s="116">
        <v>21622</v>
      </c>
      <c r="C3004" s="117">
        <v>45464</v>
      </c>
      <c r="D3004" s="116">
        <v>76.790000000000006</v>
      </c>
      <c r="E3004" s="117">
        <v>45473</v>
      </c>
      <c r="F3004" s="116">
        <f>COUNTIFS($A$3:A11260,A3004,$B$3:B11260,B3004)</f>
        <v>1</v>
      </c>
      <c r="G3004" s="116"/>
    </row>
    <row r="3005" spans="1:7" x14ac:dyDescent="0.2">
      <c r="A3005" s="116">
        <f>IF(ISNUMBER(Tabela2[[#This Row],[CT-e/NFS]])=TRUE,(IF(B3005&gt;30000,4,IF(B3005&lt;1000,"ND",0))),"-")</f>
        <v>0</v>
      </c>
      <c r="B3005" s="116">
        <v>21623</v>
      </c>
      <c r="C3005" s="117">
        <v>45464</v>
      </c>
      <c r="D3005" s="116">
        <v>76</v>
      </c>
      <c r="E3005" s="117">
        <v>45473</v>
      </c>
      <c r="F3005" s="116">
        <f>COUNTIFS($A$3:A11261,A3005,$B$3:B11261,B3005)</f>
        <v>1</v>
      </c>
      <c r="G3005" s="116"/>
    </row>
    <row r="3006" spans="1:7" x14ac:dyDescent="0.2">
      <c r="A3006" s="116">
        <f>IF(ISNUMBER(Tabela2[[#This Row],[CT-e/NFS]])=TRUE,(IF(B3006&gt;30000,4,IF(B3006&lt;1000,"ND",0))),"-")</f>
        <v>0</v>
      </c>
      <c r="B3006" s="116">
        <v>21620</v>
      </c>
      <c r="C3006" s="117">
        <v>45464</v>
      </c>
      <c r="D3006" s="116">
        <v>75.7</v>
      </c>
      <c r="E3006" s="117">
        <v>45473</v>
      </c>
      <c r="F3006" s="116">
        <f>COUNTIFS($A$3:A11262,A3006,$B$3:B11262,B3006)</f>
        <v>1</v>
      </c>
      <c r="G3006" s="116"/>
    </row>
    <row r="3007" spans="1:7" x14ac:dyDescent="0.2">
      <c r="A3007" s="116">
        <f>IF(ISNUMBER(Tabela2[[#This Row],[CT-e/NFS]])=TRUE,(IF(B3007&gt;30000,4,IF(B3007&lt;1000,"ND",0))),"-")</f>
        <v>0</v>
      </c>
      <c r="B3007" s="116">
        <v>21624</v>
      </c>
      <c r="C3007" s="117">
        <v>45464</v>
      </c>
      <c r="D3007" s="116">
        <v>76.400000000000006</v>
      </c>
      <c r="E3007" s="117">
        <v>45473</v>
      </c>
      <c r="F3007" s="116">
        <f>COUNTIFS($A$3:A11263,A3007,$B$3:B11263,B3007)</f>
        <v>1</v>
      </c>
      <c r="G3007" s="116"/>
    </row>
    <row r="3008" spans="1:7" x14ac:dyDescent="0.2">
      <c r="A3008" s="116">
        <f>IF(ISNUMBER(Tabela2[[#This Row],[CT-e/NFS]])=TRUE,(IF(B3008&gt;30000,4,IF(B3008&lt;1000,"ND",0))),"-")</f>
        <v>0</v>
      </c>
      <c r="B3008" s="116">
        <v>21625</v>
      </c>
      <c r="C3008" s="117">
        <v>45464</v>
      </c>
      <c r="D3008" s="116">
        <v>515.41</v>
      </c>
      <c r="E3008" s="117">
        <v>45473</v>
      </c>
      <c r="F3008" s="116">
        <f>COUNTIFS($A$3:A11264,A3008,$B$3:B11264,B3008)</f>
        <v>1</v>
      </c>
      <c r="G3008" s="116"/>
    </row>
    <row r="3009" spans="1:7" x14ac:dyDescent="0.2">
      <c r="A3009" s="116">
        <f>IF(ISNUMBER(Tabela2[[#This Row],[CT-e/NFS]])=TRUE,(IF(B3009&gt;30000,4,IF(B3009&lt;1000,"ND",0))),"-")</f>
        <v>0</v>
      </c>
      <c r="B3009" s="116">
        <v>21626</v>
      </c>
      <c r="C3009" s="117">
        <v>45464</v>
      </c>
      <c r="D3009" s="116">
        <v>146.43</v>
      </c>
      <c r="E3009" s="117">
        <v>45473</v>
      </c>
      <c r="F3009" s="116">
        <f>COUNTIFS($A$3:A11265,A3009,$B$3:B11265,B3009)</f>
        <v>1</v>
      </c>
      <c r="G3009" s="116"/>
    </row>
    <row r="3010" spans="1:7" x14ac:dyDescent="0.2">
      <c r="A3010" s="116">
        <f>IF(ISNUMBER(Tabela2[[#This Row],[CT-e/NFS]])=TRUE,(IF(B3010&gt;30000,4,IF(B3010&lt;1000,"ND",0))),"-")</f>
        <v>0</v>
      </c>
      <c r="B3010" s="116">
        <v>21627</v>
      </c>
      <c r="C3010" s="117">
        <v>45464</v>
      </c>
      <c r="D3010" s="116">
        <v>76.36</v>
      </c>
      <c r="E3010" s="117">
        <v>45473</v>
      </c>
      <c r="F3010" s="116">
        <f>COUNTIFS($A$3:A11266,A3010,$B$3:B11266,B3010)</f>
        <v>1</v>
      </c>
      <c r="G3010" s="116"/>
    </row>
    <row r="3011" spans="1:7" x14ac:dyDescent="0.2">
      <c r="A3011" s="116">
        <f>IF(ISNUMBER(Tabela2[[#This Row],[CT-e/NFS]])=TRUE,(IF(B3011&gt;30000,4,IF(B3011&lt;1000,"ND",0))),"-")</f>
        <v>0</v>
      </c>
      <c r="B3011" s="116">
        <v>21628</v>
      </c>
      <c r="C3011" s="117">
        <v>45464</v>
      </c>
      <c r="D3011" s="116">
        <v>80.19</v>
      </c>
      <c r="E3011" s="117">
        <v>45473</v>
      </c>
      <c r="F3011" s="116">
        <f>COUNTIFS($A$3:A11267,A3011,$B$3:B11267,B3011)</f>
        <v>1</v>
      </c>
      <c r="G3011" s="116"/>
    </row>
    <row r="3012" spans="1:7" x14ac:dyDescent="0.2">
      <c r="A3012" s="116">
        <f>IF(ISNUMBER(Tabela2[[#This Row],[CT-e/NFS]])=TRUE,(IF(B3012&gt;30000,4,IF(B3012&lt;1000,"ND",0))),"-")</f>
        <v>0</v>
      </c>
      <c r="B3012" s="116">
        <v>21629</v>
      </c>
      <c r="C3012" s="117">
        <v>45464</v>
      </c>
      <c r="D3012" s="116">
        <v>127.65</v>
      </c>
      <c r="E3012" s="117">
        <v>45473</v>
      </c>
      <c r="F3012" s="116">
        <f>COUNTIFS($A$3:A11268,A3012,$B$3:B11268,B3012)</f>
        <v>1</v>
      </c>
      <c r="G3012" s="116"/>
    </row>
    <row r="3013" spans="1:7" x14ac:dyDescent="0.2">
      <c r="A3013" s="116">
        <f>IF(ISNUMBER(Tabela2[[#This Row],[CT-e/NFS]])=TRUE,(IF(B3013&gt;30000,4,IF(B3013&lt;1000,"ND",0))),"-")</f>
        <v>0</v>
      </c>
      <c r="B3013" s="116">
        <v>21630</v>
      </c>
      <c r="C3013" s="117">
        <v>45464</v>
      </c>
      <c r="D3013" s="116">
        <v>96.75</v>
      </c>
      <c r="E3013" s="117">
        <v>45473</v>
      </c>
      <c r="F3013" s="116">
        <f>COUNTIFS($A$3:A11269,A3013,$B$3:B11269,B3013)</f>
        <v>1</v>
      </c>
      <c r="G3013" s="116"/>
    </row>
    <row r="3014" spans="1:7" x14ac:dyDescent="0.2">
      <c r="A3014" s="116">
        <f>IF(ISNUMBER(Tabela2[[#This Row],[CT-e/NFS]])=TRUE,(IF(B3014&gt;30000,4,IF(B3014&lt;1000,"ND",0))),"-")</f>
        <v>0</v>
      </c>
      <c r="B3014" s="116">
        <v>21631</v>
      </c>
      <c r="C3014" s="117">
        <v>45464</v>
      </c>
      <c r="D3014" s="116">
        <v>162.80000000000001</v>
      </c>
      <c r="E3014" s="117">
        <v>45473</v>
      </c>
      <c r="F3014" s="116">
        <f>COUNTIFS($A$3:A11270,A3014,$B$3:B11270,B3014)</f>
        <v>1</v>
      </c>
      <c r="G3014" s="116"/>
    </row>
    <row r="3015" spans="1:7" x14ac:dyDescent="0.2">
      <c r="A3015" s="116">
        <f>IF(ISNUMBER(Tabela2[[#This Row],[CT-e/NFS]])=TRUE,(IF(B3015&gt;30000,4,IF(B3015&lt;1000,"ND",0))),"-")</f>
        <v>0</v>
      </c>
      <c r="B3015" s="116">
        <v>21635</v>
      </c>
      <c r="C3015" s="117">
        <v>45464</v>
      </c>
      <c r="D3015" s="116">
        <v>162.80000000000001</v>
      </c>
      <c r="E3015" s="117">
        <v>45473</v>
      </c>
      <c r="F3015" s="116">
        <f>COUNTIFS($A$3:A11271,A3015,$B$3:B11271,B3015)</f>
        <v>1</v>
      </c>
      <c r="G3015" s="116"/>
    </row>
    <row r="3016" spans="1:7" x14ac:dyDescent="0.2">
      <c r="A3016" s="116">
        <f>IF(ISNUMBER(Tabela2[[#This Row],[CT-e/NFS]])=TRUE,(IF(B3016&gt;30000,4,IF(B3016&lt;1000,"ND",0))),"-")</f>
        <v>0</v>
      </c>
      <c r="B3016" s="116">
        <v>21641</v>
      </c>
      <c r="C3016" s="117">
        <v>45464</v>
      </c>
      <c r="D3016" s="116">
        <v>77.69</v>
      </c>
      <c r="E3016" s="117">
        <v>45473</v>
      </c>
      <c r="F3016" s="116">
        <f>COUNTIFS($A$3:A11272,A3016,$B$3:B11272,B3016)</f>
        <v>1</v>
      </c>
      <c r="G3016" s="116"/>
    </row>
    <row r="3017" spans="1:7" x14ac:dyDescent="0.2">
      <c r="A3017" s="116">
        <f>IF(ISNUMBER(Tabela2[[#This Row],[CT-e/NFS]])=TRUE,(IF(B3017&gt;30000,4,IF(B3017&lt;1000,"ND",0))),"-")</f>
        <v>0</v>
      </c>
      <c r="B3017" s="116">
        <v>21640</v>
      </c>
      <c r="C3017" s="117">
        <v>45464</v>
      </c>
      <c r="D3017" s="116">
        <v>77.680000000000007</v>
      </c>
      <c r="E3017" s="117">
        <v>45473</v>
      </c>
      <c r="F3017" s="116">
        <f>COUNTIFS($A$3:A11273,A3017,$B$3:B11273,B3017)</f>
        <v>1</v>
      </c>
      <c r="G3017" s="116"/>
    </row>
    <row r="3018" spans="1:7" x14ac:dyDescent="0.2">
      <c r="A3018" s="116">
        <f>IF(ISNUMBER(Tabela2[[#This Row],[CT-e/NFS]])=TRUE,(IF(B3018&gt;30000,4,IF(B3018&lt;1000,"ND",0))),"-")</f>
        <v>0</v>
      </c>
      <c r="B3018" s="116">
        <v>21637</v>
      </c>
      <c r="C3018" s="117">
        <v>45464</v>
      </c>
      <c r="D3018" s="116">
        <v>76.44</v>
      </c>
      <c r="E3018" s="117">
        <v>45473</v>
      </c>
      <c r="F3018" s="116">
        <f>COUNTIFS($A$3:A11274,A3018,$B$3:B11274,B3018)</f>
        <v>1</v>
      </c>
      <c r="G3018" s="116"/>
    </row>
    <row r="3019" spans="1:7" x14ac:dyDescent="0.2">
      <c r="A3019" s="116">
        <f>IF(ISNUMBER(Tabela2[[#This Row],[CT-e/NFS]])=TRUE,(IF(B3019&gt;30000,4,IF(B3019&lt;1000,"ND",0))),"-")</f>
        <v>0</v>
      </c>
      <c r="B3019" s="116">
        <v>21636</v>
      </c>
      <c r="C3019" s="117">
        <v>45464</v>
      </c>
      <c r="D3019" s="116">
        <v>348.37</v>
      </c>
      <c r="E3019" s="117">
        <v>45473</v>
      </c>
      <c r="F3019" s="116">
        <f>COUNTIFS($A$3:A11275,A3019,$B$3:B11275,B3019)</f>
        <v>1</v>
      </c>
      <c r="G3019" s="116"/>
    </row>
    <row r="3020" spans="1:7" x14ac:dyDescent="0.2">
      <c r="A3020" s="116">
        <f>IF(ISNUMBER(Tabela2[[#This Row],[CT-e/NFS]])=TRUE,(IF(B3020&gt;30000,4,IF(B3020&lt;1000,"ND",0))),"-")</f>
        <v>0</v>
      </c>
      <c r="B3020" s="116">
        <v>21639</v>
      </c>
      <c r="C3020" s="117">
        <v>45464</v>
      </c>
      <c r="D3020" s="116">
        <v>76</v>
      </c>
      <c r="E3020" s="117">
        <v>45473</v>
      </c>
      <c r="F3020" s="116">
        <f>COUNTIFS($A$3:A11276,A3020,$B$3:B11276,B3020)</f>
        <v>1</v>
      </c>
      <c r="G3020" s="116"/>
    </row>
    <row r="3021" spans="1:7" x14ac:dyDescent="0.2">
      <c r="A3021" s="116">
        <f>IF(ISNUMBER(Tabela2[[#This Row],[CT-e/NFS]])=TRUE,(IF(B3021&gt;30000,4,IF(B3021&lt;1000,"ND",0))),"-")</f>
        <v>0</v>
      </c>
      <c r="B3021" s="116">
        <v>21638</v>
      </c>
      <c r="C3021" s="117">
        <v>45464</v>
      </c>
      <c r="D3021" s="116">
        <v>77.63</v>
      </c>
      <c r="E3021" s="117">
        <v>45473</v>
      </c>
      <c r="F3021" s="116">
        <f>COUNTIFS($A$3:A11277,A3021,$B$3:B11277,B3021)</f>
        <v>1</v>
      </c>
      <c r="G3021" s="116"/>
    </row>
    <row r="3022" spans="1:7" x14ac:dyDescent="0.2">
      <c r="A3022" s="116">
        <f>IF(ISNUMBER(Tabela2[[#This Row],[CT-e/NFS]])=TRUE,(IF(B3022&gt;30000,4,IF(B3022&lt;1000,"ND",0))),"-")</f>
        <v>4</v>
      </c>
      <c r="B3022" s="116">
        <v>47545</v>
      </c>
      <c r="C3022" s="117">
        <v>45464</v>
      </c>
      <c r="D3022" s="116">
        <v>125.92</v>
      </c>
      <c r="E3022" s="117">
        <v>45473</v>
      </c>
      <c r="F3022" s="116">
        <f>COUNTIFS($A$3:A11278,A3022,$B$3:B11278,B3022)</f>
        <v>1</v>
      </c>
      <c r="G3022" s="116"/>
    </row>
    <row r="3023" spans="1:7" x14ac:dyDescent="0.2">
      <c r="A3023" s="116">
        <f>IF(ISNUMBER(Tabela2[[#This Row],[CT-e/NFS]])=TRUE,(IF(B3023&gt;30000,4,IF(B3023&lt;1000,"ND",0))),"-")</f>
        <v>4</v>
      </c>
      <c r="B3023" s="116">
        <v>47562</v>
      </c>
      <c r="C3023" s="117">
        <v>45464</v>
      </c>
      <c r="D3023" s="116">
        <v>2393.64</v>
      </c>
      <c r="E3023" s="117">
        <v>45473</v>
      </c>
      <c r="F3023" s="116">
        <f>COUNTIFS($A$3:A11279,A3023,$B$3:B11279,B3023)</f>
        <v>1</v>
      </c>
      <c r="G3023" s="116"/>
    </row>
    <row r="3024" spans="1:7" x14ac:dyDescent="0.2">
      <c r="A3024" s="116">
        <f>IF(ISNUMBER(Tabela2[[#This Row],[CT-e/NFS]])=TRUE,(IF(B3024&gt;30000,4,IF(B3024&lt;1000,"ND",0))),"-")</f>
        <v>4</v>
      </c>
      <c r="B3024" s="116">
        <v>47533</v>
      </c>
      <c r="C3024" s="117">
        <v>45464</v>
      </c>
      <c r="D3024" s="116">
        <v>1245.6099999999999</v>
      </c>
      <c r="E3024" s="117">
        <v>45473</v>
      </c>
      <c r="F3024" s="116">
        <f>COUNTIFS($A$3:A11280,A3024,$B$3:B11280,B3024)</f>
        <v>1</v>
      </c>
      <c r="G3024" s="116"/>
    </row>
    <row r="3025" spans="1:7" x14ac:dyDescent="0.2">
      <c r="A3025" s="116">
        <f>IF(ISNUMBER(Tabela2[[#This Row],[CT-e/NFS]])=TRUE,(IF(B3025&gt;30000,4,IF(B3025&lt;1000,"ND",0))),"-")</f>
        <v>4</v>
      </c>
      <c r="B3025" s="116">
        <v>47557</v>
      </c>
      <c r="C3025" s="117">
        <v>45464</v>
      </c>
      <c r="D3025" s="116">
        <v>702.74</v>
      </c>
      <c r="E3025" s="117">
        <v>45473</v>
      </c>
      <c r="F3025" s="116">
        <f>COUNTIFS($A$3:A11281,A3025,$B$3:B11281,B3025)</f>
        <v>1</v>
      </c>
      <c r="G3025" s="116"/>
    </row>
    <row r="3026" spans="1:7" x14ac:dyDescent="0.2">
      <c r="A3026" s="116">
        <f>IF(ISNUMBER(Tabela2[[#This Row],[CT-e/NFS]])=TRUE,(IF(B3026&gt;30000,4,IF(B3026&lt;1000,"ND",0))),"-")</f>
        <v>0</v>
      </c>
      <c r="B3026" s="116">
        <v>21644</v>
      </c>
      <c r="C3026" s="117">
        <v>45464</v>
      </c>
      <c r="D3026" s="116">
        <v>338.2</v>
      </c>
      <c r="E3026" s="117">
        <v>45473</v>
      </c>
      <c r="F3026" s="116">
        <f>COUNTIFS($A$3:A11282,A3026,$B$3:B11282,B3026)</f>
        <v>1</v>
      </c>
      <c r="G3026" s="116"/>
    </row>
    <row r="3027" spans="1:7" x14ac:dyDescent="0.2">
      <c r="A3027" s="116">
        <f>IF(ISNUMBER(Tabela2[[#This Row],[CT-e/NFS]])=TRUE,(IF(B3027&gt;30000,4,IF(B3027&lt;1000,"ND",0))),"-")</f>
        <v>4</v>
      </c>
      <c r="B3027" s="116">
        <v>47579</v>
      </c>
      <c r="C3027" s="117">
        <v>45464</v>
      </c>
      <c r="D3027" s="116">
        <v>61.56</v>
      </c>
      <c r="E3027" s="117">
        <v>45473</v>
      </c>
      <c r="F3027" s="116">
        <f>COUNTIFS($A$3:A11283,A3027,$B$3:B11283,B3027)</f>
        <v>1</v>
      </c>
      <c r="G3027" s="116"/>
    </row>
    <row r="3028" spans="1:7" x14ac:dyDescent="0.2">
      <c r="A3028" s="116">
        <f>IF(ISNUMBER(Tabela2[[#This Row],[CT-e/NFS]])=TRUE,(IF(B3028&gt;30000,4,IF(B3028&lt;1000,"ND",0))),"-")</f>
        <v>4</v>
      </c>
      <c r="B3028" s="116">
        <v>47580</v>
      </c>
      <c r="C3028" s="117">
        <v>45464</v>
      </c>
      <c r="D3028" s="116">
        <v>110.81</v>
      </c>
      <c r="E3028" s="117">
        <v>45473</v>
      </c>
      <c r="F3028" s="116">
        <f>COUNTIFS($A$3:A11284,A3028,$B$3:B11284,B3028)</f>
        <v>1</v>
      </c>
      <c r="G3028" s="116"/>
    </row>
    <row r="3029" spans="1:7" x14ac:dyDescent="0.2">
      <c r="A3029" s="116">
        <f>IF(ISNUMBER(Tabela2[[#This Row],[CT-e/NFS]])=TRUE,(IF(B3029&gt;30000,4,IF(B3029&lt;1000,"ND",0))),"-")</f>
        <v>4</v>
      </c>
      <c r="B3029" s="116">
        <v>47568</v>
      </c>
      <c r="C3029" s="117">
        <v>45464</v>
      </c>
      <c r="D3029" s="116">
        <v>798.27</v>
      </c>
      <c r="E3029" s="117">
        <v>45473</v>
      </c>
      <c r="F3029" s="116">
        <f>COUNTIFS($A$3:A11285,A3029,$B$3:B11285,B3029)</f>
        <v>1</v>
      </c>
      <c r="G3029" s="116"/>
    </row>
    <row r="3030" spans="1:7" x14ac:dyDescent="0.2">
      <c r="A3030" s="116">
        <f>IF(ISNUMBER(Tabela2[[#This Row],[CT-e/NFS]])=TRUE,(IF(B3030&gt;30000,4,IF(B3030&lt;1000,"ND",0))),"-")</f>
        <v>4</v>
      </c>
      <c r="B3030" s="116">
        <v>47570</v>
      </c>
      <c r="C3030" s="117">
        <v>45464</v>
      </c>
      <c r="D3030" s="116">
        <v>785.58</v>
      </c>
      <c r="E3030" s="117">
        <v>45473</v>
      </c>
      <c r="F3030" s="116">
        <f>COUNTIFS($A$3:A11286,A3030,$B$3:B11286,B3030)</f>
        <v>1</v>
      </c>
      <c r="G3030" s="116"/>
    </row>
    <row r="3031" spans="1:7" x14ac:dyDescent="0.2">
      <c r="A3031" s="116">
        <f>IF(ISNUMBER(Tabela2[[#This Row],[CT-e/NFS]])=TRUE,(IF(B3031&gt;30000,4,IF(B3031&lt;1000,"ND",0))),"-")</f>
        <v>4</v>
      </c>
      <c r="B3031" s="116">
        <v>47569</v>
      </c>
      <c r="C3031" s="117">
        <v>45464</v>
      </c>
      <c r="D3031" s="116">
        <v>247.32</v>
      </c>
      <c r="E3031" s="117">
        <v>45473</v>
      </c>
      <c r="F3031" s="116">
        <f>COUNTIFS($A$3:A11287,A3031,$B$3:B11287,B3031)</f>
        <v>1</v>
      </c>
      <c r="G3031" s="116"/>
    </row>
    <row r="3032" spans="1:7" x14ac:dyDescent="0.2">
      <c r="A3032" s="116">
        <f>IF(ISNUMBER(Tabela2[[#This Row],[CT-e/NFS]])=TRUE,(IF(B3032&gt;30000,4,IF(B3032&lt;1000,"ND",0))),"-")</f>
        <v>4</v>
      </c>
      <c r="B3032" s="116">
        <v>47581</v>
      </c>
      <c r="C3032" s="117">
        <v>45464</v>
      </c>
      <c r="D3032" s="116">
        <v>62.95</v>
      </c>
      <c r="E3032" s="117">
        <v>45473</v>
      </c>
      <c r="F3032" s="116">
        <f>COUNTIFS($A$3:A11288,A3032,$B$3:B11288,B3032)</f>
        <v>1</v>
      </c>
      <c r="G3032" s="116"/>
    </row>
    <row r="3033" spans="1:7" x14ac:dyDescent="0.2">
      <c r="A3033" s="116">
        <f>IF(ISNUMBER(Tabela2[[#This Row],[CT-e/NFS]])=TRUE,(IF(B3033&gt;30000,4,IF(B3033&lt;1000,"ND",0))),"-")</f>
        <v>4</v>
      </c>
      <c r="B3033" s="116">
        <v>47582</v>
      </c>
      <c r="C3033" s="117">
        <v>45464</v>
      </c>
      <c r="D3033" s="116">
        <v>113.32</v>
      </c>
      <c r="E3033" s="117">
        <v>45473</v>
      </c>
      <c r="F3033" s="116">
        <f>COUNTIFS($A$3:A11289,A3033,$B$3:B11289,B3033)</f>
        <v>1</v>
      </c>
      <c r="G3033" s="116"/>
    </row>
    <row r="3034" spans="1:7" x14ac:dyDescent="0.2">
      <c r="A3034" s="116">
        <f>IF(ISNUMBER(Tabela2[[#This Row],[CT-e/NFS]])=TRUE,(IF(B3034&gt;30000,4,IF(B3034&lt;1000,"ND",0))),"-")</f>
        <v>4</v>
      </c>
      <c r="B3034" s="116">
        <v>47573</v>
      </c>
      <c r="C3034" s="117">
        <v>45464</v>
      </c>
      <c r="D3034" s="116">
        <v>123.99</v>
      </c>
      <c r="E3034" s="117">
        <v>45473</v>
      </c>
      <c r="F3034" s="116">
        <f>COUNTIFS($A$3:A11290,A3034,$B$3:B11290,B3034)</f>
        <v>1</v>
      </c>
      <c r="G3034" s="116"/>
    </row>
    <row r="3035" spans="1:7" x14ac:dyDescent="0.2">
      <c r="A3035" s="116">
        <f>IF(ISNUMBER(Tabela2[[#This Row],[CT-e/NFS]])=TRUE,(IF(B3035&gt;30000,4,IF(B3035&lt;1000,"ND",0))),"-")</f>
        <v>4</v>
      </c>
      <c r="B3035" s="116">
        <v>47571</v>
      </c>
      <c r="C3035" s="117">
        <v>45464</v>
      </c>
      <c r="D3035" s="116">
        <v>126.65</v>
      </c>
      <c r="E3035" s="117">
        <v>45473</v>
      </c>
      <c r="F3035" s="116">
        <f>COUNTIFS($A$3:A11291,A3035,$B$3:B11291,B3035)</f>
        <v>1</v>
      </c>
      <c r="G3035" s="116"/>
    </row>
    <row r="3036" spans="1:7" x14ac:dyDescent="0.2">
      <c r="A3036" s="116">
        <f>IF(ISNUMBER(Tabela2[[#This Row],[CT-e/NFS]])=TRUE,(IF(B3036&gt;30000,4,IF(B3036&lt;1000,"ND",0))),"-")</f>
        <v>4</v>
      </c>
      <c r="B3036" s="116">
        <v>47576</v>
      </c>
      <c r="C3036" s="117">
        <v>45464</v>
      </c>
      <c r="D3036" s="116">
        <v>124.39</v>
      </c>
      <c r="E3036" s="117">
        <v>45473</v>
      </c>
      <c r="F3036" s="116">
        <f>COUNTIFS($A$3:A11292,A3036,$B$3:B11292,B3036)</f>
        <v>1</v>
      </c>
      <c r="G3036" s="116"/>
    </row>
    <row r="3037" spans="1:7" x14ac:dyDescent="0.2">
      <c r="A3037" s="116">
        <f>IF(ISNUMBER(Tabela2[[#This Row],[CT-e/NFS]])=TRUE,(IF(B3037&gt;30000,4,IF(B3037&lt;1000,"ND",0))),"-")</f>
        <v>4</v>
      </c>
      <c r="B3037" s="116">
        <v>47572</v>
      </c>
      <c r="C3037" s="117">
        <v>45464</v>
      </c>
      <c r="D3037" s="116">
        <v>320.58</v>
      </c>
      <c r="E3037" s="117">
        <v>45473</v>
      </c>
      <c r="F3037" s="116">
        <f>COUNTIFS($A$3:A11293,A3037,$B$3:B11293,B3037)</f>
        <v>1</v>
      </c>
      <c r="G3037" s="116"/>
    </row>
    <row r="3038" spans="1:7" x14ac:dyDescent="0.2">
      <c r="A3038" s="116">
        <f>IF(ISNUMBER(Tabela2[[#This Row],[CT-e/NFS]])=TRUE,(IF(B3038&gt;30000,4,IF(B3038&lt;1000,"ND",0))),"-")</f>
        <v>4</v>
      </c>
      <c r="B3038" s="116">
        <v>47563</v>
      </c>
      <c r="C3038" s="117">
        <v>45464</v>
      </c>
      <c r="D3038" s="116">
        <v>123.51</v>
      </c>
      <c r="E3038" s="117">
        <v>45473</v>
      </c>
      <c r="F3038" s="116">
        <f>COUNTIFS($A$3:A11294,A3038,$B$3:B11294,B3038)</f>
        <v>1</v>
      </c>
      <c r="G3038" s="116"/>
    </row>
    <row r="3039" spans="1:7" x14ac:dyDescent="0.2">
      <c r="A3039" s="116">
        <f>IF(ISNUMBER(Tabela2[[#This Row],[CT-e/NFS]])=TRUE,(IF(B3039&gt;30000,4,IF(B3039&lt;1000,"ND",0))),"-")</f>
        <v>4</v>
      </c>
      <c r="B3039" s="116">
        <v>47574</v>
      </c>
      <c r="C3039" s="117">
        <v>45464</v>
      </c>
      <c r="D3039" s="116">
        <v>129.41</v>
      </c>
      <c r="E3039" s="117">
        <v>45473</v>
      </c>
      <c r="F3039" s="116">
        <f>COUNTIFS($A$3:A11295,A3039,$B$3:B11295,B3039)</f>
        <v>1</v>
      </c>
      <c r="G3039" s="116"/>
    </row>
    <row r="3040" spans="1:7" x14ac:dyDescent="0.2">
      <c r="A3040" s="116">
        <f>IF(ISNUMBER(Tabela2[[#This Row],[CT-e/NFS]])=TRUE,(IF(B3040&gt;30000,4,IF(B3040&lt;1000,"ND",0))),"-")</f>
        <v>4</v>
      </c>
      <c r="B3040" s="116">
        <v>47575</v>
      </c>
      <c r="C3040" s="117">
        <v>45464</v>
      </c>
      <c r="D3040" s="116">
        <v>122.93</v>
      </c>
      <c r="E3040" s="117">
        <v>45473</v>
      </c>
      <c r="F3040" s="116">
        <f>COUNTIFS($A$3:A11296,A3040,$B$3:B11296,B3040)</f>
        <v>1</v>
      </c>
      <c r="G3040" s="116"/>
    </row>
    <row r="3041" spans="1:7" x14ac:dyDescent="0.2">
      <c r="A3041" s="116">
        <f>IF(ISNUMBER(Tabela2[[#This Row],[CT-e/NFS]])=TRUE,(IF(B3041&gt;30000,4,IF(B3041&lt;1000,"ND",0))),"-")</f>
        <v>4</v>
      </c>
      <c r="B3041" s="116">
        <v>47577</v>
      </c>
      <c r="C3041" s="117">
        <v>45464</v>
      </c>
      <c r="D3041" s="116">
        <v>124.28</v>
      </c>
      <c r="E3041" s="117">
        <v>45473</v>
      </c>
      <c r="F3041" s="116">
        <f>COUNTIFS($A$3:A11297,A3041,$B$3:B11297,B3041)</f>
        <v>1</v>
      </c>
      <c r="G3041" s="116"/>
    </row>
    <row r="3042" spans="1:7" x14ac:dyDescent="0.2">
      <c r="A3042" s="116">
        <f>IF(ISNUMBER(Tabela2[[#This Row],[CT-e/NFS]])=TRUE,(IF(B3042&gt;30000,4,IF(B3042&lt;1000,"ND",0))),"-")</f>
        <v>4</v>
      </c>
      <c r="B3042" s="116">
        <v>47583</v>
      </c>
      <c r="C3042" s="117">
        <v>45464</v>
      </c>
      <c r="D3042" s="116">
        <v>62.16</v>
      </c>
      <c r="E3042" s="117">
        <v>45473</v>
      </c>
      <c r="F3042" s="116">
        <f>COUNTIFS($A$3:A11298,A3042,$B$3:B11298,B3042)</f>
        <v>1</v>
      </c>
      <c r="G3042" s="116"/>
    </row>
    <row r="3043" spans="1:7" x14ac:dyDescent="0.2">
      <c r="A3043" s="116">
        <f>IF(ISNUMBER(Tabela2[[#This Row],[CT-e/NFS]])=TRUE,(IF(B3043&gt;30000,4,IF(B3043&lt;1000,"ND",0))),"-")</f>
        <v>4</v>
      </c>
      <c r="B3043" s="116">
        <v>47567</v>
      </c>
      <c r="C3043" s="117">
        <v>45464</v>
      </c>
      <c r="D3043" s="116">
        <v>123.92</v>
      </c>
      <c r="E3043" s="117">
        <v>45473</v>
      </c>
      <c r="F3043" s="116">
        <f>COUNTIFS($A$3:A11299,A3043,$B$3:B11299,B3043)</f>
        <v>1</v>
      </c>
      <c r="G3043" s="116"/>
    </row>
    <row r="3044" spans="1:7" x14ac:dyDescent="0.2">
      <c r="A3044" s="116">
        <f>IF(ISNUMBER(Tabela2[[#This Row],[CT-e/NFS]])=TRUE,(IF(B3044&gt;30000,4,IF(B3044&lt;1000,"ND",0))),"-")</f>
        <v>4</v>
      </c>
      <c r="B3044" s="116">
        <v>47565</v>
      </c>
      <c r="C3044" s="117">
        <v>45464</v>
      </c>
      <c r="D3044" s="116">
        <v>168.92</v>
      </c>
      <c r="E3044" s="117">
        <v>45473</v>
      </c>
      <c r="F3044" s="116">
        <f>COUNTIFS($A$3:A11300,A3044,$B$3:B11300,B3044)</f>
        <v>1</v>
      </c>
      <c r="G3044" s="116"/>
    </row>
    <row r="3045" spans="1:7" x14ac:dyDescent="0.2">
      <c r="A3045" s="116">
        <f>IF(ISNUMBER(Tabela2[[#This Row],[CT-e/NFS]])=TRUE,(IF(B3045&gt;30000,4,IF(B3045&lt;1000,"ND",0))),"-")</f>
        <v>4</v>
      </c>
      <c r="B3045" s="116">
        <v>47566</v>
      </c>
      <c r="C3045" s="117">
        <v>45464</v>
      </c>
      <c r="D3045" s="116">
        <v>123.03</v>
      </c>
      <c r="E3045" s="117">
        <v>45473</v>
      </c>
      <c r="F3045" s="116">
        <f>COUNTIFS($A$3:A11301,A3045,$B$3:B11301,B3045)</f>
        <v>1</v>
      </c>
      <c r="G3045" s="116"/>
    </row>
    <row r="3046" spans="1:7" x14ac:dyDescent="0.2">
      <c r="A3046" s="116">
        <f>IF(ISNUMBER(Tabela2[[#This Row],[CT-e/NFS]])=TRUE,(IF(B3046&gt;30000,4,IF(B3046&lt;1000,"ND",0))),"-")</f>
        <v>4</v>
      </c>
      <c r="B3046" s="116">
        <v>47564</v>
      </c>
      <c r="C3046" s="117">
        <v>45464</v>
      </c>
      <c r="D3046" s="116">
        <v>125.03</v>
      </c>
      <c r="E3046" s="117">
        <v>45473</v>
      </c>
      <c r="F3046" s="116">
        <f>COUNTIFS($A$3:A11302,A3046,$B$3:B11302,B3046)</f>
        <v>1</v>
      </c>
      <c r="G3046" s="116"/>
    </row>
    <row r="3047" spans="1:7" x14ac:dyDescent="0.2">
      <c r="A3047" s="116">
        <f>IF(ISNUMBER(Tabela2[[#This Row],[CT-e/NFS]])=TRUE,(IF(B3047&gt;30000,4,IF(B3047&lt;1000,"ND",0))),"-")</f>
        <v>4</v>
      </c>
      <c r="B3047" s="116">
        <v>47584</v>
      </c>
      <c r="C3047" s="117">
        <v>45464</v>
      </c>
      <c r="D3047" s="116">
        <v>111.89</v>
      </c>
      <c r="E3047" s="117">
        <v>45473</v>
      </c>
      <c r="F3047" s="116">
        <f>COUNTIFS($A$3:A11303,A3047,$B$3:B11303,B3047)</f>
        <v>1</v>
      </c>
      <c r="G3047" s="116"/>
    </row>
    <row r="3048" spans="1:7" x14ac:dyDescent="0.2">
      <c r="A3048" s="116">
        <f>IF(ISNUMBER(Tabela2[[#This Row],[CT-e/NFS]])=TRUE,(IF(B3048&gt;30000,4,IF(B3048&lt;1000,"ND",0))),"-")</f>
        <v>4</v>
      </c>
      <c r="B3048" s="116">
        <v>47578</v>
      </c>
      <c r="C3048" s="117">
        <v>45464</v>
      </c>
      <c r="D3048" s="116">
        <v>176.14</v>
      </c>
      <c r="E3048" s="117">
        <v>45473</v>
      </c>
      <c r="F3048" s="116">
        <f>COUNTIFS($A$3:A11304,A3048,$B$3:B11304,B3048)</f>
        <v>1</v>
      </c>
      <c r="G3048" s="116"/>
    </row>
    <row r="3049" spans="1:7" x14ac:dyDescent="0.2">
      <c r="A3049" s="116">
        <f>IF(ISNUMBER(Tabela2[[#This Row],[CT-e/NFS]])=TRUE,(IF(B3049&gt;30000,4,IF(B3049&lt;1000,"ND",0))),"-")</f>
        <v>4</v>
      </c>
      <c r="B3049" s="116">
        <v>47587</v>
      </c>
      <c r="C3049" s="117">
        <v>45464</v>
      </c>
      <c r="D3049" s="116">
        <v>398.25</v>
      </c>
      <c r="E3049" s="117">
        <v>45473</v>
      </c>
      <c r="F3049" s="116">
        <f>COUNTIFS($A$3:A11305,A3049,$B$3:B11305,B3049)</f>
        <v>1</v>
      </c>
      <c r="G3049" s="116"/>
    </row>
    <row r="3050" spans="1:7" x14ac:dyDescent="0.2">
      <c r="A3050" s="116">
        <f>IF(ISNUMBER(Tabela2[[#This Row],[CT-e/NFS]])=TRUE,(IF(B3050&gt;30000,4,IF(B3050&lt;1000,"ND",0))),"-")</f>
        <v>4</v>
      </c>
      <c r="B3050" s="116">
        <v>47588</v>
      </c>
      <c r="C3050" s="117">
        <v>45464</v>
      </c>
      <c r="D3050" s="116">
        <v>463.08</v>
      </c>
      <c r="E3050" s="117">
        <v>45473</v>
      </c>
      <c r="F3050" s="116">
        <f>COUNTIFS($A$3:A11306,A3050,$B$3:B11306,B3050)</f>
        <v>1</v>
      </c>
      <c r="G3050" s="116"/>
    </row>
    <row r="3051" spans="1:7" x14ac:dyDescent="0.2">
      <c r="A3051" s="116">
        <f>IF(ISNUMBER(Tabela2[[#This Row],[CT-e/NFS]])=TRUE,(IF(B3051&gt;30000,4,IF(B3051&lt;1000,"ND",0))),"-")</f>
        <v>4</v>
      </c>
      <c r="B3051" s="116">
        <v>47589</v>
      </c>
      <c r="C3051" s="117">
        <v>45464</v>
      </c>
      <c r="D3051" s="116">
        <v>445.48</v>
      </c>
      <c r="E3051" s="117">
        <v>45473</v>
      </c>
      <c r="F3051" s="116">
        <f>COUNTIFS($A$3:A11307,A3051,$B$3:B11307,B3051)</f>
        <v>1</v>
      </c>
      <c r="G3051" s="116"/>
    </row>
    <row r="3052" spans="1:7" x14ac:dyDescent="0.2">
      <c r="A3052" s="116">
        <f>IF(ISNUMBER(Tabela2[[#This Row],[CT-e/NFS]])=TRUE,(IF(B3052&gt;30000,4,IF(B3052&lt;1000,"ND",0))),"-")</f>
        <v>4</v>
      </c>
      <c r="B3052" s="116">
        <v>47586</v>
      </c>
      <c r="C3052" s="117">
        <v>45464</v>
      </c>
      <c r="D3052" s="116">
        <v>451.5</v>
      </c>
      <c r="E3052" s="117">
        <v>45473</v>
      </c>
      <c r="F3052" s="116">
        <f>COUNTIFS($A$3:A11308,A3052,$B$3:B11308,B3052)</f>
        <v>1</v>
      </c>
      <c r="G3052" s="116"/>
    </row>
    <row r="3053" spans="1:7" x14ac:dyDescent="0.2">
      <c r="A3053" s="116">
        <f>IF(ISNUMBER(Tabela2[[#This Row],[CT-e/NFS]])=TRUE,(IF(B3053&gt;30000,4,IF(B3053&lt;1000,"ND",0))),"-")</f>
        <v>4</v>
      </c>
      <c r="B3053" s="116">
        <v>47590</v>
      </c>
      <c r="C3053" s="117">
        <v>45464</v>
      </c>
      <c r="D3053" s="116">
        <v>521.39</v>
      </c>
      <c r="E3053" s="117">
        <v>45473</v>
      </c>
      <c r="F3053" s="116">
        <f>COUNTIFS($A$3:A11309,A3053,$B$3:B11309,B3053)</f>
        <v>1</v>
      </c>
      <c r="G3053" s="116"/>
    </row>
    <row r="3054" spans="1:7" x14ac:dyDescent="0.2">
      <c r="A3054" s="116">
        <f>IF(ISNUMBER(Tabela2[[#This Row],[CT-e/NFS]])=TRUE,(IF(B3054&gt;30000,4,IF(B3054&lt;1000,"ND",0))),"-")</f>
        <v>4</v>
      </c>
      <c r="B3054" s="116">
        <v>47591</v>
      </c>
      <c r="C3054" s="117">
        <v>45464</v>
      </c>
      <c r="D3054" s="116">
        <v>616.34</v>
      </c>
      <c r="E3054" s="117">
        <v>45473</v>
      </c>
      <c r="F3054" s="116">
        <f>COUNTIFS($A$3:A11310,A3054,$B$3:B11310,B3054)</f>
        <v>1</v>
      </c>
      <c r="G3054" s="116"/>
    </row>
    <row r="3055" spans="1:7" x14ac:dyDescent="0.2">
      <c r="A3055" s="116">
        <f>IF(ISNUMBER(Tabela2[[#This Row],[CT-e/NFS]])=TRUE,(IF(B3055&gt;30000,4,IF(B3055&lt;1000,"ND",0))),"-")</f>
        <v>4</v>
      </c>
      <c r="B3055" s="116">
        <v>47606</v>
      </c>
      <c r="C3055" s="117">
        <v>45464</v>
      </c>
      <c r="D3055" s="116">
        <v>61.51</v>
      </c>
      <c r="E3055" s="117">
        <v>45473</v>
      </c>
      <c r="F3055" s="116">
        <f>COUNTIFS($A$3:A11311,A3055,$B$3:B11311,B3055)</f>
        <v>1</v>
      </c>
      <c r="G3055" s="116"/>
    </row>
    <row r="3056" spans="1:7" x14ac:dyDescent="0.2">
      <c r="A3056" s="116">
        <f>IF(ISNUMBER(Tabela2[[#This Row],[CT-e/NFS]])=TRUE,(IF(B3056&gt;30000,4,IF(B3056&lt;1000,"ND",0))),"-")</f>
        <v>4</v>
      </c>
      <c r="B3056" s="116">
        <v>47607</v>
      </c>
      <c r="C3056" s="117">
        <v>45464</v>
      </c>
      <c r="D3056" s="116">
        <v>110.73</v>
      </c>
      <c r="E3056" s="117">
        <v>45473</v>
      </c>
      <c r="F3056" s="116">
        <f>COUNTIFS($A$3:A11312,A3056,$B$3:B11312,B3056)</f>
        <v>1</v>
      </c>
      <c r="G3056" s="116"/>
    </row>
    <row r="3057" spans="1:7" x14ac:dyDescent="0.2">
      <c r="A3057" s="116">
        <f>IF(ISNUMBER(Tabela2[[#This Row],[CT-e/NFS]])=TRUE,(IF(B3057&gt;30000,4,IF(B3057&lt;1000,"ND",0))),"-")</f>
        <v>4</v>
      </c>
      <c r="B3057" s="116">
        <v>47595</v>
      </c>
      <c r="C3057" s="117">
        <v>45464</v>
      </c>
      <c r="D3057" s="116">
        <v>123.89</v>
      </c>
      <c r="E3057" s="117">
        <v>45473</v>
      </c>
      <c r="F3057" s="116">
        <f>COUNTIFS($A$3:A11313,A3057,$B$3:B11313,B3057)</f>
        <v>1</v>
      </c>
      <c r="G3057" s="116"/>
    </row>
    <row r="3058" spans="1:7" x14ac:dyDescent="0.2">
      <c r="A3058" s="116">
        <f>IF(ISNUMBER(Tabela2[[#This Row],[CT-e/NFS]])=TRUE,(IF(B3058&gt;30000,4,IF(B3058&lt;1000,"ND",0))),"-")</f>
        <v>4</v>
      </c>
      <c r="B3058" s="116">
        <v>47596</v>
      </c>
      <c r="C3058" s="117">
        <v>45464</v>
      </c>
      <c r="D3058" s="116">
        <v>551</v>
      </c>
      <c r="E3058" s="117">
        <v>45473</v>
      </c>
      <c r="F3058" s="116">
        <f>COUNTIFS($A$3:A11314,A3058,$B$3:B11314,B3058)</f>
        <v>1</v>
      </c>
      <c r="G3058" s="116"/>
    </row>
    <row r="3059" spans="1:7" x14ac:dyDescent="0.2">
      <c r="A3059" s="116">
        <f>IF(ISNUMBER(Tabela2[[#This Row],[CT-e/NFS]])=TRUE,(IF(B3059&gt;30000,4,IF(B3059&lt;1000,"ND",0))),"-")</f>
        <v>4</v>
      </c>
      <c r="B3059" s="116">
        <v>47592</v>
      </c>
      <c r="C3059" s="117">
        <v>45464</v>
      </c>
      <c r="D3059" s="116">
        <v>124.16</v>
      </c>
      <c r="E3059" s="117">
        <v>45473</v>
      </c>
      <c r="F3059" s="116">
        <f>COUNTIFS($A$3:A11315,A3059,$B$3:B11315,B3059)</f>
        <v>1</v>
      </c>
      <c r="G3059" s="116"/>
    </row>
    <row r="3060" spans="1:7" x14ac:dyDescent="0.2">
      <c r="A3060" s="116">
        <f>IF(ISNUMBER(Tabela2[[#This Row],[CT-e/NFS]])=TRUE,(IF(B3060&gt;30000,4,IF(B3060&lt;1000,"ND",0))),"-")</f>
        <v>4</v>
      </c>
      <c r="B3060" s="116">
        <v>47603</v>
      </c>
      <c r="C3060" s="117">
        <v>45464</v>
      </c>
      <c r="D3060" s="116">
        <v>125.16</v>
      </c>
      <c r="E3060" s="117">
        <v>45473</v>
      </c>
      <c r="F3060" s="116">
        <f>COUNTIFS($A$3:A11316,A3060,$B$3:B11316,B3060)</f>
        <v>1</v>
      </c>
      <c r="G3060" s="116"/>
    </row>
    <row r="3061" spans="1:7" x14ac:dyDescent="0.2">
      <c r="A3061" s="116">
        <f>IF(ISNUMBER(Tabela2[[#This Row],[CT-e/NFS]])=TRUE,(IF(B3061&gt;30000,4,IF(B3061&lt;1000,"ND",0))),"-")</f>
        <v>4</v>
      </c>
      <c r="B3061" s="116">
        <v>47604</v>
      </c>
      <c r="C3061" s="117">
        <v>45464</v>
      </c>
      <c r="D3061" s="116">
        <v>123.5</v>
      </c>
      <c r="E3061" s="117">
        <v>45473</v>
      </c>
      <c r="F3061" s="116">
        <f>COUNTIFS($A$3:A11317,A3061,$B$3:B11317,B3061)</f>
        <v>1</v>
      </c>
      <c r="G3061" s="116"/>
    </row>
    <row r="3062" spans="1:7" x14ac:dyDescent="0.2">
      <c r="A3062" s="116">
        <f>IF(ISNUMBER(Tabela2[[#This Row],[CT-e/NFS]])=TRUE,(IF(B3062&gt;30000,4,IF(B3062&lt;1000,"ND",0))),"-")</f>
        <v>4</v>
      </c>
      <c r="B3062" s="116">
        <v>47602</v>
      </c>
      <c r="C3062" s="117">
        <v>45464</v>
      </c>
      <c r="D3062" s="116">
        <v>278.64999999999998</v>
      </c>
      <c r="E3062" s="117">
        <v>45473</v>
      </c>
      <c r="F3062" s="116">
        <f>COUNTIFS($A$3:A11318,A3062,$B$3:B11318,B3062)</f>
        <v>1</v>
      </c>
      <c r="G3062" s="116"/>
    </row>
    <row r="3063" spans="1:7" x14ac:dyDescent="0.2">
      <c r="A3063" s="116">
        <f>IF(ISNUMBER(Tabela2[[#This Row],[CT-e/NFS]])=TRUE,(IF(B3063&gt;30000,4,IF(B3063&lt;1000,"ND",0))),"-")</f>
        <v>4</v>
      </c>
      <c r="B3063" s="116">
        <v>47594</v>
      </c>
      <c r="C3063" s="117">
        <v>45464</v>
      </c>
      <c r="D3063" s="116">
        <v>125.08</v>
      </c>
      <c r="E3063" s="117">
        <v>45473</v>
      </c>
      <c r="F3063" s="116">
        <f>COUNTIFS($A$3:A11319,A3063,$B$3:B11319,B3063)</f>
        <v>1</v>
      </c>
      <c r="G3063" s="116"/>
    </row>
    <row r="3064" spans="1:7" x14ac:dyDescent="0.2">
      <c r="A3064" s="116">
        <f>IF(ISNUMBER(Tabela2[[#This Row],[CT-e/NFS]])=TRUE,(IF(B3064&gt;30000,4,IF(B3064&lt;1000,"ND",0))),"-")</f>
        <v>4</v>
      </c>
      <c r="B3064" s="116">
        <v>47593</v>
      </c>
      <c r="C3064" s="117">
        <v>45464</v>
      </c>
      <c r="D3064" s="116">
        <v>124.3</v>
      </c>
      <c r="E3064" s="117">
        <v>45473</v>
      </c>
      <c r="F3064" s="116">
        <f>COUNTIFS($A$3:A11320,A3064,$B$3:B11320,B3064)</f>
        <v>1</v>
      </c>
      <c r="G3064" s="116"/>
    </row>
    <row r="3065" spans="1:7" x14ac:dyDescent="0.2">
      <c r="A3065" s="116">
        <f>IF(ISNUMBER(Tabela2[[#This Row],[CT-e/NFS]])=TRUE,(IF(B3065&gt;30000,4,IF(B3065&lt;1000,"ND",0))),"-")</f>
        <v>4</v>
      </c>
      <c r="B3065" s="116">
        <v>47601</v>
      </c>
      <c r="C3065" s="117">
        <v>45464</v>
      </c>
      <c r="D3065" s="116">
        <v>122.76</v>
      </c>
      <c r="E3065" s="117">
        <v>45473</v>
      </c>
      <c r="F3065" s="116">
        <f>COUNTIFS($A$3:A11321,A3065,$B$3:B11321,B3065)</f>
        <v>1</v>
      </c>
      <c r="G3065" s="116"/>
    </row>
    <row r="3066" spans="1:7" x14ac:dyDescent="0.2">
      <c r="A3066" s="116">
        <f>IF(ISNUMBER(Tabela2[[#This Row],[CT-e/NFS]])=TRUE,(IF(B3066&gt;30000,4,IF(B3066&lt;1000,"ND",0))),"-")</f>
        <v>4</v>
      </c>
      <c r="B3066" s="116">
        <v>47597</v>
      </c>
      <c r="C3066" s="117">
        <v>45464</v>
      </c>
      <c r="D3066" s="116">
        <v>123.65</v>
      </c>
      <c r="E3066" s="117">
        <v>45473</v>
      </c>
      <c r="F3066" s="116">
        <f>COUNTIFS($A$3:A11322,A3066,$B$3:B11322,B3066)</f>
        <v>1</v>
      </c>
      <c r="G3066" s="116"/>
    </row>
    <row r="3067" spans="1:7" x14ac:dyDescent="0.2">
      <c r="A3067" s="116">
        <f>IF(ISNUMBER(Tabela2[[#This Row],[CT-e/NFS]])=TRUE,(IF(B3067&gt;30000,4,IF(B3067&lt;1000,"ND",0))),"-")</f>
        <v>4</v>
      </c>
      <c r="B3067" s="116">
        <v>47600</v>
      </c>
      <c r="C3067" s="117">
        <v>45464</v>
      </c>
      <c r="D3067" s="116">
        <v>123.02</v>
      </c>
      <c r="E3067" s="117">
        <v>45473</v>
      </c>
      <c r="F3067" s="116">
        <f>COUNTIFS($A$3:A11323,A3067,$B$3:B11323,B3067)</f>
        <v>1</v>
      </c>
      <c r="G3067" s="116"/>
    </row>
    <row r="3068" spans="1:7" x14ac:dyDescent="0.2">
      <c r="A3068" s="116">
        <f>IF(ISNUMBER(Tabela2[[#This Row],[CT-e/NFS]])=TRUE,(IF(B3068&gt;30000,4,IF(B3068&lt;1000,"ND",0))),"-")</f>
        <v>4</v>
      </c>
      <c r="B3068" s="116">
        <v>47598</v>
      </c>
      <c r="C3068" s="117">
        <v>45464</v>
      </c>
      <c r="D3068" s="116">
        <v>123.5</v>
      </c>
      <c r="E3068" s="117">
        <v>45473</v>
      </c>
      <c r="F3068" s="116">
        <f>COUNTIFS($A$3:A11324,A3068,$B$3:B11324,B3068)</f>
        <v>1</v>
      </c>
      <c r="G3068" s="116"/>
    </row>
    <row r="3069" spans="1:7" x14ac:dyDescent="0.2">
      <c r="A3069" s="116">
        <f>IF(ISNUMBER(Tabela2[[#This Row],[CT-e/NFS]])=TRUE,(IF(B3069&gt;30000,4,IF(B3069&lt;1000,"ND",0))),"-")</f>
        <v>4</v>
      </c>
      <c r="B3069" s="116">
        <v>47599</v>
      </c>
      <c r="C3069" s="117">
        <v>45464</v>
      </c>
      <c r="D3069" s="116">
        <v>123.51</v>
      </c>
      <c r="E3069" s="117">
        <v>45473</v>
      </c>
      <c r="F3069" s="116">
        <f>COUNTIFS($A$3:A11325,A3069,$B$3:B11325,B3069)</f>
        <v>1</v>
      </c>
      <c r="G3069" s="116"/>
    </row>
    <row r="3070" spans="1:7" x14ac:dyDescent="0.2">
      <c r="A3070" s="116">
        <f>IF(ISNUMBER(Tabela2[[#This Row],[CT-e/NFS]])=TRUE,(IF(B3070&gt;30000,4,IF(B3070&lt;1000,"ND",0))),"-")</f>
        <v>0</v>
      </c>
      <c r="B3070" s="116">
        <v>21621</v>
      </c>
      <c r="C3070" s="117">
        <v>45464</v>
      </c>
      <c r="D3070" s="116">
        <v>844.29</v>
      </c>
      <c r="E3070" s="117">
        <v>45473</v>
      </c>
      <c r="F3070" s="116">
        <f>COUNTIFS($A$3:A11326,A3070,$B$3:B11326,B3070)</f>
        <v>1</v>
      </c>
      <c r="G3070" s="116"/>
    </row>
    <row r="3071" spans="1:7" x14ac:dyDescent="0.2">
      <c r="A3071" s="116">
        <f>IF(ISNUMBER(Tabela2[[#This Row],[CT-e/NFS]])=TRUE,(IF(B3071&gt;30000,4,IF(B3071&lt;1000,"ND",0))),"-")</f>
        <v>4</v>
      </c>
      <c r="B3071" s="116">
        <v>47614</v>
      </c>
      <c r="C3071" s="117">
        <v>45464</v>
      </c>
      <c r="D3071" s="116">
        <v>240.5</v>
      </c>
      <c r="E3071" s="117">
        <v>45473</v>
      </c>
      <c r="F3071" s="116">
        <f>COUNTIFS($A$3:A11327,A3071,$B$3:B11327,B3071)</f>
        <v>1</v>
      </c>
      <c r="G3071" s="116"/>
    </row>
    <row r="3072" spans="1:7" x14ac:dyDescent="0.2">
      <c r="A3072" s="116">
        <f>IF(ISNUMBER(Tabela2[[#This Row],[CT-e/NFS]])=TRUE,(IF(B3072&gt;30000,4,IF(B3072&lt;1000,"ND",0))),"-")</f>
        <v>4</v>
      </c>
      <c r="B3072" s="116">
        <v>47612</v>
      </c>
      <c r="C3072" s="117">
        <v>45464</v>
      </c>
      <c r="D3072" s="116">
        <v>123.13</v>
      </c>
      <c r="E3072" s="117">
        <v>45473</v>
      </c>
      <c r="F3072" s="116">
        <f>COUNTIFS($A$3:A11328,A3072,$B$3:B11328,B3072)</f>
        <v>1</v>
      </c>
      <c r="G3072" s="116"/>
    </row>
    <row r="3073" spans="1:7" x14ac:dyDescent="0.2">
      <c r="A3073" s="116">
        <f>IF(ISNUMBER(Tabela2[[#This Row],[CT-e/NFS]])=TRUE,(IF(B3073&gt;30000,4,IF(B3073&lt;1000,"ND",0))),"-")</f>
        <v>4</v>
      </c>
      <c r="B3073" s="116">
        <v>47613</v>
      </c>
      <c r="C3073" s="117">
        <v>45464</v>
      </c>
      <c r="D3073" s="116">
        <v>126.32</v>
      </c>
      <c r="E3073" s="117">
        <v>45473</v>
      </c>
      <c r="F3073" s="116">
        <f>COUNTIFS($A$3:A11329,A3073,$B$3:B11329,B3073)</f>
        <v>1</v>
      </c>
      <c r="G3073" s="116"/>
    </row>
    <row r="3074" spans="1:7" x14ac:dyDescent="0.2">
      <c r="A3074" s="116">
        <f>IF(ISNUMBER(Tabela2[[#This Row],[CT-e/NFS]])=TRUE,(IF(B3074&gt;30000,4,IF(B3074&lt;1000,"ND",0))),"-")</f>
        <v>4</v>
      </c>
      <c r="B3074" s="116">
        <v>47625</v>
      </c>
      <c r="C3074" s="117">
        <v>45464</v>
      </c>
      <c r="D3074" s="116">
        <v>124.51</v>
      </c>
      <c r="E3074" s="117">
        <v>45473</v>
      </c>
      <c r="F3074" s="116">
        <f>COUNTIFS($A$3:A11330,A3074,$B$3:B11330,B3074)</f>
        <v>1</v>
      </c>
      <c r="G3074" s="116"/>
    </row>
    <row r="3075" spans="1:7" x14ac:dyDescent="0.2">
      <c r="A3075" s="116">
        <f>IF(ISNUMBER(Tabela2[[#This Row],[CT-e/NFS]])=TRUE,(IF(B3075&gt;30000,4,IF(B3075&lt;1000,"ND",0))),"-")</f>
        <v>4</v>
      </c>
      <c r="B3075" s="116">
        <v>47624</v>
      </c>
      <c r="C3075" s="117">
        <v>45464</v>
      </c>
      <c r="D3075" s="116">
        <v>225.23</v>
      </c>
      <c r="E3075" s="117">
        <v>45473</v>
      </c>
      <c r="F3075" s="116">
        <f>COUNTIFS($A$3:A11331,A3075,$B$3:B11331,B3075)</f>
        <v>1</v>
      </c>
      <c r="G3075" s="116"/>
    </row>
    <row r="3076" spans="1:7" x14ac:dyDescent="0.2">
      <c r="A3076" s="116">
        <f>IF(ISNUMBER(Tabela2[[#This Row],[CT-e/NFS]])=TRUE,(IF(B3076&gt;30000,4,IF(B3076&lt;1000,"ND",0))),"-")</f>
        <v>4</v>
      </c>
      <c r="B3076" s="116">
        <v>47610</v>
      </c>
      <c r="C3076" s="117">
        <v>45464</v>
      </c>
      <c r="D3076" s="116">
        <v>242.93</v>
      </c>
      <c r="E3076" s="117">
        <v>45473</v>
      </c>
      <c r="F3076" s="116">
        <f>COUNTIFS($A$3:A11332,A3076,$B$3:B11332,B3076)</f>
        <v>1</v>
      </c>
      <c r="G3076" s="116"/>
    </row>
    <row r="3077" spans="1:7" x14ac:dyDescent="0.2">
      <c r="A3077" s="116">
        <f>IF(ISNUMBER(Tabela2[[#This Row],[CT-e/NFS]])=TRUE,(IF(B3077&gt;30000,4,IF(B3077&lt;1000,"ND",0))),"-")</f>
        <v>4</v>
      </c>
      <c r="B3077" s="116">
        <v>47611</v>
      </c>
      <c r="C3077" s="117">
        <v>45464</v>
      </c>
      <c r="D3077" s="116">
        <v>125.93</v>
      </c>
      <c r="E3077" s="117">
        <v>45473</v>
      </c>
      <c r="F3077" s="116">
        <f>COUNTIFS($A$3:A11333,A3077,$B$3:B11333,B3077)</f>
        <v>1</v>
      </c>
      <c r="G3077" s="116"/>
    </row>
    <row r="3078" spans="1:7" x14ac:dyDescent="0.2">
      <c r="A3078" s="116">
        <f>IF(ISNUMBER(Tabela2[[#This Row],[CT-e/NFS]])=TRUE,(IF(B3078&gt;30000,4,IF(B3078&lt;1000,"ND",0))),"-")</f>
        <v>4</v>
      </c>
      <c r="B3078" s="116">
        <v>47623</v>
      </c>
      <c r="C3078" s="117">
        <v>45464</v>
      </c>
      <c r="D3078" s="116">
        <v>277.3</v>
      </c>
      <c r="E3078" s="117">
        <v>45473</v>
      </c>
      <c r="F3078" s="116">
        <f>COUNTIFS($A$3:A11334,A3078,$B$3:B11334,B3078)</f>
        <v>1</v>
      </c>
      <c r="G3078" s="116"/>
    </row>
    <row r="3079" spans="1:7" x14ac:dyDescent="0.2">
      <c r="A3079" s="116">
        <f>IF(ISNUMBER(Tabela2[[#This Row],[CT-e/NFS]])=TRUE,(IF(B3079&gt;30000,4,IF(B3079&lt;1000,"ND",0))),"-")</f>
        <v>4</v>
      </c>
      <c r="B3079" s="116">
        <v>47622</v>
      </c>
      <c r="C3079" s="117">
        <v>45464</v>
      </c>
      <c r="D3079" s="116">
        <v>241.94</v>
      </c>
      <c r="E3079" s="117">
        <v>45473</v>
      </c>
      <c r="F3079" s="116">
        <f>COUNTIFS($A$3:A11335,A3079,$B$3:B11335,B3079)</f>
        <v>1</v>
      </c>
      <c r="G3079" s="116"/>
    </row>
    <row r="3080" spans="1:7" x14ac:dyDescent="0.2">
      <c r="A3080" s="116">
        <f>IF(ISNUMBER(Tabela2[[#This Row],[CT-e/NFS]])=TRUE,(IF(B3080&gt;30000,4,IF(B3080&lt;1000,"ND",0))),"-")</f>
        <v>4</v>
      </c>
      <c r="B3080" s="116">
        <v>47633</v>
      </c>
      <c r="C3080" s="117">
        <v>45464</v>
      </c>
      <c r="D3080" s="116">
        <v>246.33</v>
      </c>
      <c r="E3080" s="117">
        <v>45473</v>
      </c>
      <c r="F3080" s="116">
        <f>COUNTIFS($A$3:A11336,A3080,$B$3:B11336,B3080)</f>
        <v>1</v>
      </c>
      <c r="G3080" s="116"/>
    </row>
    <row r="3081" spans="1:7" x14ac:dyDescent="0.2">
      <c r="A3081" s="116">
        <f>IF(ISNUMBER(Tabela2[[#This Row],[CT-e/NFS]])=TRUE,(IF(B3081&gt;30000,4,IF(B3081&lt;1000,"ND",0))),"-")</f>
        <v>4</v>
      </c>
      <c r="B3081" s="116">
        <v>47628</v>
      </c>
      <c r="C3081" s="117">
        <v>45464</v>
      </c>
      <c r="D3081" s="116">
        <v>125.07</v>
      </c>
      <c r="E3081" s="117">
        <v>45473</v>
      </c>
      <c r="F3081" s="116">
        <f>COUNTIFS($A$3:A11337,A3081,$B$3:B11337,B3081)</f>
        <v>1</v>
      </c>
      <c r="G3081" s="116"/>
    </row>
    <row r="3082" spans="1:7" x14ac:dyDescent="0.2">
      <c r="A3082" s="116">
        <f>IF(ISNUMBER(Tabela2[[#This Row],[CT-e/NFS]])=TRUE,(IF(B3082&gt;30000,4,IF(B3082&lt;1000,"ND",0))),"-")</f>
        <v>4</v>
      </c>
      <c r="B3082" s="116">
        <v>47632</v>
      </c>
      <c r="C3082" s="117">
        <v>45464</v>
      </c>
      <c r="D3082" s="116">
        <v>664.19</v>
      </c>
      <c r="E3082" s="117">
        <v>45473</v>
      </c>
      <c r="F3082" s="116">
        <f>COUNTIFS($A$3:A11338,A3082,$B$3:B11338,B3082)</f>
        <v>1</v>
      </c>
      <c r="G3082" s="116"/>
    </row>
    <row r="3083" spans="1:7" x14ac:dyDescent="0.2">
      <c r="A3083" s="116">
        <f>IF(ISNUMBER(Tabela2[[#This Row],[CT-e/NFS]])=TRUE,(IF(B3083&gt;30000,4,IF(B3083&lt;1000,"ND",0))),"-")</f>
        <v>4</v>
      </c>
      <c r="B3083" s="116">
        <v>47630</v>
      </c>
      <c r="C3083" s="117">
        <v>45464</v>
      </c>
      <c r="D3083" s="116">
        <v>124.2</v>
      </c>
      <c r="E3083" s="117">
        <v>45473</v>
      </c>
      <c r="F3083" s="116">
        <f>COUNTIFS($A$3:A11339,A3083,$B$3:B11339,B3083)</f>
        <v>1</v>
      </c>
      <c r="G3083" s="116"/>
    </row>
    <row r="3084" spans="1:7" x14ac:dyDescent="0.2">
      <c r="A3084" s="116">
        <f>IF(ISNUMBER(Tabela2[[#This Row],[CT-e/NFS]])=TRUE,(IF(B3084&gt;30000,4,IF(B3084&lt;1000,"ND",0))),"-")</f>
        <v>4</v>
      </c>
      <c r="B3084" s="116">
        <v>47629</v>
      </c>
      <c r="C3084" s="117">
        <v>45464</v>
      </c>
      <c r="D3084" s="116">
        <v>123.13</v>
      </c>
      <c r="E3084" s="117">
        <v>45473</v>
      </c>
      <c r="F3084" s="116">
        <f>COUNTIFS($A$3:A11340,A3084,$B$3:B11340,B3084)</f>
        <v>1</v>
      </c>
      <c r="G3084" s="116"/>
    </row>
    <row r="3085" spans="1:7" x14ac:dyDescent="0.2">
      <c r="A3085" s="116">
        <f>IF(ISNUMBER(Tabela2[[#This Row],[CT-e/NFS]])=TRUE,(IF(B3085&gt;30000,4,IF(B3085&lt;1000,"ND",0))),"-")</f>
        <v>4</v>
      </c>
      <c r="B3085" s="116">
        <v>47627</v>
      </c>
      <c r="C3085" s="117">
        <v>45464</v>
      </c>
      <c r="D3085" s="116">
        <v>125.98</v>
      </c>
      <c r="E3085" s="117">
        <v>45473</v>
      </c>
      <c r="F3085" s="116">
        <f>COUNTIFS($A$3:A11341,A3085,$B$3:B11341,B3085)</f>
        <v>1</v>
      </c>
      <c r="G3085" s="116"/>
    </row>
    <row r="3086" spans="1:7" x14ac:dyDescent="0.2">
      <c r="A3086" s="116">
        <f>IF(ISNUMBER(Tabela2[[#This Row],[CT-e/NFS]])=TRUE,(IF(B3086&gt;30000,4,IF(B3086&lt;1000,"ND",0))),"-")</f>
        <v>4</v>
      </c>
      <c r="B3086" s="116">
        <v>47626</v>
      </c>
      <c r="C3086" s="117">
        <v>45464</v>
      </c>
      <c r="D3086" s="116">
        <v>126.65</v>
      </c>
      <c r="E3086" s="117">
        <v>45473</v>
      </c>
      <c r="F3086" s="116">
        <f>COUNTIFS($A$3:A11342,A3086,$B$3:B11342,B3086)</f>
        <v>1</v>
      </c>
      <c r="G3086" s="116"/>
    </row>
    <row r="3087" spans="1:7" x14ac:dyDescent="0.2">
      <c r="A3087" s="116">
        <f>IF(ISNUMBER(Tabela2[[#This Row],[CT-e/NFS]])=TRUE,(IF(B3087&gt;30000,4,IF(B3087&lt;1000,"ND",0))),"-")</f>
        <v>4</v>
      </c>
      <c r="B3087" s="116">
        <v>47616</v>
      </c>
      <c r="C3087" s="117">
        <v>45464</v>
      </c>
      <c r="D3087" s="116">
        <v>123.89</v>
      </c>
      <c r="E3087" s="117">
        <v>45473</v>
      </c>
      <c r="F3087" s="116">
        <f>COUNTIFS($A$3:A11343,A3087,$B$3:B11343,B3087)</f>
        <v>1</v>
      </c>
      <c r="G3087" s="116"/>
    </row>
    <row r="3088" spans="1:7" x14ac:dyDescent="0.2">
      <c r="A3088" s="116">
        <f>IF(ISNUMBER(Tabela2[[#This Row],[CT-e/NFS]])=TRUE,(IF(B3088&gt;30000,4,IF(B3088&lt;1000,"ND",0))),"-")</f>
        <v>4</v>
      </c>
      <c r="B3088" s="116">
        <v>47615</v>
      </c>
      <c r="C3088" s="117">
        <v>45464</v>
      </c>
      <c r="D3088" s="116">
        <v>265.82</v>
      </c>
      <c r="E3088" s="117">
        <v>45473</v>
      </c>
      <c r="F3088" s="116">
        <f>COUNTIFS($A$3:A11344,A3088,$B$3:B11344,B3088)</f>
        <v>1</v>
      </c>
      <c r="G3088" s="116"/>
    </row>
    <row r="3089" spans="1:7" x14ac:dyDescent="0.2">
      <c r="A3089" s="116">
        <f>IF(ISNUMBER(Tabela2[[#This Row],[CT-e/NFS]])=TRUE,(IF(B3089&gt;30000,4,IF(B3089&lt;1000,"ND",0))),"-")</f>
        <v>4</v>
      </c>
      <c r="B3089" s="116">
        <v>47620</v>
      </c>
      <c r="C3089" s="117">
        <v>45464</v>
      </c>
      <c r="D3089" s="116">
        <v>124.24</v>
      </c>
      <c r="E3089" s="117">
        <v>45473</v>
      </c>
      <c r="F3089" s="116">
        <f>COUNTIFS($A$3:A11345,A3089,$B$3:B11345,B3089)</f>
        <v>1</v>
      </c>
      <c r="G3089" s="116"/>
    </row>
    <row r="3090" spans="1:7" x14ac:dyDescent="0.2">
      <c r="A3090" s="116">
        <f>IF(ISNUMBER(Tabela2[[#This Row],[CT-e/NFS]])=TRUE,(IF(B3090&gt;30000,4,IF(B3090&lt;1000,"ND",0))),"-")</f>
        <v>4</v>
      </c>
      <c r="B3090" s="116">
        <v>47618</v>
      </c>
      <c r="C3090" s="117">
        <v>45464</v>
      </c>
      <c r="D3090" s="116">
        <v>125.69</v>
      </c>
      <c r="E3090" s="117">
        <v>45473</v>
      </c>
      <c r="F3090" s="116">
        <f>COUNTIFS($A$3:A11346,A3090,$B$3:B11346,B3090)</f>
        <v>1</v>
      </c>
      <c r="G3090" s="116"/>
    </row>
    <row r="3091" spans="1:7" x14ac:dyDescent="0.2">
      <c r="A3091" s="116">
        <f>IF(ISNUMBER(Tabela2[[#This Row],[CT-e/NFS]])=TRUE,(IF(B3091&gt;30000,4,IF(B3091&lt;1000,"ND",0))),"-")</f>
        <v>4</v>
      </c>
      <c r="B3091" s="116">
        <v>47637</v>
      </c>
      <c r="C3091" s="117">
        <v>45464</v>
      </c>
      <c r="D3091" s="116">
        <v>124.32</v>
      </c>
      <c r="E3091" s="117">
        <v>45473</v>
      </c>
      <c r="F3091" s="116">
        <f>COUNTIFS($A$3:A11347,A3091,$B$3:B11347,B3091)</f>
        <v>1</v>
      </c>
      <c r="G3091" s="116"/>
    </row>
    <row r="3092" spans="1:7" x14ac:dyDescent="0.2">
      <c r="A3092" s="116">
        <f>IF(ISNUMBER(Tabela2[[#This Row],[CT-e/NFS]])=TRUE,(IF(B3092&gt;30000,4,IF(B3092&lt;1000,"ND",0))),"-")</f>
        <v>4</v>
      </c>
      <c r="B3092" s="116">
        <v>47617</v>
      </c>
      <c r="C3092" s="117">
        <v>45464</v>
      </c>
      <c r="D3092" s="116">
        <v>125.03</v>
      </c>
      <c r="E3092" s="117">
        <v>45473</v>
      </c>
      <c r="F3092" s="116">
        <f>COUNTIFS($A$3:A11348,A3092,$B$3:B11348,B3092)</f>
        <v>1</v>
      </c>
      <c r="G3092" s="116"/>
    </row>
    <row r="3093" spans="1:7" x14ac:dyDescent="0.2">
      <c r="A3093" s="116">
        <f>IF(ISNUMBER(Tabela2[[#This Row],[CT-e/NFS]])=TRUE,(IF(B3093&gt;30000,4,IF(B3093&lt;1000,"ND",0))),"-")</f>
        <v>4</v>
      </c>
      <c r="B3093" s="116">
        <v>47619</v>
      </c>
      <c r="C3093" s="117">
        <v>45464</v>
      </c>
      <c r="D3093" s="116">
        <v>123.93</v>
      </c>
      <c r="E3093" s="117">
        <v>45473</v>
      </c>
      <c r="F3093" s="116">
        <f>COUNTIFS($A$3:A11349,A3093,$B$3:B11349,B3093)</f>
        <v>1</v>
      </c>
      <c r="G3093" s="116"/>
    </row>
    <row r="3094" spans="1:7" x14ac:dyDescent="0.2">
      <c r="A3094" s="116">
        <f>IF(ISNUMBER(Tabela2[[#This Row],[CT-e/NFS]])=TRUE,(IF(B3094&gt;30000,4,IF(B3094&lt;1000,"ND",0))),"-")</f>
        <v>4</v>
      </c>
      <c r="B3094" s="116">
        <v>47640</v>
      </c>
      <c r="C3094" s="117">
        <v>45464</v>
      </c>
      <c r="D3094" s="116">
        <v>618.85</v>
      </c>
      <c r="E3094" s="117">
        <v>45473</v>
      </c>
      <c r="F3094" s="116">
        <f>COUNTIFS($A$3:A11350,A3094,$B$3:B11350,B3094)</f>
        <v>1</v>
      </c>
      <c r="G3094" s="116"/>
    </row>
    <row r="3095" spans="1:7" x14ac:dyDescent="0.2">
      <c r="A3095" s="116">
        <f>IF(ISNUMBER(Tabela2[[#This Row],[CT-e/NFS]])=TRUE,(IF(B3095&gt;30000,4,IF(B3095&lt;1000,"ND",0))),"-")</f>
        <v>4</v>
      </c>
      <c r="B3095" s="116">
        <v>47631</v>
      </c>
      <c r="C3095" s="117">
        <v>45464</v>
      </c>
      <c r="D3095" s="116">
        <v>396.44</v>
      </c>
      <c r="E3095" s="117">
        <v>45473</v>
      </c>
      <c r="F3095" s="116">
        <f>COUNTIFS($A$3:A11351,A3095,$B$3:B11351,B3095)</f>
        <v>1</v>
      </c>
      <c r="G3095" s="116"/>
    </row>
    <row r="3096" spans="1:7" x14ac:dyDescent="0.2">
      <c r="A3096" s="116">
        <f>IF(ISNUMBER(Tabela2[[#This Row],[CT-e/NFS]])=TRUE,(IF(B3096&gt;30000,4,IF(B3096&lt;1000,"ND",0))),"-")</f>
        <v>4</v>
      </c>
      <c r="B3096" s="116">
        <v>47636</v>
      </c>
      <c r="C3096" s="117">
        <v>45464</v>
      </c>
      <c r="D3096" s="116">
        <v>4878.07</v>
      </c>
      <c r="E3096" s="117">
        <v>45473</v>
      </c>
      <c r="F3096" s="116">
        <f>COUNTIFS($A$3:A11352,A3096,$B$3:B11352,B3096)</f>
        <v>1</v>
      </c>
      <c r="G3096" s="116"/>
    </row>
    <row r="3097" spans="1:7" x14ac:dyDescent="0.2">
      <c r="A3097" s="116">
        <f>IF(ISNUMBER(Tabela2[[#This Row],[CT-e/NFS]])=TRUE,(IF(B3097&gt;30000,4,IF(B3097&lt;1000,"ND",0))),"-")</f>
        <v>4</v>
      </c>
      <c r="B3097" s="116">
        <v>47638</v>
      </c>
      <c r="C3097" s="117">
        <v>45464</v>
      </c>
      <c r="D3097" s="116">
        <v>62.51</v>
      </c>
      <c r="E3097" s="117">
        <v>45473</v>
      </c>
      <c r="F3097" s="116">
        <f>COUNTIFS($A$3:A11353,A3097,$B$3:B11353,B3097)</f>
        <v>1</v>
      </c>
      <c r="G3097" s="116"/>
    </row>
    <row r="3098" spans="1:7" x14ac:dyDescent="0.2">
      <c r="A3098" s="116">
        <f>IF(ISNUMBER(Tabela2[[#This Row],[CT-e/NFS]])=TRUE,(IF(B3098&gt;30000,4,IF(B3098&lt;1000,"ND",0))),"-")</f>
        <v>4</v>
      </c>
      <c r="B3098" s="116">
        <v>47643</v>
      </c>
      <c r="C3098" s="117">
        <v>45464</v>
      </c>
      <c r="D3098" s="116">
        <v>124.22</v>
      </c>
      <c r="E3098" s="117">
        <v>45473</v>
      </c>
      <c r="F3098" s="116">
        <f>COUNTIFS($A$3:A11354,A3098,$B$3:B11354,B3098)</f>
        <v>1</v>
      </c>
      <c r="G3098" s="116"/>
    </row>
    <row r="3099" spans="1:7" x14ac:dyDescent="0.2">
      <c r="A3099" s="116">
        <f>IF(ISNUMBER(Tabela2[[#This Row],[CT-e/NFS]])=TRUE,(IF(B3099&gt;30000,4,IF(B3099&lt;1000,"ND",0))),"-")</f>
        <v>4</v>
      </c>
      <c r="B3099" s="116">
        <v>47644</v>
      </c>
      <c r="C3099" s="117">
        <v>45464</v>
      </c>
      <c r="D3099" s="116">
        <v>126.11</v>
      </c>
      <c r="E3099" s="117">
        <v>45473</v>
      </c>
      <c r="F3099" s="116">
        <f>COUNTIFS($A$3:A11355,A3099,$B$3:B11355,B3099)</f>
        <v>1</v>
      </c>
      <c r="G3099" s="116"/>
    </row>
    <row r="3100" spans="1:7" x14ac:dyDescent="0.2">
      <c r="A3100" s="116">
        <f>IF(ISNUMBER(Tabela2[[#This Row],[CT-e/NFS]])=TRUE,(IF(B3100&gt;30000,4,IF(B3100&lt;1000,"ND",0))),"-")</f>
        <v>4</v>
      </c>
      <c r="B3100" s="116">
        <v>47642</v>
      </c>
      <c r="C3100" s="117">
        <v>45464</v>
      </c>
      <c r="D3100" s="116">
        <v>123.74</v>
      </c>
      <c r="E3100" s="117">
        <v>45473</v>
      </c>
      <c r="F3100" s="116">
        <f>COUNTIFS($A$3:A11356,A3100,$B$3:B11356,B3100)</f>
        <v>1</v>
      </c>
      <c r="G3100" s="116"/>
    </row>
    <row r="3101" spans="1:7" x14ac:dyDescent="0.2">
      <c r="A3101" s="116">
        <f>IF(ISNUMBER(Tabela2[[#This Row],[CT-e/NFS]])=TRUE,(IF(B3101&gt;30000,4,IF(B3101&lt;1000,"ND",0))),"-")</f>
        <v>4</v>
      </c>
      <c r="B3101" s="116">
        <v>47641</v>
      </c>
      <c r="C3101" s="117">
        <v>45464</v>
      </c>
      <c r="D3101" s="116">
        <v>246.33</v>
      </c>
      <c r="E3101" s="117">
        <v>45473</v>
      </c>
      <c r="F3101" s="116">
        <f>COUNTIFS($A$3:A11357,A3101,$B$3:B11357,B3101)</f>
        <v>1</v>
      </c>
      <c r="G3101" s="116"/>
    </row>
    <row r="3102" spans="1:7" x14ac:dyDescent="0.2">
      <c r="A3102" s="116">
        <f>IF(ISNUMBER(Tabela2[[#This Row],[CT-e/NFS]])=TRUE,(IF(B3102&gt;30000,4,IF(B3102&lt;1000,"ND",0))),"-")</f>
        <v>4</v>
      </c>
      <c r="B3102" s="116">
        <v>47646</v>
      </c>
      <c r="C3102" s="117">
        <v>45464</v>
      </c>
      <c r="D3102" s="116">
        <v>122.82</v>
      </c>
      <c r="E3102" s="117">
        <v>45473</v>
      </c>
      <c r="F3102" s="116">
        <f>COUNTIFS($A$3:A11358,A3102,$B$3:B11358,B3102)</f>
        <v>1</v>
      </c>
      <c r="G3102" s="116"/>
    </row>
    <row r="3103" spans="1:7" x14ac:dyDescent="0.2">
      <c r="A3103" s="116">
        <f>IF(ISNUMBER(Tabela2[[#This Row],[CT-e/NFS]])=TRUE,(IF(B3103&gt;30000,4,IF(B3103&lt;1000,"ND",0))),"-")</f>
        <v>4</v>
      </c>
      <c r="B3103" s="116">
        <v>47645</v>
      </c>
      <c r="C3103" s="117">
        <v>45464</v>
      </c>
      <c r="D3103" s="116">
        <v>246.33</v>
      </c>
      <c r="E3103" s="117">
        <v>45473</v>
      </c>
      <c r="F3103" s="116">
        <f>COUNTIFS($A$3:A11359,A3103,$B$3:B11359,B3103)</f>
        <v>1</v>
      </c>
      <c r="G3103" s="116"/>
    </row>
    <row r="3104" spans="1:7" x14ac:dyDescent="0.2">
      <c r="A3104" s="116">
        <f>IF(ISNUMBER(Tabela2[[#This Row],[CT-e/NFS]])=TRUE,(IF(B3104&gt;30000,4,IF(B3104&lt;1000,"ND",0))),"-")</f>
        <v>4</v>
      </c>
      <c r="B3104" s="116">
        <v>47659</v>
      </c>
      <c r="C3104" s="117">
        <v>45464</v>
      </c>
      <c r="D3104" s="116">
        <v>209.28</v>
      </c>
      <c r="E3104" s="117">
        <v>45473</v>
      </c>
      <c r="F3104" s="116">
        <f>COUNTIFS($A$3:A11360,A3104,$B$3:B11360,B3104)</f>
        <v>1</v>
      </c>
      <c r="G3104" s="116"/>
    </row>
    <row r="3105" spans="1:7" x14ac:dyDescent="0.2">
      <c r="A3105" s="116">
        <f>IF(ISNUMBER(Tabela2[[#This Row],[CT-e/NFS]])=TRUE,(IF(B3105&gt;30000,4,IF(B3105&lt;1000,"ND",0))),"-")</f>
        <v>4</v>
      </c>
      <c r="B3105" s="116">
        <v>47657</v>
      </c>
      <c r="C3105" s="117">
        <v>45464</v>
      </c>
      <c r="D3105" s="116">
        <v>357.93</v>
      </c>
      <c r="E3105" s="117">
        <v>45473</v>
      </c>
      <c r="F3105" s="116">
        <f>COUNTIFS($A$3:A11361,A3105,$B$3:B11361,B3105)</f>
        <v>1</v>
      </c>
      <c r="G3105" s="116"/>
    </row>
    <row r="3106" spans="1:7" x14ac:dyDescent="0.2">
      <c r="A3106" s="116">
        <f>IF(ISNUMBER(Tabela2[[#This Row],[CT-e/NFS]])=TRUE,(IF(B3106&gt;30000,4,IF(B3106&lt;1000,"ND",0))),"-")</f>
        <v>4</v>
      </c>
      <c r="B3106" s="116">
        <v>47658</v>
      </c>
      <c r="C3106" s="117">
        <v>45464</v>
      </c>
      <c r="D3106" s="116">
        <v>255.58</v>
      </c>
      <c r="E3106" s="117">
        <v>45473</v>
      </c>
      <c r="F3106" s="116">
        <f>COUNTIFS($A$3:A11362,A3106,$B$3:B11362,B3106)</f>
        <v>1</v>
      </c>
      <c r="G3106" s="116"/>
    </row>
    <row r="3107" spans="1:7" x14ac:dyDescent="0.2">
      <c r="A3107" s="116">
        <f>IF(ISNUMBER(Tabela2[[#This Row],[CT-e/NFS]])=TRUE,(IF(B3107&gt;30000,4,IF(B3107&lt;1000,"ND",0))),"-")</f>
        <v>4</v>
      </c>
      <c r="B3107" s="116">
        <v>47655</v>
      </c>
      <c r="C3107" s="117">
        <v>45464</v>
      </c>
      <c r="D3107" s="116">
        <v>131.9</v>
      </c>
      <c r="E3107" s="117">
        <v>45473</v>
      </c>
      <c r="F3107" s="116">
        <f>COUNTIFS($A$3:A11363,A3107,$B$3:B11363,B3107)</f>
        <v>1</v>
      </c>
      <c r="G3107" s="116"/>
    </row>
    <row r="3108" spans="1:7" x14ac:dyDescent="0.2">
      <c r="A3108" s="116">
        <f>IF(ISNUMBER(Tabela2[[#This Row],[CT-e/NFS]])=TRUE,(IF(B3108&gt;30000,4,IF(B3108&lt;1000,"ND",0))),"-")</f>
        <v>4</v>
      </c>
      <c r="B3108" s="116">
        <v>47654</v>
      </c>
      <c r="C3108" s="117">
        <v>45464</v>
      </c>
      <c r="D3108" s="116">
        <v>125.97</v>
      </c>
      <c r="E3108" s="117">
        <v>45473</v>
      </c>
      <c r="F3108" s="116">
        <f>COUNTIFS($A$3:A11364,A3108,$B$3:B11364,B3108)</f>
        <v>1</v>
      </c>
      <c r="G3108" s="116"/>
    </row>
    <row r="3109" spans="1:7" x14ac:dyDescent="0.2">
      <c r="A3109" s="116">
        <f>IF(ISNUMBER(Tabela2[[#This Row],[CT-e/NFS]])=TRUE,(IF(B3109&gt;30000,4,IF(B3109&lt;1000,"ND",0))),"-")</f>
        <v>4</v>
      </c>
      <c r="B3109" s="116">
        <v>47663</v>
      </c>
      <c r="C3109" s="117">
        <v>45464</v>
      </c>
      <c r="D3109" s="116">
        <v>62.25</v>
      </c>
      <c r="E3109" s="117">
        <v>45473</v>
      </c>
      <c r="F3109" s="116">
        <f>COUNTIFS($A$3:A11365,A3109,$B$3:B11365,B3109)</f>
        <v>1</v>
      </c>
      <c r="G3109" s="116"/>
    </row>
    <row r="3110" spans="1:7" x14ac:dyDescent="0.2">
      <c r="A3110" s="116">
        <f>IF(ISNUMBER(Tabela2[[#This Row],[CT-e/NFS]])=TRUE,(IF(B3110&gt;30000,4,IF(B3110&lt;1000,"ND",0))),"-")</f>
        <v>4</v>
      </c>
      <c r="B3110" s="116">
        <v>47664</v>
      </c>
      <c r="C3110" s="117">
        <v>45464</v>
      </c>
      <c r="D3110" s="116">
        <v>112.06</v>
      </c>
      <c r="E3110" s="117">
        <v>45473</v>
      </c>
      <c r="F3110" s="116">
        <f>COUNTIFS($A$3:A11366,A3110,$B$3:B11366,B3110)</f>
        <v>1</v>
      </c>
      <c r="G3110" s="116"/>
    </row>
    <row r="3111" spans="1:7" x14ac:dyDescent="0.2">
      <c r="A3111" s="116">
        <f>IF(ISNUMBER(Tabela2[[#This Row],[CT-e/NFS]])=TRUE,(IF(B3111&gt;30000,4,IF(B3111&lt;1000,"ND",0))),"-")</f>
        <v>4</v>
      </c>
      <c r="B3111" s="116">
        <v>47649</v>
      </c>
      <c r="C3111" s="117">
        <v>45464</v>
      </c>
      <c r="D3111" s="116">
        <v>591.70000000000005</v>
      </c>
      <c r="E3111" s="117">
        <v>45473</v>
      </c>
      <c r="F3111" s="116">
        <f>COUNTIFS($A$3:A11367,A3111,$B$3:B11367,B3111)</f>
        <v>1</v>
      </c>
      <c r="G3111" s="116"/>
    </row>
    <row r="3112" spans="1:7" x14ac:dyDescent="0.2">
      <c r="A3112" s="116">
        <f>IF(ISNUMBER(Tabela2[[#This Row],[CT-e/NFS]])=TRUE,(IF(B3112&gt;30000,4,IF(B3112&lt;1000,"ND",0))),"-")</f>
        <v>4</v>
      </c>
      <c r="B3112" s="116">
        <v>47661</v>
      </c>
      <c r="C3112" s="117">
        <v>45464</v>
      </c>
      <c r="D3112" s="116">
        <v>279.91000000000003</v>
      </c>
      <c r="E3112" s="117">
        <v>45473</v>
      </c>
      <c r="F3112" s="116">
        <f>COUNTIFS($A$3:A11368,A3112,$B$3:B11368,B3112)</f>
        <v>1</v>
      </c>
      <c r="G3112" s="116"/>
    </row>
    <row r="3113" spans="1:7" x14ac:dyDescent="0.2">
      <c r="A3113" s="116">
        <f>IF(ISNUMBER(Tabela2[[#This Row],[CT-e/NFS]])=TRUE,(IF(B3113&gt;30000,4,IF(B3113&lt;1000,"ND",0))),"-")</f>
        <v>4</v>
      </c>
      <c r="B3113" s="116">
        <v>47650</v>
      </c>
      <c r="C3113" s="117">
        <v>45464</v>
      </c>
      <c r="D3113" s="116">
        <v>124.03</v>
      </c>
      <c r="E3113" s="117">
        <v>45473</v>
      </c>
      <c r="F3113" s="116">
        <f>COUNTIFS($A$3:A11369,A3113,$B$3:B11369,B3113)</f>
        <v>1</v>
      </c>
      <c r="G3113" s="116"/>
    </row>
    <row r="3114" spans="1:7" x14ac:dyDescent="0.2">
      <c r="A3114" s="116">
        <f>IF(ISNUMBER(Tabela2[[#This Row],[CT-e/NFS]])=TRUE,(IF(B3114&gt;30000,4,IF(B3114&lt;1000,"ND",0))),"-")</f>
        <v>4</v>
      </c>
      <c r="B3114" s="116">
        <v>47660</v>
      </c>
      <c r="C3114" s="117">
        <v>45464</v>
      </c>
      <c r="D3114" s="116">
        <v>753.77</v>
      </c>
      <c r="E3114" s="117">
        <v>45473</v>
      </c>
      <c r="F3114" s="116">
        <f>COUNTIFS($A$3:A11370,A3114,$B$3:B11370,B3114)</f>
        <v>1</v>
      </c>
      <c r="G3114" s="116"/>
    </row>
    <row r="3115" spans="1:7" x14ac:dyDescent="0.2">
      <c r="A3115" s="116">
        <f>IF(ISNUMBER(Tabela2[[#This Row],[CT-e/NFS]])=TRUE,(IF(B3115&gt;30000,4,IF(B3115&lt;1000,"ND",0))),"-")</f>
        <v>4</v>
      </c>
      <c r="B3115" s="116">
        <v>47662</v>
      </c>
      <c r="C3115" s="117">
        <v>45464</v>
      </c>
      <c r="D3115" s="116">
        <v>961.67</v>
      </c>
      <c r="E3115" s="117">
        <v>45473</v>
      </c>
      <c r="F3115" s="116">
        <f>COUNTIFS($A$3:A11371,A3115,$B$3:B11371,B3115)</f>
        <v>1</v>
      </c>
      <c r="G3115" s="116"/>
    </row>
    <row r="3116" spans="1:7" x14ac:dyDescent="0.2">
      <c r="A3116" s="116">
        <f>IF(ISNUMBER(Tabela2[[#This Row],[CT-e/NFS]])=TRUE,(IF(B3116&gt;30000,4,IF(B3116&lt;1000,"ND",0))),"-")</f>
        <v>4</v>
      </c>
      <c r="B3116" s="116">
        <v>47656</v>
      </c>
      <c r="C3116" s="117">
        <v>45464</v>
      </c>
      <c r="D3116" s="116">
        <v>123.52</v>
      </c>
      <c r="E3116" s="117">
        <v>45473</v>
      </c>
      <c r="F3116" s="116">
        <f>COUNTIFS($A$3:A11372,A3116,$B$3:B11372,B3116)</f>
        <v>1</v>
      </c>
      <c r="G3116" s="116"/>
    </row>
    <row r="3117" spans="1:7" x14ac:dyDescent="0.2">
      <c r="A3117" s="116">
        <f>IF(ISNUMBER(Tabela2[[#This Row],[CT-e/NFS]])=TRUE,(IF(B3117&gt;30000,4,IF(B3117&lt;1000,"ND",0))),"-")</f>
        <v>4</v>
      </c>
      <c r="B3117" s="116">
        <v>47652</v>
      </c>
      <c r="C3117" s="117">
        <v>45464</v>
      </c>
      <c r="D3117" s="116">
        <v>238.84</v>
      </c>
      <c r="E3117" s="117">
        <v>45473</v>
      </c>
      <c r="F3117" s="116">
        <f>COUNTIFS($A$3:A11373,A3117,$B$3:B11373,B3117)</f>
        <v>1</v>
      </c>
      <c r="G3117" s="116"/>
    </row>
    <row r="3118" spans="1:7" x14ac:dyDescent="0.2">
      <c r="A3118" s="116">
        <f>IF(ISNUMBER(Tabela2[[#This Row],[CT-e/NFS]])=TRUE,(IF(B3118&gt;30000,4,IF(B3118&lt;1000,"ND",0))),"-")</f>
        <v>4</v>
      </c>
      <c r="B3118" s="116">
        <v>47653</v>
      </c>
      <c r="C3118" s="117">
        <v>45464</v>
      </c>
      <c r="D3118" s="116">
        <v>238.85</v>
      </c>
      <c r="E3118" s="117">
        <v>45473</v>
      </c>
      <c r="F3118" s="116">
        <f>COUNTIFS($A$3:A11374,A3118,$B$3:B11374,B3118)</f>
        <v>1</v>
      </c>
      <c r="G3118" s="116"/>
    </row>
    <row r="3119" spans="1:7" x14ac:dyDescent="0.2">
      <c r="A3119" s="116">
        <f>IF(ISNUMBER(Tabela2[[#This Row],[CT-e/NFS]])=TRUE,(IF(B3119&gt;30000,4,IF(B3119&lt;1000,"ND",0))),"-")</f>
        <v>4</v>
      </c>
      <c r="B3119" s="116">
        <v>47651</v>
      </c>
      <c r="C3119" s="117">
        <v>45464</v>
      </c>
      <c r="D3119" s="116">
        <v>125.81</v>
      </c>
      <c r="E3119" s="117">
        <v>45473</v>
      </c>
      <c r="F3119" s="116">
        <f>COUNTIFS($A$3:A11375,A3119,$B$3:B11375,B3119)</f>
        <v>1</v>
      </c>
      <c r="G3119" s="116"/>
    </row>
    <row r="3120" spans="1:7" x14ac:dyDescent="0.2">
      <c r="A3120" s="116">
        <f>IF(ISNUMBER(Tabela2[[#This Row],[CT-e/NFS]])=TRUE,(IF(B3120&gt;30000,4,IF(B3120&lt;1000,"ND",0))),"-")</f>
        <v>4</v>
      </c>
      <c r="B3120" s="116">
        <v>47647</v>
      </c>
      <c r="C3120" s="117">
        <v>45464</v>
      </c>
      <c r="D3120" s="116">
        <v>808.75</v>
      </c>
      <c r="E3120" s="117">
        <v>45473</v>
      </c>
      <c r="F3120" s="116">
        <f>COUNTIFS($A$3:A11376,A3120,$B$3:B11376,B3120)</f>
        <v>1</v>
      </c>
      <c r="G3120" s="116"/>
    </row>
    <row r="3121" spans="1:7" x14ac:dyDescent="0.2">
      <c r="A3121" s="116">
        <f>IF(ISNUMBER(Tabela2[[#This Row],[CT-e/NFS]])=TRUE,(IF(B3121&gt;30000,4,IF(B3121&lt;1000,"ND",0))),"-")</f>
        <v>0</v>
      </c>
      <c r="B3121" s="116">
        <v>21642</v>
      </c>
      <c r="C3121" s="117">
        <v>45464</v>
      </c>
      <c r="D3121" s="116">
        <v>844.3</v>
      </c>
      <c r="E3121" s="117">
        <v>45473</v>
      </c>
      <c r="F3121" s="116">
        <f>COUNTIFS($A$3:A11377,A3121,$B$3:B11377,B3121)</f>
        <v>1</v>
      </c>
      <c r="G3121" s="116"/>
    </row>
    <row r="3122" spans="1:7" x14ac:dyDescent="0.2">
      <c r="A3122" s="116">
        <f>IF(ISNUMBER(Tabela2[[#This Row],[CT-e/NFS]])=TRUE,(IF(B3122&gt;30000,4,IF(B3122&lt;1000,"ND",0))),"-")</f>
        <v>0</v>
      </c>
      <c r="B3122" s="116">
        <v>21643</v>
      </c>
      <c r="C3122" s="117">
        <v>45464</v>
      </c>
      <c r="D3122" s="116">
        <v>515.41</v>
      </c>
      <c r="E3122" s="117">
        <v>45473</v>
      </c>
      <c r="F3122" s="116">
        <f>COUNTIFS($A$3:A11378,A3122,$B$3:B11378,B3122)</f>
        <v>1</v>
      </c>
      <c r="G3122" s="116"/>
    </row>
    <row r="3123" spans="1:7" x14ac:dyDescent="0.2">
      <c r="A3123" s="116">
        <f>IF(ISNUMBER(Tabela2[[#This Row],[CT-e/NFS]])=TRUE,(IF(B3123&gt;30000,4,IF(B3123&lt;1000,"ND",0))),"-")</f>
        <v>4</v>
      </c>
      <c r="B3123" s="116">
        <v>47676</v>
      </c>
      <c r="C3123" s="117">
        <v>45464</v>
      </c>
      <c r="D3123" s="116">
        <v>125.3</v>
      </c>
      <c r="E3123" s="117">
        <v>45473</v>
      </c>
      <c r="F3123" s="116">
        <f>COUNTIFS($A$3:A11379,A3123,$B$3:B11379,B3123)</f>
        <v>1</v>
      </c>
      <c r="G3123" s="116"/>
    </row>
    <row r="3124" spans="1:7" x14ac:dyDescent="0.2">
      <c r="A3124" s="116">
        <f>IF(ISNUMBER(Tabela2[[#This Row],[CT-e/NFS]])=TRUE,(IF(B3124&gt;30000,4,IF(B3124&lt;1000,"ND",0))),"-")</f>
        <v>4</v>
      </c>
      <c r="B3124" s="116">
        <v>47675</v>
      </c>
      <c r="C3124" s="117">
        <v>45464</v>
      </c>
      <c r="D3124" s="116">
        <v>124.33</v>
      </c>
      <c r="E3124" s="117">
        <v>45473</v>
      </c>
      <c r="F3124" s="116">
        <f>COUNTIFS($A$3:A11380,A3124,$B$3:B11380,B3124)</f>
        <v>1</v>
      </c>
      <c r="G3124" s="116"/>
    </row>
    <row r="3125" spans="1:7" x14ac:dyDescent="0.2">
      <c r="A3125" s="116">
        <f>IF(ISNUMBER(Tabela2[[#This Row],[CT-e/NFS]])=TRUE,(IF(B3125&gt;30000,4,IF(B3125&lt;1000,"ND",0))),"-")</f>
        <v>4</v>
      </c>
      <c r="B3125" s="116">
        <v>47678</v>
      </c>
      <c r="C3125" s="117">
        <v>45464</v>
      </c>
      <c r="D3125" s="116">
        <v>505.26</v>
      </c>
      <c r="E3125" s="117">
        <v>45473</v>
      </c>
      <c r="F3125" s="116">
        <f>COUNTIFS($A$3:A11381,A3125,$B$3:B11381,B3125)</f>
        <v>1</v>
      </c>
      <c r="G3125" s="116"/>
    </row>
    <row r="3126" spans="1:7" x14ac:dyDescent="0.2">
      <c r="A3126" s="116">
        <f>IF(ISNUMBER(Tabela2[[#This Row],[CT-e/NFS]])=TRUE,(IF(B3126&gt;30000,4,IF(B3126&lt;1000,"ND",0))),"-")</f>
        <v>4</v>
      </c>
      <c r="B3126" s="116">
        <v>47679</v>
      </c>
      <c r="C3126" s="117">
        <v>45464</v>
      </c>
      <c r="D3126" s="116">
        <v>785.58</v>
      </c>
      <c r="E3126" s="117">
        <v>45473</v>
      </c>
      <c r="F3126" s="116">
        <f>COUNTIFS($A$3:A11382,A3126,$B$3:B11382,B3126)</f>
        <v>1</v>
      </c>
      <c r="G3126" s="116"/>
    </row>
    <row r="3127" spans="1:7" x14ac:dyDescent="0.2">
      <c r="A3127" s="116">
        <f>IF(ISNUMBER(Tabela2[[#This Row],[CT-e/NFS]])=TRUE,(IF(B3127&gt;30000,4,IF(B3127&lt;1000,"ND",0))),"-")</f>
        <v>4</v>
      </c>
      <c r="B3127" s="116">
        <v>47669</v>
      </c>
      <c r="C3127" s="117">
        <v>45464</v>
      </c>
      <c r="D3127" s="116">
        <v>124.03</v>
      </c>
      <c r="E3127" s="117">
        <v>45473</v>
      </c>
      <c r="F3127" s="116">
        <f>COUNTIFS($A$3:A11383,A3127,$B$3:B11383,B3127)</f>
        <v>1</v>
      </c>
      <c r="G3127" s="116"/>
    </row>
    <row r="3128" spans="1:7" x14ac:dyDescent="0.2">
      <c r="A3128" s="116">
        <f>IF(ISNUMBER(Tabela2[[#This Row],[CT-e/NFS]])=TRUE,(IF(B3128&gt;30000,4,IF(B3128&lt;1000,"ND",0))),"-")</f>
        <v>4</v>
      </c>
      <c r="B3128" s="116">
        <v>47673</v>
      </c>
      <c r="C3128" s="117">
        <v>45464</v>
      </c>
      <c r="D3128" s="116">
        <v>123.05</v>
      </c>
      <c r="E3128" s="117">
        <v>45473</v>
      </c>
      <c r="F3128" s="116">
        <f>COUNTIFS($A$3:A11384,A3128,$B$3:B11384,B3128)</f>
        <v>1</v>
      </c>
      <c r="G3128" s="116"/>
    </row>
    <row r="3129" spans="1:7" x14ac:dyDescent="0.2">
      <c r="A3129" s="116">
        <f>IF(ISNUMBER(Tabela2[[#This Row],[CT-e/NFS]])=TRUE,(IF(B3129&gt;30000,4,IF(B3129&lt;1000,"ND",0))),"-")</f>
        <v>4</v>
      </c>
      <c r="B3129" s="116">
        <v>47672</v>
      </c>
      <c r="C3129" s="117">
        <v>45464</v>
      </c>
      <c r="D3129" s="116">
        <v>124.59</v>
      </c>
      <c r="E3129" s="117">
        <v>45473</v>
      </c>
      <c r="F3129" s="116">
        <f>COUNTIFS($A$3:A11385,A3129,$B$3:B11385,B3129)</f>
        <v>1</v>
      </c>
      <c r="G3129" s="116"/>
    </row>
    <row r="3130" spans="1:7" x14ac:dyDescent="0.2">
      <c r="A3130" s="116">
        <f>IF(ISNUMBER(Tabela2[[#This Row],[CT-e/NFS]])=TRUE,(IF(B3130&gt;30000,4,IF(B3130&lt;1000,"ND",0))),"-")</f>
        <v>4</v>
      </c>
      <c r="B3130" s="116">
        <v>47668</v>
      </c>
      <c r="C3130" s="117">
        <v>45464</v>
      </c>
      <c r="D3130" s="116">
        <v>125.36</v>
      </c>
      <c r="E3130" s="117">
        <v>45473</v>
      </c>
      <c r="F3130" s="116">
        <f>COUNTIFS($A$3:A11386,A3130,$B$3:B11386,B3130)</f>
        <v>1</v>
      </c>
      <c r="G3130" s="116"/>
    </row>
    <row r="3131" spans="1:7" x14ac:dyDescent="0.2">
      <c r="A3131" s="116">
        <f>IF(ISNUMBER(Tabela2[[#This Row],[CT-e/NFS]])=TRUE,(IF(B3131&gt;30000,4,IF(B3131&lt;1000,"ND",0))),"-")</f>
        <v>4</v>
      </c>
      <c r="B3131" s="116">
        <v>47674</v>
      </c>
      <c r="C3131" s="117">
        <v>45464</v>
      </c>
      <c r="D3131" s="116">
        <v>124.31</v>
      </c>
      <c r="E3131" s="117">
        <v>45473</v>
      </c>
      <c r="F3131" s="116">
        <f>COUNTIFS($A$3:A11387,A3131,$B$3:B11387,B3131)</f>
        <v>1</v>
      </c>
      <c r="G3131" s="116"/>
    </row>
    <row r="3132" spans="1:7" x14ac:dyDescent="0.2">
      <c r="A3132" s="116">
        <f>IF(ISNUMBER(Tabela2[[#This Row],[CT-e/NFS]])=TRUE,(IF(B3132&gt;30000,4,IF(B3132&lt;1000,"ND",0))),"-")</f>
        <v>4</v>
      </c>
      <c r="B3132" s="116">
        <v>47671</v>
      </c>
      <c r="C3132" s="117">
        <v>45464</v>
      </c>
      <c r="D3132" s="116">
        <v>125.57</v>
      </c>
      <c r="E3132" s="117">
        <v>45473</v>
      </c>
      <c r="F3132" s="116">
        <f>COUNTIFS($A$3:A11388,A3132,$B$3:B11388,B3132)</f>
        <v>1</v>
      </c>
      <c r="G3132" s="116"/>
    </row>
    <row r="3133" spans="1:7" x14ac:dyDescent="0.2">
      <c r="A3133" s="116">
        <f>IF(ISNUMBER(Tabela2[[#This Row],[CT-e/NFS]])=TRUE,(IF(B3133&gt;30000,4,IF(B3133&lt;1000,"ND",0))),"-")</f>
        <v>4</v>
      </c>
      <c r="B3133" s="116">
        <v>47670</v>
      </c>
      <c r="C3133" s="117">
        <v>45464</v>
      </c>
      <c r="D3133" s="116">
        <v>124.15</v>
      </c>
      <c r="E3133" s="117">
        <v>45473</v>
      </c>
      <c r="F3133" s="116">
        <f>COUNTIFS($A$3:A11389,A3133,$B$3:B11389,B3133)</f>
        <v>1</v>
      </c>
      <c r="G3133" s="116"/>
    </row>
    <row r="3134" spans="1:7" x14ac:dyDescent="0.2">
      <c r="A3134" s="116">
        <f>IF(ISNUMBER(Tabela2[[#This Row],[CT-e/NFS]])=TRUE,(IF(B3134&gt;30000,4,IF(B3134&lt;1000,"ND",0))),"-")</f>
        <v>4</v>
      </c>
      <c r="B3134" s="116">
        <v>47677</v>
      </c>
      <c r="C3134" s="117">
        <v>45464</v>
      </c>
      <c r="D3134" s="116">
        <v>240.2</v>
      </c>
      <c r="E3134" s="117">
        <v>45473</v>
      </c>
      <c r="F3134" s="116">
        <f>COUNTIFS($A$3:A11390,A3134,$B$3:B11390,B3134)</f>
        <v>1</v>
      </c>
      <c r="G3134" s="116"/>
    </row>
    <row r="3135" spans="1:7" x14ac:dyDescent="0.2">
      <c r="A3135" s="116">
        <f>IF(ISNUMBER(Tabela2[[#This Row],[CT-e/NFS]])=TRUE,(IF(B3135&gt;30000,4,IF(B3135&lt;1000,"ND",0))),"-")</f>
        <v>4</v>
      </c>
      <c r="B3135" s="116">
        <v>47682</v>
      </c>
      <c r="C3135" s="117">
        <v>45464</v>
      </c>
      <c r="D3135" s="116">
        <v>111.25</v>
      </c>
      <c r="E3135" s="117">
        <v>45473</v>
      </c>
      <c r="F3135" s="116">
        <f>COUNTIFS($A$3:A11391,A3135,$B$3:B11391,B3135)</f>
        <v>1</v>
      </c>
      <c r="G3135" s="116"/>
    </row>
    <row r="3136" spans="1:7" x14ac:dyDescent="0.2">
      <c r="A3136" s="116">
        <f>IF(ISNUMBER(Tabela2[[#This Row],[CT-e/NFS]])=TRUE,(IF(B3136&gt;30000,4,IF(B3136&lt;1000,"ND",0))),"-")</f>
        <v>4</v>
      </c>
      <c r="B3136" s="116">
        <v>47681</v>
      </c>
      <c r="C3136" s="117">
        <v>45464</v>
      </c>
      <c r="D3136" s="116">
        <v>61.76</v>
      </c>
      <c r="E3136" s="117">
        <v>45473</v>
      </c>
      <c r="F3136" s="116">
        <f>COUNTIFS($A$3:A11392,A3136,$B$3:B11392,B3136)</f>
        <v>1</v>
      </c>
      <c r="G3136" s="116"/>
    </row>
    <row r="3137" spans="1:7" x14ac:dyDescent="0.2">
      <c r="A3137" s="116">
        <f>IF(ISNUMBER(Tabela2[[#This Row],[CT-e/NFS]])=TRUE,(IF(B3137&gt;30000,4,IF(B3137&lt;1000,"ND",0))),"-")</f>
        <v>4</v>
      </c>
      <c r="B3137" s="116">
        <v>47680</v>
      </c>
      <c r="C3137" s="117">
        <v>45464</v>
      </c>
      <c r="D3137" s="116">
        <v>513.89</v>
      </c>
      <c r="E3137" s="117">
        <v>45473</v>
      </c>
      <c r="F3137" s="116">
        <f>COUNTIFS($A$3:A11393,A3137,$B$3:B11393,B3137)</f>
        <v>1</v>
      </c>
      <c r="G3137" s="116"/>
    </row>
    <row r="3138" spans="1:7" x14ac:dyDescent="0.2">
      <c r="A3138" s="116">
        <f>IF(ISNUMBER(Tabela2[[#This Row],[CT-e/NFS]])=TRUE,(IF(B3138&gt;30000,4,IF(B3138&lt;1000,"ND",0))),"-")</f>
        <v>4</v>
      </c>
      <c r="B3138" s="116">
        <v>47683</v>
      </c>
      <c r="C3138" s="117">
        <v>45464</v>
      </c>
      <c r="D3138" s="116">
        <v>739.44</v>
      </c>
      <c r="E3138" s="117">
        <v>45473</v>
      </c>
      <c r="F3138" s="116">
        <f>COUNTIFS($A$3:A11394,A3138,$B$3:B11394,B3138)</f>
        <v>1</v>
      </c>
      <c r="G3138" s="116"/>
    </row>
    <row r="3139" spans="1:7" x14ac:dyDescent="0.2">
      <c r="A3139" s="116">
        <f>IF(ISNUMBER(Tabela2[[#This Row],[CT-e/NFS]])=TRUE,(IF(B3139&gt;30000,4,IF(B3139&lt;1000,"ND",0))),"-")</f>
        <v>4</v>
      </c>
      <c r="B3139" s="116">
        <v>47684</v>
      </c>
      <c r="C3139" s="117">
        <v>45464</v>
      </c>
      <c r="D3139" s="116">
        <v>139.94</v>
      </c>
      <c r="E3139" s="117">
        <v>45473</v>
      </c>
      <c r="F3139" s="116">
        <f>COUNTIFS($A$3:A11395,A3139,$B$3:B11395,B3139)</f>
        <v>1</v>
      </c>
      <c r="G3139" s="116"/>
    </row>
    <row r="3140" spans="1:7" x14ac:dyDescent="0.2">
      <c r="A3140" s="116">
        <f>IF(ISNUMBER(Tabela2[[#This Row],[CT-e/NFS]])=TRUE,(IF(B3140&gt;30000,4,IF(B3140&lt;1000,"ND",0))),"-")</f>
        <v>4</v>
      </c>
      <c r="B3140" s="116">
        <v>47685</v>
      </c>
      <c r="C3140" s="117">
        <v>45464</v>
      </c>
      <c r="D3140" s="116">
        <v>252.78</v>
      </c>
      <c r="E3140" s="117">
        <v>45473</v>
      </c>
      <c r="F3140" s="116">
        <f>COUNTIFS($A$3:A11396,A3140,$B$3:B11396,B3140)</f>
        <v>1</v>
      </c>
      <c r="G3140" s="116"/>
    </row>
    <row r="3141" spans="1:7" x14ac:dyDescent="0.2">
      <c r="A3141" s="116">
        <f>IF(ISNUMBER(Tabela2[[#This Row],[CT-e/NFS]])=TRUE,(IF(B3141&gt;30000,4,IF(B3141&lt;1000,"ND",0))),"-")</f>
        <v>4</v>
      </c>
      <c r="B3141" s="116">
        <v>47621</v>
      </c>
      <c r="C3141" s="117">
        <v>45464</v>
      </c>
      <c r="D3141" s="116">
        <v>609.98</v>
      </c>
      <c r="E3141" s="117">
        <v>45473</v>
      </c>
      <c r="F3141" s="116">
        <f>COUNTIFS($A$3:A11397,A3141,$B$3:B11397,B3141)</f>
        <v>1</v>
      </c>
      <c r="G3141" s="116"/>
    </row>
    <row r="3142" spans="1:7" x14ac:dyDescent="0.2">
      <c r="A3142" s="116">
        <f>IF(ISNUMBER(Tabela2[[#This Row],[CT-e/NFS]])=TRUE,(IF(B3142&gt;30000,4,IF(B3142&lt;1000,"ND",0))),"-")</f>
        <v>4</v>
      </c>
      <c r="B3142" s="116">
        <v>47686</v>
      </c>
      <c r="C3142" s="117">
        <v>45464</v>
      </c>
      <c r="D3142" s="116">
        <v>276.86</v>
      </c>
      <c r="E3142" s="117">
        <v>45473</v>
      </c>
      <c r="F3142" s="116">
        <f>COUNTIFS($A$3:A11398,A3142,$B$3:B11398,B3142)</f>
        <v>1</v>
      </c>
      <c r="G3142" s="116"/>
    </row>
    <row r="3143" spans="1:7" x14ac:dyDescent="0.2">
      <c r="A3143" s="116">
        <f>IF(ISNUMBER(Tabela2[[#This Row],[CT-e/NFS]])=TRUE,(IF(B3143&gt;30000,4,IF(B3143&lt;1000,"ND",0))),"-")</f>
        <v>4</v>
      </c>
      <c r="B3143" s="116">
        <v>47688</v>
      </c>
      <c r="C3143" s="117">
        <v>45464</v>
      </c>
      <c r="D3143" s="116">
        <v>1211.75</v>
      </c>
      <c r="E3143" s="117">
        <v>45473</v>
      </c>
      <c r="F3143" s="116">
        <f>COUNTIFS($A$3:A11399,A3143,$B$3:B11399,B3143)</f>
        <v>1</v>
      </c>
      <c r="G3143" s="116"/>
    </row>
    <row r="3144" spans="1:7" x14ac:dyDescent="0.2">
      <c r="A3144" s="116">
        <f>IF(ISNUMBER(Tabela2[[#This Row],[CT-e/NFS]])=TRUE,(IF(B3144&gt;30000,4,IF(B3144&lt;1000,"ND",0))),"-")</f>
        <v>4</v>
      </c>
      <c r="B3144" s="116">
        <v>47687</v>
      </c>
      <c r="C3144" s="117">
        <v>45464</v>
      </c>
      <c r="D3144" s="116">
        <v>269.68</v>
      </c>
      <c r="E3144" s="117">
        <v>45473</v>
      </c>
      <c r="F3144" s="116">
        <f>COUNTIFS($A$3:A11400,A3144,$B$3:B11400,B3144)</f>
        <v>1</v>
      </c>
      <c r="G3144" s="116"/>
    </row>
    <row r="3145" spans="1:7" x14ac:dyDescent="0.2">
      <c r="A3145" s="116">
        <f>IF(ISNUMBER(Tabela2[[#This Row],[CT-e/NFS]])=TRUE,(IF(B3145&gt;30000,4,IF(B3145&lt;1000,"ND",0))),"-")</f>
        <v>0</v>
      </c>
      <c r="B3145" s="116">
        <v>21645</v>
      </c>
      <c r="C3145" s="117">
        <v>45464</v>
      </c>
      <c r="D3145" s="116">
        <v>75.67</v>
      </c>
      <c r="E3145" s="117">
        <v>45473</v>
      </c>
      <c r="F3145" s="116">
        <f>COUNTIFS($A$3:A11401,A3145,$B$3:B11401,B3145)</f>
        <v>1</v>
      </c>
      <c r="G3145" s="116"/>
    </row>
    <row r="3146" spans="1:7" x14ac:dyDescent="0.2">
      <c r="A3146" s="116">
        <f>IF(ISNUMBER(Tabela2[[#This Row],[CT-e/NFS]])=TRUE,(IF(B3146&gt;30000,4,IF(B3146&lt;1000,"ND",0))),"-")</f>
        <v>0</v>
      </c>
      <c r="B3146" s="116">
        <v>21647</v>
      </c>
      <c r="C3146" s="117">
        <v>45464</v>
      </c>
      <c r="D3146" s="116">
        <v>287.12</v>
      </c>
      <c r="E3146" s="117">
        <v>45473</v>
      </c>
      <c r="F3146" s="116">
        <f>COUNTIFS($A$3:A11402,A3146,$B$3:B11402,B3146)</f>
        <v>1</v>
      </c>
      <c r="G3146" s="116"/>
    </row>
    <row r="3147" spans="1:7" x14ac:dyDescent="0.2">
      <c r="A3147" s="116">
        <f>IF(ISNUMBER(Tabela2[[#This Row],[CT-e/NFS]])=TRUE,(IF(B3147&gt;30000,4,IF(B3147&lt;1000,"ND",0))),"-")</f>
        <v>0</v>
      </c>
      <c r="B3147" s="116">
        <v>21646</v>
      </c>
      <c r="C3147" s="117">
        <v>45464</v>
      </c>
      <c r="D3147" s="116">
        <v>77.31</v>
      </c>
      <c r="E3147" s="117">
        <v>45473</v>
      </c>
      <c r="F3147" s="116">
        <f>COUNTIFS($A$3:A11403,A3147,$B$3:B11403,B3147)</f>
        <v>1</v>
      </c>
      <c r="G3147" s="116"/>
    </row>
    <row r="3148" spans="1:7" x14ac:dyDescent="0.2">
      <c r="A3148" s="116">
        <f>IF(ISNUMBER(Tabela2[[#This Row],[CT-e/NFS]])=TRUE,(IF(B3148&gt;30000,4,IF(B3148&lt;1000,"ND",0))),"-")</f>
        <v>0</v>
      </c>
      <c r="B3148" s="116">
        <v>21649</v>
      </c>
      <c r="C3148" s="117">
        <v>45464</v>
      </c>
      <c r="D3148" s="116">
        <v>76.34</v>
      </c>
      <c r="E3148" s="117">
        <v>45473</v>
      </c>
      <c r="F3148" s="116">
        <f>COUNTIFS($A$3:A11404,A3148,$B$3:B11404,B3148)</f>
        <v>1</v>
      </c>
      <c r="G3148" s="116"/>
    </row>
    <row r="3149" spans="1:7" x14ac:dyDescent="0.2">
      <c r="A3149" s="116">
        <f>IF(ISNUMBER(Tabela2[[#This Row],[CT-e/NFS]])=TRUE,(IF(B3149&gt;30000,4,IF(B3149&lt;1000,"ND",0))),"-")</f>
        <v>0</v>
      </c>
      <c r="B3149" s="116">
        <v>21648</v>
      </c>
      <c r="C3149" s="117">
        <v>45464</v>
      </c>
      <c r="D3149" s="116">
        <v>515.41</v>
      </c>
      <c r="E3149" s="117">
        <v>45473</v>
      </c>
      <c r="F3149" s="116">
        <f>COUNTIFS($A$3:A11405,A3149,$B$3:B11405,B3149)</f>
        <v>1</v>
      </c>
      <c r="G3149" s="116"/>
    </row>
    <row r="3150" spans="1:7" x14ac:dyDescent="0.2">
      <c r="A3150" s="116">
        <f>IF(ISNUMBER(Tabela2[[#This Row],[CT-e/NFS]])=TRUE,(IF(B3150&gt;30000,4,IF(B3150&lt;1000,"ND",0))),"-")</f>
        <v>0</v>
      </c>
      <c r="B3150" s="116">
        <v>21650</v>
      </c>
      <c r="C3150" s="117">
        <v>45464</v>
      </c>
      <c r="D3150" s="116">
        <v>122.46</v>
      </c>
      <c r="E3150" s="117">
        <v>45473</v>
      </c>
      <c r="F3150" s="116">
        <f>COUNTIFS($A$3:A11406,A3150,$B$3:B11406,B3150)</f>
        <v>1</v>
      </c>
      <c r="G3150" s="116"/>
    </row>
    <row r="3151" spans="1:7" x14ac:dyDescent="0.2">
      <c r="A3151" s="116">
        <f>IF(ISNUMBER(Tabela2[[#This Row],[CT-e/NFS]])=TRUE,(IF(B3151&gt;30000,4,IF(B3151&lt;1000,"ND",0))),"-")</f>
        <v>0</v>
      </c>
      <c r="B3151" s="116">
        <v>21653</v>
      </c>
      <c r="C3151" s="117">
        <v>45464</v>
      </c>
      <c r="D3151" s="116">
        <v>77.58</v>
      </c>
      <c r="E3151" s="117">
        <v>45473</v>
      </c>
      <c r="F3151" s="116">
        <f>COUNTIFS($A$3:A11407,A3151,$B$3:B11407,B3151)</f>
        <v>1</v>
      </c>
      <c r="G3151" s="116"/>
    </row>
    <row r="3152" spans="1:7" x14ac:dyDescent="0.2">
      <c r="A3152" s="116">
        <f>IF(ISNUMBER(Tabela2[[#This Row],[CT-e/NFS]])=TRUE,(IF(B3152&gt;30000,4,IF(B3152&lt;1000,"ND",0))),"-")</f>
        <v>0</v>
      </c>
      <c r="B3152" s="116">
        <v>21659</v>
      </c>
      <c r="C3152" s="117">
        <v>45464</v>
      </c>
      <c r="D3152" s="116">
        <v>217.07</v>
      </c>
      <c r="E3152" s="117">
        <v>45473</v>
      </c>
      <c r="F3152" s="116">
        <f>COUNTIFS($A$3:A11408,A3152,$B$3:B11408,B3152)</f>
        <v>1</v>
      </c>
      <c r="G3152" s="116"/>
    </row>
    <row r="3153" spans="1:7" x14ac:dyDescent="0.2">
      <c r="A3153" s="116">
        <f>IF(ISNUMBER(Tabela2[[#This Row],[CT-e/NFS]])=TRUE,(IF(B3153&gt;30000,4,IF(B3153&lt;1000,"ND",0))),"-")</f>
        <v>0</v>
      </c>
      <c r="B3153" s="116">
        <v>21658</v>
      </c>
      <c r="C3153" s="117">
        <v>45464</v>
      </c>
      <c r="D3153" s="116">
        <v>96.3</v>
      </c>
      <c r="E3153" s="117">
        <v>45473</v>
      </c>
      <c r="F3153" s="116">
        <f>COUNTIFS($A$3:A11409,A3153,$B$3:B11409,B3153)</f>
        <v>1</v>
      </c>
      <c r="G3153" s="116"/>
    </row>
    <row r="3154" spans="1:7" x14ac:dyDescent="0.2">
      <c r="A3154" s="116">
        <f>IF(ISNUMBER(Tabela2[[#This Row],[CT-e/NFS]])=TRUE,(IF(B3154&gt;30000,4,IF(B3154&lt;1000,"ND",0))),"-")</f>
        <v>0</v>
      </c>
      <c r="B3154" s="116">
        <v>21655</v>
      </c>
      <c r="C3154" s="117">
        <v>45464</v>
      </c>
      <c r="D3154" s="116">
        <v>79.27</v>
      </c>
      <c r="E3154" s="117">
        <v>45473</v>
      </c>
      <c r="F3154" s="116">
        <f>COUNTIFS($A$3:A11410,A3154,$B$3:B11410,B3154)</f>
        <v>1</v>
      </c>
      <c r="G3154" s="116"/>
    </row>
    <row r="3155" spans="1:7" x14ac:dyDescent="0.2">
      <c r="A3155" s="116">
        <f>IF(ISNUMBER(Tabela2[[#This Row],[CT-e/NFS]])=TRUE,(IF(B3155&gt;30000,4,IF(B3155&lt;1000,"ND",0))),"-")</f>
        <v>0</v>
      </c>
      <c r="B3155" s="116">
        <v>21652</v>
      </c>
      <c r="C3155" s="117">
        <v>45464</v>
      </c>
      <c r="D3155" s="116">
        <v>122.12</v>
      </c>
      <c r="E3155" s="117">
        <v>45473</v>
      </c>
      <c r="F3155" s="116">
        <f>COUNTIFS($A$3:A11411,A3155,$B$3:B11411,B3155)</f>
        <v>1</v>
      </c>
      <c r="G3155" s="116"/>
    </row>
    <row r="3156" spans="1:7" x14ac:dyDescent="0.2">
      <c r="A3156" s="116">
        <f>IF(ISNUMBER(Tabela2[[#This Row],[CT-e/NFS]])=TRUE,(IF(B3156&gt;30000,4,IF(B3156&lt;1000,"ND",0))),"-")</f>
        <v>0</v>
      </c>
      <c r="B3156" s="116">
        <v>21654</v>
      </c>
      <c r="C3156" s="117">
        <v>45464</v>
      </c>
      <c r="D3156" s="116">
        <v>409.15</v>
      </c>
      <c r="E3156" s="117">
        <v>45473</v>
      </c>
      <c r="F3156" s="116">
        <f>COUNTIFS($A$3:A11412,A3156,$B$3:B11412,B3156)</f>
        <v>1</v>
      </c>
      <c r="G3156" s="116"/>
    </row>
    <row r="3157" spans="1:7" x14ac:dyDescent="0.2">
      <c r="A3157" s="116">
        <f>IF(ISNUMBER(Tabela2[[#This Row],[CT-e/NFS]])=TRUE,(IF(B3157&gt;30000,4,IF(B3157&lt;1000,"ND",0))),"-")</f>
        <v>0</v>
      </c>
      <c r="B3157" s="116">
        <v>21651</v>
      </c>
      <c r="C3157" s="117">
        <v>45464</v>
      </c>
      <c r="D3157" s="116">
        <v>416.35</v>
      </c>
      <c r="E3157" s="117">
        <v>45473</v>
      </c>
      <c r="F3157" s="116">
        <f>COUNTIFS($A$3:A11413,A3157,$B$3:B11413,B3157)</f>
        <v>1</v>
      </c>
      <c r="G3157" s="116"/>
    </row>
    <row r="3158" spans="1:7" x14ac:dyDescent="0.2">
      <c r="A3158" s="116">
        <f>IF(ISNUMBER(Tabela2[[#This Row],[CT-e/NFS]])=TRUE,(IF(B3158&gt;30000,4,IF(B3158&lt;1000,"ND",0))),"-")</f>
        <v>0</v>
      </c>
      <c r="B3158" s="116">
        <v>21678</v>
      </c>
      <c r="C3158" s="117">
        <v>45464</v>
      </c>
      <c r="D3158" s="116">
        <v>77.63</v>
      </c>
      <c r="E3158" s="117">
        <v>45473</v>
      </c>
      <c r="F3158" s="116">
        <f>COUNTIFS($A$3:A11414,A3158,$B$3:B11414,B3158)</f>
        <v>1</v>
      </c>
      <c r="G3158" s="116"/>
    </row>
    <row r="3159" spans="1:7" x14ac:dyDescent="0.2">
      <c r="A3159" s="116">
        <f>IF(ISNUMBER(Tabela2[[#This Row],[CT-e/NFS]])=TRUE,(IF(B3159&gt;30000,4,IF(B3159&lt;1000,"ND",0))),"-")</f>
        <v>0</v>
      </c>
      <c r="B3159" s="116">
        <v>21674</v>
      </c>
      <c r="C3159" s="117">
        <v>45464</v>
      </c>
      <c r="D3159" s="116">
        <v>75.680000000000007</v>
      </c>
      <c r="E3159" s="117">
        <v>45473</v>
      </c>
      <c r="F3159" s="116">
        <f>COUNTIFS($A$3:A11415,A3159,$B$3:B11415,B3159)</f>
        <v>1</v>
      </c>
      <c r="G3159" s="116"/>
    </row>
    <row r="3160" spans="1:7" x14ac:dyDescent="0.2">
      <c r="A3160" s="116" t="str">
        <f>IF(ISNUMBER(Tabela2[[#This Row],[CT-e/NFS]])=TRUE,(IF(B3160&gt;30000,4,IF(B3160&lt;1000,"ND",0))),"-")</f>
        <v>ND</v>
      </c>
      <c r="B3160" s="116">
        <v>209</v>
      </c>
      <c r="C3160" s="117">
        <v>45464</v>
      </c>
      <c r="D3160" s="116">
        <v>0</v>
      </c>
      <c r="E3160" s="117">
        <v>45473</v>
      </c>
      <c r="F3160" s="116">
        <f>COUNTIFS($A$3:A11416,A3160,$B$3:B11416,B3160)</f>
        <v>1</v>
      </c>
      <c r="G3160" s="116"/>
    </row>
    <row r="3161" spans="1:7" x14ac:dyDescent="0.2">
      <c r="A3161" s="116" t="str">
        <f>IF(ISNUMBER(Tabela2[[#This Row],[CT-e/NFS]])=TRUE,(IF(B3161&gt;30000,4,IF(B3161&lt;1000,"ND",0))),"-")</f>
        <v>ND</v>
      </c>
      <c r="B3161" s="116">
        <v>205</v>
      </c>
      <c r="C3161" s="117">
        <v>45464</v>
      </c>
      <c r="D3161" s="116">
        <v>582.59</v>
      </c>
      <c r="E3161" s="117">
        <v>45473</v>
      </c>
      <c r="F3161" s="116">
        <f>COUNTIFS($A$3:A11417,A3161,$B$3:B11417,B3161)</f>
        <v>1</v>
      </c>
      <c r="G3161" s="116"/>
    </row>
    <row r="3162" spans="1:7" x14ac:dyDescent="0.2">
      <c r="A3162" s="116" t="str">
        <f>IF(ISNUMBER(Tabela2[[#This Row],[CT-e/NFS]])=TRUE,(IF(B3162&gt;30000,4,IF(B3162&lt;1000,"ND",0))),"-")</f>
        <v>ND</v>
      </c>
      <c r="B3162" s="116">
        <v>206</v>
      </c>
      <c r="C3162" s="117">
        <v>45464</v>
      </c>
      <c r="D3162" s="116">
        <v>1513.96</v>
      </c>
      <c r="E3162" s="117">
        <v>45473</v>
      </c>
      <c r="F3162" s="116">
        <f>COUNTIFS($A$3:A11418,A3162,$B$3:B11418,B3162)</f>
        <v>1</v>
      </c>
      <c r="G3162" s="116"/>
    </row>
    <row r="3163" spans="1:7" x14ac:dyDescent="0.2">
      <c r="A3163" s="116" t="str">
        <f>IF(ISNUMBER(Tabela2[[#This Row],[CT-e/NFS]])=TRUE,(IF(B3163&gt;30000,4,IF(B3163&lt;1000,"ND",0))),"-")</f>
        <v>ND</v>
      </c>
      <c r="B3163" s="116">
        <v>207</v>
      </c>
      <c r="C3163" s="117">
        <v>45464</v>
      </c>
      <c r="D3163" s="116">
        <v>631.64</v>
      </c>
      <c r="E3163" s="117">
        <v>45473</v>
      </c>
      <c r="F3163" s="116">
        <f>COUNTIFS($A$3:A11416,A3163,$B$3:B11416,B3163)</f>
        <v>1</v>
      </c>
      <c r="G3163" s="116"/>
    </row>
    <row r="3164" spans="1:7" x14ac:dyDescent="0.2">
      <c r="A3164" s="116" t="str">
        <f>IF(ISNUMBER(Tabela2[[#This Row],[CT-e/NFS]])=TRUE,(IF(B3164&gt;30000,4,IF(B3164&lt;1000,"ND",0))),"-")</f>
        <v>ND</v>
      </c>
      <c r="B3164" s="116">
        <v>208</v>
      </c>
      <c r="C3164" s="117">
        <v>45464</v>
      </c>
      <c r="D3164" s="116">
        <v>1393.87</v>
      </c>
      <c r="E3164" s="117">
        <v>45473</v>
      </c>
      <c r="F3164" s="116">
        <f>COUNTIFS($A$3:A11416,A3164,$B$3:B11416,B3164)</f>
        <v>1</v>
      </c>
      <c r="G3164" s="116"/>
    </row>
    <row r="3165" spans="1:7" x14ac:dyDescent="0.2">
      <c r="A3165" s="116" t="str">
        <f>IF(ISNUMBER(Tabela2[[#This Row],[CT-e/NFS]])=TRUE,(IF(B3165&gt;30000,4,IF(B3165&lt;1000,"ND",0))),"-")</f>
        <v>ND</v>
      </c>
      <c r="B3165" s="116">
        <v>204</v>
      </c>
      <c r="C3165" s="117">
        <v>45464</v>
      </c>
      <c r="D3165" s="116">
        <v>1260.8499999999999</v>
      </c>
      <c r="E3165" s="117">
        <v>45473</v>
      </c>
      <c r="F3165" s="116">
        <f>COUNTIFS($A$3:A11416,A3165,$B$3:B11416,B3165)</f>
        <v>1</v>
      </c>
      <c r="G3165" s="116"/>
    </row>
    <row r="3166" spans="1:7" x14ac:dyDescent="0.2">
      <c r="A3166" s="116">
        <f>IF(ISNUMBER(Tabela2[[#This Row],[CT-e/NFS]])=TRUE,(IF(B3166&gt;30000,4,IF(B3166&lt;1000,"ND",0))),"-")</f>
        <v>0</v>
      </c>
      <c r="B3166" s="116">
        <v>21673</v>
      </c>
      <c r="C3166" s="117">
        <v>45464</v>
      </c>
      <c r="D3166" s="116">
        <v>277.94</v>
      </c>
      <c r="E3166" s="117">
        <v>45473</v>
      </c>
      <c r="F3166" s="116">
        <f>COUNTIFS($A$3:A11416,A3166,$B$3:B11416,B3166)</f>
        <v>1</v>
      </c>
      <c r="G3166" s="116"/>
    </row>
    <row r="3167" spans="1:7" x14ac:dyDescent="0.2">
      <c r="A3167" s="116">
        <f>IF(ISNUMBER(Tabela2[[#This Row],[CT-e/NFS]])=TRUE,(IF(B3167&gt;30000,4,IF(B3167&lt;1000,"ND",0))),"-")</f>
        <v>0</v>
      </c>
      <c r="B3167" s="116">
        <v>21669</v>
      </c>
      <c r="C3167" s="117">
        <v>45464</v>
      </c>
      <c r="D3167" s="116">
        <v>456.6</v>
      </c>
      <c r="E3167" s="117">
        <v>45473</v>
      </c>
      <c r="F3167" s="116">
        <f>COUNTIFS($A$3:A11417,A3167,$B$3:B11417,B3167)</f>
        <v>1</v>
      </c>
      <c r="G3167" s="116"/>
    </row>
    <row r="3168" spans="1:7" x14ac:dyDescent="0.2">
      <c r="A3168" s="116">
        <f>IF(ISNUMBER(Tabela2[[#This Row],[CT-e/NFS]])=TRUE,(IF(B3168&gt;30000,4,IF(B3168&lt;1000,"ND",0))),"-")</f>
        <v>0</v>
      </c>
      <c r="B3168" s="116">
        <v>21671</v>
      </c>
      <c r="C3168" s="117">
        <v>45464</v>
      </c>
      <c r="D3168" s="116">
        <v>75.67</v>
      </c>
      <c r="E3168" s="117">
        <v>45473</v>
      </c>
      <c r="F3168" s="116">
        <f>COUNTIFS($A$3:A11418,A3168,$B$3:B11418,B3168)</f>
        <v>1</v>
      </c>
      <c r="G3168" s="116"/>
    </row>
    <row r="3169" spans="1:7" x14ac:dyDescent="0.2">
      <c r="A3169" s="116">
        <f>IF(ISNUMBER(Tabela2[[#This Row],[CT-e/NFS]])=TRUE,(IF(B3169&gt;30000,4,IF(B3169&lt;1000,"ND",0))),"-")</f>
        <v>0</v>
      </c>
      <c r="B3169" s="116">
        <v>21668</v>
      </c>
      <c r="C3169" s="117">
        <v>45464</v>
      </c>
      <c r="D3169" s="116">
        <v>76.41</v>
      </c>
      <c r="E3169" s="117">
        <v>45473</v>
      </c>
      <c r="F3169" s="116">
        <f>COUNTIFS($A$3:A11419,A3169,$B$3:B11419,B3169)</f>
        <v>1</v>
      </c>
      <c r="G3169" s="116"/>
    </row>
    <row r="3170" spans="1:7" x14ac:dyDescent="0.2">
      <c r="A3170" s="116">
        <f>IF(ISNUMBER(Tabela2[[#This Row],[CT-e/NFS]])=TRUE,(IF(B3170&gt;30000,4,IF(B3170&lt;1000,"ND",0))),"-")</f>
        <v>0</v>
      </c>
      <c r="B3170" s="116">
        <v>21667</v>
      </c>
      <c r="C3170" s="117">
        <v>45464</v>
      </c>
      <c r="D3170" s="116">
        <v>77.069999999999993</v>
      </c>
      <c r="E3170" s="117">
        <v>45473</v>
      </c>
      <c r="F3170" s="116">
        <f>COUNTIFS($A$3:A11420,A3170,$B$3:B11420,B3170)</f>
        <v>1</v>
      </c>
      <c r="G3170" s="116"/>
    </row>
    <row r="3171" spans="1:7" x14ac:dyDescent="0.2">
      <c r="A3171" s="116">
        <f>IF(ISNUMBER(Tabela2[[#This Row],[CT-e/NFS]])=TRUE,(IF(B3171&gt;30000,4,IF(B3171&lt;1000,"ND",0))),"-")</f>
        <v>0</v>
      </c>
      <c r="B3171" s="116">
        <v>21666</v>
      </c>
      <c r="C3171" s="117">
        <v>45464</v>
      </c>
      <c r="D3171" s="116">
        <v>75.67</v>
      </c>
      <c r="E3171" s="117">
        <v>45473</v>
      </c>
      <c r="F3171" s="116">
        <f>COUNTIFS($A$3:A11421,A3171,$B$3:B11421,B3171)</f>
        <v>1</v>
      </c>
      <c r="G3171" s="116"/>
    </row>
    <row r="3172" spans="1:7" x14ac:dyDescent="0.2">
      <c r="A3172" s="116">
        <f>IF(ISNUMBER(Tabela2[[#This Row],[CT-e/NFS]])=TRUE,(IF(B3172&gt;30000,4,IF(B3172&lt;1000,"ND",0))),"-")</f>
        <v>0</v>
      </c>
      <c r="B3172" s="116">
        <v>21670</v>
      </c>
      <c r="C3172" s="117">
        <v>45464</v>
      </c>
      <c r="D3172" s="116">
        <v>75.69</v>
      </c>
      <c r="E3172" s="117">
        <v>45473</v>
      </c>
      <c r="F3172" s="116">
        <f>COUNTIFS($A$3:A11422,A3172,$B$3:B11422,B3172)</f>
        <v>1</v>
      </c>
      <c r="G3172" s="116"/>
    </row>
    <row r="3173" spans="1:7" x14ac:dyDescent="0.2">
      <c r="A3173" s="116">
        <f>IF(ISNUMBER(Tabela2[[#This Row],[CT-e/NFS]])=TRUE,(IF(B3173&gt;30000,4,IF(B3173&lt;1000,"ND",0))),"-")</f>
        <v>0</v>
      </c>
      <c r="B3173" s="116">
        <v>21664</v>
      </c>
      <c r="C3173" s="117">
        <v>45464</v>
      </c>
      <c r="D3173" s="116">
        <v>108.53</v>
      </c>
      <c r="E3173" s="117">
        <v>45473</v>
      </c>
      <c r="F3173" s="116">
        <f>COUNTIFS($A$3:A11423,A3173,$B$3:B11423,B3173)</f>
        <v>1</v>
      </c>
      <c r="G3173" s="116"/>
    </row>
    <row r="3174" spans="1:7" x14ac:dyDescent="0.2">
      <c r="A3174" s="116">
        <f>IF(ISNUMBER(Tabela2[[#This Row],[CT-e/NFS]])=TRUE,(IF(B3174&gt;30000,4,IF(B3174&lt;1000,"ND",0))),"-")</f>
        <v>0</v>
      </c>
      <c r="B3174" s="116">
        <v>21663</v>
      </c>
      <c r="C3174" s="117">
        <v>45464</v>
      </c>
      <c r="D3174" s="116">
        <v>148.38</v>
      </c>
      <c r="E3174" s="117">
        <v>45473</v>
      </c>
      <c r="F3174" s="116">
        <f>COUNTIFS($A$3:A11424,A3174,$B$3:B11424,B3174)</f>
        <v>1</v>
      </c>
      <c r="G3174" s="116"/>
    </row>
    <row r="3175" spans="1:7" x14ac:dyDescent="0.2">
      <c r="A3175" s="116">
        <f>IF(ISNUMBER(Tabela2[[#This Row],[CT-e/NFS]])=TRUE,(IF(B3175&gt;30000,4,IF(B3175&lt;1000,"ND",0))),"-")</f>
        <v>0</v>
      </c>
      <c r="B3175" s="116">
        <v>21665</v>
      </c>
      <c r="C3175" s="117">
        <v>45464</v>
      </c>
      <c r="D3175" s="116">
        <v>76.44</v>
      </c>
      <c r="E3175" s="117">
        <v>45473</v>
      </c>
      <c r="F3175" s="116">
        <f>COUNTIFS($A$3:A11425,A3175,$B$3:B11425,B3175)</f>
        <v>1</v>
      </c>
      <c r="G3175" s="116"/>
    </row>
    <row r="3176" spans="1:7" x14ac:dyDescent="0.2">
      <c r="A3176" s="116">
        <f>IF(ISNUMBER(Tabela2[[#This Row],[CT-e/NFS]])=TRUE,(IF(B3176&gt;30000,4,IF(B3176&lt;1000,"ND",0))),"-")</f>
        <v>0</v>
      </c>
      <c r="B3176" s="116">
        <v>21662</v>
      </c>
      <c r="C3176" s="117">
        <v>45464</v>
      </c>
      <c r="D3176" s="116">
        <v>104.88</v>
      </c>
      <c r="E3176" s="117">
        <v>45473</v>
      </c>
      <c r="F3176" s="116">
        <f>COUNTIFS($A$3:A11426,A3176,$B$3:B11426,B3176)</f>
        <v>1</v>
      </c>
      <c r="G3176" s="116"/>
    </row>
    <row r="3177" spans="1:7" x14ac:dyDescent="0.2">
      <c r="A3177" s="116">
        <f>IF(ISNUMBER(Tabela2[[#This Row],[CT-e/NFS]])=TRUE,(IF(B3177&gt;30000,4,IF(B3177&lt;1000,"ND",0))),"-")</f>
        <v>0</v>
      </c>
      <c r="B3177" s="116">
        <v>21661</v>
      </c>
      <c r="C3177" s="117">
        <v>45464</v>
      </c>
      <c r="D3177" s="116">
        <v>125.99</v>
      </c>
      <c r="E3177" s="117">
        <v>45473</v>
      </c>
      <c r="F3177" s="116">
        <f>COUNTIFS($A$3:A11427,A3177,$B$3:B11427,B3177)</f>
        <v>1</v>
      </c>
      <c r="G3177" s="116"/>
    </row>
    <row r="3178" spans="1:7" x14ac:dyDescent="0.2">
      <c r="A3178" s="116">
        <f>IF(ISNUMBER(Tabela2[[#This Row],[CT-e/NFS]])=TRUE,(IF(B3178&gt;30000,4,IF(B3178&lt;1000,"ND",0))),"-")</f>
        <v>0</v>
      </c>
      <c r="B3178" s="116">
        <v>21660</v>
      </c>
      <c r="C3178" s="117">
        <v>45464</v>
      </c>
      <c r="D3178" s="116">
        <v>139.25</v>
      </c>
      <c r="E3178" s="117">
        <v>45473</v>
      </c>
      <c r="F3178" s="116">
        <f>COUNTIFS($A$3:A11428,A3178,$B$3:B11428,B3178)</f>
        <v>1</v>
      </c>
      <c r="G3178" s="116"/>
    </row>
    <row r="3179" spans="1:7" x14ac:dyDescent="0.2">
      <c r="A3179" s="116">
        <f>IF(ISNUMBER(Tabela2[[#This Row],[CT-e/NFS]])=TRUE,(IF(B3179&gt;30000,4,IF(B3179&lt;1000,"ND",0))),"-")</f>
        <v>0</v>
      </c>
      <c r="B3179" s="116">
        <v>21684</v>
      </c>
      <c r="C3179" s="117">
        <v>45464</v>
      </c>
      <c r="D3179" s="116">
        <v>80.099999999999994</v>
      </c>
      <c r="E3179" s="117">
        <v>45473</v>
      </c>
      <c r="F3179" s="116">
        <f>COUNTIFS($A$3:A11429,A3179,$B$3:B11429,B3179)</f>
        <v>1</v>
      </c>
      <c r="G3179" s="116"/>
    </row>
    <row r="3180" spans="1:7" x14ac:dyDescent="0.2">
      <c r="A3180" s="116">
        <f>IF(ISNUMBER(Tabela2[[#This Row],[CT-e/NFS]])=TRUE,(IF(B3180&gt;30000,4,IF(B3180&lt;1000,"ND",0))),"-")</f>
        <v>0</v>
      </c>
      <c r="B3180" s="116">
        <v>21686</v>
      </c>
      <c r="C3180" s="117">
        <v>45464</v>
      </c>
      <c r="D3180" s="116">
        <v>77.069999999999993</v>
      </c>
      <c r="E3180" s="117">
        <v>45473</v>
      </c>
      <c r="F3180" s="116">
        <f>COUNTIFS($A$3:A11430,A3180,$B$3:B11430,B3180)</f>
        <v>1</v>
      </c>
      <c r="G3180" s="116"/>
    </row>
    <row r="3181" spans="1:7" x14ac:dyDescent="0.2">
      <c r="A3181" s="116">
        <f>IF(ISNUMBER(Tabela2[[#This Row],[CT-e/NFS]])=TRUE,(IF(B3181&gt;30000,4,IF(B3181&lt;1000,"ND",0))),"-")</f>
        <v>0</v>
      </c>
      <c r="B3181" s="116">
        <v>21687</v>
      </c>
      <c r="C3181" s="117">
        <v>45464</v>
      </c>
      <c r="D3181" s="116">
        <v>75.8</v>
      </c>
      <c r="E3181" s="117">
        <v>45473</v>
      </c>
      <c r="F3181" s="116">
        <f>COUNTIFS($A$3:A11431,A3181,$B$3:B11431,B3181)</f>
        <v>1</v>
      </c>
      <c r="G3181" s="116"/>
    </row>
    <row r="3182" spans="1:7" x14ac:dyDescent="0.2">
      <c r="A3182" s="116">
        <f>IF(ISNUMBER(Tabela2[[#This Row],[CT-e/NFS]])=TRUE,(IF(B3182&gt;30000,4,IF(B3182&lt;1000,"ND",0))),"-")</f>
        <v>0</v>
      </c>
      <c r="B3182" s="116">
        <v>21688</v>
      </c>
      <c r="C3182" s="117">
        <v>45464</v>
      </c>
      <c r="D3182" s="116">
        <v>76.349999999999994</v>
      </c>
      <c r="E3182" s="117">
        <v>45473</v>
      </c>
      <c r="F3182" s="116">
        <f>COUNTIFS($A$3:A11432,A3182,$B$3:B11432,B3182)</f>
        <v>1</v>
      </c>
      <c r="G3182" s="116"/>
    </row>
    <row r="3183" spans="1:7" x14ac:dyDescent="0.2">
      <c r="A3183" s="116">
        <f>IF(ISNUMBER(Tabela2[[#This Row],[CT-e/NFS]])=TRUE,(IF(B3183&gt;30000,4,IF(B3183&lt;1000,"ND",0))),"-")</f>
        <v>0</v>
      </c>
      <c r="B3183" s="116">
        <v>21685</v>
      </c>
      <c r="C3183" s="117">
        <v>45464</v>
      </c>
      <c r="D3183" s="116">
        <v>171.44</v>
      </c>
      <c r="E3183" s="117">
        <v>45473</v>
      </c>
      <c r="F3183" s="116">
        <f>COUNTIFS($A$3:A11433,A3183,$B$3:B11433,B3183)</f>
        <v>1</v>
      </c>
      <c r="G3183" s="116"/>
    </row>
    <row r="3184" spans="1:7" x14ac:dyDescent="0.2">
      <c r="A3184" s="116">
        <f>IF(ISNUMBER(Tabela2[[#This Row],[CT-e/NFS]])=TRUE,(IF(B3184&gt;30000,4,IF(B3184&lt;1000,"ND",0))),"-")</f>
        <v>4</v>
      </c>
      <c r="B3184" s="116">
        <v>47665</v>
      </c>
      <c r="C3184" s="117">
        <v>45464</v>
      </c>
      <c r="D3184" s="116">
        <v>304.99</v>
      </c>
      <c r="E3184" s="117">
        <v>45473</v>
      </c>
      <c r="F3184" s="116">
        <f>COUNTIFS($A$3:A11434,A3184,$B$3:B11434,B3184)</f>
        <v>1</v>
      </c>
      <c r="G3184" s="116"/>
    </row>
    <row r="3185" spans="1:7" x14ac:dyDescent="0.2">
      <c r="A3185" s="116">
        <f>IF(ISNUMBER(Tabela2[[#This Row],[CT-e/NFS]])=TRUE,(IF(B3185&gt;30000,4,IF(B3185&lt;1000,"ND",0))),"-")</f>
        <v>4</v>
      </c>
      <c r="B3185" s="116">
        <v>47666</v>
      </c>
      <c r="C3185" s="117">
        <v>45464</v>
      </c>
      <c r="D3185" s="116">
        <v>553.41999999999996</v>
      </c>
      <c r="E3185" s="117">
        <v>45473</v>
      </c>
      <c r="F3185" s="116">
        <f>COUNTIFS($A$3:A11435,A3185,$B$3:B11435,B3185)</f>
        <v>1</v>
      </c>
      <c r="G3185" s="116"/>
    </row>
    <row r="3186" spans="1:7" x14ac:dyDescent="0.2">
      <c r="A3186" s="116">
        <f>IF(ISNUMBER(Tabela2[[#This Row],[CT-e/NFS]])=TRUE,(IF(B3186&gt;30000,4,IF(B3186&lt;1000,"ND",0))),"-")</f>
        <v>4</v>
      </c>
      <c r="B3186" s="116">
        <v>47555</v>
      </c>
      <c r="C3186" s="117">
        <v>45464</v>
      </c>
      <c r="D3186" s="116">
        <v>995.85</v>
      </c>
      <c r="E3186" s="117">
        <v>45473</v>
      </c>
      <c r="F3186" s="116">
        <f>COUNTIFS($A$3:A11436,A3186,$B$3:B11436,B3186)</f>
        <v>1</v>
      </c>
      <c r="G3186" s="116"/>
    </row>
    <row r="3187" spans="1:7" x14ac:dyDescent="0.2">
      <c r="A3187" s="116">
        <f>IF(ISNUMBER(Tabela2[[#This Row],[CT-e/NFS]])=TRUE,(IF(B3187&gt;30000,4,IF(B3187&lt;1000,"ND",0))),"-")</f>
        <v>0</v>
      </c>
      <c r="B3187" s="116">
        <v>21657</v>
      </c>
      <c r="C3187" s="117">
        <v>45464</v>
      </c>
      <c r="D3187" s="116">
        <v>38.79</v>
      </c>
      <c r="E3187" s="117">
        <v>45473</v>
      </c>
      <c r="F3187" s="116">
        <f>COUNTIFS($A$3:A11437,A3187,$B$3:B11437,B3187)</f>
        <v>1</v>
      </c>
      <c r="G3187" s="116"/>
    </row>
    <row r="3188" spans="1:7" x14ac:dyDescent="0.2">
      <c r="A3188" s="116">
        <f>IF(ISNUMBER(Tabela2[[#This Row],[CT-e/NFS]])=TRUE,(IF(B3188&gt;30000,4,IF(B3188&lt;1000,"ND",0))),"-")</f>
        <v>0</v>
      </c>
      <c r="B3188" s="116">
        <v>21656</v>
      </c>
      <c r="C3188" s="117">
        <v>45464</v>
      </c>
      <c r="D3188" s="116">
        <v>70.02</v>
      </c>
      <c r="E3188" s="117">
        <v>45473</v>
      </c>
      <c r="F3188" s="116">
        <f>COUNTIFS($A$3:A11438,A3188,$B$3:B11438,B3188)</f>
        <v>1</v>
      </c>
      <c r="G3188" s="116"/>
    </row>
    <row r="3189" spans="1:7" x14ac:dyDescent="0.2">
      <c r="A3189" s="116">
        <f>IF(ISNUMBER(Tabela2[[#This Row],[CT-e/NFS]])=TRUE,(IF(B3189&gt;30000,4,IF(B3189&lt;1000,"ND",0))),"-")</f>
        <v>0</v>
      </c>
      <c r="B3189" s="116">
        <v>21672</v>
      </c>
      <c r="C3189" s="117">
        <v>45464</v>
      </c>
      <c r="D3189" s="116">
        <v>233.23</v>
      </c>
      <c r="E3189" s="117">
        <v>45473</v>
      </c>
      <c r="F3189" s="116">
        <f>COUNTIFS($A$3:A11439,A3189,$B$3:B11439,B3189)</f>
        <v>1</v>
      </c>
      <c r="G3189" s="116"/>
    </row>
    <row r="3190" spans="1:7" x14ac:dyDescent="0.2">
      <c r="A3190" s="116">
        <f>IF(ISNUMBER(Tabela2[[#This Row],[CT-e/NFS]])=TRUE,(IF(B3190&gt;30000,4,IF(B3190&lt;1000,"ND",0))),"-")</f>
        <v>4</v>
      </c>
      <c r="B3190" s="116">
        <v>47667</v>
      </c>
      <c r="C3190" s="117">
        <v>45464</v>
      </c>
      <c r="D3190" s="116">
        <v>419.01</v>
      </c>
      <c r="E3190" s="117">
        <v>45473</v>
      </c>
      <c r="F3190" s="116">
        <f>COUNTIFS($A$3:A11440,A3190,$B$3:B11440,B3190)</f>
        <v>1</v>
      </c>
      <c r="G3190" s="116"/>
    </row>
    <row r="3191" spans="1:7" x14ac:dyDescent="0.2">
      <c r="A3191" s="116">
        <f>IF(ISNUMBER(Tabela2[[#This Row],[CT-e/NFS]])=TRUE,(IF(B3191&gt;30000,4,IF(B3191&lt;1000,"ND",0))),"-")</f>
        <v>0</v>
      </c>
      <c r="B3191" s="116">
        <v>21679</v>
      </c>
      <c r="C3191" s="117">
        <v>45464</v>
      </c>
      <c r="D3191" s="116">
        <v>515.41</v>
      </c>
      <c r="E3191" s="117">
        <v>45473</v>
      </c>
      <c r="F3191" s="116">
        <f>COUNTIFS($A$3:A11441,A3191,$B$3:B11441,B3191)</f>
        <v>1</v>
      </c>
      <c r="G3191" s="116"/>
    </row>
    <row r="3192" spans="1:7" x14ac:dyDescent="0.2">
      <c r="A3192" s="116">
        <f>IF(ISNUMBER(Tabela2[[#This Row],[CT-e/NFS]])=TRUE,(IF(B3192&gt;30000,4,IF(B3192&lt;1000,"ND",0))),"-")</f>
        <v>0</v>
      </c>
      <c r="B3192" s="116">
        <v>21676</v>
      </c>
      <c r="C3192" s="117">
        <v>45464</v>
      </c>
      <c r="D3192" s="116">
        <v>515.41</v>
      </c>
      <c r="E3192" s="117">
        <v>45473</v>
      </c>
      <c r="F3192" s="116">
        <f>COUNTIFS($A$3:A11442,A3192,$B$3:B11442,B3192)</f>
        <v>1</v>
      </c>
      <c r="G3192" s="116"/>
    </row>
    <row r="3193" spans="1:7" x14ac:dyDescent="0.2">
      <c r="A3193" s="116">
        <f>IF(ISNUMBER(Tabela2[[#This Row],[CT-e/NFS]])=TRUE,(IF(B3193&gt;30000,4,IF(B3193&lt;1000,"ND",0))),"-")</f>
        <v>0</v>
      </c>
      <c r="B3193" s="116">
        <v>21675</v>
      </c>
      <c r="C3193" s="117">
        <v>45464</v>
      </c>
      <c r="D3193" s="116">
        <v>515.41</v>
      </c>
      <c r="E3193" s="117">
        <v>45473</v>
      </c>
      <c r="F3193" s="116">
        <f>COUNTIFS($A$3:A11443,A3193,$B$3:B11443,B3193)</f>
        <v>1</v>
      </c>
      <c r="G3193" s="116"/>
    </row>
    <row r="3194" spans="1:7" x14ac:dyDescent="0.2">
      <c r="A3194" s="116">
        <f>IF(ISNUMBER(Tabela2[[#This Row],[CT-e/NFS]])=TRUE,(IF(B3194&gt;30000,4,IF(B3194&lt;1000,"ND",0))),"-")</f>
        <v>4</v>
      </c>
      <c r="B3194" s="116">
        <v>47639</v>
      </c>
      <c r="C3194" s="117">
        <v>45464</v>
      </c>
      <c r="D3194" s="116">
        <v>609.98</v>
      </c>
      <c r="E3194" s="117">
        <v>45473</v>
      </c>
      <c r="F3194" s="116">
        <f>COUNTIFS($A$3:A11444,A3194,$B$3:B11444,B3194)</f>
        <v>1</v>
      </c>
      <c r="G3194" s="116"/>
    </row>
    <row r="3195" spans="1:7" x14ac:dyDescent="0.2">
      <c r="A3195" s="116">
        <f>IF(ISNUMBER(Tabela2[[#This Row],[CT-e/NFS]])=TRUE,(IF(B3195&gt;30000,4,IF(B3195&lt;1000,"ND",0))),"-")</f>
        <v>4</v>
      </c>
      <c r="B3195" s="116">
        <v>47561</v>
      </c>
      <c r="C3195" s="117">
        <v>45464</v>
      </c>
      <c r="D3195" s="116">
        <v>3977.27</v>
      </c>
      <c r="E3195" s="117">
        <v>45473</v>
      </c>
      <c r="F3195" s="116">
        <f>COUNTIFS($A$3:A11445,A3195,$B$3:B11445,B3195)</f>
        <v>1</v>
      </c>
      <c r="G3195" s="116"/>
    </row>
    <row r="3196" spans="1:7" x14ac:dyDescent="0.2">
      <c r="A3196" s="116">
        <f>IF(ISNUMBER(Tabela2[[#This Row],[CT-e/NFS]])=TRUE,(IF(B3196&gt;30000,4,IF(B3196&lt;1000,"ND",0))),"-")</f>
        <v>4</v>
      </c>
      <c r="B3196" s="116">
        <v>47690</v>
      </c>
      <c r="C3196" s="117">
        <v>45474</v>
      </c>
      <c r="D3196" s="116">
        <v>593.24</v>
      </c>
      <c r="E3196" s="117">
        <v>45488</v>
      </c>
      <c r="F3196" s="116">
        <f>COUNTIFS($A$3:A11446,A3196,$B$3:B11446,B3196)</f>
        <v>1</v>
      </c>
      <c r="G3196" s="116"/>
    </row>
    <row r="3197" spans="1:7" x14ac:dyDescent="0.2">
      <c r="A3197" s="116">
        <f>IF(ISNUMBER(Tabela2[[#This Row],[CT-e/NFS]])=TRUE,(IF(B3197&gt;30000,4,IF(B3197&lt;1000,"ND",0))),"-")</f>
        <v>4</v>
      </c>
      <c r="B3197" s="116">
        <v>47689</v>
      </c>
      <c r="C3197" s="117">
        <v>45474</v>
      </c>
      <c r="D3197" s="116">
        <v>544.49</v>
      </c>
      <c r="E3197" s="117">
        <v>45488</v>
      </c>
      <c r="F3197" s="116">
        <f>COUNTIFS($A$3:A11447,A3197,$B$3:B11447,B3197)</f>
        <v>1</v>
      </c>
      <c r="G3197" s="116"/>
    </row>
    <row r="3198" spans="1:7" x14ac:dyDescent="0.2">
      <c r="A3198" s="116">
        <f>IF(ISNUMBER(Tabela2[[#This Row],[CT-e/NFS]])=TRUE,(IF(B3198&gt;30000,4,IF(B3198&lt;1000,"ND",0))),"-")</f>
        <v>4</v>
      </c>
      <c r="B3198" s="116">
        <v>47704</v>
      </c>
      <c r="C3198" s="117">
        <v>45474</v>
      </c>
      <c r="D3198" s="116">
        <v>125.64</v>
      </c>
      <c r="E3198" s="117">
        <v>45488</v>
      </c>
      <c r="F3198" s="116">
        <f>COUNTIFS($A$3:A11448,A3198,$B$3:B11448,B3198)</f>
        <v>1</v>
      </c>
      <c r="G3198" s="116"/>
    </row>
    <row r="3199" spans="1:7" x14ac:dyDescent="0.2">
      <c r="A3199" s="116">
        <f>IF(ISNUMBER(Tabela2[[#This Row],[CT-e/NFS]])=TRUE,(IF(B3199&gt;30000,4,IF(B3199&lt;1000,"ND",0))),"-")</f>
        <v>4</v>
      </c>
      <c r="B3199" s="116">
        <v>47702</v>
      </c>
      <c r="C3199" s="117">
        <v>45474</v>
      </c>
      <c r="D3199" s="116">
        <v>125.32</v>
      </c>
      <c r="E3199" s="117">
        <v>45488</v>
      </c>
      <c r="F3199" s="116">
        <f>COUNTIFS($A$3:A11449,A3199,$B$3:B11449,B3199)</f>
        <v>1</v>
      </c>
      <c r="G3199" s="116"/>
    </row>
    <row r="3200" spans="1:7" x14ac:dyDescent="0.2">
      <c r="A3200" s="116">
        <f>IF(ISNUMBER(Tabela2[[#This Row],[CT-e/NFS]])=TRUE,(IF(B3200&gt;30000,4,IF(B3200&lt;1000,"ND",0))),"-")</f>
        <v>4</v>
      </c>
      <c r="B3200" s="116">
        <v>47701</v>
      </c>
      <c r="C3200" s="117">
        <v>45474</v>
      </c>
      <c r="D3200" s="116">
        <v>125.77</v>
      </c>
      <c r="E3200" s="117">
        <v>45488</v>
      </c>
      <c r="F3200" s="116">
        <f>COUNTIFS($A$3:A11450,A3200,$B$3:B11450,B3200)</f>
        <v>1</v>
      </c>
      <c r="G3200" s="116"/>
    </row>
    <row r="3201" spans="1:7" x14ac:dyDescent="0.2">
      <c r="A3201" s="116">
        <f>IF(ISNUMBER(Tabela2[[#This Row],[CT-e/NFS]])=TRUE,(IF(B3201&gt;30000,4,IF(B3201&lt;1000,"ND",0))),"-")</f>
        <v>4</v>
      </c>
      <c r="B3201" s="116">
        <v>47703</v>
      </c>
      <c r="C3201" s="117">
        <v>45474</v>
      </c>
      <c r="D3201" s="116">
        <v>126.02</v>
      </c>
      <c r="E3201" s="117">
        <v>45488</v>
      </c>
      <c r="F3201" s="116">
        <f>COUNTIFS($A$3:A11451,A3201,$B$3:B11451,B3201)</f>
        <v>1</v>
      </c>
      <c r="G3201" s="116"/>
    </row>
    <row r="3202" spans="1:7" x14ac:dyDescent="0.2">
      <c r="A3202" s="116">
        <f>IF(ISNUMBER(Tabela2[[#This Row],[CT-e/NFS]])=TRUE,(IF(B3202&gt;30000,4,IF(B3202&lt;1000,"ND",0))),"-")</f>
        <v>4</v>
      </c>
      <c r="B3202" s="116">
        <v>47699</v>
      </c>
      <c r="C3202" s="117">
        <v>45474</v>
      </c>
      <c r="D3202" s="116">
        <v>122.92</v>
      </c>
      <c r="E3202" s="117">
        <v>45488</v>
      </c>
      <c r="F3202" s="116">
        <f>COUNTIFS($A$3:A11452,A3202,$B$3:B11452,B3202)</f>
        <v>1</v>
      </c>
      <c r="G3202" s="116"/>
    </row>
    <row r="3203" spans="1:7" x14ac:dyDescent="0.2">
      <c r="A3203" s="116">
        <f>IF(ISNUMBER(Tabela2[[#This Row],[CT-e/NFS]])=TRUE,(IF(B3203&gt;30000,4,IF(B3203&lt;1000,"ND",0))),"-")</f>
        <v>4</v>
      </c>
      <c r="B3203" s="116">
        <v>47695</v>
      </c>
      <c r="C3203" s="117">
        <v>45474</v>
      </c>
      <c r="D3203" s="116">
        <v>125.86</v>
      </c>
      <c r="E3203" s="117">
        <v>45488</v>
      </c>
      <c r="F3203" s="116">
        <f>COUNTIFS($A$3:A11453,A3203,$B$3:B11453,B3203)</f>
        <v>1</v>
      </c>
      <c r="G3203" s="116"/>
    </row>
    <row r="3204" spans="1:7" x14ac:dyDescent="0.2">
      <c r="A3204" s="116">
        <f>IF(ISNUMBER(Tabela2[[#This Row],[CT-e/NFS]])=TRUE,(IF(B3204&gt;30000,4,IF(B3204&lt;1000,"ND",0))),"-")</f>
        <v>4</v>
      </c>
      <c r="B3204" s="116">
        <v>47691</v>
      </c>
      <c r="C3204" s="117">
        <v>45474</v>
      </c>
      <c r="D3204" s="116">
        <v>126.65</v>
      </c>
      <c r="E3204" s="117">
        <v>45488</v>
      </c>
      <c r="F3204" s="116">
        <f>COUNTIFS($A$3:A11454,A3204,$B$3:B11454,B3204)</f>
        <v>1</v>
      </c>
      <c r="G3204" s="116"/>
    </row>
    <row r="3205" spans="1:7" x14ac:dyDescent="0.2">
      <c r="A3205" s="116">
        <f>IF(ISNUMBER(Tabela2[[#This Row],[CT-e/NFS]])=TRUE,(IF(B3205&gt;30000,4,IF(B3205&lt;1000,"ND",0))),"-")</f>
        <v>4</v>
      </c>
      <c r="B3205" s="116">
        <v>47698</v>
      </c>
      <c r="C3205" s="117">
        <v>45474</v>
      </c>
      <c r="D3205" s="116">
        <v>124.53</v>
      </c>
      <c r="E3205" s="117">
        <v>45488</v>
      </c>
      <c r="F3205" s="116">
        <f>COUNTIFS($A$3:A11455,A3205,$B$3:B11455,B3205)</f>
        <v>1</v>
      </c>
      <c r="G3205" s="116"/>
    </row>
    <row r="3206" spans="1:7" x14ac:dyDescent="0.2">
      <c r="A3206" s="116">
        <f>IF(ISNUMBER(Tabela2[[#This Row],[CT-e/NFS]])=TRUE,(IF(B3206&gt;30000,4,IF(B3206&lt;1000,"ND",0))),"-")</f>
        <v>4</v>
      </c>
      <c r="B3206" s="116">
        <v>47693</v>
      </c>
      <c r="C3206" s="117">
        <v>45474</v>
      </c>
      <c r="D3206" s="116">
        <v>798.27</v>
      </c>
      <c r="E3206" s="117">
        <v>45488</v>
      </c>
      <c r="F3206" s="116">
        <f>COUNTIFS($A$3:A11456,A3206,$B$3:B11456,B3206)</f>
        <v>1</v>
      </c>
      <c r="G3206" s="116"/>
    </row>
    <row r="3207" spans="1:7" x14ac:dyDescent="0.2">
      <c r="A3207" s="116">
        <f>IF(ISNUMBER(Tabela2[[#This Row],[CT-e/NFS]])=TRUE,(IF(B3207&gt;30000,4,IF(B3207&lt;1000,"ND",0))),"-")</f>
        <v>4</v>
      </c>
      <c r="B3207" s="116">
        <v>47697</v>
      </c>
      <c r="C3207" s="117">
        <v>45474</v>
      </c>
      <c r="D3207" s="116">
        <v>131.9</v>
      </c>
      <c r="E3207" s="117">
        <v>45488</v>
      </c>
      <c r="F3207" s="116">
        <f>COUNTIFS($A$3:A11457,A3207,$B$3:B11457,B3207)</f>
        <v>1</v>
      </c>
      <c r="G3207" s="116"/>
    </row>
    <row r="3208" spans="1:7" x14ac:dyDescent="0.2">
      <c r="A3208" s="116">
        <f>IF(ISNUMBER(Tabela2[[#This Row],[CT-e/NFS]])=TRUE,(IF(B3208&gt;30000,4,IF(B3208&lt;1000,"ND",0))),"-")</f>
        <v>4</v>
      </c>
      <c r="B3208" s="116">
        <v>47692</v>
      </c>
      <c r="C3208" s="117">
        <v>45474</v>
      </c>
      <c r="D3208" s="116">
        <v>124.3</v>
      </c>
      <c r="E3208" s="117">
        <v>45488</v>
      </c>
      <c r="F3208" s="116">
        <f>COUNTIFS($A$3:A11458,A3208,$B$3:B11458,B3208)</f>
        <v>1</v>
      </c>
      <c r="G3208" s="116"/>
    </row>
    <row r="3209" spans="1:7" x14ac:dyDescent="0.2">
      <c r="A3209" s="116">
        <f>IF(ISNUMBER(Tabela2[[#This Row],[CT-e/NFS]])=TRUE,(IF(B3209&gt;30000,4,IF(B3209&lt;1000,"ND",0))),"-")</f>
        <v>4</v>
      </c>
      <c r="B3209" s="116">
        <v>47696</v>
      </c>
      <c r="C3209" s="117">
        <v>45474</v>
      </c>
      <c r="D3209" s="116">
        <v>122.82</v>
      </c>
      <c r="E3209" s="117">
        <v>45488</v>
      </c>
      <c r="F3209" s="116">
        <f>COUNTIFS($A$3:A11459,A3209,$B$3:B11459,B3209)</f>
        <v>1</v>
      </c>
      <c r="G3209" s="116"/>
    </row>
    <row r="3210" spans="1:7" x14ac:dyDescent="0.2">
      <c r="A3210" s="116">
        <f>IF(ISNUMBER(Tabela2[[#This Row],[CT-e/NFS]])=TRUE,(IF(B3210&gt;30000,4,IF(B3210&lt;1000,"ND",0))),"-")</f>
        <v>4</v>
      </c>
      <c r="B3210" s="116">
        <v>47694</v>
      </c>
      <c r="C3210" s="117">
        <v>45474</v>
      </c>
      <c r="D3210" s="116">
        <v>124.47</v>
      </c>
      <c r="E3210" s="117">
        <v>45488</v>
      </c>
      <c r="F3210" s="116">
        <f>COUNTIFS($A$3:A11460,A3210,$B$3:B11460,B3210)</f>
        <v>1</v>
      </c>
      <c r="G3210" s="116"/>
    </row>
    <row r="3211" spans="1:7" x14ac:dyDescent="0.2">
      <c r="A3211" s="116">
        <f>IF(ISNUMBER(Tabela2[[#This Row],[CT-e/NFS]])=TRUE,(IF(B3211&gt;30000,4,IF(B3211&lt;1000,"ND",0))),"-")</f>
        <v>4</v>
      </c>
      <c r="B3211" s="116">
        <v>47715</v>
      </c>
      <c r="C3211" s="117">
        <v>45474</v>
      </c>
      <c r="D3211" s="116">
        <v>124.45</v>
      </c>
      <c r="E3211" s="117">
        <v>45488</v>
      </c>
      <c r="F3211" s="116">
        <f>COUNTIFS($A$3:A11461,A3211,$B$3:B11461,B3211)</f>
        <v>1</v>
      </c>
      <c r="G3211" s="116"/>
    </row>
    <row r="3212" spans="1:7" x14ac:dyDescent="0.2">
      <c r="A3212" s="116">
        <f>IF(ISNUMBER(Tabela2[[#This Row],[CT-e/NFS]])=TRUE,(IF(B3212&gt;30000,4,IF(B3212&lt;1000,"ND",0))),"-")</f>
        <v>4</v>
      </c>
      <c r="B3212" s="116">
        <v>47716</v>
      </c>
      <c r="C3212" s="117">
        <v>45474</v>
      </c>
      <c r="D3212" s="116">
        <v>123.99</v>
      </c>
      <c r="E3212" s="117">
        <v>45488</v>
      </c>
      <c r="F3212" s="116">
        <f>COUNTIFS($A$3:A11462,A3212,$B$3:B11462,B3212)</f>
        <v>1</v>
      </c>
      <c r="G3212" s="116"/>
    </row>
    <row r="3213" spans="1:7" x14ac:dyDescent="0.2">
      <c r="A3213" s="116">
        <f>IF(ISNUMBER(Tabela2[[#This Row],[CT-e/NFS]])=TRUE,(IF(B3213&gt;30000,4,IF(B3213&lt;1000,"ND",0))),"-")</f>
        <v>4</v>
      </c>
      <c r="B3213" s="116">
        <v>47714</v>
      </c>
      <c r="C3213" s="117">
        <v>45474</v>
      </c>
      <c r="D3213" s="116">
        <v>124.39</v>
      </c>
      <c r="E3213" s="117">
        <v>45488</v>
      </c>
      <c r="F3213" s="116">
        <f>COUNTIFS($A$3:A11463,A3213,$B$3:B11463,B3213)</f>
        <v>1</v>
      </c>
      <c r="G3213" s="116"/>
    </row>
    <row r="3214" spans="1:7" x14ac:dyDescent="0.2">
      <c r="A3214" s="116">
        <f>IF(ISNUMBER(Tabela2[[#This Row],[CT-e/NFS]])=TRUE,(IF(B3214&gt;30000,4,IF(B3214&lt;1000,"ND",0))),"-")</f>
        <v>4</v>
      </c>
      <c r="B3214" s="116">
        <v>47712</v>
      </c>
      <c r="C3214" s="117">
        <v>45474</v>
      </c>
      <c r="D3214" s="116">
        <v>123.91</v>
      </c>
      <c r="E3214" s="117">
        <v>45488</v>
      </c>
      <c r="F3214" s="116">
        <f>COUNTIFS($A$3:A11464,A3214,$B$3:B11464,B3214)</f>
        <v>1</v>
      </c>
      <c r="G3214" s="116"/>
    </row>
    <row r="3215" spans="1:7" x14ac:dyDescent="0.2">
      <c r="A3215" s="116">
        <f>IF(ISNUMBER(Tabela2[[#This Row],[CT-e/NFS]])=TRUE,(IF(B3215&gt;30000,4,IF(B3215&lt;1000,"ND",0))),"-")</f>
        <v>4</v>
      </c>
      <c r="B3215" s="116">
        <v>47711</v>
      </c>
      <c r="C3215" s="117">
        <v>45474</v>
      </c>
      <c r="D3215" s="116">
        <v>459.82</v>
      </c>
      <c r="E3215" s="117">
        <v>45488</v>
      </c>
      <c r="F3215" s="116">
        <f>COUNTIFS($A$3:A11465,A3215,$B$3:B11465,B3215)</f>
        <v>1</v>
      </c>
      <c r="G3215" s="116"/>
    </row>
    <row r="3216" spans="1:7" x14ac:dyDescent="0.2">
      <c r="A3216" s="116">
        <f>IF(ISNUMBER(Tabela2[[#This Row],[CT-e/NFS]])=TRUE,(IF(B3216&gt;30000,4,IF(B3216&lt;1000,"ND",0))),"-")</f>
        <v>4</v>
      </c>
      <c r="B3216" s="116">
        <v>47709</v>
      </c>
      <c r="C3216" s="117">
        <v>45474</v>
      </c>
      <c r="D3216" s="116">
        <v>122.92</v>
      </c>
      <c r="E3216" s="117">
        <v>45488</v>
      </c>
      <c r="F3216" s="116">
        <f>COUNTIFS($A$3:A11466,A3216,$B$3:B11466,B3216)</f>
        <v>1</v>
      </c>
      <c r="G3216" s="116"/>
    </row>
    <row r="3217" spans="1:7" x14ac:dyDescent="0.2">
      <c r="A3217" s="116">
        <f>IF(ISNUMBER(Tabela2[[#This Row],[CT-e/NFS]])=TRUE,(IF(B3217&gt;30000,4,IF(B3217&lt;1000,"ND",0))),"-")</f>
        <v>4</v>
      </c>
      <c r="B3217" s="116">
        <v>47713</v>
      </c>
      <c r="C3217" s="117">
        <v>45474</v>
      </c>
      <c r="D3217" s="116">
        <v>124.39</v>
      </c>
      <c r="E3217" s="117">
        <v>45488</v>
      </c>
      <c r="F3217" s="116">
        <f>COUNTIFS($A$3:A11467,A3217,$B$3:B11467,B3217)</f>
        <v>1</v>
      </c>
      <c r="G3217" s="116"/>
    </row>
    <row r="3218" spans="1:7" x14ac:dyDescent="0.2">
      <c r="A3218" s="116">
        <f>IF(ISNUMBER(Tabela2[[#This Row],[CT-e/NFS]])=TRUE,(IF(B3218&gt;30000,4,IF(B3218&lt;1000,"ND",0))),"-")</f>
        <v>4</v>
      </c>
      <c r="B3218" s="116">
        <v>47708</v>
      </c>
      <c r="C3218" s="117">
        <v>45474</v>
      </c>
      <c r="D3218" s="116">
        <v>125.19</v>
      </c>
      <c r="E3218" s="117">
        <v>45488</v>
      </c>
      <c r="F3218" s="116">
        <f>COUNTIFS($A$3:A11468,A3218,$B$3:B11468,B3218)</f>
        <v>1</v>
      </c>
      <c r="G3218" s="116"/>
    </row>
    <row r="3219" spans="1:7" x14ac:dyDescent="0.2">
      <c r="A3219" s="116">
        <f>IF(ISNUMBER(Tabela2[[#This Row],[CT-e/NFS]])=TRUE,(IF(B3219&gt;30000,4,IF(B3219&lt;1000,"ND",0))),"-")</f>
        <v>4</v>
      </c>
      <c r="B3219" s="116">
        <v>47710</v>
      </c>
      <c r="C3219" s="117">
        <v>45474</v>
      </c>
      <c r="D3219" s="116">
        <v>126.19</v>
      </c>
      <c r="E3219" s="117">
        <v>45488</v>
      </c>
      <c r="F3219" s="116">
        <f>COUNTIFS($A$3:A11469,A3219,$B$3:B11469,B3219)</f>
        <v>1</v>
      </c>
      <c r="G3219" s="116"/>
    </row>
    <row r="3220" spans="1:7" x14ac:dyDescent="0.2">
      <c r="A3220" s="116">
        <f>IF(ISNUMBER(Tabela2[[#This Row],[CT-e/NFS]])=TRUE,(IF(B3220&gt;30000,4,IF(B3220&lt;1000,"ND",0))),"-")</f>
        <v>4</v>
      </c>
      <c r="B3220" s="116">
        <v>47718</v>
      </c>
      <c r="C3220" s="117">
        <v>45474</v>
      </c>
      <c r="D3220" s="116">
        <v>170.26</v>
      </c>
      <c r="E3220" s="117">
        <v>45488</v>
      </c>
      <c r="F3220" s="116">
        <f>COUNTIFS($A$3:A11470,A3220,$B$3:B11470,B3220)</f>
        <v>1</v>
      </c>
      <c r="G3220" s="116"/>
    </row>
    <row r="3221" spans="1:7" x14ac:dyDescent="0.2">
      <c r="A3221" s="116">
        <f>IF(ISNUMBER(Tabela2[[#This Row],[CT-e/NFS]])=TRUE,(IF(B3221&gt;30000,4,IF(B3221&lt;1000,"ND",0))),"-")</f>
        <v>4</v>
      </c>
      <c r="B3221" s="116">
        <v>47706</v>
      </c>
      <c r="C3221" s="117">
        <v>45474</v>
      </c>
      <c r="D3221" s="116">
        <v>1063.3800000000001</v>
      </c>
      <c r="E3221" s="117">
        <v>45488</v>
      </c>
      <c r="F3221" s="116">
        <f>COUNTIFS($A$3:A11471,A3221,$B$3:B11471,B3221)</f>
        <v>1</v>
      </c>
      <c r="G3221" s="116"/>
    </row>
    <row r="3222" spans="1:7" x14ac:dyDescent="0.2">
      <c r="A3222" s="116">
        <f>IF(ISNUMBER(Tabela2[[#This Row],[CT-e/NFS]])=TRUE,(IF(B3222&gt;30000,4,IF(B3222&lt;1000,"ND",0))),"-")</f>
        <v>4</v>
      </c>
      <c r="B3222" s="116">
        <v>47717</v>
      </c>
      <c r="C3222" s="117">
        <v>45474</v>
      </c>
      <c r="D3222" s="116">
        <v>238.13</v>
      </c>
      <c r="E3222" s="117">
        <v>45488</v>
      </c>
      <c r="F3222" s="116">
        <f>COUNTIFS($A$3:A11472,A3222,$B$3:B11472,B3222)</f>
        <v>1</v>
      </c>
      <c r="G3222" s="116"/>
    </row>
    <row r="3223" spans="1:7" x14ac:dyDescent="0.2">
      <c r="A3223" s="116">
        <f>IF(ISNUMBER(Tabela2[[#This Row],[CT-e/NFS]])=TRUE,(IF(B3223&gt;30000,4,IF(B3223&lt;1000,"ND",0))),"-")</f>
        <v>4</v>
      </c>
      <c r="B3223" s="116">
        <v>47707</v>
      </c>
      <c r="C3223" s="117">
        <v>45474</v>
      </c>
      <c r="D3223" s="116">
        <v>1245.6099999999999</v>
      </c>
      <c r="E3223" s="117">
        <v>45488</v>
      </c>
      <c r="F3223" s="116">
        <f>COUNTIFS($A$3:A11473,A3223,$B$3:B11473,B3223)</f>
        <v>1</v>
      </c>
      <c r="G3223" s="116"/>
    </row>
    <row r="3224" spans="1:7" x14ac:dyDescent="0.2">
      <c r="A3224" s="116">
        <f>IF(ISNUMBER(Tabela2[[#This Row],[CT-e/NFS]])=TRUE,(IF(B3224&gt;30000,4,IF(B3224&lt;1000,"ND",0))),"-")</f>
        <v>4</v>
      </c>
      <c r="B3224" s="116">
        <v>47721</v>
      </c>
      <c r="C3224" s="117">
        <v>45474</v>
      </c>
      <c r="D3224" s="116">
        <v>1137.73</v>
      </c>
      <c r="E3224" s="117">
        <v>45488</v>
      </c>
      <c r="F3224" s="116">
        <f>COUNTIFS($A$3:A11474,A3224,$B$3:B11474,B3224)</f>
        <v>1</v>
      </c>
      <c r="G3224" s="116"/>
    </row>
    <row r="3225" spans="1:7" x14ac:dyDescent="0.2">
      <c r="A3225" s="116">
        <f>IF(ISNUMBER(Tabela2[[#This Row],[CT-e/NFS]])=TRUE,(IF(B3225&gt;30000,4,IF(B3225&lt;1000,"ND",0))),"-")</f>
        <v>4</v>
      </c>
      <c r="B3225" s="116">
        <v>47727</v>
      </c>
      <c r="C3225" s="117">
        <v>45474</v>
      </c>
      <c r="D3225" s="116">
        <v>63.09</v>
      </c>
      <c r="E3225" s="117">
        <v>45488</v>
      </c>
      <c r="F3225" s="116">
        <f>COUNTIFS($A$3:A11475,A3225,$B$3:B11475,B3225)</f>
        <v>1</v>
      </c>
      <c r="G3225" s="116"/>
    </row>
    <row r="3226" spans="1:7" x14ac:dyDescent="0.2">
      <c r="A3226" s="116">
        <f>IF(ISNUMBER(Tabela2[[#This Row],[CT-e/NFS]])=TRUE,(IF(B3226&gt;30000,4,IF(B3226&lt;1000,"ND",0))),"-")</f>
        <v>4</v>
      </c>
      <c r="B3226" s="116">
        <v>47729</v>
      </c>
      <c r="C3226" s="117">
        <v>45474</v>
      </c>
      <c r="D3226" s="116">
        <v>124.63</v>
      </c>
      <c r="E3226" s="117">
        <v>45488</v>
      </c>
      <c r="F3226" s="116">
        <f>COUNTIFS($A$3:A11476,A3226,$B$3:B11476,B3226)</f>
        <v>1</v>
      </c>
      <c r="G3226" s="116"/>
    </row>
    <row r="3227" spans="1:7" x14ac:dyDescent="0.2">
      <c r="A3227" s="116">
        <f>IF(ISNUMBER(Tabela2[[#This Row],[CT-e/NFS]])=TRUE,(IF(B3227&gt;30000,4,IF(B3227&lt;1000,"ND",0))),"-")</f>
        <v>4</v>
      </c>
      <c r="B3227" s="116">
        <v>47734</v>
      </c>
      <c r="C3227" s="117">
        <v>45474</v>
      </c>
      <c r="D3227" s="116">
        <v>122.89</v>
      </c>
      <c r="E3227" s="117">
        <v>45488</v>
      </c>
      <c r="F3227" s="116">
        <f>COUNTIFS($A$3:A11477,A3227,$B$3:B11477,B3227)</f>
        <v>1</v>
      </c>
      <c r="G3227" s="116"/>
    </row>
    <row r="3228" spans="1:7" x14ac:dyDescent="0.2">
      <c r="A3228" s="116">
        <f>IF(ISNUMBER(Tabela2[[#This Row],[CT-e/NFS]])=TRUE,(IF(B3228&gt;30000,4,IF(B3228&lt;1000,"ND",0))),"-")</f>
        <v>4</v>
      </c>
      <c r="B3228" s="116">
        <v>47735</v>
      </c>
      <c r="C3228" s="117">
        <v>45474</v>
      </c>
      <c r="D3228" s="116">
        <v>123.89</v>
      </c>
      <c r="E3228" s="117">
        <v>45488</v>
      </c>
      <c r="F3228" s="116">
        <f>COUNTIFS($A$3:A11478,A3228,$B$3:B11478,B3228)</f>
        <v>1</v>
      </c>
      <c r="G3228" s="116"/>
    </row>
    <row r="3229" spans="1:7" x14ac:dyDescent="0.2">
      <c r="A3229" s="116">
        <f>IF(ISNUMBER(Tabela2[[#This Row],[CT-e/NFS]])=TRUE,(IF(B3229&gt;30000,4,IF(B3229&lt;1000,"ND",0))),"-")</f>
        <v>4</v>
      </c>
      <c r="B3229" s="116">
        <v>47732</v>
      </c>
      <c r="C3229" s="117">
        <v>45474</v>
      </c>
      <c r="D3229" s="116">
        <v>238.82</v>
      </c>
      <c r="E3229" s="117">
        <v>45488</v>
      </c>
      <c r="F3229" s="116">
        <f>COUNTIFS($A$3:A11479,A3229,$B$3:B11479,B3229)</f>
        <v>1</v>
      </c>
      <c r="G3229" s="116"/>
    </row>
    <row r="3230" spans="1:7" x14ac:dyDescent="0.2">
      <c r="A3230" s="116">
        <f>IF(ISNUMBER(Tabela2[[#This Row],[CT-e/NFS]])=TRUE,(IF(B3230&gt;30000,4,IF(B3230&lt;1000,"ND",0))),"-")</f>
        <v>4</v>
      </c>
      <c r="B3230" s="116">
        <v>47731</v>
      </c>
      <c r="C3230" s="117">
        <v>45474</v>
      </c>
      <c r="D3230" s="116">
        <v>124.35</v>
      </c>
      <c r="E3230" s="117">
        <v>45488</v>
      </c>
      <c r="F3230" s="116">
        <f>COUNTIFS($A$3:A11480,A3230,$B$3:B11480,B3230)</f>
        <v>1</v>
      </c>
      <c r="G3230" s="116"/>
    </row>
    <row r="3231" spans="1:7" x14ac:dyDescent="0.2">
      <c r="A3231" s="116">
        <f>IF(ISNUMBER(Tabela2[[#This Row],[CT-e/NFS]])=TRUE,(IF(B3231&gt;30000,4,IF(B3231&lt;1000,"ND",0))),"-")</f>
        <v>4</v>
      </c>
      <c r="B3231" s="116">
        <v>47730</v>
      </c>
      <c r="C3231" s="117">
        <v>45474</v>
      </c>
      <c r="D3231" s="116">
        <v>124.05</v>
      </c>
      <c r="E3231" s="117">
        <v>45488</v>
      </c>
      <c r="F3231" s="116">
        <f>COUNTIFS($A$3:A11481,A3231,$B$3:B11481,B3231)</f>
        <v>1</v>
      </c>
      <c r="G3231" s="116"/>
    </row>
    <row r="3232" spans="1:7" x14ac:dyDescent="0.2">
      <c r="A3232" s="116">
        <f>IF(ISNUMBER(Tabela2[[#This Row],[CT-e/NFS]])=TRUE,(IF(B3232&gt;30000,4,IF(B3232&lt;1000,"ND",0))),"-")</f>
        <v>4</v>
      </c>
      <c r="B3232" s="116">
        <v>47726</v>
      </c>
      <c r="C3232" s="117">
        <v>45474</v>
      </c>
      <c r="D3232" s="116">
        <v>124.53</v>
      </c>
      <c r="E3232" s="117">
        <v>45488</v>
      </c>
      <c r="F3232" s="116">
        <f>COUNTIFS($A$3:A11482,A3232,$B$3:B11482,B3232)</f>
        <v>1</v>
      </c>
      <c r="G3232" s="116"/>
    </row>
    <row r="3233" spans="1:7" x14ac:dyDescent="0.2">
      <c r="A3233" s="116">
        <f>IF(ISNUMBER(Tabela2[[#This Row],[CT-e/NFS]])=TRUE,(IF(B3233&gt;30000,4,IF(B3233&lt;1000,"ND",0))),"-")</f>
        <v>4</v>
      </c>
      <c r="B3233" s="116">
        <v>47725</v>
      </c>
      <c r="C3233" s="117">
        <v>45474</v>
      </c>
      <c r="D3233" s="116">
        <v>124.2</v>
      </c>
      <c r="E3233" s="117">
        <v>45488</v>
      </c>
      <c r="F3233" s="116">
        <f>COUNTIFS($A$3:A11483,A3233,$B$3:B11483,B3233)</f>
        <v>1</v>
      </c>
      <c r="G3233" s="116"/>
    </row>
    <row r="3234" spans="1:7" x14ac:dyDescent="0.2">
      <c r="A3234" s="116">
        <f>IF(ISNUMBER(Tabela2[[#This Row],[CT-e/NFS]])=TRUE,(IF(B3234&gt;30000,4,IF(B3234&lt;1000,"ND",0))),"-")</f>
        <v>4</v>
      </c>
      <c r="B3234" s="116">
        <v>47724</v>
      </c>
      <c r="C3234" s="117">
        <v>45474</v>
      </c>
      <c r="D3234" s="116">
        <v>125.56</v>
      </c>
      <c r="E3234" s="117">
        <v>45488</v>
      </c>
      <c r="F3234" s="116">
        <f>COUNTIFS($A$3:A11484,A3234,$B$3:B11484,B3234)</f>
        <v>1</v>
      </c>
      <c r="G3234" s="116"/>
    </row>
    <row r="3235" spans="1:7" x14ac:dyDescent="0.2">
      <c r="A3235" s="116">
        <f>IF(ISNUMBER(Tabela2[[#This Row],[CT-e/NFS]])=TRUE,(IF(B3235&gt;30000,4,IF(B3235&lt;1000,"ND",0))),"-")</f>
        <v>4</v>
      </c>
      <c r="B3235" s="116">
        <v>47723</v>
      </c>
      <c r="C3235" s="117">
        <v>45474</v>
      </c>
      <c r="D3235" s="116">
        <v>125.35</v>
      </c>
      <c r="E3235" s="117">
        <v>45488</v>
      </c>
      <c r="F3235" s="116">
        <f>COUNTIFS($A$3:A11485,A3235,$B$3:B11485,B3235)</f>
        <v>1</v>
      </c>
      <c r="G3235" s="116"/>
    </row>
    <row r="3236" spans="1:7" x14ac:dyDescent="0.2">
      <c r="A3236" s="116">
        <f>IF(ISNUMBER(Tabela2[[#This Row],[CT-e/NFS]])=TRUE,(IF(B3236&gt;30000,4,IF(B3236&lt;1000,"ND",0))),"-")</f>
        <v>4</v>
      </c>
      <c r="B3236" s="116">
        <v>47722</v>
      </c>
      <c r="C3236" s="117">
        <v>45474</v>
      </c>
      <c r="D3236" s="116">
        <v>123.89</v>
      </c>
      <c r="E3236" s="117">
        <v>45488</v>
      </c>
      <c r="F3236" s="116">
        <f>COUNTIFS($A$3:A11486,A3236,$B$3:B11486,B3236)</f>
        <v>1</v>
      </c>
      <c r="G3236" s="116"/>
    </row>
    <row r="3237" spans="1:7" x14ac:dyDescent="0.2">
      <c r="A3237" s="116">
        <f>IF(ISNUMBER(Tabela2[[#This Row],[CT-e/NFS]])=TRUE,(IF(B3237&gt;30000,4,IF(B3237&lt;1000,"ND",0))),"-")</f>
        <v>4</v>
      </c>
      <c r="B3237" s="116">
        <v>47737</v>
      </c>
      <c r="C3237" s="117">
        <v>45474</v>
      </c>
      <c r="D3237" s="116">
        <v>124.15</v>
      </c>
      <c r="E3237" s="117">
        <v>45488</v>
      </c>
      <c r="F3237" s="116">
        <f>COUNTIFS($A$3:A11487,A3237,$B$3:B11487,B3237)</f>
        <v>1</v>
      </c>
      <c r="G3237" s="116"/>
    </row>
    <row r="3238" spans="1:7" x14ac:dyDescent="0.2">
      <c r="A3238" s="116">
        <f>IF(ISNUMBER(Tabela2[[#This Row],[CT-e/NFS]])=TRUE,(IF(B3238&gt;30000,4,IF(B3238&lt;1000,"ND",0))),"-")</f>
        <v>4</v>
      </c>
      <c r="B3238" s="116">
        <v>47728</v>
      </c>
      <c r="C3238" s="117">
        <v>45474</v>
      </c>
      <c r="D3238" s="116">
        <v>113.92</v>
      </c>
      <c r="E3238" s="117">
        <v>45488</v>
      </c>
      <c r="F3238" s="116">
        <f>COUNTIFS($A$3:A11488,A3238,$B$3:B11488,B3238)</f>
        <v>1</v>
      </c>
      <c r="G3238" s="116"/>
    </row>
    <row r="3239" spans="1:7" x14ac:dyDescent="0.2">
      <c r="A3239" s="116">
        <f>IF(ISNUMBER(Tabela2[[#This Row],[CT-e/NFS]])=TRUE,(IF(B3239&gt;30000,4,IF(B3239&lt;1000,"ND",0))),"-")</f>
        <v>4</v>
      </c>
      <c r="B3239" s="116">
        <v>47738</v>
      </c>
      <c r="C3239" s="117">
        <v>45474</v>
      </c>
      <c r="D3239" s="116">
        <v>532.16999999999996</v>
      </c>
      <c r="E3239" s="117">
        <v>45488</v>
      </c>
      <c r="F3239" s="116">
        <f>COUNTIFS($A$3:A11489,A3239,$B$3:B11489,B3239)</f>
        <v>1</v>
      </c>
      <c r="G3239" s="116"/>
    </row>
    <row r="3240" spans="1:7" x14ac:dyDescent="0.2">
      <c r="A3240" s="116">
        <f>IF(ISNUMBER(Tabela2[[#This Row],[CT-e/NFS]])=TRUE,(IF(B3240&gt;30000,4,IF(B3240&lt;1000,"ND",0))),"-")</f>
        <v>4</v>
      </c>
      <c r="B3240" s="116">
        <v>47742</v>
      </c>
      <c r="C3240" s="117">
        <v>45474</v>
      </c>
      <c r="D3240" s="116">
        <v>238.77</v>
      </c>
      <c r="E3240" s="117">
        <v>45488</v>
      </c>
      <c r="F3240" s="116">
        <f>COUNTIFS($A$3:A11490,A3240,$B$3:B11490,B3240)</f>
        <v>1</v>
      </c>
      <c r="G3240" s="116"/>
    </row>
    <row r="3241" spans="1:7" x14ac:dyDescent="0.2">
      <c r="A3241" s="116">
        <f>IF(ISNUMBER(Tabela2[[#This Row],[CT-e/NFS]])=TRUE,(IF(B3241&gt;30000,4,IF(B3241&lt;1000,"ND",0))),"-")</f>
        <v>4</v>
      </c>
      <c r="B3241" s="116">
        <v>47719</v>
      </c>
      <c r="C3241" s="117">
        <v>45474</v>
      </c>
      <c r="D3241" s="116">
        <v>459.2</v>
      </c>
      <c r="E3241" s="117">
        <v>45488</v>
      </c>
      <c r="F3241" s="116">
        <f>COUNTIFS($A$3:A11491,A3241,$B$3:B11491,B3241)</f>
        <v>1</v>
      </c>
      <c r="G3241" s="116"/>
    </row>
    <row r="3242" spans="1:7" x14ac:dyDescent="0.2">
      <c r="A3242" s="116">
        <f>IF(ISNUMBER(Tabela2[[#This Row],[CT-e/NFS]])=TRUE,(IF(B3242&gt;30000,4,IF(B3242&lt;1000,"ND",0))),"-")</f>
        <v>4</v>
      </c>
      <c r="B3242" s="116">
        <v>47743</v>
      </c>
      <c r="C3242" s="117">
        <v>45474</v>
      </c>
      <c r="D3242" s="116">
        <v>293.52999999999997</v>
      </c>
      <c r="E3242" s="117">
        <v>45488</v>
      </c>
      <c r="F3242" s="116">
        <f>COUNTIFS($A$3:A11492,A3242,$B$3:B11492,B3242)</f>
        <v>1</v>
      </c>
      <c r="G3242" s="116"/>
    </row>
    <row r="3243" spans="1:7" x14ac:dyDescent="0.2">
      <c r="A3243" s="116">
        <f>IF(ISNUMBER(Tabela2[[#This Row],[CT-e/NFS]])=TRUE,(IF(B3243&gt;30000,4,IF(B3243&lt;1000,"ND",0))),"-")</f>
        <v>4</v>
      </c>
      <c r="B3243" s="116">
        <v>47744</v>
      </c>
      <c r="C3243" s="117">
        <v>45474</v>
      </c>
      <c r="D3243" s="116">
        <v>251.95</v>
      </c>
      <c r="E3243" s="117">
        <v>45488</v>
      </c>
      <c r="F3243" s="116">
        <f>COUNTIFS($A$3:A11493,A3243,$B$3:B11493,B3243)</f>
        <v>1</v>
      </c>
      <c r="G3243" s="116"/>
    </row>
    <row r="3244" spans="1:7" x14ac:dyDescent="0.2">
      <c r="A3244" s="116">
        <f>IF(ISNUMBER(Tabela2[[#This Row],[CT-e/NFS]])=TRUE,(IF(B3244&gt;30000,4,IF(B3244&lt;1000,"ND",0))),"-")</f>
        <v>4</v>
      </c>
      <c r="B3244" s="116">
        <v>47761</v>
      </c>
      <c r="C3244" s="117">
        <v>45474</v>
      </c>
      <c r="D3244" s="116">
        <v>609.98</v>
      </c>
      <c r="E3244" s="117">
        <v>45488</v>
      </c>
      <c r="F3244" s="116">
        <f>COUNTIFS($A$3:A11494,A3244,$B$3:B11494,B3244)</f>
        <v>1</v>
      </c>
      <c r="G3244" s="116"/>
    </row>
    <row r="3245" spans="1:7" x14ac:dyDescent="0.2">
      <c r="A3245" s="116">
        <f>IF(ISNUMBER(Tabela2[[#This Row],[CT-e/NFS]])=TRUE,(IF(B3245&gt;30000,4,IF(B3245&lt;1000,"ND",0))),"-")</f>
        <v>4</v>
      </c>
      <c r="B3245" s="116">
        <v>47760</v>
      </c>
      <c r="C3245" s="117">
        <v>45474</v>
      </c>
      <c r="D3245" s="116">
        <v>130.65</v>
      </c>
      <c r="E3245" s="117">
        <v>45488</v>
      </c>
      <c r="F3245" s="116">
        <f>COUNTIFS($A$3:A11495,A3245,$B$3:B11495,B3245)</f>
        <v>1</v>
      </c>
      <c r="G3245" s="116"/>
    </row>
    <row r="3246" spans="1:7" x14ac:dyDescent="0.2">
      <c r="A3246" s="116">
        <f>IF(ISNUMBER(Tabela2[[#This Row],[CT-e/NFS]])=TRUE,(IF(B3246&gt;30000,4,IF(B3246&lt;1000,"ND",0))),"-")</f>
        <v>4</v>
      </c>
      <c r="B3246" s="116">
        <v>47759</v>
      </c>
      <c r="C3246" s="117">
        <v>45474</v>
      </c>
      <c r="D3246" s="116">
        <v>420.33</v>
      </c>
      <c r="E3246" s="117">
        <v>45488</v>
      </c>
      <c r="F3246" s="116">
        <f>COUNTIFS($A$3:A11496,A3246,$B$3:B11496,B3246)</f>
        <v>1</v>
      </c>
      <c r="G3246" s="116"/>
    </row>
    <row r="3247" spans="1:7" x14ac:dyDescent="0.2">
      <c r="A3247" s="116">
        <f>IF(ISNUMBER(Tabela2[[#This Row],[CT-e/NFS]])=TRUE,(IF(B3247&gt;30000,4,IF(B3247&lt;1000,"ND",0))),"-")</f>
        <v>4</v>
      </c>
      <c r="B3247" s="116">
        <v>47763</v>
      </c>
      <c r="C3247" s="117">
        <v>45474</v>
      </c>
      <c r="D3247" s="116">
        <v>702.1</v>
      </c>
      <c r="E3247" s="117">
        <v>45488</v>
      </c>
      <c r="F3247" s="116">
        <f>COUNTIFS($A$3:A11497,A3247,$B$3:B11497,B3247)</f>
        <v>1</v>
      </c>
      <c r="G3247" s="116"/>
    </row>
    <row r="3248" spans="1:7" x14ac:dyDescent="0.2">
      <c r="A3248" s="116">
        <f>IF(ISNUMBER(Tabela2[[#This Row],[CT-e/NFS]])=TRUE,(IF(B3248&gt;30000,4,IF(B3248&lt;1000,"ND",0))),"-")</f>
        <v>4</v>
      </c>
      <c r="B3248" s="116">
        <v>47754</v>
      </c>
      <c r="C3248" s="117">
        <v>45474</v>
      </c>
      <c r="D3248" s="116">
        <v>869.19</v>
      </c>
      <c r="E3248" s="117">
        <v>45488</v>
      </c>
      <c r="F3248" s="116">
        <f>COUNTIFS($A$3:A11498,A3248,$B$3:B11498,B3248)</f>
        <v>1</v>
      </c>
      <c r="G3248" s="116"/>
    </row>
    <row r="3249" spans="1:7" x14ac:dyDescent="0.2">
      <c r="A3249" s="116">
        <f>IF(ISNUMBER(Tabela2[[#This Row],[CT-e/NFS]])=TRUE,(IF(B3249&gt;30000,4,IF(B3249&lt;1000,"ND",0))),"-")</f>
        <v>4</v>
      </c>
      <c r="B3249" s="116">
        <v>47753</v>
      </c>
      <c r="C3249" s="117">
        <v>45474</v>
      </c>
      <c r="D3249" s="116">
        <v>124.26</v>
      </c>
      <c r="E3249" s="117">
        <v>45488</v>
      </c>
      <c r="F3249" s="116">
        <f>COUNTIFS($A$3:A11499,A3249,$B$3:B11499,B3249)</f>
        <v>1</v>
      </c>
      <c r="G3249" s="116"/>
    </row>
    <row r="3250" spans="1:7" x14ac:dyDescent="0.2">
      <c r="A3250" s="116">
        <f>IF(ISNUMBER(Tabela2[[#This Row],[CT-e/NFS]])=TRUE,(IF(B3250&gt;30000,4,IF(B3250&lt;1000,"ND",0))),"-")</f>
        <v>4</v>
      </c>
      <c r="B3250" s="116">
        <v>47752</v>
      </c>
      <c r="C3250" s="117">
        <v>45474</v>
      </c>
      <c r="D3250" s="116">
        <v>125.16</v>
      </c>
      <c r="E3250" s="117">
        <v>45488</v>
      </c>
      <c r="F3250" s="116">
        <f>COUNTIFS($A$3:A11500,A3250,$B$3:B11500,B3250)</f>
        <v>1</v>
      </c>
      <c r="G3250" s="116"/>
    </row>
    <row r="3251" spans="1:7" x14ac:dyDescent="0.2">
      <c r="A3251" s="116">
        <f>IF(ISNUMBER(Tabela2[[#This Row],[CT-e/NFS]])=TRUE,(IF(B3251&gt;30000,4,IF(B3251&lt;1000,"ND",0))),"-")</f>
        <v>4</v>
      </c>
      <c r="B3251" s="116">
        <v>47751</v>
      </c>
      <c r="C3251" s="117">
        <v>45474</v>
      </c>
      <c r="D3251" s="116">
        <v>126.45</v>
      </c>
      <c r="E3251" s="117">
        <v>45488</v>
      </c>
      <c r="F3251" s="116">
        <f>COUNTIFS($A$3:A11501,A3251,$B$3:B11501,B3251)</f>
        <v>1</v>
      </c>
      <c r="G3251" s="116"/>
    </row>
    <row r="3252" spans="1:7" x14ac:dyDescent="0.2">
      <c r="A3252" s="116">
        <f>IF(ISNUMBER(Tabela2[[#This Row],[CT-e/NFS]])=TRUE,(IF(B3252&gt;30000,4,IF(B3252&lt;1000,"ND",0))),"-")</f>
        <v>4</v>
      </c>
      <c r="B3252" s="116">
        <v>47746</v>
      </c>
      <c r="C3252" s="117">
        <v>45474</v>
      </c>
      <c r="D3252" s="116">
        <v>123.89</v>
      </c>
      <c r="E3252" s="117">
        <v>45488</v>
      </c>
      <c r="F3252" s="116">
        <f>COUNTIFS($A$3:A11502,A3252,$B$3:B11502,B3252)</f>
        <v>1</v>
      </c>
      <c r="G3252" s="116"/>
    </row>
    <row r="3253" spans="1:7" x14ac:dyDescent="0.2">
      <c r="A3253" s="116">
        <f>IF(ISNUMBER(Tabela2[[#This Row],[CT-e/NFS]])=TRUE,(IF(B3253&gt;30000,4,IF(B3253&lt;1000,"ND",0))),"-")</f>
        <v>4</v>
      </c>
      <c r="B3253" s="116">
        <v>47747</v>
      </c>
      <c r="C3253" s="117">
        <v>45474</v>
      </c>
      <c r="D3253" s="116">
        <v>124.06</v>
      </c>
      <c r="E3253" s="117">
        <v>45488</v>
      </c>
      <c r="F3253" s="116">
        <f>COUNTIFS($A$3:A11503,A3253,$B$3:B11503,B3253)</f>
        <v>1</v>
      </c>
      <c r="G3253" s="116"/>
    </row>
    <row r="3254" spans="1:7" x14ac:dyDescent="0.2">
      <c r="A3254" s="116">
        <f>IF(ISNUMBER(Tabela2[[#This Row],[CT-e/NFS]])=TRUE,(IF(B3254&gt;30000,4,IF(B3254&lt;1000,"ND",0))),"-")</f>
        <v>4</v>
      </c>
      <c r="B3254" s="116">
        <v>47745</v>
      </c>
      <c r="C3254" s="117">
        <v>45474</v>
      </c>
      <c r="D3254" s="116">
        <v>609.22</v>
      </c>
      <c r="E3254" s="117">
        <v>45488</v>
      </c>
      <c r="F3254" s="116">
        <f>COUNTIFS($A$3:A11504,A3254,$B$3:B11504,B3254)</f>
        <v>1</v>
      </c>
      <c r="G3254" s="116"/>
    </row>
    <row r="3255" spans="1:7" x14ac:dyDescent="0.2">
      <c r="A3255" s="116">
        <f>IF(ISNUMBER(Tabela2[[#This Row],[CT-e/NFS]])=TRUE,(IF(B3255&gt;30000,4,IF(B3255&lt;1000,"ND",0))),"-")</f>
        <v>4</v>
      </c>
      <c r="B3255" s="116">
        <v>47720</v>
      </c>
      <c r="C3255" s="117">
        <v>45474</v>
      </c>
      <c r="D3255" s="116">
        <v>176.14</v>
      </c>
      <c r="E3255" s="117">
        <v>45488</v>
      </c>
      <c r="F3255" s="116">
        <f>COUNTIFS($A$3:A11505,A3255,$B$3:B11505,B3255)</f>
        <v>1</v>
      </c>
      <c r="G3255" s="116"/>
    </row>
    <row r="3256" spans="1:7" x14ac:dyDescent="0.2">
      <c r="A3256" s="116">
        <f>IF(ISNUMBER(Tabela2[[#This Row],[CT-e/NFS]])=TRUE,(IF(B3256&gt;30000,4,IF(B3256&lt;1000,"ND",0))),"-")</f>
        <v>4</v>
      </c>
      <c r="B3256" s="116">
        <v>47750</v>
      </c>
      <c r="C3256" s="117">
        <v>45474</v>
      </c>
      <c r="D3256" s="116">
        <v>134.05000000000001</v>
      </c>
      <c r="E3256" s="117">
        <v>45488</v>
      </c>
      <c r="F3256" s="116">
        <f>COUNTIFS($A$3:A11506,A3256,$B$3:B11506,B3256)</f>
        <v>1</v>
      </c>
      <c r="G3256" s="116"/>
    </row>
    <row r="3257" spans="1:7" x14ac:dyDescent="0.2">
      <c r="A3257" s="116">
        <f>IF(ISNUMBER(Tabela2[[#This Row],[CT-e/NFS]])=TRUE,(IF(B3257&gt;30000,4,IF(B3257&lt;1000,"ND",0))),"-")</f>
        <v>4</v>
      </c>
      <c r="B3257" s="116">
        <v>47757</v>
      </c>
      <c r="C3257" s="117">
        <v>45474</v>
      </c>
      <c r="D3257" s="116">
        <v>125.56</v>
      </c>
      <c r="E3257" s="117">
        <v>45488</v>
      </c>
      <c r="F3257" s="116">
        <f>COUNTIFS($A$3:A11507,A3257,$B$3:B11507,B3257)</f>
        <v>1</v>
      </c>
      <c r="G3257" s="116"/>
    </row>
    <row r="3258" spans="1:7" x14ac:dyDescent="0.2">
      <c r="A3258" s="116">
        <f>IF(ISNUMBER(Tabela2[[#This Row],[CT-e/NFS]])=TRUE,(IF(B3258&gt;30000,4,IF(B3258&lt;1000,"ND",0))),"-")</f>
        <v>4</v>
      </c>
      <c r="B3258" s="116">
        <v>47748</v>
      </c>
      <c r="C3258" s="117">
        <v>45474</v>
      </c>
      <c r="D3258" s="116">
        <v>181.3</v>
      </c>
      <c r="E3258" s="117">
        <v>45488</v>
      </c>
      <c r="F3258" s="116">
        <f>COUNTIFS($A$3:A11508,A3258,$B$3:B11508,B3258)</f>
        <v>1</v>
      </c>
      <c r="G3258" s="116"/>
    </row>
    <row r="3259" spans="1:7" x14ac:dyDescent="0.2">
      <c r="A3259" s="116">
        <f>IF(ISNUMBER(Tabela2[[#This Row],[CT-e/NFS]])=TRUE,(IF(B3259&gt;30000,4,IF(B3259&lt;1000,"ND",0))),"-")</f>
        <v>4</v>
      </c>
      <c r="B3259" s="116">
        <v>47755</v>
      </c>
      <c r="C3259" s="117">
        <v>45474</v>
      </c>
      <c r="D3259" s="116">
        <v>124.47</v>
      </c>
      <c r="E3259" s="117">
        <v>45488</v>
      </c>
      <c r="F3259" s="116">
        <f>COUNTIFS($A$3:A11509,A3259,$B$3:B11509,B3259)</f>
        <v>1</v>
      </c>
      <c r="G3259" s="116"/>
    </row>
    <row r="3260" spans="1:7" x14ac:dyDescent="0.2">
      <c r="A3260" s="116">
        <f>IF(ISNUMBER(Tabela2[[#This Row],[CT-e/NFS]])=TRUE,(IF(B3260&gt;30000,4,IF(B3260&lt;1000,"ND",0))),"-")</f>
        <v>4</v>
      </c>
      <c r="B3260" s="116">
        <v>47749</v>
      </c>
      <c r="C3260" s="117">
        <v>45474</v>
      </c>
      <c r="D3260" s="116">
        <v>123.86</v>
      </c>
      <c r="E3260" s="117">
        <v>45488</v>
      </c>
      <c r="F3260" s="116">
        <f>COUNTIFS($A$3:A11510,A3260,$B$3:B11510,B3260)</f>
        <v>1</v>
      </c>
      <c r="G3260" s="116"/>
    </row>
    <row r="3261" spans="1:7" x14ac:dyDescent="0.2">
      <c r="A3261" s="116">
        <f>IF(ISNUMBER(Tabela2[[#This Row],[CT-e/NFS]])=TRUE,(IF(B3261&gt;30000,4,IF(B3261&lt;1000,"ND",0))),"-")</f>
        <v>4</v>
      </c>
      <c r="B3261" s="116">
        <v>47762</v>
      </c>
      <c r="C3261" s="117">
        <v>45474</v>
      </c>
      <c r="D3261" s="116">
        <v>702.1</v>
      </c>
      <c r="E3261" s="117">
        <v>45488</v>
      </c>
      <c r="F3261" s="116">
        <f>COUNTIFS($A$3:A11511,A3261,$B$3:B11511,B3261)</f>
        <v>1</v>
      </c>
      <c r="G3261" s="116"/>
    </row>
    <row r="3262" spans="1:7" x14ac:dyDescent="0.2">
      <c r="A3262" s="116">
        <f>IF(ISNUMBER(Tabela2[[#This Row],[CT-e/NFS]])=TRUE,(IF(B3262&gt;30000,4,IF(B3262&lt;1000,"ND",0))),"-")</f>
        <v>4</v>
      </c>
      <c r="B3262" s="116">
        <v>47765</v>
      </c>
      <c r="C3262" s="117">
        <v>45474</v>
      </c>
      <c r="D3262" s="116">
        <v>380.7</v>
      </c>
      <c r="E3262" s="117">
        <v>45488</v>
      </c>
      <c r="F3262" s="116">
        <f>COUNTIFS($A$3:A11512,A3262,$B$3:B11512,B3262)</f>
        <v>1</v>
      </c>
      <c r="G3262" s="116"/>
    </row>
    <row r="3263" spans="1:7" x14ac:dyDescent="0.2">
      <c r="A3263" s="116">
        <f>IF(ISNUMBER(Tabela2[[#This Row],[CT-e/NFS]])=TRUE,(IF(B3263&gt;30000,4,IF(B3263&lt;1000,"ND",0))),"-")</f>
        <v>4</v>
      </c>
      <c r="B3263" s="116">
        <v>47766</v>
      </c>
      <c r="C3263" s="117">
        <v>45474</v>
      </c>
      <c r="D3263" s="116">
        <v>757.02</v>
      </c>
      <c r="E3263" s="117">
        <v>45488</v>
      </c>
      <c r="F3263" s="116">
        <f>COUNTIFS($A$3:A11513,A3263,$B$3:B11513,B3263)</f>
        <v>1</v>
      </c>
      <c r="G3263" s="116"/>
    </row>
    <row r="3264" spans="1:7" x14ac:dyDescent="0.2">
      <c r="A3264" s="116">
        <f>IF(ISNUMBER(Tabela2[[#This Row],[CT-e/NFS]])=TRUE,(IF(B3264&gt;30000,4,IF(B3264&lt;1000,"ND",0))),"-")</f>
        <v>4</v>
      </c>
      <c r="B3264" s="116">
        <v>47767</v>
      </c>
      <c r="C3264" s="117">
        <v>45474</v>
      </c>
      <c r="D3264" s="116">
        <v>537.83000000000004</v>
      </c>
      <c r="E3264" s="117">
        <v>45488</v>
      </c>
      <c r="F3264" s="116">
        <f>COUNTIFS($A$3:A11514,A3264,$B$3:B11514,B3264)</f>
        <v>1</v>
      </c>
      <c r="G3264" s="116"/>
    </row>
    <row r="3265" spans="1:7" x14ac:dyDescent="0.2">
      <c r="A3265" s="116">
        <f>IF(ISNUMBER(Tabela2[[#This Row],[CT-e/NFS]])=TRUE,(IF(B3265&gt;30000,4,IF(B3265&lt;1000,"ND",0))),"-")</f>
        <v>4</v>
      </c>
      <c r="B3265" s="116">
        <v>47768</v>
      </c>
      <c r="C3265" s="117">
        <v>45474</v>
      </c>
      <c r="D3265" s="116">
        <v>572.49</v>
      </c>
      <c r="E3265" s="117">
        <v>45488</v>
      </c>
      <c r="F3265" s="116">
        <f>COUNTIFS($A$3:A11515,A3265,$B$3:B11515,B3265)</f>
        <v>1</v>
      </c>
      <c r="G3265" s="116"/>
    </row>
    <row r="3266" spans="1:7" x14ac:dyDescent="0.2">
      <c r="A3266" s="116">
        <f>IF(ISNUMBER(Tabela2[[#This Row],[CT-e/NFS]])=TRUE,(IF(B3266&gt;30000,4,IF(B3266&lt;1000,"ND",0))),"-")</f>
        <v>4</v>
      </c>
      <c r="B3266" s="116">
        <v>47770</v>
      </c>
      <c r="C3266" s="117">
        <v>45474</v>
      </c>
      <c r="D3266" s="116">
        <v>323.99</v>
      </c>
      <c r="E3266" s="117">
        <v>45488</v>
      </c>
      <c r="F3266" s="116">
        <f>COUNTIFS($A$3:A11516,A3266,$B$3:B11516,B3266)</f>
        <v>1</v>
      </c>
      <c r="G3266" s="116"/>
    </row>
    <row r="3267" spans="1:7" x14ac:dyDescent="0.2">
      <c r="A3267" s="116">
        <f>IF(ISNUMBER(Tabela2[[#This Row],[CT-e/NFS]])=TRUE,(IF(B3267&gt;30000,4,IF(B3267&lt;1000,"ND",0))),"-")</f>
        <v>4</v>
      </c>
      <c r="B3267" s="116">
        <v>47769</v>
      </c>
      <c r="C3267" s="117">
        <v>45474</v>
      </c>
      <c r="D3267" s="116">
        <v>323.99</v>
      </c>
      <c r="E3267" s="117">
        <v>45488</v>
      </c>
      <c r="F3267" s="116">
        <f>COUNTIFS($A$3:A11517,A3267,$B$3:B11517,B3267)</f>
        <v>1</v>
      </c>
      <c r="G3267" s="116"/>
    </row>
    <row r="3268" spans="1:7" x14ac:dyDescent="0.2">
      <c r="A3268" s="116">
        <f>IF(ISNUMBER(Tabela2[[#This Row],[CT-e/NFS]])=TRUE,(IF(B3268&gt;30000,4,IF(B3268&lt;1000,"ND",0))),"-")</f>
        <v>4</v>
      </c>
      <c r="B3268" s="116">
        <v>47758</v>
      </c>
      <c r="C3268" s="117">
        <v>45474</v>
      </c>
      <c r="D3268" s="116">
        <v>822.23</v>
      </c>
      <c r="E3268" s="117">
        <v>45488</v>
      </c>
      <c r="F3268" s="116">
        <f>COUNTIFS($A$3:A11518,A3268,$B$3:B11518,B3268)</f>
        <v>1</v>
      </c>
      <c r="G3268" s="116"/>
    </row>
    <row r="3269" spans="1:7" x14ac:dyDescent="0.2">
      <c r="A3269" s="116">
        <f>IF(ISNUMBER(Tabela2[[#This Row],[CT-e/NFS]])=TRUE,(IF(B3269&gt;30000,4,IF(B3269&lt;1000,"ND",0))),"-")</f>
        <v>4</v>
      </c>
      <c r="B3269" s="116">
        <v>47780</v>
      </c>
      <c r="C3269" s="117">
        <v>45474</v>
      </c>
      <c r="D3269" s="116">
        <v>124.15</v>
      </c>
      <c r="E3269" s="117">
        <v>45488</v>
      </c>
      <c r="F3269" s="116">
        <f>COUNTIFS($A$3:A11519,A3269,$B$3:B11519,B3269)</f>
        <v>1</v>
      </c>
      <c r="G3269" s="116"/>
    </row>
    <row r="3270" spans="1:7" x14ac:dyDescent="0.2">
      <c r="A3270" s="116">
        <f>IF(ISNUMBER(Tabela2[[#This Row],[CT-e/NFS]])=TRUE,(IF(B3270&gt;30000,4,IF(B3270&lt;1000,"ND",0))),"-")</f>
        <v>4</v>
      </c>
      <c r="B3270" s="116">
        <v>47779</v>
      </c>
      <c r="C3270" s="117">
        <v>45474</v>
      </c>
      <c r="D3270" s="116">
        <v>339.18</v>
      </c>
      <c r="E3270" s="117">
        <v>45488</v>
      </c>
      <c r="F3270" s="116">
        <f>COUNTIFS($A$3:A11520,A3270,$B$3:B11520,B3270)</f>
        <v>1</v>
      </c>
      <c r="G3270" s="116"/>
    </row>
    <row r="3271" spans="1:7" x14ac:dyDescent="0.2">
      <c r="A3271" s="116">
        <f>IF(ISNUMBER(Tabela2[[#This Row],[CT-e/NFS]])=TRUE,(IF(B3271&gt;30000,4,IF(B3271&lt;1000,"ND",0))),"-")</f>
        <v>4</v>
      </c>
      <c r="B3271" s="116">
        <v>47775</v>
      </c>
      <c r="C3271" s="117">
        <v>45474</v>
      </c>
      <c r="D3271" s="116">
        <v>124.02</v>
      </c>
      <c r="E3271" s="117">
        <v>45488</v>
      </c>
      <c r="F3271" s="116">
        <f>COUNTIFS($A$3:A11521,A3271,$B$3:B11521,B3271)</f>
        <v>1</v>
      </c>
      <c r="G3271" s="116"/>
    </row>
    <row r="3272" spans="1:7" x14ac:dyDescent="0.2">
      <c r="A3272" s="116">
        <f>IF(ISNUMBER(Tabela2[[#This Row],[CT-e/NFS]])=TRUE,(IF(B3272&gt;30000,4,IF(B3272&lt;1000,"ND",0))),"-")</f>
        <v>4</v>
      </c>
      <c r="B3272" s="116">
        <v>47777</v>
      </c>
      <c r="C3272" s="117">
        <v>45474</v>
      </c>
      <c r="D3272" s="116">
        <v>240.35</v>
      </c>
      <c r="E3272" s="117">
        <v>45488</v>
      </c>
      <c r="F3272" s="116">
        <f>COUNTIFS($A$3:A11522,A3272,$B$3:B11522,B3272)</f>
        <v>1</v>
      </c>
      <c r="G3272" s="116"/>
    </row>
    <row r="3273" spans="1:7" x14ac:dyDescent="0.2">
      <c r="A3273" s="116">
        <f>IF(ISNUMBER(Tabela2[[#This Row],[CT-e/NFS]])=TRUE,(IF(B3273&gt;30000,4,IF(B3273&lt;1000,"ND",0))),"-")</f>
        <v>4</v>
      </c>
      <c r="B3273" s="116">
        <v>47776</v>
      </c>
      <c r="C3273" s="117">
        <v>45474</v>
      </c>
      <c r="D3273" s="116">
        <v>122.76</v>
      </c>
      <c r="E3273" s="117">
        <v>45488</v>
      </c>
      <c r="F3273" s="116">
        <f>COUNTIFS($A$3:A11523,A3273,$B$3:B11523,B3273)</f>
        <v>1</v>
      </c>
      <c r="G3273" s="116"/>
    </row>
    <row r="3274" spans="1:7" x14ac:dyDescent="0.2">
      <c r="A3274" s="116">
        <f>IF(ISNUMBER(Tabela2[[#This Row],[CT-e/NFS]])=TRUE,(IF(B3274&gt;30000,4,IF(B3274&lt;1000,"ND",0))),"-")</f>
        <v>4</v>
      </c>
      <c r="B3274" s="116">
        <v>47772</v>
      </c>
      <c r="C3274" s="117">
        <v>45474</v>
      </c>
      <c r="D3274" s="116">
        <v>123.92</v>
      </c>
      <c r="E3274" s="117">
        <v>45488</v>
      </c>
      <c r="F3274" s="116">
        <f>COUNTIFS($A$3:A11524,A3274,$B$3:B11524,B3274)</f>
        <v>1</v>
      </c>
      <c r="G3274" s="116"/>
    </row>
    <row r="3275" spans="1:7" x14ac:dyDescent="0.2">
      <c r="A3275" s="116">
        <f>IF(ISNUMBER(Tabela2[[#This Row],[CT-e/NFS]])=TRUE,(IF(B3275&gt;30000,4,IF(B3275&lt;1000,"ND",0))),"-")</f>
        <v>4</v>
      </c>
      <c r="B3275" s="116">
        <v>47773</v>
      </c>
      <c r="C3275" s="117">
        <v>45474</v>
      </c>
      <c r="D3275" s="116">
        <v>137.6</v>
      </c>
      <c r="E3275" s="117">
        <v>45488</v>
      </c>
      <c r="F3275" s="116">
        <f>COUNTIFS($A$3:A11525,A3275,$B$3:B11525,B3275)</f>
        <v>1</v>
      </c>
      <c r="G3275" s="116"/>
    </row>
    <row r="3276" spans="1:7" x14ac:dyDescent="0.2">
      <c r="A3276" s="116">
        <f>IF(ISNUMBER(Tabela2[[#This Row],[CT-e/NFS]])=TRUE,(IF(B3276&gt;30000,4,IF(B3276&lt;1000,"ND",0))),"-")</f>
        <v>4</v>
      </c>
      <c r="B3276" s="116">
        <v>47778</v>
      </c>
      <c r="C3276" s="117">
        <v>45474</v>
      </c>
      <c r="D3276" s="116">
        <v>123.19</v>
      </c>
      <c r="E3276" s="117">
        <v>45488</v>
      </c>
      <c r="F3276" s="116">
        <f>COUNTIFS($A$3:A11526,A3276,$B$3:B11526,B3276)</f>
        <v>1</v>
      </c>
      <c r="G3276" s="116"/>
    </row>
    <row r="3277" spans="1:7" x14ac:dyDescent="0.2">
      <c r="A3277" s="116">
        <f>IF(ISNUMBER(Tabela2[[#This Row],[CT-e/NFS]])=TRUE,(IF(B3277&gt;30000,4,IF(B3277&lt;1000,"ND",0))),"-")</f>
        <v>4</v>
      </c>
      <c r="B3277" s="116">
        <v>47793</v>
      </c>
      <c r="C3277" s="117">
        <v>45474</v>
      </c>
      <c r="D3277" s="116">
        <v>238.73</v>
      </c>
      <c r="E3277" s="117">
        <v>45488</v>
      </c>
      <c r="F3277" s="116">
        <f>COUNTIFS($A$3:A11527,A3277,$B$3:B11527,B3277)</f>
        <v>1</v>
      </c>
      <c r="G3277" s="116"/>
    </row>
    <row r="3278" spans="1:7" x14ac:dyDescent="0.2">
      <c r="A3278" s="116">
        <f>IF(ISNUMBER(Tabela2[[#This Row],[CT-e/NFS]])=TRUE,(IF(B3278&gt;30000,4,IF(B3278&lt;1000,"ND",0))),"-")</f>
        <v>4</v>
      </c>
      <c r="B3278" s="116">
        <v>47791</v>
      </c>
      <c r="C3278" s="117">
        <v>45474</v>
      </c>
      <c r="D3278" s="116">
        <v>438.35</v>
      </c>
      <c r="E3278" s="117">
        <v>45488</v>
      </c>
      <c r="F3278" s="116">
        <f>COUNTIFS($A$3:A11528,A3278,$B$3:B11528,B3278)</f>
        <v>1</v>
      </c>
      <c r="G3278" s="116"/>
    </row>
    <row r="3279" spans="1:7" x14ac:dyDescent="0.2">
      <c r="A3279" s="116">
        <f>IF(ISNUMBER(Tabela2[[#This Row],[CT-e/NFS]])=TRUE,(IF(B3279&gt;30000,4,IF(B3279&lt;1000,"ND",0))),"-")</f>
        <v>4</v>
      </c>
      <c r="B3279" s="116">
        <v>47789</v>
      </c>
      <c r="C3279" s="117">
        <v>45474</v>
      </c>
      <c r="D3279" s="116">
        <v>263.8</v>
      </c>
      <c r="E3279" s="117">
        <v>45488</v>
      </c>
      <c r="F3279" s="116">
        <f>COUNTIFS($A$3:A11529,A3279,$B$3:B11529,B3279)</f>
        <v>1</v>
      </c>
      <c r="G3279" s="116"/>
    </row>
    <row r="3280" spans="1:7" x14ac:dyDescent="0.2">
      <c r="A3280" s="116">
        <f>IF(ISNUMBER(Tabela2[[#This Row],[CT-e/NFS]])=TRUE,(IF(B3280&gt;30000,4,IF(B3280&lt;1000,"ND",0))),"-")</f>
        <v>4</v>
      </c>
      <c r="B3280" s="116">
        <v>47788</v>
      </c>
      <c r="C3280" s="117">
        <v>45474</v>
      </c>
      <c r="D3280" s="116">
        <v>340.63</v>
      </c>
      <c r="E3280" s="117">
        <v>45488</v>
      </c>
      <c r="F3280" s="116">
        <f>COUNTIFS($A$3:A11530,A3280,$B$3:B11530,B3280)</f>
        <v>1</v>
      </c>
      <c r="G3280" s="116"/>
    </row>
    <row r="3281" spans="1:7" x14ac:dyDescent="0.2">
      <c r="A3281" s="116">
        <f>IF(ISNUMBER(Tabela2[[#This Row],[CT-e/NFS]])=TRUE,(IF(B3281&gt;30000,4,IF(B3281&lt;1000,"ND",0))),"-")</f>
        <v>4</v>
      </c>
      <c r="B3281" s="116">
        <v>47786</v>
      </c>
      <c r="C3281" s="117">
        <v>45474</v>
      </c>
      <c r="D3281" s="116">
        <v>124.05</v>
      </c>
      <c r="E3281" s="117">
        <v>45488</v>
      </c>
      <c r="F3281" s="116">
        <f>COUNTIFS($A$3:A11531,A3281,$B$3:B11531,B3281)</f>
        <v>1</v>
      </c>
      <c r="G3281" s="116"/>
    </row>
    <row r="3282" spans="1:7" x14ac:dyDescent="0.2">
      <c r="A3282" s="116">
        <f>IF(ISNUMBER(Tabela2[[#This Row],[CT-e/NFS]])=TRUE,(IF(B3282&gt;30000,4,IF(B3282&lt;1000,"ND",0))),"-")</f>
        <v>4</v>
      </c>
      <c r="B3282" s="116">
        <v>47790</v>
      </c>
      <c r="C3282" s="117">
        <v>45474</v>
      </c>
      <c r="D3282" s="116">
        <v>125.69</v>
      </c>
      <c r="E3282" s="117">
        <v>45488</v>
      </c>
      <c r="F3282" s="116">
        <f>COUNTIFS($A$3:A11532,A3282,$B$3:B11532,B3282)</f>
        <v>1</v>
      </c>
      <c r="G3282" s="116"/>
    </row>
    <row r="3283" spans="1:7" x14ac:dyDescent="0.2">
      <c r="A3283" s="116">
        <f>IF(ISNUMBER(Tabela2[[#This Row],[CT-e/NFS]])=TRUE,(IF(B3283&gt;30000,4,IF(B3283&lt;1000,"ND",0))),"-")</f>
        <v>4</v>
      </c>
      <c r="B3283" s="116">
        <v>47787</v>
      </c>
      <c r="C3283" s="117">
        <v>45474</v>
      </c>
      <c r="D3283" s="116">
        <v>156.47</v>
      </c>
      <c r="E3283" s="117">
        <v>45488</v>
      </c>
      <c r="F3283" s="116">
        <f>COUNTIFS($A$3:A11533,A3283,$B$3:B11533,B3283)</f>
        <v>1</v>
      </c>
      <c r="G3283" s="116"/>
    </row>
    <row r="3284" spans="1:7" x14ac:dyDescent="0.2">
      <c r="A3284" s="116">
        <f>IF(ISNUMBER(Tabela2[[#This Row],[CT-e/NFS]])=TRUE,(IF(B3284&gt;30000,4,IF(B3284&lt;1000,"ND",0))),"-")</f>
        <v>4</v>
      </c>
      <c r="B3284" s="116">
        <v>47784</v>
      </c>
      <c r="C3284" s="117">
        <v>45474</v>
      </c>
      <c r="D3284" s="116">
        <v>408.02</v>
      </c>
      <c r="E3284" s="117">
        <v>45488</v>
      </c>
      <c r="F3284" s="116">
        <f>COUNTIFS($A$3:A11534,A3284,$B$3:B11534,B3284)</f>
        <v>1</v>
      </c>
      <c r="G3284" s="116"/>
    </row>
    <row r="3285" spans="1:7" x14ac:dyDescent="0.2">
      <c r="A3285" s="116">
        <f>IF(ISNUMBER(Tabela2[[#This Row],[CT-e/NFS]])=TRUE,(IF(B3285&gt;30000,4,IF(B3285&lt;1000,"ND",0))),"-")</f>
        <v>4</v>
      </c>
      <c r="B3285" s="116">
        <v>47756</v>
      </c>
      <c r="C3285" s="117">
        <v>45474</v>
      </c>
      <c r="D3285" s="116">
        <v>125.64</v>
      </c>
      <c r="E3285" s="117">
        <v>45488</v>
      </c>
      <c r="F3285" s="116">
        <f>COUNTIFS($A$3:A11535,A3285,$B$3:B11535,B3285)</f>
        <v>1</v>
      </c>
      <c r="G3285" s="116"/>
    </row>
    <row r="3286" spans="1:7" x14ac:dyDescent="0.2">
      <c r="A3286" s="116">
        <f>IF(ISNUMBER(Tabela2[[#This Row],[CT-e/NFS]])=TRUE,(IF(B3286&gt;30000,4,IF(B3286&lt;1000,"ND",0))),"-")</f>
        <v>4</v>
      </c>
      <c r="B3286" s="116">
        <v>47783</v>
      </c>
      <c r="C3286" s="117">
        <v>45474</v>
      </c>
      <c r="D3286" s="116">
        <v>124.18</v>
      </c>
      <c r="E3286" s="117">
        <v>45488</v>
      </c>
      <c r="F3286" s="116">
        <f>COUNTIFS($A$3:A11536,A3286,$B$3:B11536,B3286)</f>
        <v>1</v>
      </c>
      <c r="G3286" s="116"/>
    </row>
    <row r="3287" spans="1:7" x14ac:dyDescent="0.2">
      <c r="A3287" s="116">
        <f>IF(ISNUMBER(Tabela2[[#This Row],[CT-e/NFS]])=TRUE,(IF(B3287&gt;30000,4,IF(B3287&lt;1000,"ND",0))),"-")</f>
        <v>4</v>
      </c>
      <c r="B3287" s="116">
        <v>47782</v>
      </c>
      <c r="C3287" s="117">
        <v>45474</v>
      </c>
      <c r="D3287" s="116">
        <v>124.38</v>
      </c>
      <c r="E3287" s="117">
        <v>45488</v>
      </c>
      <c r="F3287" s="116">
        <f>COUNTIFS($A$3:A11537,A3287,$B$3:B11537,B3287)</f>
        <v>1</v>
      </c>
      <c r="G3287" s="116"/>
    </row>
    <row r="3288" spans="1:7" x14ac:dyDescent="0.2">
      <c r="A3288" s="116">
        <f>IF(ISNUMBER(Tabela2[[#This Row],[CT-e/NFS]])=TRUE,(IF(B3288&gt;30000,4,IF(B3288&lt;1000,"ND",0))),"-")</f>
        <v>4</v>
      </c>
      <c r="B3288" s="116">
        <v>47781</v>
      </c>
      <c r="C3288" s="117">
        <v>45474</v>
      </c>
      <c r="D3288" s="116">
        <v>126.65</v>
      </c>
      <c r="E3288" s="117">
        <v>45488</v>
      </c>
      <c r="F3288" s="116">
        <f>COUNTIFS($A$3:A11538,A3288,$B$3:B11538,B3288)</f>
        <v>1</v>
      </c>
      <c r="G3288" s="116"/>
    </row>
    <row r="3289" spans="1:7" x14ac:dyDescent="0.2">
      <c r="A3289" s="116">
        <f>IF(ISNUMBER(Tabela2[[#This Row],[CT-e/NFS]])=TRUE,(IF(B3289&gt;30000,4,IF(B3289&lt;1000,"ND",0))),"-")</f>
        <v>4</v>
      </c>
      <c r="B3289" s="116">
        <v>47792</v>
      </c>
      <c r="C3289" s="117">
        <v>45474</v>
      </c>
      <c r="D3289" s="116">
        <v>123.9</v>
      </c>
      <c r="E3289" s="117">
        <v>45488</v>
      </c>
      <c r="F3289" s="116">
        <f>COUNTIFS($A$3:A11539,A3289,$B$3:B11539,B3289)</f>
        <v>1</v>
      </c>
      <c r="G3289" s="116"/>
    </row>
    <row r="3290" spans="1:7" x14ac:dyDescent="0.2">
      <c r="A3290" s="116">
        <f>IF(ISNUMBER(Tabela2[[#This Row],[CT-e/NFS]])=TRUE,(IF(B3290&gt;30000,4,IF(B3290&lt;1000,"ND",0))),"-")</f>
        <v>4</v>
      </c>
      <c r="B3290" s="116">
        <v>47771</v>
      </c>
      <c r="C3290" s="117">
        <v>45474</v>
      </c>
      <c r="D3290" s="116">
        <v>1245.6099999999999</v>
      </c>
      <c r="E3290" s="117">
        <v>45488</v>
      </c>
      <c r="F3290" s="116">
        <f>COUNTIFS($A$3:A11540,A3290,$B$3:B11540,B3290)</f>
        <v>1</v>
      </c>
      <c r="G3290" s="116"/>
    </row>
    <row r="3291" spans="1:7" x14ac:dyDescent="0.2">
      <c r="A3291" s="116">
        <f>IF(ISNUMBER(Tabela2[[#This Row],[CT-e/NFS]])=TRUE,(IF(B3291&gt;30000,4,IF(B3291&lt;1000,"ND",0))),"-")</f>
        <v>4</v>
      </c>
      <c r="B3291" s="116">
        <v>47795</v>
      </c>
      <c r="C3291" s="117">
        <v>45474</v>
      </c>
      <c r="D3291" s="116">
        <v>62.82</v>
      </c>
      <c r="E3291" s="117">
        <v>45488</v>
      </c>
      <c r="F3291" s="116">
        <f>COUNTIFS($A$3:A11541,A3291,$B$3:B11541,B3291)</f>
        <v>1</v>
      </c>
      <c r="G3291" s="116"/>
    </row>
    <row r="3292" spans="1:7" x14ac:dyDescent="0.2">
      <c r="A3292" s="116">
        <f>IF(ISNUMBER(Tabela2[[#This Row],[CT-e/NFS]])=TRUE,(IF(B3292&gt;30000,4,IF(B3292&lt;1000,"ND",0))),"-")</f>
        <v>4</v>
      </c>
      <c r="B3292" s="116">
        <v>47794</v>
      </c>
      <c r="C3292" s="117">
        <v>45474</v>
      </c>
      <c r="D3292" s="116">
        <v>113.36</v>
      </c>
      <c r="E3292" s="117">
        <v>45488</v>
      </c>
      <c r="F3292" s="116">
        <f>COUNTIFS($A$3:A11542,A3292,$B$3:B11542,B3292)</f>
        <v>1</v>
      </c>
      <c r="G3292" s="116"/>
    </row>
    <row r="3293" spans="1:7" x14ac:dyDescent="0.2">
      <c r="A3293" s="116">
        <f>IF(ISNUMBER(Tabela2[[#This Row],[CT-e/NFS]])=TRUE,(IF(B3293&gt;30000,4,IF(B3293&lt;1000,"ND",0))),"-")</f>
        <v>4</v>
      </c>
      <c r="B3293" s="116">
        <v>47799</v>
      </c>
      <c r="C3293" s="117">
        <v>45474</v>
      </c>
      <c r="D3293" s="116">
        <v>122.73</v>
      </c>
      <c r="E3293" s="117">
        <v>45488</v>
      </c>
      <c r="F3293" s="116">
        <f>COUNTIFS($A$3:A11543,A3293,$B$3:B11543,B3293)</f>
        <v>1</v>
      </c>
      <c r="G3293" s="116"/>
    </row>
    <row r="3294" spans="1:7" x14ac:dyDescent="0.2">
      <c r="A3294" s="116">
        <f>IF(ISNUMBER(Tabela2[[#This Row],[CT-e/NFS]])=TRUE,(IF(B3294&gt;30000,4,IF(B3294&lt;1000,"ND",0))),"-")</f>
        <v>4</v>
      </c>
      <c r="B3294" s="116">
        <v>47800</v>
      </c>
      <c r="C3294" s="117">
        <v>45474</v>
      </c>
      <c r="D3294" s="116">
        <v>931.82</v>
      </c>
      <c r="E3294" s="117">
        <v>45488</v>
      </c>
      <c r="F3294" s="116">
        <f>COUNTIFS($A$3:A11544,A3294,$B$3:B11544,B3294)</f>
        <v>1</v>
      </c>
      <c r="G3294" s="116"/>
    </row>
    <row r="3295" spans="1:7" x14ac:dyDescent="0.2">
      <c r="A3295" s="116">
        <f>IF(ISNUMBER(Tabela2[[#This Row],[CT-e/NFS]])=TRUE,(IF(B3295&gt;30000,4,IF(B3295&lt;1000,"ND",0))),"-")</f>
        <v>4</v>
      </c>
      <c r="B3295" s="116">
        <v>47798</v>
      </c>
      <c r="C3295" s="117">
        <v>45474</v>
      </c>
      <c r="D3295" s="116">
        <v>291.77999999999997</v>
      </c>
      <c r="E3295" s="117">
        <v>45488</v>
      </c>
      <c r="F3295" s="116">
        <f>COUNTIFS($A$3:A11545,A3295,$B$3:B11545,B3295)</f>
        <v>1</v>
      </c>
      <c r="G3295" s="116"/>
    </row>
    <row r="3296" spans="1:7" x14ac:dyDescent="0.2">
      <c r="A3296" s="116">
        <f>IF(ISNUMBER(Tabela2[[#This Row],[CT-e/NFS]])=TRUE,(IF(B3296&gt;30000,4,IF(B3296&lt;1000,"ND",0))),"-")</f>
        <v>4</v>
      </c>
      <c r="B3296" s="116">
        <v>47740</v>
      </c>
      <c r="C3296" s="117">
        <v>45474</v>
      </c>
      <c r="D3296" s="116">
        <v>531.67999999999995</v>
      </c>
      <c r="E3296" s="117">
        <v>45488</v>
      </c>
      <c r="F3296" s="116">
        <f>COUNTIFS($A$3:A11546,A3296,$B$3:B11546,B3296)</f>
        <v>1</v>
      </c>
      <c r="G3296" s="116"/>
    </row>
    <row r="3297" spans="1:7" x14ac:dyDescent="0.2">
      <c r="A3297" s="116">
        <f>IF(ISNUMBER(Tabela2[[#This Row],[CT-e/NFS]])=TRUE,(IF(B3297&gt;30000,4,IF(B3297&lt;1000,"ND",0))),"-")</f>
        <v>4</v>
      </c>
      <c r="B3297" s="116">
        <v>47741</v>
      </c>
      <c r="C3297" s="117">
        <v>45474</v>
      </c>
      <c r="D3297" s="116">
        <v>959.45</v>
      </c>
      <c r="E3297" s="117">
        <v>45488</v>
      </c>
      <c r="F3297" s="116">
        <f>COUNTIFS($A$3:A11547,A3297,$B$3:B11547,B3297)</f>
        <v>1</v>
      </c>
      <c r="G3297" s="116"/>
    </row>
    <row r="3298" spans="1:7" x14ac:dyDescent="0.2">
      <c r="A3298" s="116">
        <f>IF(ISNUMBER(Tabela2[[#This Row],[CT-e/NFS]])=TRUE,(IF(B3298&gt;30000,4,IF(B3298&lt;1000,"ND",0))),"-")</f>
        <v>4</v>
      </c>
      <c r="B3298" s="116">
        <v>47797</v>
      </c>
      <c r="C3298" s="117">
        <v>45474</v>
      </c>
      <c r="D3298" s="116">
        <v>742.57</v>
      </c>
      <c r="E3298" s="117">
        <v>45488</v>
      </c>
      <c r="F3298" s="116">
        <f>COUNTIFS($A$3:A11548,A3298,$B$3:B11548,B3298)</f>
        <v>1</v>
      </c>
      <c r="G3298" s="116"/>
    </row>
    <row r="3299" spans="1:7" x14ac:dyDescent="0.2">
      <c r="A3299" s="116">
        <f>IF(ISNUMBER(Tabela2[[#This Row],[CT-e/NFS]])=TRUE,(IF(B3299&gt;30000,4,IF(B3299&lt;1000,"ND",0))),"-")</f>
        <v>4</v>
      </c>
      <c r="B3299" s="116">
        <v>47796</v>
      </c>
      <c r="C3299" s="117">
        <v>45474</v>
      </c>
      <c r="D3299" s="116">
        <v>411.11</v>
      </c>
      <c r="E3299" s="117">
        <v>45488</v>
      </c>
      <c r="F3299" s="116">
        <f>COUNTIFS($A$3:A11549,A3299,$B$3:B11549,B3299)</f>
        <v>1</v>
      </c>
      <c r="G3299" s="116"/>
    </row>
    <row r="3300" spans="1:7" x14ac:dyDescent="0.2">
      <c r="A3300" s="116">
        <f>IF(ISNUMBER(Tabela2[[#This Row],[CT-e/NFS]])=TRUE,(IF(B3300&gt;30000,4,IF(B3300&lt;1000,"ND",0))),"-")</f>
        <v>4</v>
      </c>
      <c r="B3300" s="116">
        <v>47811</v>
      </c>
      <c r="C3300" s="117">
        <v>45474</v>
      </c>
      <c r="D3300" s="116">
        <v>124.15</v>
      </c>
      <c r="E3300" s="117">
        <v>45488</v>
      </c>
      <c r="F3300" s="116">
        <f>COUNTIFS($A$3:A11550,A3300,$B$3:B11550,B3300)</f>
        <v>1</v>
      </c>
      <c r="G3300" s="116"/>
    </row>
    <row r="3301" spans="1:7" x14ac:dyDescent="0.2">
      <c r="A3301" s="116">
        <f>IF(ISNUMBER(Tabela2[[#This Row],[CT-e/NFS]])=TRUE,(IF(B3301&gt;30000,4,IF(B3301&lt;1000,"ND",0))),"-")</f>
        <v>4</v>
      </c>
      <c r="B3301" s="116">
        <v>47810</v>
      </c>
      <c r="C3301" s="117">
        <v>45474</v>
      </c>
      <c r="D3301" s="116">
        <v>124.16</v>
      </c>
      <c r="E3301" s="117">
        <v>45488</v>
      </c>
      <c r="F3301" s="116">
        <f>COUNTIFS($A$3:A11551,A3301,$B$3:B11551,B3301)</f>
        <v>1</v>
      </c>
      <c r="G3301" s="116"/>
    </row>
    <row r="3302" spans="1:7" x14ac:dyDescent="0.2">
      <c r="A3302" s="116">
        <f>IF(ISNUMBER(Tabela2[[#This Row],[CT-e/NFS]])=TRUE,(IF(B3302&gt;30000,4,IF(B3302&lt;1000,"ND",0))),"-")</f>
        <v>4</v>
      </c>
      <c r="B3302" s="116">
        <v>47809</v>
      </c>
      <c r="C3302" s="117">
        <v>45474</v>
      </c>
      <c r="D3302" s="116">
        <v>532.16999999999996</v>
      </c>
      <c r="E3302" s="117">
        <v>45488</v>
      </c>
      <c r="F3302" s="116">
        <f>COUNTIFS($A$3:A11552,A3302,$B$3:B11552,B3302)</f>
        <v>1</v>
      </c>
      <c r="G3302" s="116"/>
    </row>
    <row r="3303" spans="1:7" x14ac:dyDescent="0.2">
      <c r="A3303" s="116">
        <f>IF(ISNUMBER(Tabela2[[#This Row],[CT-e/NFS]])=TRUE,(IF(B3303&gt;30000,4,IF(B3303&lt;1000,"ND",0))),"-")</f>
        <v>4</v>
      </c>
      <c r="B3303" s="116">
        <v>47820</v>
      </c>
      <c r="C3303" s="117">
        <v>45474</v>
      </c>
      <c r="D3303" s="116">
        <v>119.36</v>
      </c>
      <c r="E3303" s="117">
        <v>45488</v>
      </c>
      <c r="F3303" s="116">
        <f>COUNTIFS($A$3:A11553,A3303,$B$3:B11553,B3303)</f>
        <v>1</v>
      </c>
      <c r="G3303" s="116"/>
    </row>
    <row r="3304" spans="1:7" x14ac:dyDescent="0.2">
      <c r="A3304" s="116">
        <f>IF(ISNUMBER(Tabela2[[#This Row],[CT-e/NFS]])=TRUE,(IF(B3304&gt;30000,4,IF(B3304&lt;1000,"ND",0))),"-")</f>
        <v>4</v>
      </c>
      <c r="B3304" s="116">
        <v>47807</v>
      </c>
      <c r="C3304" s="117">
        <v>45474</v>
      </c>
      <c r="D3304" s="116">
        <v>246.33</v>
      </c>
      <c r="E3304" s="117">
        <v>45488</v>
      </c>
      <c r="F3304" s="116">
        <f>COUNTIFS($A$3:A11554,A3304,$B$3:B11554,B3304)</f>
        <v>1</v>
      </c>
      <c r="G3304" s="116"/>
    </row>
    <row r="3305" spans="1:7" x14ac:dyDescent="0.2">
      <c r="A3305" s="116">
        <f>IF(ISNUMBER(Tabela2[[#This Row],[CT-e/NFS]])=TRUE,(IF(B3305&gt;30000,4,IF(B3305&lt;1000,"ND",0))),"-")</f>
        <v>4</v>
      </c>
      <c r="B3305" s="116">
        <v>47808</v>
      </c>
      <c r="C3305" s="117">
        <v>45474</v>
      </c>
      <c r="D3305" s="116">
        <v>123.13</v>
      </c>
      <c r="E3305" s="117">
        <v>45488</v>
      </c>
      <c r="F3305" s="116">
        <f>COUNTIFS($A$3:A11555,A3305,$B$3:B11555,B3305)</f>
        <v>1</v>
      </c>
      <c r="G3305" s="116"/>
    </row>
    <row r="3306" spans="1:7" x14ac:dyDescent="0.2">
      <c r="A3306" s="116">
        <f>IF(ISNUMBER(Tabela2[[#This Row],[CT-e/NFS]])=TRUE,(IF(B3306&gt;30000,4,IF(B3306&lt;1000,"ND",0))),"-")</f>
        <v>4</v>
      </c>
      <c r="B3306" s="116">
        <v>47813</v>
      </c>
      <c r="C3306" s="117">
        <v>45474</v>
      </c>
      <c r="D3306" s="116">
        <v>224.16</v>
      </c>
      <c r="E3306" s="117">
        <v>45488</v>
      </c>
      <c r="F3306" s="116">
        <f>COUNTIFS($A$3:A11556,A3306,$B$3:B11556,B3306)</f>
        <v>1</v>
      </c>
      <c r="G3306" s="116"/>
    </row>
    <row r="3307" spans="1:7" x14ac:dyDescent="0.2">
      <c r="A3307" s="116">
        <f>IF(ISNUMBER(Tabela2[[#This Row],[CT-e/NFS]])=TRUE,(IF(B3307&gt;30000,4,IF(B3307&lt;1000,"ND",0))),"-")</f>
        <v>4</v>
      </c>
      <c r="B3307" s="116">
        <v>47805</v>
      </c>
      <c r="C3307" s="117">
        <v>45474</v>
      </c>
      <c r="D3307" s="116">
        <v>125.03</v>
      </c>
      <c r="E3307" s="117">
        <v>45488</v>
      </c>
      <c r="F3307" s="116">
        <f>COUNTIFS($A$3:A11557,A3307,$B$3:B11557,B3307)</f>
        <v>1</v>
      </c>
      <c r="G3307" s="116"/>
    </row>
    <row r="3308" spans="1:7" x14ac:dyDescent="0.2">
      <c r="A3308" s="116">
        <f>IF(ISNUMBER(Tabela2[[#This Row],[CT-e/NFS]])=TRUE,(IF(B3308&gt;30000,4,IF(B3308&lt;1000,"ND",0))),"-")</f>
        <v>4</v>
      </c>
      <c r="B3308" s="116">
        <v>47821</v>
      </c>
      <c r="C3308" s="117">
        <v>45474</v>
      </c>
      <c r="D3308" s="116">
        <v>214.86</v>
      </c>
      <c r="E3308" s="117">
        <v>45488</v>
      </c>
      <c r="F3308" s="116">
        <f>COUNTIFS($A$3:A11558,A3308,$B$3:B11558,B3308)</f>
        <v>1</v>
      </c>
      <c r="G3308" s="116"/>
    </row>
    <row r="3309" spans="1:7" x14ac:dyDescent="0.2">
      <c r="A3309" s="116">
        <f>IF(ISNUMBER(Tabela2[[#This Row],[CT-e/NFS]])=TRUE,(IF(B3309&gt;30000,4,IF(B3309&lt;1000,"ND",0))),"-")</f>
        <v>4</v>
      </c>
      <c r="B3309" s="116">
        <v>47818</v>
      </c>
      <c r="C3309" s="117">
        <v>45474</v>
      </c>
      <c r="D3309" s="116">
        <v>124.03</v>
      </c>
      <c r="E3309" s="117">
        <v>45488</v>
      </c>
      <c r="F3309" s="116">
        <f>COUNTIFS($A$3:A11559,A3309,$B$3:B11559,B3309)</f>
        <v>1</v>
      </c>
      <c r="G3309" s="116"/>
    </row>
    <row r="3310" spans="1:7" x14ac:dyDescent="0.2">
      <c r="A3310" s="116">
        <f>IF(ISNUMBER(Tabela2[[#This Row],[CT-e/NFS]])=TRUE,(IF(B3310&gt;30000,4,IF(B3310&lt;1000,"ND",0))),"-")</f>
        <v>4</v>
      </c>
      <c r="B3310" s="116">
        <v>47816</v>
      </c>
      <c r="C3310" s="117">
        <v>45474</v>
      </c>
      <c r="D3310" s="116">
        <v>124.05</v>
      </c>
      <c r="E3310" s="117">
        <v>45488</v>
      </c>
      <c r="F3310" s="116">
        <f>COUNTIFS($A$3:A11560,A3310,$B$3:B11560,B3310)</f>
        <v>1</v>
      </c>
      <c r="G3310" s="116"/>
    </row>
    <row r="3311" spans="1:7" x14ac:dyDescent="0.2">
      <c r="A3311" s="116">
        <f>IF(ISNUMBER(Tabela2[[#This Row],[CT-e/NFS]])=TRUE,(IF(B3311&gt;30000,4,IF(B3311&lt;1000,"ND",0))),"-")</f>
        <v>4</v>
      </c>
      <c r="B3311" s="116">
        <v>47817</v>
      </c>
      <c r="C3311" s="117">
        <v>45474</v>
      </c>
      <c r="D3311" s="116">
        <v>124.36</v>
      </c>
      <c r="E3311" s="117">
        <v>45488</v>
      </c>
      <c r="F3311" s="116">
        <f>COUNTIFS($A$3:A11561,A3311,$B$3:B11561,B3311)</f>
        <v>1</v>
      </c>
      <c r="G3311" s="116"/>
    </row>
    <row r="3312" spans="1:7" x14ac:dyDescent="0.2">
      <c r="A3312" s="116">
        <f>IF(ISNUMBER(Tabela2[[#This Row],[CT-e/NFS]])=TRUE,(IF(B3312&gt;30000,4,IF(B3312&lt;1000,"ND",0))),"-")</f>
        <v>4</v>
      </c>
      <c r="B3312" s="116">
        <v>47804</v>
      </c>
      <c r="C3312" s="117">
        <v>45474</v>
      </c>
      <c r="D3312" s="116">
        <v>138.72999999999999</v>
      </c>
      <c r="E3312" s="117">
        <v>45488</v>
      </c>
      <c r="F3312" s="116">
        <f>COUNTIFS($A$3:A11562,A3312,$B$3:B11562,B3312)</f>
        <v>1</v>
      </c>
      <c r="G3312" s="116"/>
    </row>
    <row r="3313" spans="1:7" x14ac:dyDescent="0.2">
      <c r="A3313" s="116">
        <f>IF(ISNUMBER(Tabela2[[#This Row],[CT-e/NFS]])=TRUE,(IF(B3313&gt;30000,4,IF(B3313&lt;1000,"ND",0))),"-")</f>
        <v>4</v>
      </c>
      <c r="B3313" s="116">
        <v>47814</v>
      </c>
      <c r="C3313" s="117">
        <v>45474</v>
      </c>
      <c r="D3313" s="116">
        <v>168.09</v>
      </c>
      <c r="E3313" s="117">
        <v>45488</v>
      </c>
      <c r="F3313" s="116">
        <f>COUNTIFS($A$3:A11563,A3313,$B$3:B11563,B3313)</f>
        <v>1</v>
      </c>
      <c r="G3313" s="116"/>
    </row>
    <row r="3314" spans="1:7" x14ac:dyDescent="0.2">
      <c r="A3314" s="116">
        <f>IF(ISNUMBER(Tabela2[[#This Row],[CT-e/NFS]])=TRUE,(IF(B3314&gt;30000,4,IF(B3314&lt;1000,"ND",0))),"-")</f>
        <v>4</v>
      </c>
      <c r="B3314" s="116">
        <v>47815</v>
      </c>
      <c r="C3314" s="117">
        <v>45474</v>
      </c>
      <c r="D3314" s="116">
        <v>147.06</v>
      </c>
      <c r="E3314" s="117">
        <v>45488</v>
      </c>
      <c r="F3314" s="116">
        <f>COUNTIFS($A$3:A11564,A3314,$B$3:B11564,B3314)</f>
        <v>1</v>
      </c>
      <c r="G3314" s="116"/>
    </row>
    <row r="3315" spans="1:7" x14ac:dyDescent="0.2">
      <c r="A3315" s="116">
        <f>IF(ISNUMBER(Tabela2[[#This Row],[CT-e/NFS]])=TRUE,(IF(B3315&gt;30000,4,IF(B3315&lt;1000,"ND",0))),"-")</f>
        <v>4</v>
      </c>
      <c r="B3315" s="116">
        <v>47806</v>
      </c>
      <c r="C3315" s="117">
        <v>45474</v>
      </c>
      <c r="D3315" s="116">
        <v>240.24</v>
      </c>
      <c r="E3315" s="117">
        <v>45488</v>
      </c>
      <c r="F3315" s="116">
        <f>COUNTIFS($A$3:A11565,A3315,$B$3:B11565,B3315)</f>
        <v>1</v>
      </c>
      <c r="G3315" s="116"/>
    </row>
    <row r="3316" spans="1:7" x14ac:dyDescent="0.2">
      <c r="A3316" s="116">
        <f>IF(ISNUMBER(Tabela2[[#This Row],[CT-e/NFS]])=TRUE,(IF(B3316&gt;30000,4,IF(B3316&lt;1000,"ND",0))),"-")</f>
        <v>4</v>
      </c>
      <c r="B3316" s="116">
        <v>47803</v>
      </c>
      <c r="C3316" s="117">
        <v>45474</v>
      </c>
      <c r="D3316" s="116">
        <v>130.06</v>
      </c>
      <c r="E3316" s="117">
        <v>45488</v>
      </c>
      <c r="F3316" s="116">
        <f>COUNTIFS($A$3:A11566,A3316,$B$3:B11566,B3316)</f>
        <v>1</v>
      </c>
      <c r="G3316" s="116"/>
    </row>
    <row r="3317" spans="1:7" x14ac:dyDescent="0.2">
      <c r="A3317" s="116">
        <f>IF(ISNUMBER(Tabela2[[#This Row],[CT-e/NFS]])=TRUE,(IF(B3317&gt;30000,4,IF(B3317&lt;1000,"ND",0))),"-")</f>
        <v>4</v>
      </c>
      <c r="B3317" s="116">
        <v>47819</v>
      </c>
      <c r="C3317" s="117">
        <v>45474</v>
      </c>
      <c r="D3317" s="116">
        <v>2049.4699999999998</v>
      </c>
      <c r="E3317" s="117">
        <v>45488</v>
      </c>
      <c r="F3317" s="116">
        <f>COUNTIFS($A$3:A11567,A3317,$B$3:B11567,B3317)</f>
        <v>1</v>
      </c>
      <c r="G3317" s="116"/>
    </row>
    <row r="3318" spans="1:7" x14ac:dyDescent="0.2">
      <c r="A3318" s="116">
        <f>IF(ISNUMBER(Tabela2[[#This Row],[CT-e/NFS]])=TRUE,(IF(B3318&gt;30000,4,IF(B3318&lt;1000,"ND",0))),"-")</f>
        <v>4</v>
      </c>
      <c r="B3318" s="116">
        <v>47827</v>
      </c>
      <c r="C3318" s="117">
        <v>45474</v>
      </c>
      <c r="D3318" s="116">
        <v>123.89</v>
      </c>
      <c r="E3318" s="117">
        <v>45488</v>
      </c>
      <c r="F3318" s="116">
        <f>COUNTIFS($A$3:A11568,A3318,$B$3:B11568,B3318)</f>
        <v>1</v>
      </c>
      <c r="G3318" s="116"/>
    </row>
    <row r="3319" spans="1:7" x14ac:dyDescent="0.2">
      <c r="A3319" s="116">
        <f>IF(ISNUMBER(Tabela2[[#This Row],[CT-e/NFS]])=TRUE,(IF(B3319&gt;30000,4,IF(B3319&lt;1000,"ND",0))),"-")</f>
        <v>4</v>
      </c>
      <c r="B3319" s="116">
        <v>47825</v>
      </c>
      <c r="C3319" s="117">
        <v>45474</v>
      </c>
      <c r="D3319" s="116">
        <v>1137.6500000000001</v>
      </c>
      <c r="E3319" s="117">
        <v>45488</v>
      </c>
      <c r="F3319" s="116">
        <f>COUNTIFS($A$3:A11569,A3319,$B$3:B11569,B3319)</f>
        <v>1</v>
      </c>
      <c r="G3319" s="116"/>
    </row>
    <row r="3320" spans="1:7" x14ac:dyDescent="0.2">
      <c r="A3320" s="116">
        <f>IF(ISNUMBER(Tabela2[[#This Row],[CT-e/NFS]])=TRUE,(IF(B3320&gt;30000,4,IF(B3320&lt;1000,"ND",0))),"-")</f>
        <v>4</v>
      </c>
      <c r="B3320" s="116">
        <v>47826</v>
      </c>
      <c r="C3320" s="117">
        <v>45474</v>
      </c>
      <c r="D3320" s="116">
        <v>11228.98</v>
      </c>
      <c r="E3320" s="117">
        <v>45488</v>
      </c>
      <c r="F3320" s="116">
        <f>COUNTIFS($A$3:A11570,A3320,$B$3:B11570,B3320)</f>
        <v>1</v>
      </c>
      <c r="G3320" s="116"/>
    </row>
    <row r="3321" spans="1:7" x14ac:dyDescent="0.2">
      <c r="A3321" s="116">
        <f>IF(ISNUMBER(Tabela2[[#This Row],[CT-e/NFS]])=TRUE,(IF(B3321&gt;30000,4,IF(B3321&lt;1000,"ND",0))),"-")</f>
        <v>4</v>
      </c>
      <c r="B3321" s="116">
        <v>47830</v>
      </c>
      <c r="C3321" s="117">
        <v>45474</v>
      </c>
      <c r="D3321" s="116">
        <v>1383.6</v>
      </c>
      <c r="E3321" s="117">
        <v>45488</v>
      </c>
      <c r="F3321" s="116">
        <f>COUNTIFS($A$3:A11571,A3321,$B$3:B11571,B3321)</f>
        <v>1</v>
      </c>
      <c r="G3321" s="116"/>
    </row>
    <row r="3322" spans="1:7" x14ac:dyDescent="0.2">
      <c r="A3322" s="116">
        <f>IF(ISNUMBER(Tabela2[[#This Row],[CT-e/NFS]])=TRUE,(IF(B3322&gt;30000,4,IF(B3322&lt;1000,"ND",0))),"-")</f>
        <v>4</v>
      </c>
      <c r="B3322" s="116">
        <v>47829</v>
      </c>
      <c r="C3322" s="117">
        <v>45474</v>
      </c>
      <c r="D3322" s="116">
        <v>798.27</v>
      </c>
      <c r="E3322" s="117">
        <v>45488</v>
      </c>
      <c r="F3322" s="116">
        <f>COUNTIFS($A$3:A11572,A3322,$B$3:B11572,B3322)</f>
        <v>1</v>
      </c>
      <c r="G3322" s="116"/>
    </row>
    <row r="3323" spans="1:7" x14ac:dyDescent="0.2">
      <c r="A3323" s="116">
        <f>IF(ISNUMBER(Tabela2[[#This Row],[CT-e/NFS]])=TRUE,(IF(B3323&gt;30000,4,IF(B3323&lt;1000,"ND",0))),"-")</f>
        <v>4</v>
      </c>
      <c r="B3323" s="116">
        <v>47840</v>
      </c>
      <c r="C3323" s="117">
        <v>45474</v>
      </c>
      <c r="D3323" s="116">
        <v>1245.6099999999999</v>
      </c>
      <c r="E3323" s="117">
        <v>45488</v>
      </c>
      <c r="F3323" s="116">
        <f>COUNTIFS($A$3:A11573,A3323,$B$3:B11573,B3323)</f>
        <v>1</v>
      </c>
      <c r="G3323" s="116"/>
    </row>
    <row r="3324" spans="1:7" x14ac:dyDescent="0.2">
      <c r="A3324" s="116">
        <f>IF(ISNUMBER(Tabela2[[#This Row],[CT-e/NFS]])=TRUE,(IF(B3324&gt;30000,4,IF(B3324&lt;1000,"ND",0))),"-")</f>
        <v>4</v>
      </c>
      <c r="B3324" s="116">
        <v>47846</v>
      </c>
      <c r="C3324" s="117">
        <v>45474</v>
      </c>
      <c r="D3324" s="116">
        <v>62.08</v>
      </c>
      <c r="E3324" s="117">
        <v>45488</v>
      </c>
      <c r="F3324" s="116">
        <f>COUNTIFS($A$3:A11574,A3324,$B$3:B11574,B3324)</f>
        <v>1</v>
      </c>
      <c r="G3324" s="116"/>
    </row>
    <row r="3325" spans="1:7" x14ac:dyDescent="0.2">
      <c r="A3325" s="116">
        <f>IF(ISNUMBER(Tabela2[[#This Row],[CT-e/NFS]])=TRUE,(IF(B3325&gt;30000,4,IF(B3325&lt;1000,"ND",0))),"-")</f>
        <v>4</v>
      </c>
      <c r="B3325" s="116">
        <v>47839</v>
      </c>
      <c r="C3325" s="117">
        <v>45474</v>
      </c>
      <c r="D3325" s="116">
        <v>238.82</v>
      </c>
      <c r="E3325" s="117">
        <v>45488</v>
      </c>
      <c r="F3325" s="116">
        <f>COUNTIFS($A$3:A11575,A3325,$B$3:B11575,B3325)</f>
        <v>1</v>
      </c>
      <c r="G3325" s="116"/>
    </row>
    <row r="3326" spans="1:7" x14ac:dyDescent="0.2">
      <c r="A3326" s="116">
        <f>IF(ISNUMBER(Tabela2[[#This Row],[CT-e/NFS]])=TRUE,(IF(B3326&gt;30000,4,IF(B3326&lt;1000,"ND",0))),"-")</f>
        <v>4</v>
      </c>
      <c r="B3326" s="116">
        <v>47843</v>
      </c>
      <c r="C3326" s="117">
        <v>45474</v>
      </c>
      <c r="D3326" s="116">
        <v>125.36</v>
      </c>
      <c r="E3326" s="117">
        <v>45488</v>
      </c>
      <c r="F3326" s="116">
        <f>COUNTIFS($A$3:A11576,A3326,$B$3:B11576,B3326)</f>
        <v>1</v>
      </c>
      <c r="G3326" s="116"/>
    </row>
    <row r="3327" spans="1:7" x14ac:dyDescent="0.2">
      <c r="A3327" s="116">
        <f>IF(ISNUMBER(Tabela2[[#This Row],[CT-e/NFS]])=TRUE,(IF(B3327&gt;30000,4,IF(B3327&lt;1000,"ND",0))),"-")</f>
        <v>4</v>
      </c>
      <c r="B3327" s="116">
        <v>47836</v>
      </c>
      <c r="C3327" s="117">
        <v>45474</v>
      </c>
      <c r="D3327" s="116">
        <v>126.32</v>
      </c>
      <c r="E3327" s="117">
        <v>45488</v>
      </c>
      <c r="F3327" s="116">
        <f>COUNTIFS($A$3:A11577,A3327,$B$3:B11577,B3327)</f>
        <v>1</v>
      </c>
      <c r="G3327" s="116"/>
    </row>
    <row r="3328" spans="1:7" x14ac:dyDescent="0.2">
      <c r="A3328" s="116">
        <f>IF(ISNUMBER(Tabela2[[#This Row],[CT-e/NFS]])=TRUE,(IF(B3328&gt;30000,4,IF(B3328&lt;1000,"ND",0))),"-")</f>
        <v>4</v>
      </c>
      <c r="B3328" s="116">
        <v>47835</v>
      </c>
      <c r="C3328" s="117">
        <v>45474</v>
      </c>
      <c r="D3328" s="116">
        <v>299.77999999999997</v>
      </c>
      <c r="E3328" s="117">
        <v>45488</v>
      </c>
      <c r="F3328" s="116">
        <f>COUNTIFS($A$3:A11578,A3328,$B$3:B11578,B3328)</f>
        <v>1</v>
      </c>
      <c r="G3328" s="116"/>
    </row>
    <row r="3329" spans="1:7" x14ac:dyDescent="0.2">
      <c r="A3329" s="116">
        <f>IF(ISNUMBER(Tabela2[[#This Row],[CT-e/NFS]])=TRUE,(IF(B3329&gt;30000,4,IF(B3329&lt;1000,"ND",0))),"-")</f>
        <v>4</v>
      </c>
      <c r="B3329" s="116">
        <v>47838</v>
      </c>
      <c r="C3329" s="117">
        <v>45474</v>
      </c>
      <c r="D3329" s="116">
        <v>125.35</v>
      </c>
      <c r="E3329" s="117">
        <v>45488</v>
      </c>
      <c r="F3329" s="116">
        <f>COUNTIFS($A$3:A11579,A3329,$B$3:B11579,B3329)</f>
        <v>1</v>
      </c>
      <c r="G3329" s="116"/>
    </row>
    <row r="3330" spans="1:7" x14ac:dyDescent="0.2">
      <c r="A3330" s="116">
        <f>IF(ISNUMBER(Tabela2[[#This Row],[CT-e/NFS]])=TRUE,(IF(B3330&gt;30000,4,IF(B3330&lt;1000,"ND",0))),"-")</f>
        <v>4</v>
      </c>
      <c r="B3330" s="116">
        <v>47844</v>
      </c>
      <c r="C3330" s="117">
        <v>45474</v>
      </c>
      <c r="D3330" s="116">
        <v>123.16</v>
      </c>
      <c r="E3330" s="117">
        <v>45488</v>
      </c>
      <c r="F3330" s="116">
        <f>COUNTIFS($A$3:A11580,A3330,$B$3:B11580,B3330)</f>
        <v>1</v>
      </c>
      <c r="G3330" s="116"/>
    </row>
    <row r="3331" spans="1:7" x14ac:dyDescent="0.2">
      <c r="A3331" s="116">
        <f>IF(ISNUMBER(Tabela2[[#This Row],[CT-e/NFS]])=TRUE,(IF(B3331&gt;30000,4,IF(B3331&lt;1000,"ND",0))),"-")</f>
        <v>4</v>
      </c>
      <c r="B3331" s="116">
        <v>47832</v>
      </c>
      <c r="C3331" s="117">
        <v>45474</v>
      </c>
      <c r="D3331" s="116">
        <v>123.05</v>
      </c>
      <c r="E3331" s="117">
        <v>45488</v>
      </c>
      <c r="F3331" s="116">
        <f>COUNTIFS($A$3:A11581,A3331,$B$3:B11581,B3331)</f>
        <v>1</v>
      </c>
      <c r="G3331" s="116"/>
    </row>
    <row r="3332" spans="1:7" x14ac:dyDescent="0.2">
      <c r="A3332" s="116">
        <f>IF(ISNUMBER(Tabela2[[#This Row],[CT-e/NFS]])=TRUE,(IF(B3332&gt;30000,4,IF(B3332&lt;1000,"ND",0))),"-")</f>
        <v>4</v>
      </c>
      <c r="B3332" s="116">
        <v>47847</v>
      </c>
      <c r="C3332" s="117">
        <v>45474</v>
      </c>
      <c r="D3332" s="116">
        <v>111.89</v>
      </c>
      <c r="E3332" s="117">
        <v>45488</v>
      </c>
      <c r="F3332" s="116">
        <f>COUNTIFS($A$3:A11582,A3332,$B$3:B11582,B3332)</f>
        <v>1</v>
      </c>
      <c r="G3332" s="116"/>
    </row>
    <row r="3333" spans="1:7" x14ac:dyDescent="0.2">
      <c r="A3333" s="116">
        <f>IF(ISNUMBER(Tabela2[[#This Row],[CT-e/NFS]])=TRUE,(IF(B3333&gt;30000,4,IF(B3333&lt;1000,"ND",0))),"-")</f>
        <v>4</v>
      </c>
      <c r="B3333" s="116">
        <v>47834</v>
      </c>
      <c r="C3333" s="117">
        <v>45474</v>
      </c>
      <c r="D3333" s="116">
        <v>124.63</v>
      </c>
      <c r="E3333" s="117">
        <v>45488</v>
      </c>
      <c r="F3333" s="116">
        <f>COUNTIFS($A$3:A11583,A3333,$B$3:B11583,B3333)</f>
        <v>1</v>
      </c>
      <c r="G3333" s="116"/>
    </row>
    <row r="3334" spans="1:7" x14ac:dyDescent="0.2">
      <c r="A3334" s="116">
        <f>IF(ISNUMBER(Tabela2[[#This Row],[CT-e/NFS]])=TRUE,(IF(B3334&gt;30000,4,IF(B3334&lt;1000,"ND",0))),"-")</f>
        <v>4</v>
      </c>
      <c r="B3334" s="116">
        <v>47833</v>
      </c>
      <c r="C3334" s="117">
        <v>45474</v>
      </c>
      <c r="D3334" s="116">
        <v>122.88</v>
      </c>
      <c r="E3334" s="117">
        <v>45488</v>
      </c>
      <c r="F3334" s="116">
        <f>COUNTIFS($A$3:A11584,A3334,$B$3:B11584,B3334)</f>
        <v>1</v>
      </c>
      <c r="G3334" s="116"/>
    </row>
    <row r="3335" spans="1:7" x14ac:dyDescent="0.2">
      <c r="A3335" s="116">
        <f>IF(ISNUMBER(Tabela2[[#This Row],[CT-e/NFS]])=TRUE,(IF(B3335&gt;30000,4,IF(B3335&lt;1000,"ND",0))),"-")</f>
        <v>4</v>
      </c>
      <c r="B3335" s="116">
        <v>47845</v>
      </c>
      <c r="C3335" s="117">
        <v>45474</v>
      </c>
      <c r="D3335" s="116">
        <v>222.47</v>
      </c>
      <c r="E3335" s="117">
        <v>45488</v>
      </c>
      <c r="F3335" s="116">
        <f>COUNTIFS($A$3:A11585,A3335,$B$3:B11585,B3335)</f>
        <v>1</v>
      </c>
      <c r="G3335" s="116"/>
    </row>
    <row r="3336" spans="1:7" x14ac:dyDescent="0.2">
      <c r="A3336" s="116">
        <f>IF(ISNUMBER(Tabela2[[#This Row],[CT-e/NFS]])=TRUE,(IF(B3336&gt;30000,4,IF(B3336&lt;1000,"ND",0))),"-")</f>
        <v>4</v>
      </c>
      <c r="B3336" s="116">
        <v>47848</v>
      </c>
      <c r="C3336" s="117">
        <v>45474</v>
      </c>
      <c r="D3336" s="116">
        <v>122.73</v>
      </c>
      <c r="E3336" s="117">
        <v>45488</v>
      </c>
      <c r="F3336" s="116">
        <f>COUNTIFS($A$3:A11586,A3336,$B$3:B11586,B3336)</f>
        <v>1</v>
      </c>
      <c r="G3336" s="116"/>
    </row>
    <row r="3337" spans="1:7" x14ac:dyDescent="0.2">
      <c r="A3337" s="116">
        <f>IF(ISNUMBER(Tabela2[[#This Row],[CT-e/NFS]])=TRUE,(IF(B3337&gt;30000,4,IF(B3337&lt;1000,"ND",0))),"-")</f>
        <v>4</v>
      </c>
      <c r="B3337" s="116">
        <v>47802</v>
      </c>
      <c r="C3337" s="117">
        <v>45474</v>
      </c>
      <c r="D3337" s="116">
        <v>122.73</v>
      </c>
      <c r="E3337" s="117">
        <v>45488</v>
      </c>
      <c r="F3337" s="116">
        <f>COUNTIFS($A$3:A11587,A3337,$B$3:B11587,B3337)</f>
        <v>1</v>
      </c>
      <c r="G3337" s="116"/>
    </row>
    <row r="3338" spans="1:7" x14ac:dyDescent="0.2">
      <c r="A3338" s="116">
        <f>IF(ISNUMBER(Tabela2[[#This Row],[CT-e/NFS]])=TRUE,(IF(B3338&gt;30000,4,IF(B3338&lt;1000,"ND",0))),"-")</f>
        <v>4</v>
      </c>
      <c r="B3338" s="116">
        <v>47801</v>
      </c>
      <c r="C3338" s="117">
        <v>45474</v>
      </c>
      <c r="D3338" s="116">
        <v>995.85</v>
      </c>
      <c r="E3338" s="117">
        <v>45488</v>
      </c>
      <c r="F3338" s="116">
        <f>COUNTIFS($A$3:A11588,A3338,$B$3:B11588,B3338)</f>
        <v>1</v>
      </c>
      <c r="G3338" s="116"/>
    </row>
    <row r="3339" spans="1:7" x14ac:dyDescent="0.2">
      <c r="A3339" s="116">
        <f>IF(ISNUMBER(Tabela2[[#This Row],[CT-e/NFS]])=TRUE,(IF(B3339&gt;30000,4,IF(B3339&lt;1000,"ND",0))),"-")</f>
        <v>4</v>
      </c>
      <c r="B3339" s="116">
        <v>47837</v>
      </c>
      <c r="C3339" s="117">
        <v>45474</v>
      </c>
      <c r="D3339" s="116">
        <v>374.69</v>
      </c>
      <c r="E3339" s="117">
        <v>45488</v>
      </c>
      <c r="F3339" s="116">
        <f>COUNTIFS($A$3:A11589,A3339,$B$3:B11589,B3339)</f>
        <v>1</v>
      </c>
      <c r="G3339" s="116"/>
    </row>
    <row r="3340" spans="1:7" x14ac:dyDescent="0.2">
      <c r="A3340" s="116">
        <f>IF(ISNUMBER(Tabela2[[#This Row],[CT-e/NFS]])=TRUE,(IF(B3340&gt;30000,4,IF(B3340&lt;1000,"ND",0))),"-")</f>
        <v>4</v>
      </c>
      <c r="B3340" s="116">
        <v>47841</v>
      </c>
      <c r="C3340" s="117">
        <v>45474</v>
      </c>
      <c r="D3340" s="116">
        <v>176.14</v>
      </c>
      <c r="E3340" s="117">
        <v>45488</v>
      </c>
      <c r="F3340" s="116">
        <f>COUNTIFS($A$3:A11590,A3340,$B$3:B11590,B3340)</f>
        <v>1</v>
      </c>
      <c r="G3340" s="116"/>
    </row>
    <row r="3341" spans="1:7" x14ac:dyDescent="0.2">
      <c r="A3341" s="116">
        <f>IF(ISNUMBER(Tabela2[[#This Row],[CT-e/NFS]])=TRUE,(IF(B3341&gt;30000,4,IF(B3341&lt;1000,"ND",0))),"-")</f>
        <v>4</v>
      </c>
      <c r="B3341" s="116">
        <v>47823</v>
      </c>
      <c r="C3341" s="117">
        <v>45474</v>
      </c>
      <c r="D3341" s="116">
        <v>124.15</v>
      </c>
      <c r="E3341" s="117">
        <v>45488</v>
      </c>
      <c r="F3341" s="116">
        <f>COUNTIFS($A$3:A11591,A3341,$B$3:B11591,B3341)</f>
        <v>1</v>
      </c>
      <c r="G3341" s="116"/>
    </row>
    <row r="3342" spans="1:7" x14ac:dyDescent="0.2">
      <c r="A3342" s="116">
        <f>IF(ISNUMBER(Tabela2[[#This Row],[CT-e/NFS]])=TRUE,(IF(B3342&gt;30000,4,IF(B3342&lt;1000,"ND",0))),"-")</f>
        <v>4</v>
      </c>
      <c r="B3342" s="116">
        <v>47824</v>
      </c>
      <c r="C3342" s="117">
        <v>45474</v>
      </c>
      <c r="D3342" s="116">
        <v>153.91</v>
      </c>
      <c r="E3342" s="117">
        <v>45488</v>
      </c>
      <c r="F3342" s="116">
        <f>COUNTIFS($A$3:A11592,A3342,$B$3:B11592,B3342)</f>
        <v>1</v>
      </c>
      <c r="G3342" s="116"/>
    </row>
    <row r="3343" spans="1:7" x14ac:dyDescent="0.2">
      <c r="A3343" s="116">
        <f>IF(ISNUMBER(Tabela2[[#This Row],[CT-e/NFS]])=TRUE,(IF(B3343&gt;30000,4,IF(B3343&lt;1000,"ND",0))),"-")</f>
        <v>4</v>
      </c>
      <c r="B3343" s="116">
        <v>47850</v>
      </c>
      <c r="C3343" s="117">
        <v>45474</v>
      </c>
      <c r="D3343" s="116">
        <v>568.86</v>
      </c>
      <c r="E3343" s="117">
        <v>45488</v>
      </c>
      <c r="F3343" s="116">
        <f>COUNTIFS($A$3:A11593,A3343,$B$3:B11593,B3343)</f>
        <v>1</v>
      </c>
      <c r="G3343" s="116"/>
    </row>
    <row r="3344" spans="1:7" x14ac:dyDescent="0.2">
      <c r="A3344" s="116">
        <f>IF(ISNUMBER(Tabela2[[#This Row],[CT-e/NFS]])=TRUE,(IF(B3344&gt;30000,4,IF(B3344&lt;1000,"ND",0))),"-")</f>
        <v>4</v>
      </c>
      <c r="B3344" s="116">
        <v>47853</v>
      </c>
      <c r="C3344" s="117">
        <v>45474</v>
      </c>
      <c r="D3344" s="116">
        <v>113.08</v>
      </c>
      <c r="E3344" s="117">
        <v>45488</v>
      </c>
      <c r="F3344" s="116">
        <f>COUNTIFS($A$3:A11594,A3344,$B$3:B11594,B3344)</f>
        <v>1</v>
      </c>
      <c r="G3344" s="116"/>
    </row>
    <row r="3345" spans="1:7" x14ac:dyDescent="0.2">
      <c r="A3345" s="116">
        <f>IF(ISNUMBER(Tabela2[[#This Row],[CT-e/NFS]])=TRUE,(IF(B3345&gt;30000,4,IF(B3345&lt;1000,"ND",0))),"-")</f>
        <v>4</v>
      </c>
      <c r="B3345" s="116">
        <v>47852</v>
      </c>
      <c r="C3345" s="117">
        <v>45474</v>
      </c>
      <c r="D3345" s="116">
        <v>62.67</v>
      </c>
      <c r="E3345" s="117">
        <v>45488</v>
      </c>
      <c r="F3345" s="116">
        <f>COUNTIFS($A$3:A11595,A3345,$B$3:B11595,B3345)</f>
        <v>1</v>
      </c>
      <c r="G3345" s="116"/>
    </row>
    <row r="3346" spans="1:7" x14ac:dyDescent="0.2">
      <c r="A3346" s="116">
        <f>IF(ISNUMBER(Tabela2[[#This Row],[CT-e/NFS]])=TRUE,(IF(B3346&gt;30000,4,IF(B3346&lt;1000,"ND",0))),"-")</f>
        <v>4</v>
      </c>
      <c r="B3346" s="116">
        <v>47854</v>
      </c>
      <c r="C3346" s="117">
        <v>45474</v>
      </c>
      <c r="D3346" s="116">
        <v>265.82</v>
      </c>
      <c r="E3346" s="117">
        <v>45488</v>
      </c>
      <c r="F3346" s="116">
        <f>COUNTIFS($A$3:A11596,A3346,$B$3:B11596,B3346)</f>
        <v>1</v>
      </c>
      <c r="G3346" s="116"/>
    </row>
    <row r="3347" spans="1:7" x14ac:dyDescent="0.2">
      <c r="A3347" s="116">
        <f>IF(ISNUMBER(Tabela2[[#This Row],[CT-e/NFS]])=TRUE,(IF(B3347&gt;30000,4,IF(B3347&lt;1000,"ND",0))),"-")</f>
        <v>4</v>
      </c>
      <c r="B3347" s="116">
        <v>47856</v>
      </c>
      <c r="C3347" s="117">
        <v>45474</v>
      </c>
      <c r="D3347" s="116">
        <v>702.73</v>
      </c>
      <c r="E3347" s="117">
        <v>45488</v>
      </c>
      <c r="F3347" s="116">
        <f>COUNTIFS($A$3:A11597,A3347,$B$3:B11597,B3347)</f>
        <v>1</v>
      </c>
      <c r="G3347" s="116"/>
    </row>
    <row r="3348" spans="1:7" x14ac:dyDescent="0.2">
      <c r="A3348" s="116">
        <f>IF(ISNUMBER(Tabela2[[#This Row],[CT-e/NFS]])=TRUE,(IF(B3348&gt;30000,4,IF(B3348&lt;1000,"ND",0))),"-")</f>
        <v>4</v>
      </c>
      <c r="B3348" s="116">
        <v>47855</v>
      </c>
      <c r="C3348" s="117">
        <v>45474</v>
      </c>
      <c r="D3348" s="116">
        <v>1756.28</v>
      </c>
      <c r="E3348" s="117">
        <v>45488</v>
      </c>
      <c r="F3348" s="116">
        <f>COUNTIFS($A$3:A11598,A3348,$B$3:B11598,B3348)</f>
        <v>1</v>
      </c>
      <c r="G3348" s="116"/>
    </row>
    <row r="3349" spans="1:7" x14ac:dyDescent="0.2">
      <c r="A3349" s="116">
        <f>IF(ISNUMBER(Tabela2[[#This Row],[CT-e/NFS]])=TRUE,(IF(B3349&gt;30000,4,IF(B3349&lt;1000,"ND",0))),"-")</f>
        <v>4</v>
      </c>
      <c r="B3349" s="116">
        <v>47857</v>
      </c>
      <c r="C3349" s="117">
        <v>45474</v>
      </c>
      <c r="D3349" s="116">
        <v>124.05</v>
      </c>
      <c r="E3349" s="117">
        <v>45488</v>
      </c>
      <c r="F3349" s="116">
        <f>COUNTIFS($A$3:A11599,A3349,$B$3:B11599,B3349)</f>
        <v>1</v>
      </c>
      <c r="G3349" s="116"/>
    </row>
    <row r="3350" spans="1:7" x14ac:dyDescent="0.2">
      <c r="A3350" s="116">
        <f>IF(ISNUMBER(Tabela2[[#This Row],[CT-e/NFS]])=TRUE,(IF(B3350&gt;30000,4,IF(B3350&lt;1000,"ND",0))),"-")</f>
        <v>4</v>
      </c>
      <c r="B3350" s="116">
        <v>47858</v>
      </c>
      <c r="C3350" s="117">
        <v>45474</v>
      </c>
      <c r="D3350" s="116">
        <v>124.28</v>
      </c>
      <c r="E3350" s="117">
        <v>45488</v>
      </c>
      <c r="F3350" s="116">
        <f>COUNTIFS($A$3:A11600,A3350,$B$3:B11600,B3350)</f>
        <v>1</v>
      </c>
      <c r="G3350" s="116"/>
    </row>
    <row r="3351" spans="1:7" x14ac:dyDescent="0.2">
      <c r="A3351" s="116">
        <f>IF(ISNUMBER(Tabela2[[#This Row],[CT-e/NFS]])=TRUE,(IF(B3351&gt;30000,4,IF(B3351&lt;1000,"ND",0))),"-")</f>
        <v>4</v>
      </c>
      <c r="B3351" s="116">
        <v>47862</v>
      </c>
      <c r="C3351" s="117">
        <v>45474</v>
      </c>
      <c r="D3351" s="116">
        <v>239.45</v>
      </c>
      <c r="E3351" s="117">
        <v>45488</v>
      </c>
      <c r="F3351" s="116">
        <f>COUNTIFS($A$3:A11601,A3351,$B$3:B11601,B3351)</f>
        <v>1</v>
      </c>
      <c r="G3351" s="116"/>
    </row>
    <row r="3352" spans="1:7" x14ac:dyDescent="0.2">
      <c r="A3352" s="116">
        <f>IF(ISNUMBER(Tabela2[[#This Row],[CT-e/NFS]])=TRUE,(IF(B3352&gt;30000,4,IF(B3352&lt;1000,"ND",0))),"-")</f>
        <v>4</v>
      </c>
      <c r="B3352" s="116">
        <v>47861</v>
      </c>
      <c r="C3352" s="117">
        <v>45474</v>
      </c>
      <c r="D3352" s="116">
        <v>243.41</v>
      </c>
      <c r="E3352" s="117">
        <v>45488</v>
      </c>
      <c r="F3352" s="116">
        <f>COUNTIFS($A$3:A11602,A3352,$B$3:B11602,B3352)</f>
        <v>1</v>
      </c>
      <c r="G3352" s="116"/>
    </row>
    <row r="3353" spans="1:7" x14ac:dyDescent="0.2">
      <c r="A3353" s="116">
        <f>IF(ISNUMBER(Tabela2[[#This Row],[CT-e/NFS]])=TRUE,(IF(B3353&gt;30000,4,IF(B3353&lt;1000,"ND",0))),"-")</f>
        <v>4</v>
      </c>
      <c r="B3353" s="116">
        <v>47863</v>
      </c>
      <c r="C3353" s="117">
        <v>45474</v>
      </c>
      <c r="D3353" s="116">
        <v>122.92</v>
      </c>
      <c r="E3353" s="117">
        <v>45488</v>
      </c>
      <c r="F3353" s="116">
        <f>COUNTIFS($A$3:A11603,A3353,$B$3:B11603,B3353)</f>
        <v>1</v>
      </c>
      <c r="G3353" s="116"/>
    </row>
    <row r="3354" spans="1:7" x14ac:dyDescent="0.2">
      <c r="A3354" s="116">
        <f>IF(ISNUMBER(Tabela2[[#This Row],[CT-e/NFS]])=TRUE,(IF(B3354&gt;30000,4,IF(B3354&lt;1000,"ND",0))),"-")</f>
        <v>4</v>
      </c>
      <c r="B3354" s="116">
        <v>47859</v>
      </c>
      <c r="C3354" s="117">
        <v>45474</v>
      </c>
      <c r="D3354" s="116">
        <v>219.83</v>
      </c>
      <c r="E3354" s="117">
        <v>45488</v>
      </c>
      <c r="F3354" s="116">
        <f>COUNTIFS($A$3:A11604,A3354,$B$3:B11604,B3354)</f>
        <v>1</v>
      </c>
      <c r="G3354" s="116"/>
    </row>
    <row r="3355" spans="1:7" x14ac:dyDescent="0.2">
      <c r="A3355" s="116">
        <f>IF(ISNUMBER(Tabela2[[#This Row],[CT-e/NFS]])=TRUE,(IF(B3355&gt;30000,4,IF(B3355&lt;1000,"ND",0))),"-")</f>
        <v>4</v>
      </c>
      <c r="B3355" s="116">
        <v>47860</v>
      </c>
      <c r="C3355" s="117">
        <v>45474</v>
      </c>
      <c r="D3355" s="116">
        <v>124.49</v>
      </c>
      <c r="E3355" s="117">
        <v>45488</v>
      </c>
      <c r="F3355" s="116">
        <f>COUNTIFS($A$3:A11605,A3355,$B$3:B11605,B3355)</f>
        <v>1</v>
      </c>
      <c r="G3355" s="116"/>
    </row>
    <row r="3356" spans="1:7" x14ac:dyDescent="0.2">
      <c r="A3356" s="116">
        <f>IF(ISNUMBER(Tabela2[[#This Row],[CT-e/NFS]])=TRUE,(IF(B3356&gt;30000,4,IF(B3356&lt;1000,"ND",0))),"-")</f>
        <v>4</v>
      </c>
      <c r="B3356" s="116">
        <v>47865</v>
      </c>
      <c r="C3356" s="117">
        <v>45474</v>
      </c>
      <c r="D3356" s="116">
        <v>61.52</v>
      </c>
      <c r="E3356" s="117">
        <v>45488</v>
      </c>
      <c r="F3356" s="116">
        <f>COUNTIFS($A$3:A11606,A3356,$B$3:B11606,B3356)</f>
        <v>1</v>
      </c>
      <c r="G3356" s="116"/>
    </row>
    <row r="3357" spans="1:7" x14ac:dyDescent="0.2">
      <c r="A3357" s="116">
        <f>IF(ISNUMBER(Tabela2[[#This Row],[CT-e/NFS]])=TRUE,(IF(B3357&gt;30000,4,IF(B3357&lt;1000,"ND",0))),"-")</f>
        <v>4</v>
      </c>
      <c r="B3357" s="116">
        <v>47866</v>
      </c>
      <c r="C3357" s="117">
        <v>45474</v>
      </c>
      <c r="D3357" s="116">
        <v>110.77</v>
      </c>
      <c r="E3357" s="117">
        <v>45488</v>
      </c>
      <c r="F3357" s="116">
        <f>COUNTIFS($A$3:A11607,A3357,$B$3:B11607,B3357)</f>
        <v>1</v>
      </c>
      <c r="G3357" s="116"/>
    </row>
    <row r="3358" spans="1:7" x14ac:dyDescent="0.2">
      <c r="A3358" s="116">
        <f>IF(ISNUMBER(Tabela2[[#This Row],[CT-e/NFS]])=TRUE,(IF(B3358&gt;30000,4,IF(B3358&lt;1000,"ND",0))),"-")</f>
        <v>4</v>
      </c>
      <c r="B3358" s="116">
        <v>47774</v>
      </c>
      <c r="C3358" s="117">
        <v>45474</v>
      </c>
      <c r="D3358" s="116">
        <v>124.38</v>
      </c>
      <c r="E3358" s="117">
        <v>45488</v>
      </c>
      <c r="F3358" s="116">
        <f>COUNTIFS($A$3:A11608,A3358,$B$3:B11608,B3358)</f>
        <v>1</v>
      </c>
      <c r="G3358" s="116"/>
    </row>
    <row r="3359" spans="1:7" x14ac:dyDescent="0.2">
      <c r="A3359" s="116">
        <f>IF(ISNUMBER(Tabela2[[#This Row],[CT-e/NFS]])=TRUE,(IF(B3359&gt;30000,4,IF(B3359&lt;1000,"ND",0))),"-")</f>
        <v>0</v>
      </c>
      <c r="B3359" s="116">
        <v>21689</v>
      </c>
      <c r="C3359" s="117">
        <v>45474</v>
      </c>
      <c r="D3359" s="116">
        <v>338.19</v>
      </c>
      <c r="E3359" s="117">
        <v>45488</v>
      </c>
      <c r="F3359" s="116">
        <f>COUNTIFS($A$3:A11609,A3359,$B$3:B11609,B3359)</f>
        <v>1</v>
      </c>
      <c r="G3359" s="116"/>
    </row>
    <row r="3360" spans="1:7" x14ac:dyDescent="0.2">
      <c r="A3360" s="116">
        <f>IF(ISNUMBER(Tabela2[[#This Row],[CT-e/NFS]])=TRUE,(IF(B3360&gt;30000,4,IF(B3360&lt;1000,"ND",0))),"-")</f>
        <v>0</v>
      </c>
      <c r="B3360" s="116">
        <v>21690</v>
      </c>
      <c r="C3360" s="117">
        <v>45474</v>
      </c>
      <c r="D3360" s="116">
        <v>76.36</v>
      </c>
      <c r="E3360" s="117">
        <v>45488</v>
      </c>
      <c r="F3360" s="116">
        <f>COUNTIFS($A$3:A11610,A3360,$B$3:B11610,B3360)</f>
        <v>1</v>
      </c>
      <c r="G3360" s="116"/>
    </row>
    <row r="3361" spans="1:7" x14ac:dyDescent="0.2">
      <c r="A3361" s="116">
        <f>IF(ISNUMBER(Tabela2[[#This Row],[CT-e/NFS]])=TRUE,(IF(B3361&gt;30000,4,IF(B3361&lt;1000,"ND",0))),"-")</f>
        <v>0</v>
      </c>
      <c r="B3361" s="116">
        <v>21692</v>
      </c>
      <c r="C3361" s="117">
        <v>45474</v>
      </c>
      <c r="D3361" s="116">
        <v>76.37</v>
      </c>
      <c r="E3361" s="117">
        <v>45488</v>
      </c>
      <c r="F3361" s="116">
        <f>COUNTIFS($A$3:A11611,A3361,$B$3:B11611,B3361)</f>
        <v>1</v>
      </c>
      <c r="G3361" s="116"/>
    </row>
    <row r="3362" spans="1:7" x14ac:dyDescent="0.2">
      <c r="A3362" s="116">
        <f>IF(ISNUMBER(Tabela2[[#This Row],[CT-e/NFS]])=TRUE,(IF(B3362&gt;30000,4,IF(B3362&lt;1000,"ND",0))),"-")</f>
        <v>0</v>
      </c>
      <c r="B3362" s="116">
        <v>21693</v>
      </c>
      <c r="C3362" s="117">
        <v>45474</v>
      </c>
      <c r="D3362" s="116">
        <v>76.52</v>
      </c>
      <c r="E3362" s="117">
        <v>45488</v>
      </c>
      <c r="F3362" s="116">
        <f>COUNTIFS($A$3:A11612,A3362,$B$3:B11612,B3362)</f>
        <v>1</v>
      </c>
      <c r="G3362" s="116"/>
    </row>
    <row r="3363" spans="1:7" x14ac:dyDescent="0.2">
      <c r="A3363" s="116">
        <f>IF(ISNUMBER(Tabela2[[#This Row],[CT-e/NFS]])=TRUE,(IF(B3363&gt;30000,4,IF(B3363&lt;1000,"ND",0))),"-")</f>
        <v>0</v>
      </c>
      <c r="B3363" s="116">
        <v>21694</v>
      </c>
      <c r="C3363" s="117">
        <v>45474</v>
      </c>
      <c r="D3363" s="116">
        <v>76.36</v>
      </c>
      <c r="E3363" s="117">
        <v>45488</v>
      </c>
      <c r="F3363" s="116">
        <f>COUNTIFS($A$3:A11613,A3363,$B$3:B11613,B3363)</f>
        <v>1</v>
      </c>
      <c r="G3363" s="116"/>
    </row>
    <row r="3364" spans="1:7" x14ac:dyDescent="0.2">
      <c r="A3364" s="116">
        <f>IF(ISNUMBER(Tabela2[[#This Row],[CT-e/NFS]])=TRUE,(IF(B3364&gt;30000,4,IF(B3364&lt;1000,"ND",0))),"-")</f>
        <v>0</v>
      </c>
      <c r="B3364" s="116">
        <v>21705</v>
      </c>
      <c r="C3364" s="117">
        <v>45474</v>
      </c>
      <c r="D3364" s="116">
        <v>75.8</v>
      </c>
      <c r="E3364" s="117">
        <v>45488</v>
      </c>
      <c r="F3364" s="116">
        <f>COUNTIFS($A$3:A11614,A3364,$B$3:B11614,B3364)</f>
        <v>1</v>
      </c>
      <c r="G3364" s="116"/>
    </row>
    <row r="3365" spans="1:7" x14ac:dyDescent="0.2">
      <c r="A3365" s="116">
        <f>IF(ISNUMBER(Tabela2[[#This Row],[CT-e/NFS]])=TRUE,(IF(B3365&gt;30000,4,IF(B3365&lt;1000,"ND",0))),"-")</f>
        <v>0</v>
      </c>
      <c r="B3365" s="116">
        <v>21706</v>
      </c>
      <c r="C3365" s="117">
        <v>45474</v>
      </c>
      <c r="D3365" s="116">
        <v>227.4</v>
      </c>
      <c r="E3365" s="117">
        <v>45488</v>
      </c>
      <c r="F3365" s="116">
        <f>COUNTIFS($A$3:A11615,A3365,$B$3:B11615,B3365)</f>
        <v>1</v>
      </c>
      <c r="G3365" s="116"/>
    </row>
    <row r="3366" spans="1:7" x14ac:dyDescent="0.2">
      <c r="A3366" s="116">
        <f>IF(ISNUMBER(Tabela2[[#This Row],[CT-e/NFS]])=TRUE,(IF(B3366&gt;30000,4,IF(B3366&lt;1000,"ND",0))),"-")</f>
        <v>0</v>
      </c>
      <c r="B3366" s="116">
        <v>21691</v>
      </c>
      <c r="C3366" s="117">
        <v>45474</v>
      </c>
      <c r="D3366" s="116">
        <v>162.97</v>
      </c>
      <c r="E3366" s="117">
        <v>45488</v>
      </c>
      <c r="F3366" s="116">
        <f>COUNTIFS($A$3:A11616,A3366,$B$3:B11616,B3366)</f>
        <v>1</v>
      </c>
      <c r="G3366" s="116"/>
    </row>
    <row r="3367" spans="1:7" x14ac:dyDescent="0.2">
      <c r="A3367" s="116">
        <f>IF(ISNUMBER(Tabela2[[#This Row],[CT-e/NFS]])=TRUE,(IF(B3367&gt;30000,4,IF(B3367&lt;1000,"ND",0))),"-")</f>
        <v>0</v>
      </c>
      <c r="B3367" s="116">
        <v>21695</v>
      </c>
      <c r="C3367" s="117">
        <v>45474</v>
      </c>
      <c r="D3367" s="116">
        <v>77.260000000000005</v>
      </c>
      <c r="E3367" s="117">
        <v>45488</v>
      </c>
      <c r="F3367" s="116">
        <f>COUNTIFS($A$3:A11617,A3367,$B$3:B11617,B3367)</f>
        <v>1</v>
      </c>
      <c r="G3367" s="116"/>
    </row>
    <row r="3368" spans="1:7" x14ac:dyDescent="0.2">
      <c r="A3368" s="116">
        <f>IF(ISNUMBER(Tabela2[[#This Row],[CT-e/NFS]])=TRUE,(IF(B3368&gt;30000,4,IF(B3368&lt;1000,"ND",0))),"-")</f>
        <v>0</v>
      </c>
      <c r="B3368" s="116">
        <v>21696</v>
      </c>
      <c r="C3368" s="117">
        <v>45474</v>
      </c>
      <c r="D3368" s="116">
        <v>128.04</v>
      </c>
      <c r="E3368" s="117">
        <v>45488</v>
      </c>
      <c r="F3368" s="116">
        <f>COUNTIFS($A$3:A11618,A3368,$B$3:B11618,B3368)</f>
        <v>1</v>
      </c>
      <c r="G3368" s="116"/>
    </row>
    <row r="3369" spans="1:7" x14ac:dyDescent="0.2">
      <c r="A3369" s="116">
        <f>IF(ISNUMBER(Tabela2[[#This Row],[CT-e/NFS]])=TRUE,(IF(B3369&gt;30000,4,IF(B3369&lt;1000,"ND",0))),"-")</f>
        <v>0</v>
      </c>
      <c r="B3369" s="116">
        <v>21697</v>
      </c>
      <c r="C3369" s="117">
        <v>45474</v>
      </c>
      <c r="D3369" s="116">
        <v>1136.99</v>
      </c>
      <c r="E3369" s="117">
        <v>45488</v>
      </c>
      <c r="F3369" s="116">
        <f>COUNTIFS($A$3:A11619,A3369,$B$3:B11619,B3369)</f>
        <v>1</v>
      </c>
      <c r="G3369" s="116"/>
    </row>
    <row r="3370" spans="1:7" x14ac:dyDescent="0.2">
      <c r="A3370" s="116">
        <f>IF(ISNUMBER(Tabela2[[#This Row],[CT-e/NFS]])=TRUE,(IF(B3370&gt;30000,4,IF(B3370&lt;1000,"ND",0))),"-")</f>
        <v>0</v>
      </c>
      <c r="B3370" s="116">
        <v>21708</v>
      </c>
      <c r="C3370" s="117">
        <v>45474</v>
      </c>
      <c r="D3370" s="116">
        <v>521.16</v>
      </c>
      <c r="E3370" s="117">
        <v>45488</v>
      </c>
      <c r="F3370" s="116">
        <f>COUNTIFS($A$3:A11620,A3370,$B$3:B11620,B3370)</f>
        <v>1</v>
      </c>
      <c r="G3370" s="116"/>
    </row>
    <row r="3371" spans="1:7" x14ac:dyDescent="0.2">
      <c r="A3371" s="116">
        <f>IF(ISNUMBER(Tabela2[[#This Row],[CT-e/NFS]])=TRUE,(IF(B3371&gt;30000,4,IF(B3371&lt;1000,"ND",0))),"-")</f>
        <v>0</v>
      </c>
      <c r="B3371" s="116">
        <v>21709</v>
      </c>
      <c r="C3371" s="117">
        <v>45474</v>
      </c>
      <c r="D3371" s="116">
        <v>904.43</v>
      </c>
      <c r="E3371" s="117">
        <v>45488</v>
      </c>
      <c r="F3371" s="116">
        <f>COUNTIFS($A$3:A11621,A3371,$B$3:B11621,B3371)</f>
        <v>1</v>
      </c>
      <c r="G3371" s="116"/>
    </row>
    <row r="3372" spans="1:7" x14ac:dyDescent="0.2">
      <c r="A3372" s="116">
        <f>IF(ISNUMBER(Tabela2[[#This Row],[CT-e/NFS]])=TRUE,(IF(B3372&gt;30000,4,IF(B3372&lt;1000,"ND",0))),"-")</f>
        <v>0</v>
      </c>
      <c r="B3372" s="116">
        <v>21710</v>
      </c>
      <c r="C3372" s="117">
        <v>45474</v>
      </c>
      <c r="D3372" s="116">
        <v>279.72000000000003</v>
      </c>
      <c r="E3372" s="117">
        <v>45488</v>
      </c>
      <c r="F3372" s="116">
        <f>COUNTIFS($A$3:A11622,A3372,$B$3:B11622,B3372)</f>
        <v>1</v>
      </c>
      <c r="G3372" s="116"/>
    </row>
    <row r="3373" spans="1:7" x14ac:dyDescent="0.2">
      <c r="A3373" s="116">
        <f>IF(ISNUMBER(Tabela2[[#This Row],[CT-e/NFS]])=TRUE,(IF(B3373&gt;30000,4,IF(B3373&lt;1000,"ND",0))),"-")</f>
        <v>0</v>
      </c>
      <c r="B3373" s="116">
        <v>21698</v>
      </c>
      <c r="C3373" s="117">
        <v>45474</v>
      </c>
      <c r="D3373" s="116">
        <v>48.98</v>
      </c>
      <c r="E3373" s="117">
        <v>45488</v>
      </c>
      <c r="F3373" s="116">
        <f>COUNTIFS($A$3:A11623,A3373,$B$3:B11623,B3373)</f>
        <v>1</v>
      </c>
      <c r="G3373" s="116"/>
    </row>
    <row r="3374" spans="1:7" x14ac:dyDescent="0.2">
      <c r="A3374" s="116">
        <f>IF(ISNUMBER(Tabela2[[#This Row],[CT-e/NFS]])=TRUE,(IF(B3374&gt;30000,4,IF(B3374&lt;1000,"ND",0))),"-")</f>
        <v>0</v>
      </c>
      <c r="B3374" s="116">
        <v>21699</v>
      </c>
      <c r="C3374" s="117">
        <v>45474</v>
      </c>
      <c r="D3374" s="116">
        <v>94.04</v>
      </c>
      <c r="E3374" s="117">
        <v>45488</v>
      </c>
      <c r="F3374" s="116">
        <f>COUNTIFS($A$3:A11624,A3374,$B$3:B11624,B3374)</f>
        <v>1</v>
      </c>
      <c r="G3374" s="116"/>
    </row>
    <row r="3375" spans="1:7" x14ac:dyDescent="0.2">
      <c r="A3375" s="116">
        <f>IF(ISNUMBER(Tabela2[[#This Row],[CT-e/NFS]])=TRUE,(IF(B3375&gt;30000,4,IF(B3375&lt;1000,"ND",0))),"-")</f>
        <v>0</v>
      </c>
      <c r="B3375" s="116">
        <v>21700</v>
      </c>
      <c r="C3375" s="117">
        <v>45474</v>
      </c>
      <c r="D3375" s="116">
        <v>88.43</v>
      </c>
      <c r="E3375" s="117">
        <v>45488</v>
      </c>
      <c r="F3375" s="116">
        <f>COUNTIFS($A$3:A11625,A3375,$B$3:B11625,B3375)</f>
        <v>1</v>
      </c>
      <c r="G3375" s="116"/>
    </row>
    <row r="3376" spans="1:7" x14ac:dyDescent="0.2">
      <c r="A3376" s="116">
        <f>IF(ISNUMBER(Tabela2[[#This Row],[CT-e/NFS]])=TRUE,(IF(B3376&gt;30000,4,IF(B3376&lt;1000,"ND",0))),"-")</f>
        <v>0</v>
      </c>
      <c r="B3376" s="116">
        <v>21711</v>
      </c>
      <c r="C3376" s="117">
        <v>45474</v>
      </c>
      <c r="D3376" s="116">
        <v>436.41</v>
      </c>
      <c r="E3376" s="117">
        <v>45488</v>
      </c>
      <c r="F3376" s="116">
        <f>COUNTIFS($A$3:A11626,A3376,$B$3:B11626,B3376)</f>
        <v>1</v>
      </c>
      <c r="G3376" s="116"/>
    </row>
    <row r="3377" spans="1:7" x14ac:dyDescent="0.2">
      <c r="A3377" s="116">
        <f>IF(ISNUMBER(Tabela2[[#This Row],[CT-e/NFS]])=TRUE,(IF(B3377&gt;30000,4,IF(B3377&lt;1000,"ND",0))),"-")</f>
        <v>0</v>
      </c>
      <c r="B3377" s="116">
        <v>21712</v>
      </c>
      <c r="C3377" s="117">
        <v>45474</v>
      </c>
      <c r="D3377" s="116">
        <v>77.400000000000006</v>
      </c>
      <c r="E3377" s="117">
        <v>45488</v>
      </c>
      <c r="F3377" s="116">
        <f>COUNTIFS($A$3:A11627,A3377,$B$3:B11627,B3377)</f>
        <v>1</v>
      </c>
      <c r="G3377" s="116"/>
    </row>
    <row r="3378" spans="1:7" x14ac:dyDescent="0.2">
      <c r="A3378" s="116">
        <f>IF(ISNUMBER(Tabela2[[#This Row],[CT-e/NFS]])=TRUE,(IF(B3378&gt;30000,4,IF(B3378&lt;1000,"ND",0))),"-")</f>
        <v>0</v>
      </c>
      <c r="B3378" s="116">
        <v>21713</v>
      </c>
      <c r="C3378" s="117">
        <v>45474</v>
      </c>
      <c r="D3378" s="116">
        <v>162.80000000000001</v>
      </c>
      <c r="E3378" s="117">
        <v>45488</v>
      </c>
      <c r="F3378" s="116">
        <f>COUNTIFS($A$3:A11628,A3378,$B$3:B11628,B3378)</f>
        <v>1</v>
      </c>
      <c r="G3378" s="116"/>
    </row>
    <row r="3379" spans="1:7" x14ac:dyDescent="0.2">
      <c r="A3379" s="116">
        <f>IF(ISNUMBER(Tabela2[[#This Row],[CT-e/NFS]])=TRUE,(IF(B3379&gt;30000,4,IF(B3379&lt;1000,"ND",0))),"-")</f>
        <v>0</v>
      </c>
      <c r="B3379" s="116">
        <v>21714</v>
      </c>
      <c r="C3379" s="117">
        <v>45474</v>
      </c>
      <c r="D3379" s="116">
        <v>76.34</v>
      </c>
      <c r="E3379" s="117">
        <v>45488</v>
      </c>
      <c r="F3379" s="116">
        <f>COUNTIFS($A$3:A11629,A3379,$B$3:B11629,B3379)</f>
        <v>1</v>
      </c>
      <c r="G3379" s="116"/>
    </row>
    <row r="3380" spans="1:7" x14ac:dyDescent="0.2">
      <c r="A3380" s="116">
        <f>IF(ISNUMBER(Tabela2[[#This Row],[CT-e/NFS]])=TRUE,(IF(B3380&gt;30000,4,IF(B3380&lt;1000,"ND",0))),"-")</f>
        <v>0</v>
      </c>
      <c r="B3380" s="116">
        <v>21715</v>
      </c>
      <c r="C3380" s="117">
        <v>45474</v>
      </c>
      <c r="D3380" s="116">
        <v>338.19</v>
      </c>
      <c r="E3380" s="117">
        <v>45488</v>
      </c>
      <c r="F3380" s="116">
        <f>COUNTIFS($A$3:A11630,A3380,$B$3:B11630,B3380)</f>
        <v>1</v>
      </c>
      <c r="G3380" s="116"/>
    </row>
    <row r="3381" spans="1:7" x14ac:dyDescent="0.2">
      <c r="A3381" s="116">
        <f>IF(ISNUMBER(Tabela2[[#This Row],[CT-e/NFS]])=TRUE,(IF(B3381&gt;30000,4,IF(B3381&lt;1000,"ND",0))),"-")</f>
        <v>0</v>
      </c>
      <c r="B3381" s="116">
        <v>21717</v>
      </c>
      <c r="C3381" s="117">
        <v>45474</v>
      </c>
      <c r="D3381" s="116">
        <v>128.04</v>
      </c>
      <c r="E3381" s="117">
        <v>45488</v>
      </c>
      <c r="F3381" s="116">
        <f>COUNTIFS($A$3:A11631,A3381,$B$3:B11631,B3381)</f>
        <v>1</v>
      </c>
      <c r="G3381" s="116"/>
    </row>
    <row r="3382" spans="1:7" x14ac:dyDescent="0.2">
      <c r="A3382" s="116">
        <f>IF(ISNUMBER(Tabela2[[#This Row],[CT-e/NFS]])=TRUE,(IF(B3382&gt;30000,4,IF(B3382&lt;1000,"ND",0))),"-")</f>
        <v>0</v>
      </c>
      <c r="B3382" s="116">
        <v>21720</v>
      </c>
      <c r="C3382" s="117">
        <v>45474</v>
      </c>
      <c r="D3382" s="116">
        <v>844.29</v>
      </c>
      <c r="E3382" s="117">
        <v>45488</v>
      </c>
      <c r="F3382" s="116">
        <f>COUNTIFS($A$3:A11632,A3382,$B$3:B11632,B3382)</f>
        <v>1</v>
      </c>
      <c r="G3382" s="116"/>
    </row>
    <row r="3383" spans="1:7" x14ac:dyDescent="0.2">
      <c r="A3383" s="116">
        <f>IF(ISNUMBER(Tabela2[[#This Row],[CT-e/NFS]])=TRUE,(IF(B3383&gt;30000,4,IF(B3383&lt;1000,"ND",0))),"-")</f>
        <v>0</v>
      </c>
      <c r="B3383" s="116">
        <v>21718</v>
      </c>
      <c r="C3383" s="117">
        <v>45474</v>
      </c>
      <c r="D3383" s="116">
        <v>77.680000000000007</v>
      </c>
      <c r="E3383" s="117">
        <v>45488</v>
      </c>
      <c r="F3383" s="116">
        <f>COUNTIFS($A$3:A11633,A3383,$B$3:B11633,B3383)</f>
        <v>1</v>
      </c>
      <c r="G3383" s="116"/>
    </row>
    <row r="3384" spans="1:7" x14ac:dyDescent="0.2">
      <c r="A3384" s="116">
        <f>IF(ISNUMBER(Tabela2[[#This Row],[CT-e/NFS]])=TRUE,(IF(B3384&gt;30000,4,IF(B3384&lt;1000,"ND",0))),"-")</f>
        <v>0</v>
      </c>
      <c r="B3384" s="116">
        <v>21721</v>
      </c>
      <c r="C3384" s="117">
        <v>45474</v>
      </c>
      <c r="D3384" s="116">
        <v>76.47</v>
      </c>
      <c r="E3384" s="117">
        <v>45488</v>
      </c>
      <c r="F3384" s="116">
        <f>COUNTIFS($A$3:A11634,A3384,$B$3:B11634,B3384)</f>
        <v>1</v>
      </c>
      <c r="G3384" s="116"/>
    </row>
    <row r="3385" spans="1:7" x14ac:dyDescent="0.2">
      <c r="A3385" s="116">
        <f>IF(ISNUMBER(Tabela2[[#This Row],[CT-e/NFS]])=TRUE,(IF(B3385&gt;30000,4,IF(B3385&lt;1000,"ND",0))),"-")</f>
        <v>0</v>
      </c>
      <c r="B3385" s="116">
        <v>21719</v>
      </c>
      <c r="C3385" s="117">
        <v>45474</v>
      </c>
      <c r="D3385" s="116">
        <v>104.88</v>
      </c>
      <c r="E3385" s="117">
        <v>45488</v>
      </c>
      <c r="F3385" s="116">
        <f>COUNTIFS($A$3:A11635,A3385,$B$3:B11635,B3385)</f>
        <v>1</v>
      </c>
      <c r="G3385" s="116"/>
    </row>
    <row r="3386" spans="1:7" x14ac:dyDescent="0.2">
      <c r="A3386" s="116">
        <f>IF(ISNUMBER(Tabela2[[#This Row],[CT-e/NFS]])=TRUE,(IF(B3386&gt;30000,4,IF(B3386&lt;1000,"ND",0))),"-")</f>
        <v>0</v>
      </c>
      <c r="B3386" s="116">
        <v>21723</v>
      </c>
      <c r="C3386" s="117">
        <v>45474</v>
      </c>
      <c r="D3386" s="116">
        <v>515.41</v>
      </c>
      <c r="E3386" s="117">
        <v>45488</v>
      </c>
      <c r="F3386" s="116">
        <f>COUNTIFS($A$3:A11636,A3386,$B$3:B11636,B3386)</f>
        <v>1</v>
      </c>
      <c r="G3386" s="116"/>
    </row>
    <row r="3387" spans="1:7" x14ac:dyDescent="0.2">
      <c r="A3387" s="116">
        <f>IF(ISNUMBER(Tabela2[[#This Row],[CT-e/NFS]])=TRUE,(IF(B3387&gt;30000,4,IF(B3387&lt;1000,"ND",0))),"-")</f>
        <v>0</v>
      </c>
      <c r="B3387" s="116">
        <v>21701</v>
      </c>
      <c r="C3387" s="117">
        <v>45474</v>
      </c>
      <c r="D3387" s="116">
        <v>147.12</v>
      </c>
      <c r="E3387" s="117">
        <v>45488</v>
      </c>
      <c r="F3387" s="116">
        <f>COUNTIFS($A$3:A11637,A3387,$B$3:B11637,B3387)</f>
        <v>1</v>
      </c>
      <c r="G3387" s="116"/>
    </row>
    <row r="3388" spans="1:7" x14ac:dyDescent="0.2">
      <c r="A3388" s="116">
        <f>IF(ISNUMBER(Tabela2[[#This Row],[CT-e/NFS]])=TRUE,(IF(B3388&gt;30000,4,IF(B3388&lt;1000,"ND",0))),"-")</f>
        <v>0</v>
      </c>
      <c r="B3388" s="116">
        <v>21704</v>
      </c>
      <c r="C3388" s="117">
        <v>45474</v>
      </c>
      <c r="D3388" s="116">
        <v>81.48</v>
      </c>
      <c r="E3388" s="117">
        <v>45488</v>
      </c>
      <c r="F3388" s="116">
        <f>COUNTIFS($A$3:A11638,A3388,$B$3:B11638,B3388)</f>
        <v>1</v>
      </c>
      <c r="G3388" s="116"/>
    </row>
    <row r="3389" spans="1:7" x14ac:dyDescent="0.2">
      <c r="A3389" s="116">
        <f>IF(ISNUMBER(Tabela2[[#This Row],[CT-e/NFS]])=TRUE,(IF(B3389&gt;30000,4,IF(B3389&lt;1000,"ND",0))),"-")</f>
        <v>0</v>
      </c>
      <c r="B3389" s="116">
        <v>21702</v>
      </c>
      <c r="C3389" s="117">
        <v>45474</v>
      </c>
      <c r="D3389" s="116">
        <v>76.28</v>
      </c>
      <c r="E3389" s="117">
        <v>45488</v>
      </c>
      <c r="F3389" s="116">
        <f>COUNTIFS($A$3:A11639,A3389,$B$3:B11639,B3389)</f>
        <v>1</v>
      </c>
      <c r="G3389" s="116"/>
    </row>
    <row r="3390" spans="1:7" x14ac:dyDescent="0.2">
      <c r="A3390" s="116">
        <f>IF(ISNUMBER(Tabela2[[#This Row],[CT-e/NFS]])=TRUE,(IF(B3390&gt;30000,4,IF(B3390&lt;1000,"ND",0))),"-")</f>
        <v>0</v>
      </c>
      <c r="B3390" s="116">
        <v>21703</v>
      </c>
      <c r="C3390" s="117">
        <v>45474</v>
      </c>
      <c r="D3390" s="116">
        <v>75.7</v>
      </c>
      <c r="E3390" s="117">
        <v>45488</v>
      </c>
      <c r="F3390" s="116">
        <f>COUNTIFS($A$3:A11640,A3390,$B$3:B11640,B3390)</f>
        <v>1</v>
      </c>
      <c r="G3390" s="116"/>
    </row>
    <row r="3391" spans="1:7" x14ac:dyDescent="0.2">
      <c r="A3391" s="116">
        <f>IF(ISNUMBER(Tabela2[[#This Row],[CT-e/NFS]])=TRUE,(IF(B3391&gt;30000,4,IF(B3391&lt;1000,"ND",0))),"-")</f>
        <v>4</v>
      </c>
      <c r="B3391" s="116">
        <v>47869</v>
      </c>
      <c r="C3391" s="117">
        <v>45474</v>
      </c>
      <c r="D3391" s="116">
        <v>1758.3</v>
      </c>
      <c r="E3391" s="117">
        <v>45488</v>
      </c>
      <c r="F3391" s="116">
        <f>COUNTIFS($A$3:A11641,A3391,$B$3:B11641,B3391)</f>
        <v>1</v>
      </c>
      <c r="G3391" s="116"/>
    </row>
    <row r="3392" spans="1:7" x14ac:dyDescent="0.2">
      <c r="A3392" s="116">
        <f>IF(ISNUMBER(Tabela2[[#This Row],[CT-e/NFS]])=TRUE,(IF(B3392&gt;30000,4,IF(B3392&lt;1000,"ND",0))),"-")</f>
        <v>4</v>
      </c>
      <c r="B3392" s="116">
        <v>47870</v>
      </c>
      <c r="C3392" s="117">
        <v>45474</v>
      </c>
      <c r="D3392" s="116">
        <v>866.38</v>
      </c>
      <c r="E3392" s="117">
        <v>45488</v>
      </c>
      <c r="F3392" s="116">
        <f>COUNTIFS($A$3:A11642,A3392,$B$3:B11642,B3392)</f>
        <v>1</v>
      </c>
      <c r="G3392" s="116"/>
    </row>
    <row r="3393" spans="1:7" x14ac:dyDescent="0.2">
      <c r="A3393" s="116">
        <f>IF(ISNUMBER(Tabela2[[#This Row],[CT-e/NFS]])=TRUE,(IF(B3393&gt;30000,4,IF(B3393&lt;1000,"ND",0))),"-")</f>
        <v>4</v>
      </c>
      <c r="B3393" s="116">
        <v>47867</v>
      </c>
      <c r="C3393" s="117">
        <v>45474</v>
      </c>
      <c r="D3393" s="116">
        <v>702.74</v>
      </c>
      <c r="E3393" s="117">
        <v>45488</v>
      </c>
      <c r="F3393" s="116">
        <f>COUNTIFS($A$3:A11643,A3393,$B$3:B11643,B3393)</f>
        <v>1</v>
      </c>
      <c r="G3393" s="116"/>
    </row>
    <row r="3394" spans="1:7" x14ac:dyDescent="0.2">
      <c r="A3394" s="116" t="str">
        <f>IF(ISNUMBER(Tabela2[[#This Row],[CT-e/NFS]])=TRUE,(IF(B3394&gt;30000,4,IF(B3394&lt;1000,"ND",0))),"-")</f>
        <v>ND</v>
      </c>
      <c r="B3394" s="116">
        <v>219</v>
      </c>
      <c r="C3394" s="117">
        <v>45474</v>
      </c>
      <c r="D3394" s="116">
        <v>1208.97</v>
      </c>
      <c r="E3394" s="117">
        <v>45488</v>
      </c>
      <c r="F3394" s="116">
        <f>COUNTIFS($A$3:A11644,A3394,$B$3:B11644,B3394)</f>
        <v>1</v>
      </c>
      <c r="G3394" s="116"/>
    </row>
    <row r="3395" spans="1:7" x14ac:dyDescent="0.2">
      <c r="A3395" s="116" t="str">
        <f>IF(ISNUMBER(Tabela2[[#This Row],[CT-e/NFS]])=TRUE,(IF(B3395&gt;30000,4,IF(B3395&lt;1000,"ND",0))),"-")</f>
        <v>ND</v>
      </c>
      <c r="B3395" s="116">
        <v>220</v>
      </c>
      <c r="C3395" s="117">
        <v>45474</v>
      </c>
      <c r="D3395" s="116">
        <v>1085.8800000000001</v>
      </c>
      <c r="E3395" s="117">
        <v>45488</v>
      </c>
      <c r="F3395" s="116">
        <f>COUNTIFS($A$3:A11645,A3395,$B$3:B11645,B3395)</f>
        <v>1</v>
      </c>
      <c r="G3395" s="116"/>
    </row>
    <row r="3396" spans="1:7" x14ac:dyDescent="0.2">
      <c r="A3396" s="116" t="str">
        <f>IF(ISNUMBER(Tabela2[[#This Row],[CT-e/NFS]])=TRUE,(IF(B3396&gt;30000,4,IF(B3396&lt;1000,"ND",0))),"-")</f>
        <v>ND</v>
      </c>
      <c r="B3396" s="116">
        <v>221</v>
      </c>
      <c r="C3396" s="117">
        <v>45474</v>
      </c>
      <c r="D3396" s="116">
        <v>932.15</v>
      </c>
      <c r="E3396" s="117">
        <v>45488</v>
      </c>
      <c r="F3396" s="116">
        <f>COUNTIFS($A$3:A11646,A3396,$B$3:B11646,B3396)</f>
        <v>1</v>
      </c>
      <c r="G3396" s="116"/>
    </row>
    <row r="3397" spans="1:7" x14ac:dyDescent="0.2">
      <c r="A3397" s="116" t="str">
        <f>IF(ISNUMBER(Tabela2[[#This Row],[CT-e/NFS]])=TRUE,(IF(B3397&gt;30000,4,IF(B3397&lt;1000,"ND",0))),"-")</f>
        <v>ND</v>
      </c>
      <c r="B3397" s="116">
        <v>222</v>
      </c>
      <c r="C3397" s="117">
        <v>45474</v>
      </c>
      <c r="D3397" s="116">
        <v>1216.27</v>
      </c>
      <c r="E3397" s="117">
        <v>45488</v>
      </c>
      <c r="F3397" s="116">
        <f>COUNTIFS($A$3:A11647,A3397,$B$3:B11647,B3397)</f>
        <v>1</v>
      </c>
      <c r="G3397" s="116"/>
    </row>
    <row r="3398" spans="1:7" x14ac:dyDescent="0.2">
      <c r="A3398" s="116" t="str">
        <f>IF(ISNUMBER(Tabela2[[#This Row],[CT-e/NFS]])=TRUE,(IF(B3398&gt;30000,4,IF(B3398&lt;1000,"ND",0))),"-")</f>
        <v>ND</v>
      </c>
      <c r="B3398" s="116">
        <v>223</v>
      </c>
      <c r="C3398" s="117">
        <v>45474</v>
      </c>
      <c r="D3398" s="116">
        <v>568.58000000000004</v>
      </c>
      <c r="E3398" s="117">
        <v>45488</v>
      </c>
      <c r="F3398" s="116">
        <f>COUNTIFS($A$3:A11648,A3398,$B$3:B11648,B3398)</f>
        <v>1</v>
      </c>
      <c r="G3398" s="116"/>
    </row>
    <row r="3399" spans="1:7" x14ac:dyDescent="0.2">
      <c r="A3399" s="116">
        <f>IF(ISNUMBER(Tabela2[[#This Row],[CT-e/NFS]])=TRUE,(IF(B3399&gt;30000,4,IF(B3399&lt;1000,"ND",0))),"-")</f>
        <v>4</v>
      </c>
      <c r="B3399" s="116">
        <v>47871</v>
      </c>
      <c r="C3399" s="117">
        <v>45484</v>
      </c>
      <c r="D3399" s="116">
        <v>1137.73</v>
      </c>
      <c r="E3399" s="117">
        <v>45488</v>
      </c>
      <c r="F3399" s="116">
        <f>COUNTIFS($A$3:A11649,A3399,$B$3:B11649,B3399)</f>
        <v>1</v>
      </c>
      <c r="G3399" s="116"/>
    </row>
    <row r="3400" spans="1:7" x14ac:dyDescent="0.2">
      <c r="A3400" s="116">
        <f>IF(ISNUMBER(Tabela2[[#This Row],[CT-e/NFS]])=TRUE,(IF(B3400&gt;30000,4,IF(B3400&lt;1000,"ND",0))),"-")</f>
        <v>4</v>
      </c>
      <c r="B3400" s="116">
        <v>47875</v>
      </c>
      <c r="C3400" s="117">
        <v>45484</v>
      </c>
      <c r="D3400" s="116">
        <v>125.56</v>
      </c>
      <c r="E3400" s="117">
        <v>45488</v>
      </c>
      <c r="F3400" s="116">
        <f>COUNTIFS($A$3:A11650,A3400,$B$3:B11650,B3400)</f>
        <v>1</v>
      </c>
      <c r="G3400" s="116"/>
    </row>
    <row r="3401" spans="1:7" x14ac:dyDescent="0.2">
      <c r="A3401" s="116">
        <f>IF(ISNUMBER(Tabela2[[#This Row],[CT-e/NFS]])=TRUE,(IF(B3401&gt;30000,4,IF(B3401&lt;1000,"ND",0))),"-")</f>
        <v>4</v>
      </c>
      <c r="B3401" s="116">
        <v>47898</v>
      </c>
      <c r="C3401" s="117">
        <v>45484</v>
      </c>
      <c r="D3401" s="116">
        <v>406.5</v>
      </c>
      <c r="E3401" s="117">
        <v>45488</v>
      </c>
      <c r="F3401" s="116">
        <f>COUNTIFS($A$3:A11651,A3401,$B$3:B11651,B3401)</f>
        <v>1</v>
      </c>
      <c r="G3401" s="116"/>
    </row>
    <row r="3402" spans="1:7" x14ac:dyDescent="0.2">
      <c r="A3402" s="116">
        <f>IF(ISNUMBER(Tabela2[[#This Row],[CT-e/NFS]])=TRUE,(IF(B3402&gt;30000,4,IF(B3402&lt;1000,"ND",0))),"-")</f>
        <v>4</v>
      </c>
      <c r="B3402" s="116">
        <v>47897</v>
      </c>
      <c r="C3402" s="117">
        <v>45484</v>
      </c>
      <c r="D3402" s="116">
        <v>376.89</v>
      </c>
      <c r="E3402" s="117">
        <v>45488</v>
      </c>
      <c r="F3402" s="116">
        <f>COUNTIFS($A$3:A11652,A3402,$B$3:B11652,B3402)</f>
        <v>1</v>
      </c>
      <c r="G3402" s="116"/>
    </row>
    <row r="3403" spans="1:7" x14ac:dyDescent="0.2">
      <c r="A3403" s="116">
        <f>IF(ISNUMBER(Tabela2[[#This Row],[CT-e/NFS]])=TRUE,(IF(B3403&gt;30000,4,IF(B3403&lt;1000,"ND",0))),"-")</f>
        <v>4</v>
      </c>
      <c r="B3403" s="116">
        <v>47876</v>
      </c>
      <c r="C3403" s="117">
        <v>45484</v>
      </c>
      <c r="D3403" s="116">
        <v>1245.6099999999999</v>
      </c>
      <c r="E3403" s="117">
        <v>45488</v>
      </c>
      <c r="F3403" s="116">
        <f>COUNTIFS($A$3:A11653,A3403,$B$3:B11653,B3403)</f>
        <v>1</v>
      </c>
      <c r="G3403" s="116"/>
    </row>
    <row r="3404" spans="1:7" x14ac:dyDescent="0.2">
      <c r="A3404" s="116">
        <f>IF(ISNUMBER(Tabela2[[#This Row],[CT-e/NFS]])=TRUE,(IF(B3404&gt;30000,4,IF(B3404&lt;1000,"ND",0))),"-")</f>
        <v>4</v>
      </c>
      <c r="B3404" s="116">
        <v>47878</v>
      </c>
      <c r="C3404" s="117">
        <v>45484</v>
      </c>
      <c r="D3404" s="116">
        <v>125.86</v>
      </c>
      <c r="E3404" s="117">
        <v>45488</v>
      </c>
      <c r="F3404" s="116">
        <f>COUNTIFS($A$3:A11654,A3404,$B$3:B11654,B3404)</f>
        <v>1</v>
      </c>
      <c r="G3404" s="116"/>
    </row>
    <row r="3405" spans="1:7" x14ac:dyDescent="0.2">
      <c r="A3405" s="116">
        <f>IF(ISNUMBER(Tabela2[[#This Row],[CT-e/NFS]])=TRUE,(IF(B3405&gt;30000,4,IF(B3405&lt;1000,"ND",0))),"-")</f>
        <v>4</v>
      </c>
      <c r="B3405" s="116">
        <v>47877</v>
      </c>
      <c r="C3405" s="117">
        <v>45484</v>
      </c>
      <c r="D3405" s="116">
        <v>125.81</v>
      </c>
      <c r="E3405" s="117">
        <v>45488</v>
      </c>
      <c r="F3405" s="116">
        <f>COUNTIFS($A$3:A11655,A3405,$B$3:B11655,B3405)</f>
        <v>1</v>
      </c>
      <c r="G3405" s="116"/>
    </row>
    <row r="3406" spans="1:7" x14ac:dyDescent="0.2">
      <c r="A3406" s="116">
        <f>IF(ISNUMBER(Tabela2[[#This Row],[CT-e/NFS]])=TRUE,(IF(B3406&gt;30000,4,IF(B3406&lt;1000,"ND",0))),"-")</f>
        <v>4</v>
      </c>
      <c r="B3406" s="116">
        <v>47879</v>
      </c>
      <c r="C3406" s="117">
        <v>45484</v>
      </c>
      <c r="D3406" s="116">
        <v>168.92</v>
      </c>
      <c r="E3406" s="117">
        <v>45488</v>
      </c>
      <c r="F3406" s="116">
        <f>COUNTIFS($A$3:A11656,A3406,$B$3:B11656,B3406)</f>
        <v>1</v>
      </c>
      <c r="G3406" s="116"/>
    </row>
    <row r="3407" spans="1:7" x14ac:dyDescent="0.2">
      <c r="A3407" s="116">
        <f>IF(ISNUMBER(Tabela2[[#This Row],[CT-e/NFS]])=TRUE,(IF(B3407&gt;30000,4,IF(B3407&lt;1000,"ND",0))),"-")</f>
        <v>4</v>
      </c>
      <c r="B3407" s="116">
        <v>47882</v>
      </c>
      <c r="C3407" s="117">
        <v>45484</v>
      </c>
      <c r="D3407" s="116">
        <v>124.03</v>
      </c>
      <c r="E3407" s="117">
        <v>45488</v>
      </c>
      <c r="F3407" s="116">
        <f>COUNTIFS($A$3:A11657,A3407,$B$3:B11657,B3407)</f>
        <v>1</v>
      </c>
      <c r="G3407" s="116"/>
    </row>
    <row r="3408" spans="1:7" x14ac:dyDescent="0.2">
      <c r="A3408" s="116">
        <f>IF(ISNUMBER(Tabela2[[#This Row],[CT-e/NFS]])=TRUE,(IF(B3408&gt;30000,4,IF(B3408&lt;1000,"ND",0))),"-")</f>
        <v>4</v>
      </c>
      <c r="B3408" s="116">
        <v>47895</v>
      </c>
      <c r="C3408" s="117">
        <v>45484</v>
      </c>
      <c r="D3408" s="116">
        <v>124.05</v>
      </c>
      <c r="E3408" s="117">
        <v>45488</v>
      </c>
      <c r="F3408" s="116">
        <f>COUNTIFS($A$3:A11658,A3408,$B$3:B11658,B3408)</f>
        <v>1</v>
      </c>
      <c r="G3408" s="116"/>
    </row>
    <row r="3409" spans="1:7" x14ac:dyDescent="0.2">
      <c r="A3409" s="116">
        <f>IF(ISNUMBER(Tabela2[[#This Row],[CT-e/NFS]])=TRUE,(IF(B3409&gt;30000,4,IF(B3409&lt;1000,"ND",0))),"-")</f>
        <v>4</v>
      </c>
      <c r="B3409" s="116">
        <v>47890</v>
      </c>
      <c r="C3409" s="117">
        <v>45484</v>
      </c>
      <c r="D3409" s="116">
        <v>251.26</v>
      </c>
      <c r="E3409" s="117">
        <v>45488</v>
      </c>
      <c r="F3409" s="116">
        <f>COUNTIFS($A$3:A11659,A3409,$B$3:B11659,B3409)</f>
        <v>1</v>
      </c>
      <c r="G3409" s="116"/>
    </row>
    <row r="3410" spans="1:7" x14ac:dyDescent="0.2">
      <c r="A3410" s="116">
        <f>IF(ISNUMBER(Tabela2[[#This Row],[CT-e/NFS]])=TRUE,(IF(B3410&gt;30000,4,IF(B3410&lt;1000,"ND",0))),"-")</f>
        <v>4</v>
      </c>
      <c r="B3410" s="116">
        <v>47872</v>
      </c>
      <c r="C3410" s="117">
        <v>45484</v>
      </c>
      <c r="D3410" s="116">
        <v>123.52</v>
      </c>
      <c r="E3410" s="117">
        <v>45488</v>
      </c>
      <c r="F3410" s="116">
        <f>COUNTIFS($A$3:A11660,A3410,$B$3:B11660,B3410)</f>
        <v>1</v>
      </c>
      <c r="G3410" s="116"/>
    </row>
    <row r="3411" spans="1:7" x14ac:dyDescent="0.2">
      <c r="A3411" s="116">
        <f>IF(ISNUMBER(Tabela2[[#This Row],[CT-e/NFS]])=TRUE,(IF(B3411&gt;30000,4,IF(B3411&lt;1000,"ND",0))),"-")</f>
        <v>4</v>
      </c>
      <c r="B3411" s="116">
        <v>47889</v>
      </c>
      <c r="C3411" s="117">
        <v>45484</v>
      </c>
      <c r="D3411" s="116">
        <v>126.58</v>
      </c>
      <c r="E3411" s="117">
        <v>45488</v>
      </c>
      <c r="F3411" s="116">
        <f>COUNTIFS($A$3:A11661,A3411,$B$3:B11661,B3411)</f>
        <v>1</v>
      </c>
      <c r="G3411" s="116"/>
    </row>
    <row r="3412" spans="1:7" x14ac:dyDescent="0.2">
      <c r="A3412" s="116">
        <f>IF(ISNUMBER(Tabela2[[#This Row],[CT-e/NFS]])=TRUE,(IF(B3412&gt;30000,4,IF(B3412&lt;1000,"ND",0))),"-")</f>
        <v>4</v>
      </c>
      <c r="B3412" s="116">
        <v>47891</v>
      </c>
      <c r="C3412" s="117">
        <v>45484</v>
      </c>
      <c r="D3412" s="116">
        <v>152.52000000000001</v>
      </c>
      <c r="E3412" s="117">
        <v>45488</v>
      </c>
      <c r="F3412" s="116">
        <f>COUNTIFS($A$3:A11662,A3412,$B$3:B11662,B3412)</f>
        <v>1</v>
      </c>
      <c r="G3412" s="116"/>
    </row>
    <row r="3413" spans="1:7" x14ac:dyDescent="0.2">
      <c r="A3413" s="116">
        <f>IF(ISNUMBER(Tabela2[[#This Row],[CT-e/NFS]])=TRUE,(IF(B3413&gt;30000,4,IF(B3413&lt;1000,"ND",0))),"-")</f>
        <v>4</v>
      </c>
      <c r="B3413" s="116">
        <v>47873</v>
      </c>
      <c r="C3413" s="117">
        <v>45484</v>
      </c>
      <c r="D3413" s="116">
        <v>124.1</v>
      </c>
      <c r="E3413" s="117">
        <v>45488</v>
      </c>
      <c r="F3413" s="116">
        <f>COUNTIFS($A$3:A11663,A3413,$B$3:B11663,B3413)</f>
        <v>1</v>
      </c>
      <c r="G3413" s="116"/>
    </row>
    <row r="3414" spans="1:7" x14ac:dyDescent="0.2">
      <c r="A3414" s="116">
        <f>IF(ISNUMBER(Tabela2[[#This Row],[CT-e/NFS]])=TRUE,(IF(B3414&gt;30000,4,IF(B3414&lt;1000,"ND",0))),"-")</f>
        <v>4</v>
      </c>
      <c r="B3414" s="116">
        <v>47880</v>
      </c>
      <c r="C3414" s="117">
        <v>45484</v>
      </c>
      <c r="D3414" s="116">
        <v>125.56</v>
      </c>
      <c r="E3414" s="117">
        <v>45488</v>
      </c>
      <c r="F3414" s="116">
        <f>COUNTIFS($A$3:A11664,A3414,$B$3:B11664,B3414)</f>
        <v>1</v>
      </c>
      <c r="G3414" s="116"/>
    </row>
    <row r="3415" spans="1:7" x14ac:dyDescent="0.2">
      <c r="A3415" s="116">
        <f>IF(ISNUMBER(Tabela2[[#This Row],[CT-e/NFS]])=TRUE,(IF(B3415&gt;30000,4,IF(B3415&lt;1000,"ND",0))),"-")</f>
        <v>4</v>
      </c>
      <c r="B3415" s="116">
        <v>47888</v>
      </c>
      <c r="C3415" s="117">
        <v>45484</v>
      </c>
      <c r="D3415" s="116">
        <v>139.66999999999999</v>
      </c>
      <c r="E3415" s="117">
        <v>45488</v>
      </c>
      <c r="F3415" s="116">
        <f>COUNTIFS($A$3:A11665,A3415,$B$3:B11665,B3415)</f>
        <v>1</v>
      </c>
      <c r="G3415" s="116"/>
    </row>
    <row r="3416" spans="1:7" x14ac:dyDescent="0.2">
      <c r="A3416" s="116">
        <f>IF(ISNUMBER(Tabela2[[#This Row],[CT-e/NFS]])=TRUE,(IF(B3416&gt;30000,4,IF(B3416&lt;1000,"ND",0))),"-")</f>
        <v>4</v>
      </c>
      <c r="B3416" s="116">
        <v>47894</v>
      </c>
      <c r="C3416" s="117">
        <v>45484</v>
      </c>
      <c r="D3416" s="116">
        <v>125.77</v>
      </c>
      <c r="E3416" s="117">
        <v>45488</v>
      </c>
      <c r="F3416" s="116">
        <f>COUNTIFS($A$3:A11666,A3416,$B$3:B11666,B3416)</f>
        <v>1</v>
      </c>
      <c r="G3416" s="116"/>
    </row>
    <row r="3417" spans="1:7" x14ac:dyDescent="0.2">
      <c r="A3417" s="116">
        <f>IF(ISNUMBER(Tabela2[[#This Row],[CT-e/NFS]])=TRUE,(IF(B3417&gt;30000,4,IF(B3417&lt;1000,"ND",0))),"-")</f>
        <v>4</v>
      </c>
      <c r="B3417" s="116">
        <v>47893</v>
      </c>
      <c r="C3417" s="117">
        <v>45484</v>
      </c>
      <c r="D3417" s="116">
        <v>124.03</v>
      </c>
      <c r="E3417" s="117">
        <v>45488</v>
      </c>
      <c r="F3417" s="116">
        <f>COUNTIFS($A$3:A11667,A3417,$B$3:B11667,B3417)</f>
        <v>1</v>
      </c>
      <c r="G3417" s="116"/>
    </row>
    <row r="3418" spans="1:7" x14ac:dyDescent="0.2">
      <c r="A3418" s="116">
        <f>IF(ISNUMBER(Tabela2[[#This Row],[CT-e/NFS]])=TRUE,(IF(B3418&gt;30000,4,IF(B3418&lt;1000,"ND",0))),"-")</f>
        <v>4</v>
      </c>
      <c r="B3418" s="116">
        <v>47874</v>
      </c>
      <c r="C3418" s="117">
        <v>45484</v>
      </c>
      <c r="D3418" s="116">
        <v>124.03</v>
      </c>
      <c r="E3418" s="117">
        <v>45488</v>
      </c>
      <c r="F3418" s="116">
        <f>COUNTIFS($A$3:A11668,A3418,$B$3:B11668,B3418)</f>
        <v>1</v>
      </c>
      <c r="G3418" s="116"/>
    </row>
    <row r="3419" spans="1:7" x14ac:dyDescent="0.2">
      <c r="A3419" s="116">
        <f>IF(ISNUMBER(Tabela2[[#This Row],[CT-e/NFS]])=TRUE,(IF(B3419&gt;30000,4,IF(B3419&lt;1000,"ND",0))),"-")</f>
        <v>4</v>
      </c>
      <c r="B3419" s="116">
        <v>47902</v>
      </c>
      <c r="C3419" s="117">
        <v>45484</v>
      </c>
      <c r="D3419" s="116">
        <v>61.45</v>
      </c>
      <c r="E3419" s="117">
        <v>45488</v>
      </c>
      <c r="F3419" s="116">
        <f>COUNTIFS($A$3:A11669,A3419,$B$3:B11669,B3419)</f>
        <v>1</v>
      </c>
      <c r="G3419" s="116"/>
    </row>
    <row r="3420" spans="1:7" x14ac:dyDescent="0.2">
      <c r="A3420" s="116">
        <f>IF(ISNUMBER(Tabela2[[#This Row],[CT-e/NFS]])=TRUE,(IF(B3420&gt;30000,4,IF(B3420&lt;1000,"ND",0))),"-")</f>
        <v>4</v>
      </c>
      <c r="B3420" s="116">
        <v>47903</v>
      </c>
      <c r="C3420" s="117">
        <v>45484</v>
      </c>
      <c r="D3420" s="116">
        <v>110.65</v>
      </c>
      <c r="E3420" s="117">
        <v>45488</v>
      </c>
      <c r="F3420" s="116">
        <f>COUNTIFS($A$3:A11670,A3420,$B$3:B11670,B3420)</f>
        <v>1</v>
      </c>
      <c r="G3420" s="116"/>
    </row>
    <row r="3421" spans="1:7" x14ac:dyDescent="0.2">
      <c r="A3421" s="116">
        <f>IF(ISNUMBER(Tabela2[[#This Row],[CT-e/NFS]])=TRUE,(IF(B3421&gt;30000,4,IF(B3421&lt;1000,"ND",0))),"-")</f>
        <v>4</v>
      </c>
      <c r="B3421" s="116">
        <v>47892</v>
      </c>
      <c r="C3421" s="117">
        <v>45484</v>
      </c>
      <c r="D3421" s="116">
        <v>124.16</v>
      </c>
      <c r="E3421" s="117">
        <v>45488</v>
      </c>
      <c r="F3421" s="116">
        <f>COUNTIFS($A$3:A11671,A3421,$B$3:B11671,B3421)</f>
        <v>1</v>
      </c>
      <c r="G3421" s="116"/>
    </row>
    <row r="3422" spans="1:7" x14ac:dyDescent="0.2">
      <c r="A3422" s="116">
        <f>IF(ISNUMBER(Tabela2[[#This Row],[CT-e/NFS]])=TRUE,(IF(B3422&gt;30000,4,IF(B3422&lt;1000,"ND",0))),"-")</f>
        <v>4</v>
      </c>
      <c r="B3422" s="116">
        <v>47900</v>
      </c>
      <c r="C3422" s="117">
        <v>45484</v>
      </c>
      <c r="D3422" s="116">
        <v>482.07</v>
      </c>
      <c r="E3422" s="117">
        <v>45488</v>
      </c>
      <c r="F3422" s="116">
        <f>COUNTIFS($A$3:A11672,A3422,$B$3:B11672,B3422)</f>
        <v>1</v>
      </c>
      <c r="G3422" s="116"/>
    </row>
    <row r="3423" spans="1:7" x14ac:dyDescent="0.2">
      <c r="A3423" s="116">
        <f>IF(ISNUMBER(Tabela2[[#This Row],[CT-e/NFS]])=TRUE,(IF(B3423&gt;30000,4,IF(B3423&lt;1000,"ND",0))),"-")</f>
        <v>4</v>
      </c>
      <c r="B3423" s="116">
        <v>47899</v>
      </c>
      <c r="C3423" s="117">
        <v>45484</v>
      </c>
      <c r="D3423" s="116">
        <v>785.57</v>
      </c>
      <c r="E3423" s="117">
        <v>45488</v>
      </c>
      <c r="F3423" s="116">
        <f>COUNTIFS($A$3:A11673,A3423,$B$3:B11673,B3423)</f>
        <v>1</v>
      </c>
      <c r="G3423" s="116"/>
    </row>
    <row r="3424" spans="1:7" x14ac:dyDescent="0.2">
      <c r="A3424" s="116">
        <f>IF(ISNUMBER(Tabela2[[#This Row],[CT-e/NFS]])=TRUE,(IF(B3424&gt;30000,4,IF(B3424&lt;1000,"ND",0))),"-")</f>
        <v>4</v>
      </c>
      <c r="B3424" s="116">
        <v>47907</v>
      </c>
      <c r="C3424" s="117">
        <v>45484</v>
      </c>
      <c r="D3424" s="116">
        <v>123.89</v>
      </c>
      <c r="E3424" s="117">
        <v>45488</v>
      </c>
      <c r="F3424" s="116">
        <f>COUNTIFS($A$3:A11674,A3424,$B$3:B11674,B3424)</f>
        <v>1</v>
      </c>
      <c r="G3424" s="116"/>
    </row>
    <row r="3425" spans="1:7" x14ac:dyDescent="0.2">
      <c r="A3425" s="116">
        <f>IF(ISNUMBER(Tabela2[[#This Row],[CT-e/NFS]])=TRUE,(IF(B3425&gt;30000,4,IF(B3425&lt;1000,"ND",0))),"-")</f>
        <v>4</v>
      </c>
      <c r="B3425" s="116">
        <v>47905</v>
      </c>
      <c r="C3425" s="117">
        <v>45484</v>
      </c>
      <c r="D3425" s="116">
        <v>126.65</v>
      </c>
      <c r="E3425" s="117">
        <v>45488</v>
      </c>
      <c r="F3425" s="116">
        <f>COUNTIFS($A$3:A11675,A3425,$B$3:B11675,B3425)</f>
        <v>1</v>
      </c>
      <c r="G3425" s="116"/>
    </row>
    <row r="3426" spans="1:7" x14ac:dyDescent="0.2">
      <c r="A3426" s="116">
        <f>IF(ISNUMBER(Tabela2[[#This Row],[CT-e/NFS]])=TRUE,(IF(B3426&gt;30000,4,IF(B3426&lt;1000,"ND",0))),"-")</f>
        <v>4</v>
      </c>
      <c r="B3426" s="116">
        <v>47906</v>
      </c>
      <c r="C3426" s="117">
        <v>45484</v>
      </c>
      <c r="D3426" s="116">
        <v>123.89</v>
      </c>
      <c r="E3426" s="117">
        <v>45488</v>
      </c>
      <c r="F3426" s="116">
        <f>COUNTIFS($A$3:A11676,A3426,$B$3:B11676,B3426)</f>
        <v>1</v>
      </c>
      <c r="G3426" s="116"/>
    </row>
    <row r="3427" spans="1:7" x14ac:dyDescent="0.2">
      <c r="A3427" s="116">
        <f>IF(ISNUMBER(Tabela2[[#This Row],[CT-e/NFS]])=TRUE,(IF(B3427&gt;30000,4,IF(B3427&lt;1000,"ND",0))),"-")</f>
        <v>4</v>
      </c>
      <c r="B3427" s="116">
        <v>47911</v>
      </c>
      <c r="C3427" s="117">
        <v>45484</v>
      </c>
      <c r="D3427" s="116">
        <v>125.25</v>
      </c>
      <c r="E3427" s="117">
        <v>45488</v>
      </c>
      <c r="F3427" s="116">
        <f>COUNTIFS($A$3:A11677,A3427,$B$3:B11677,B3427)</f>
        <v>1</v>
      </c>
      <c r="G3427" s="116"/>
    </row>
    <row r="3428" spans="1:7" x14ac:dyDescent="0.2">
      <c r="A3428" s="116">
        <f>IF(ISNUMBER(Tabela2[[#This Row],[CT-e/NFS]])=TRUE,(IF(B3428&gt;30000,4,IF(B3428&lt;1000,"ND",0))),"-")</f>
        <v>4</v>
      </c>
      <c r="B3428" s="116">
        <v>47913</v>
      </c>
      <c r="C3428" s="117">
        <v>45484</v>
      </c>
      <c r="D3428" s="116">
        <v>125.34</v>
      </c>
      <c r="E3428" s="117">
        <v>45488</v>
      </c>
      <c r="F3428" s="116">
        <f>COUNTIFS($A$3:A11678,A3428,$B$3:B11678,B3428)</f>
        <v>1</v>
      </c>
      <c r="G3428" s="116"/>
    </row>
    <row r="3429" spans="1:7" x14ac:dyDescent="0.2">
      <c r="A3429" s="116">
        <f>IF(ISNUMBER(Tabela2[[#This Row],[CT-e/NFS]])=TRUE,(IF(B3429&gt;30000,4,IF(B3429&lt;1000,"ND",0))),"-")</f>
        <v>4</v>
      </c>
      <c r="B3429" s="116">
        <v>47912</v>
      </c>
      <c r="C3429" s="117">
        <v>45484</v>
      </c>
      <c r="D3429" s="116">
        <v>243.8</v>
      </c>
      <c r="E3429" s="117">
        <v>45488</v>
      </c>
      <c r="F3429" s="116">
        <f>COUNTIFS($A$3:A11679,A3429,$B$3:B11679,B3429)</f>
        <v>1</v>
      </c>
      <c r="G3429" s="116"/>
    </row>
    <row r="3430" spans="1:7" x14ac:dyDescent="0.2">
      <c r="A3430" s="116">
        <f>IF(ISNUMBER(Tabela2[[#This Row],[CT-e/NFS]])=TRUE,(IF(B3430&gt;30000,4,IF(B3430&lt;1000,"ND",0))),"-")</f>
        <v>4</v>
      </c>
      <c r="B3430" s="116">
        <v>47914</v>
      </c>
      <c r="C3430" s="117">
        <v>45484</v>
      </c>
      <c r="D3430" s="116">
        <v>217.69</v>
      </c>
      <c r="E3430" s="117">
        <v>45488</v>
      </c>
      <c r="F3430" s="116">
        <f>COUNTIFS($A$3:A11680,A3430,$B$3:B11680,B3430)</f>
        <v>1</v>
      </c>
      <c r="G3430" s="116"/>
    </row>
    <row r="3431" spans="1:7" x14ac:dyDescent="0.2">
      <c r="A3431" s="116">
        <f>IF(ISNUMBER(Tabela2[[#This Row],[CT-e/NFS]])=TRUE,(IF(B3431&gt;30000,4,IF(B3431&lt;1000,"ND",0))),"-")</f>
        <v>4</v>
      </c>
      <c r="B3431" s="116">
        <v>47915</v>
      </c>
      <c r="C3431" s="117">
        <v>45484</v>
      </c>
      <c r="D3431" s="116">
        <v>126.23</v>
      </c>
      <c r="E3431" s="117">
        <v>45488</v>
      </c>
      <c r="F3431" s="116">
        <f>COUNTIFS($A$3:A11681,A3431,$B$3:B11681,B3431)</f>
        <v>1</v>
      </c>
      <c r="G3431" s="116"/>
    </row>
    <row r="3432" spans="1:7" x14ac:dyDescent="0.2">
      <c r="A3432" s="116">
        <f>IF(ISNUMBER(Tabela2[[#This Row],[CT-e/NFS]])=TRUE,(IF(B3432&gt;30000,4,IF(B3432&lt;1000,"ND",0))),"-")</f>
        <v>4</v>
      </c>
      <c r="B3432" s="116">
        <v>47919</v>
      </c>
      <c r="C3432" s="117">
        <v>45484</v>
      </c>
      <c r="D3432" s="116">
        <v>123.51</v>
      </c>
      <c r="E3432" s="117">
        <v>45488</v>
      </c>
      <c r="F3432" s="116">
        <f>COUNTIFS($A$3:A11682,A3432,$B$3:B11682,B3432)</f>
        <v>1</v>
      </c>
      <c r="G3432" s="116"/>
    </row>
    <row r="3433" spans="1:7" x14ac:dyDescent="0.2">
      <c r="A3433" s="116">
        <f>IF(ISNUMBER(Tabela2[[#This Row],[CT-e/NFS]])=TRUE,(IF(B3433&gt;30000,4,IF(B3433&lt;1000,"ND",0))),"-")</f>
        <v>4</v>
      </c>
      <c r="B3433" s="116">
        <v>47916</v>
      </c>
      <c r="C3433" s="117">
        <v>45484</v>
      </c>
      <c r="D3433" s="116">
        <v>1010.52</v>
      </c>
      <c r="E3433" s="117">
        <v>45488</v>
      </c>
      <c r="F3433" s="116">
        <f>COUNTIFS($A$3:A11683,A3433,$B$3:B11683,B3433)</f>
        <v>1</v>
      </c>
      <c r="G3433" s="116"/>
    </row>
    <row r="3434" spans="1:7" x14ac:dyDescent="0.2">
      <c r="A3434" s="116">
        <f>IF(ISNUMBER(Tabela2[[#This Row],[CT-e/NFS]])=TRUE,(IF(B3434&gt;30000,4,IF(B3434&lt;1000,"ND",0))),"-")</f>
        <v>4</v>
      </c>
      <c r="B3434" s="116">
        <v>47921</v>
      </c>
      <c r="C3434" s="117">
        <v>45484</v>
      </c>
      <c r="D3434" s="116">
        <v>124.24</v>
      </c>
      <c r="E3434" s="117">
        <v>45488</v>
      </c>
      <c r="F3434" s="116">
        <f>COUNTIFS($A$3:A11684,A3434,$B$3:B11684,B3434)</f>
        <v>1</v>
      </c>
      <c r="G3434" s="116"/>
    </row>
    <row r="3435" spans="1:7" x14ac:dyDescent="0.2">
      <c r="A3435" s="116">
        <f>IF(ISNUMBER(Tabela2[[#This Row],[CT-e/NFS]])=TRUE,(IF(B3435&gt;30000,4,IF(B3435&lt;1000,"ND",0))),"-")</f>
        <v>4</v>
      </c>
      <c r="B3435" s="116">
        <v>47922</v>
      </c>
      <c r="C3435" s="117">
        <v>45484</v>
      </c>
      <c r="D3435" s="116">
        <v>122.77</v>
      </c>
      <c r="E3435" s="117">
        <v>45488</v>
      </c>
      <c r="F3435" s="116">
        <f>COUNTIFS($A$3:A11685,A3435,$B$3:B11685,B3435)</f>
        <v>1</v>
      </c>
      <c r="G3435" s="116"/>
    </row>
    <row r="3436" spans="1:7" x14ac:dyDescent="0.2">
      <c r="A3436" s="116">
        <f>IF(ISNUMBER(Tabela2[[#This Row],[CT-e/NFS]])=TRUE,(IF(B3436&gt;30000,4,IF(B3436&lt;1000,"ND",0))),"-")</f>
        <v>4</v>
      </c>
      <c r="B3436" s="116">
        <v>47924</v>
      </c>
      <c r="C3436" s="117">
        <v>45484</v>
      </c>
      <c r="D3436" s="116">
        <v>126.19</v>
      </c>
      <c r="E3436" s="117">
        <v>45488</v>
      </c>
      <c r="F3436" s="116">
        <f>COUNTIFS($A$3:A11686,A3436,$B$3:B11686,B3436)</f>
        <v>1</v>
      </c>
      <c r="G3436" s="116"/>
    </row>
    <row r="3437" spans="1:7" x14ac:dyDescent="0.2">
      <c r="A3437" s="116">
        <f>IF(ISNUMBER(Tabela2[[#This Row],[CT-e/NFS]])=TRUE,(IF(B3437&gt;30000,4,IF(B3437&lt;1000,"ND",0))),"-")</f>
        <v>4</v>
      </c>
      <c r="B3437" s="116">
        <v>47925</v>
      </c>
      <c r="C3437" s="117">
        <v>45484</v>
      </c>
      <c r="D3437" s="116">
        <v>123.19</v>
      </c>
      <c r="E3437" s="117">
        <v>45488</v>
      </c>
      <c r="F3437" s="116">
        <f>COUNTIFS($A$3:A11687,A3437,$B$3:B11687,B3437)</f>
        <v>1</v>
      </c>
      <c r="G3437" s="116"/>
    </row>
    <row r="3438" spans="1:7" x14ac:dyDescent="0.2">
      <c r="A3438" s="116">
        <f>IF(ISNUMBER(Tabela2[[#This Row],[CT-e/NFS]])=TRUE,(IF(B3438&gt;30000,4,IF(B3438&lt;1000,"ND",0))),"-")</f>
        <v>4</v>
      </c>
      <c r="B3438" s="116">
        <v>47923</v>
      </c>
      <c r="C3438" s="117">
        <v>45484</v>
      </c>
      <c r="D3438" s="116">
        <v>254.22</v>
      </c>
      <c r="E3438" s="117">
        <v>45488</v>
      </c>
      <c r="F3438" s="116">
        <f>COUNTIFS($A$3:A11688,A3438,$B$3:B11688,B3438)</f>
        <v>1</v>
      </c>
      <c r="G3438" s="116"/>
    </row>
    <row r="3439" spans="1:7" x14ac:dyDescent="0.2">
      <c r="A3439" s="116">
        <f>IF(ISNUMBER(Tabela2[[#This Row],[CT-e/NFS]])=TRUE,(IF(B3439&gt;30000,4,IF(B3439&lt;1000,"ND",0))),"-")</f>
        <v>4</v>
      </c>
      <c r="B3439" s="116">
        <v>47949</v>
      </c>
      <c r="C3439" s="117">
        <v>45484</v>
      </c>
      <c r="D3439" s="116">
        <v>312.83</v>
      </c>
      <c r="E3439" s="117">
        <v>45488</v>
      </c>
      <c r="F3439" s="116">
        <f>COUNTIFS($A$3:A11689,A3439,$B$3:B11689,B3439)</f>
        <v>1</v>
      </c>
      <c r="G3439" s="116"/>
    </row>
    <row r="3440" spans="1:7" x14ac:dyDescent="0.2">
      <c r="A3440" s="116">
        <f>IF(ISNUMBER(Tabela2[[#This Row],[CT-e/NFS]])=TRUE,(IF(B3440&gt;30000,4,IF(B3440&lt;1000,"ND",0))),"-")</f>
        <v>4</v>
      </c>
      <c r="B3440" s="116">
        <v>47948</v>
      </c>
      <c r="C3440" s="117">
        <v>45484</v>
      </c>
      <c r="D3440" s="116">
        <v>1128.4100000000001</v>
      </c>
      <c r="E3440" s="117">
        <v>45488</v>
      </c>
      <c r="F3440" s="116">
        <f>COUNTIFS($A$3:A11690,A3440,$B$3:B11690,B3440)</f>
        <v>1</v>
      </c>
      <c r="G3440" s="116"/>
    </row>
    <row r="3441" spans="1:7" x14ac:dyDescent="0.2">
      <c r="A3441" s="116">
        <f>IF(ISNUMBER(Tabela2[[#This Row],[CT-e/NFS]])=TRUE,(IF(B3441&gt;30000,4,IF(B3441&lt;1000,"ND",0))),"-")</f>
        <v>4</v>
      </c>
      <c r="B3441" s="116">
        <v>47947</v>
      </c>
      <c r="C3441" s="117">
        <v>45484</v>
      </c>
      <c r="D3441" s="116">
        <v>317.06</v>
      </c>
      <c r="E3441" s="117">
        <v>45488</v>
      </c>
      <c r="F3441" s="116">
        <f>COUNTIFS($A$3:A11691,A3441,$B$3:B11691,B3441)</f>
        <v>1</v>
      </c>
      <c r="G3441" s="116"/>
    </row>
    <row r="3442" spans="1:7" x14ac:dyDescent="0.2">
      <c r="A3442" s="116">
        <f>IF(ISNUMBER(Tabela2[[#This Row],[CT-e/NFS]])=TRUE,(IF(B3442&gt;30000,4,IF(B3442&lt;1000,"ND",0))),"-")</f>
        <v>4</v>
      </c>
      <c r="B3442" s="116">
        <v>47951</v>
      </c>
      <c r="C3442" s="117">
        <v>45484</v>
      </c>
      <c r="D3442" s="116">
        <v>412.42</v>
      </c>
      <c r="E3442" s="117">
        <v>45488</v>
      </c>
      <c r="F3442" s="116">
        <f>COUNTIFS($A$3:A11692,A3442,$B$3:B11692,B3442)</f>
        <v>1</v>
      </c>
      <c r="G3442" s="116"/>
    </row>
    <row r="3443" spans="1:7" x14ac:dyDescent="0.2">
      <c r="A3443" s="116">
        <f>IF(ISNUMBER(Tabela2[[#This Row],[CT-e/NFS]])=TRUE,(IF(B3443&gt;30000,4,IF(B3443&lt;1000,"ND",0))),"-")</f>
        <v>4</v>
      </c>
      <c r="B3443" s="116">
        <v>47950</v>
      </c>
      <c r="C3443" s="117">
        <v>45484</v>
      </c>
      <c r="D3443" s="116">
        <v>358.44</v>
      </c>
      <c r="E3443" s="117">
        <v>45488</v>
      </c>
      <c r="F3443" s="116">
        <f>COUNTIFS($A$3:A11693,A3443,$B$3:B11693,B3443)</f>
        <v>1</v>
      </c>
      <c r="G3443" s="116"/>
    </row>
    <row r="3444" spans="1:7" x14ac:dyDescent="0.2">
      <c r="A3444" s="116">
        <f>IF(ISNUMBER(Tabela2[[#This Row],[CT-e/NFS]])=TRUE,(IF(B3444&gt;30000,4,IF(B3444&lt;1000,"ND",0))),"-")</f>
        <v>4</v>
      </c>
      <c r="B3444" s="116">
        <v>47952</v>
      </c>
      <c r="C3444" s="117">
        <v>45484</v>
      </c>
      <c r="D3444" s="116">
        <v>448.53</v>
      </c>
      <c r="E3444" s="117">
        <v>45488</v>
      </c>
      <c r="F3444" s="116">
        <f>COUNTIFS($A$3:A11694,A3444,$B$3:B11694,B3444)</f>
        <v>1</v>
      </c>
      <c r="G3444" s="116"/>
    </row>
    <row r="3445" spans="1:7" x14ac:dyDescent="0.2">
      <c r="A3445" s="116">
        <f>IF(ISNUMBER(Tabela2[[#This Row],[CT-e/NFS]])=TRUE,(IF(B3445&gt;30000,4,IF(B3445&lt;1000,"ND",0))),"-")</f>
        <v>4</v>
      </c>
      <c r="B3445" s="116">
        <v>47904</v>
      </c>
      <c r="C3445" s="117">
        <v>45484</v>
      </c>
      <c r="D3445" s="116">
        <v>395.8</v>
      </c>
      <c r="E3445" s="117">
        <v>45488</v>
      </c>
      <c r="F3445" s="116">
        <f>COUNTIFS($A$3:A11695,A3445,$B$3:B11695,B3445)</f>
        <v>1</v>
      </c>
      <c r="G3445" s="116"/>
    </row>
    <row r="3446" spans="1:7" x14ac:dyDescent="0.2">
      <c r="A3446" s="116">
        <f>IF(ISNUMBER(Tabela2[[#This Row],[CT-e/NFS]])=TRUE,(IF(B3446&gt;30000,4,IF(B3446&lt;1000,"ND",0))),"-")</f>
        <v>4</v>
      </c>
      <c r="B3446" s="116">
        <v>47920</v>
      </c>
      <c r="C3446" s="117">
        <v>45484</v>
      </c>
      <c r="D3446" s="116">
        <v>17049.91</v>
      </c>
      <c r="E3446" s="117">
        <v>45488</v>
      </c>
      <c r="F3446" s="116">
        <f>COUNTIFS($A$3:A11696,A3446,$B$3:B11696,B3446)</f>
        <v>1</v>
      </c>
      <c r="G3446" s="116"/>
    </row>
    <row r="3447" spans="1:7" x14ac:dyDescent="0.2">
      <c r="A3447" s="116">
        <f>IF(ISNUMBER(Tabela2[[#This Row],[CT-e/NFS]])=TRUE,(IF(B3447&gt;30000,4,IF(B3447&lt;1000,"ND",0))),"-")</f>
        <v>0</v>
      </c>
      <c r="B3447" s="116">
        <v>21724</v>
      </c>
      <c r="C3447" s="117">
        <v>45484</v>
      </c>
      <c r="D3447" s="116">
        <v>75.67</v>
      </c>
      <c r="E3447" s="117">
        <v>45488</v>
      </c>
      <c r="F3447" s="116">
        <f>COUNTIFS($A$3:A11697,A3447,$B$3:B11697,B3447)</f>
        <v>1</v>
      </c>
      <c r="G3447" s="116"/>
    </row>
    <row r="3448" spans="1:7" x14ac:dyDescent="0.2">
      <c r="A3448" s="116">
        <f>IF(ISNUMBER(Tabela2[[#This Row],[CT-e/NFS]])=TRUE,(IF(B3448&gt;30000,4,IF(B3448&lt;1000,"ND",0))),"-")</f>
        <v>0</v>
      </c>
      <c r="B3448" s="116">
        <v>21755</v>
      </c>
      <c r="C3448" s="117">
        <v>45484</v>
      </c>
      <c r="D3448" s="116">
        <v>76.849999999999994</v>
      </c>
      <c r="E3448" s="117">
        <v>45488</v>
      </c>
      <c r="F3448" s="116">
        <f>COUNTIFS($A$3:A11698,A3448,$B$3:B11698,B3448)</f>
        <v>1</v>
      </c>
      <c r="G3448" s="116"/>
    </row>
    <row r="3449" spans="1:7" x14ac:dyDescent="0.2">
      <c r="A3449" s="116">
        <f>IF(ISNUMBER(Tabela2[[#This Row],[CT-e/NFS]])=TRUE,(IF(B3449&gt;30000,4,IF(B3449&lt;1000,"ND",0))),"-")</f>
        <v>0</v>
      </c>
      <c r="B3449" s="116">
        <v>21754</v>
      </c>
      <c r="C3449" s="117">
        <v>45484</v>
      </c>
      <c r="D3449" s="116">
        <v>76.44</v>
      </c>
      <c r="E3449" s="117">
        <v>45488</v>
      </c>
      <c r="F3449" s="116">
        <f>COUNTIFS($A$3:A11699,A3449,$B$3:B11699,B3449)</f>
        <v>1</v>
      </c>
      <c r="G3449" s="116"/>
    </row>
    <row r="3450" spans="1:7" x14ac:dyDescent="0.2">
      <c r="A3450" s="116">
        <f>IF(ISNUMBER(Tabela2[[#This Row],[CT-e/NFS]])=TRUE,(IF(B3450&gt;30000,4,IF(B3450&lt;1000,"ND",0))),"-")</f>
        <v>0</v>
      </c>
      <c r="B3450" s="116">
        <v>21751</v>
      </c>
      <c r="C3450" s="117">
        <v>45484</v>
      </c>
      <c r="D3450" s="116">
        <v>76.28</v>
      </c>
      <c r="E3450" s="117">
        <v>45488</v>
      </c>
      <c r="F3450" s="116">
        <f>COUNTIFS($A$3:A11700,A3450,$B$3:B11700,B3450)</f>
        <v>1</v>
      </c>
      <c r="G3450" s="116"/>
    </row>
    <row r="3451" spans="1:7" x14ac:dyDescent="0.2">
      <c r="A3451" s="116">
        <f>IF(ISNUMBER(Tabela2[[#This Row],[CT-e/NFS]])=TRUE,(IF(B3451&gt;30000,4,IF(B3451&lt;1000,"ND",0))),"-")</f>
        <v>0</v>
      </c>
      <c r="B3451" s="116">
        <v>21752</v>
      </c>
      <c r="C3451" s="117">
        <v>45484</v>
      </c>
      <c r="D3451" s="116">
        <v>77.599999999999994</v>
      </c>
      <c r="E3451" s="117">
        <v>45488</v>
      </c>
      <c r="F3451" s="116">
        <f>COUNTIFS($A$3:A11701,A3451,$B$3:B11701,B3451)</f>
        <v>1</v>
      </c>
      <c r="G3451" s="116"/>
    </row>
    <row r="3452" spans="1:7" x14ac:dyDescent="0.2">
      <c r="A3452" s="116">
        <f>IF(ISNUMBER(Tabela2[[#This Row],[CT-e/NFS]])=TRUE,(IF(B3452&gt;30000,4,IF(B3452&lt;1000,"ND",0))),"-")</f>
        <v>0</v>
      </c>
      <c r="B3452" s="116">
        <v>21748</v>
      </c>
      <c r="C3452" s="117">
        <v>45484</v>
      </c>
      <c r="D3452" s="116">
        <v>76.2</v>
      </c>
      <c r="E3452" s="117">
        <v>45488</v>
      </c>
      <c r="F3452" s="116">
        <f>COUNTIFS($A$3:A11702,A3452,$B$3:B11702,B3452)</f>
        <v>1</v>
      </c>
      <c r="G3452" s="116"/>
    </row>
    <row r="3453" spans="1:7" x14ac:dyDescent="0.2">
      <c r="A3453" s="116">
        <f>IF(ISNUMBER(Tabela2[[#This Row],[CT-e/NFS]])=TRUE,(IF(B3453&gt;30000,4,IF(B3453&lt;1000,"ND",0))),"-")</f>
        <v>0</v>
      </c>
      <c r="B3453" s="116">
        <v>21750</v>
      </c>
      <c r="C3453" s="117">
        <v>45484</v>
      </c>
      <c r="D3453" s="116">
        <v>76.959999999999994</v>
      </c>
      <c r="E3453" s="117">
        <v>45488</v>
      </c>
      <c r="F3453" s="116">
        <f>COUNTIFS($A$3:A11703,A3453,$B$3:B11703,B3453)</f>
        <v>1</v>
      </c>
      <c r="G3453" s="116"/>
    </row>
    <row r="3454" spans="1:7" x14ac:dyDescent="0.2">
      <c r="A3454" s="116">
        <f>IF(ISNUMBER(Tabela2[[#This Row],[CT-e/NFS]])=TRUE,(IF(B3454&gt;30000,4,IF(B3454&lt;1000,"ND",0))),"-")</f>
        <v>0</v>
      </c>
      <c r="B3454" s="116">
        <v>21747</v>
      </c>
      <c r="C3454" s="117">
        <v>45484</v>
      </c>
      <c r="D3454" s="116">
        <v>136.38</v>
      </c>
      <c r="E3454" s="117">
        <v>45488</v>
      </c>
      <c r="F3454" s="116">
        <f>COUNTIFS($A$3:A11704,A3454,$B$3:B11704,B3454)</f>
        <v>1</v>
      </c>
      <c r="G3454" s="116"/>
    </row>
    <row r="3455" spans="1:7" x14ac:dyDescent="0.2">
      <c r="A3455" s="116">
        <f>IF(ISNUMBER(Tabela2[[#This Row],[CT-e/NFS]])=TRUE,(IF(B3455&gt;30000,4,IF(B3455&lt;1000,"ND",0))),"-")</f>
        <v>0</v>
      </c>
      <c r="B3455" s="116">
        <v>21746</v>
      </c>
      <c r="C3455" s="117">
        <v>45484</v>
      </c>
      <c r="D3455" s="116">
        <v>75.599999999999994</v>
      </c>
      <c r="E3455" s="117">
        <v>45488</v>
      </c>
      <c r="F3455" s="116">
        <f>COUNTIFS($A$3:A11705,A3455,$B$3:B11705,B3455)</f>
        <v>1</v>
      </c>
      <c r="G3455" s="116"/>
    </row>
    <row r="3456" spans="1:7" x14ac:dyDescent="0.2">
      <c r="A3456" s="116">
        <f>IF(ISNUMBER(Tabela2[[#This Row],[CT-e/NFS]])=TRUE,(IF(B3456&gt;30000,4,IF(B3456&lt;1000,"ND",0))),"-")</f>
        <v>0</v>
      </c>
      <c r="B3456" s="116">
        <v>21744</v>
      </c>
      <c r="C3456" s="117">
        <v>45484</v>
      </c>
      <c r="D3456" s="116">
        <v>76.349999999999994</v>
      </c>
      <c r="E3456" s="117">
        <v>45488</v>
      </c>
      <c r="F3456" s="116">
        <f>COUNTIFS($A$3:A11706,A3456,$B$3:B11706,B3456)</f>
        <v>1</v>
      </c>
      <c r="G3456" s="116"/>
    </row>
    <row r="3457" spans="1:7" x14ac:dyDescent="0.2">
      <c r="A3457" s="116">
        <f>IF(ISNUMBER(Tabela2[[#This Row],[CT-e/NFS]])=TRUE,(IF(B3457&gt;30000,4,IF(B3457&lt;1000,"ND",0))),"-")</f>
        <v>0</v>
      </c>
      <c r="B3457" s="116">
        <v>21745</v>
      </c>
      <c r="C3457" s="117">
        <v>45484</v>
      </c>
      <c r="D3457" s="116">
        <v>77.260000000000005</v>
      </c>
      <c r="E3457" s="117">
        <v>45488</v>
      </c>
      <c r="F3457" s="116">
        <f>COUNTIFS($A$3:A11707,A3457,$B$3:B11707,B3457)</f>
        <v>1</v>
      </c>
      <c r="G3457" s="116"/>
    </row>
    <row r="3458" spans="1:7" x14ac:dyDescent="0.2">
      <c r="A3458" s="116">
        <f>IF(ISNUMBER(Tabela2[[#This Row],[CT-e/NFS]])=TRUE,(IF(B3458&gt;30000,4,IF(B3458&lt;1000,"ND",0))),"-")</f>
        <v>0</v>
      </c>
      <c r="B3458" s="116">
        <v>21743</v>
      </c>
      <c r="C3458" s="117">
        <v>45484</v>
      </c>
      <c r="D3458" s="116">
        <v>76.349999999999994</v>
      </c>
      <c r="E3458" s="117">
        <v>45488</v>
      </c>
      <c r="F3458" s="116">
        <f>COUNTIFS($A$3:A11708,A3458,$B$3:B11708,B3458)</f>
        <v>1</v>
      </c>
      <c r="G3458" s="116"/>
    </row>
    <row r="3459" spans="1:7" x14ac:dyDescent="0.2">
      <c r="A3459" s="116">
        <f>IF(ISNUMBER(Tabela2[[#This Row],[CT-e/NFS]])=TRUE,(IF(B3459&gt;30000,4,IF(B3459&lt;1000,"ND",0))),"-")</f>
        <v>0</v>
      </c>
      <c r="B3459" s="116">
        <v>21742</v>
      </c>
      <c r="C3459" s="117">
        <v>45484</v>
      </c>
      <c r="D3459" s="116">
        <v>500.6</v>
      </c>
      <c r="E3459" s="117">
        <v>45488</v>
      </c>
      <c r="F3459" s="116">
        <f>COUNTIFS($A$3:A11709,A3459,$B$3:B11709,B3459)</f>
        <v>1</v>
      </c>
      <c r="G3459" s="116"/>
    </row>
    <row r="3460" spans="1:7" x14ac:dyDescent="0.2">
      <c r="A3460" s="116">
        <f>IF(ISNUMBER(Tabela2[[#This Row],[CT-e/NFS]])=TRUE,(IF(B3460&gt;30000,4,IF(B3460&lt;1000,"ND",0))),"-")</f>
        <v>0</v>
      </c>
      <c r="B3460" s="116">
        <v>21741</v>
      </c>
      <c r="C3460" s="117">
        <v>45484</v>
      </c>
      <c r="D3460" s="116">
        <v>139.25</v>
      </c>
      <c r="E3460" s="117">
        <v>45488</v>
      </c>
      <c r="F3460" s="116">
        <f>COUNTIFS($A$3:A11710,A3460,$B$3:B11710,B3460)</f>
        <v>1</v>
      </c>
      <c r="G3460" s="116"/>
    </row>
    <row r="3461" spans="1:7" x14ac:dyDescent="0.2">
      <c r="A3461" s="116">
        <f>IF(ISNUMBER(Tabela2[[#This Row],[CT-e/NFS]])=TRUE,(IF(B3461&gt;30000,4,IF(B3461&lt;1000,"ND",0))),"-")</f>
        <v>0</v>
      </c>
      <c r="B3461" s="116">
        <v>21740</v>
      </c>
      <c r="C3461" s="117">
        <v>45484</v>
      </c>
      <c r="D3461" s="116">
        <v>76.81</v>
      </c>
      <c r="E3461" s="117">
        <v>45488</v>
      </c>
      <c r="F3461" s="116">
        <f>COUNTIFS($A$3:A11711,A3461,$B$3:B11711,B3461)</f>
        <v>1</v>
      </c>
      <c r="G3461" s="116"/>
    </row>
    <row r="3462" spans="1:7" x14ac:dyDescent="0.2">
      <c r="A3462" s="116">
        <f>IF(ISNUMBER(Tabela2[[#This Row],[CT-e/NFS]])=TRUE,(IF(B3462&gt;30000,4,IF(B3462&lt;1000,"ND",0))),"-")</f>
        <v>0</v>
      </c>
      <c r="B3462" s="116">
        <v>21739</v>
      </c>
      <c r="C3462" s="117">
        <v>45484</v>
      </c>
      <c r="D3462" s="116">
        <v>76.41</v>
      </c>
      <c r="E3462" s="117">
        <v>45488</v>
      </c>
      <c r="F3462" s="116">
        <f>COUNTIFS($A$3:A11712,A3462,$B$3:B11712,B3462)</f>
        <v>1</v>
      </c>
      <c r="G3462" s="116"/>
    </row>
    <row r="3463" spans="1:7" x14ac:dyDescent="0.2">
      <c r="A3463" s="116">
        <f>IF(ISNUMBER(Tabela2[[#This Row],[CT-e/NFS]])=TRUE,(IF(B3463&gt;30000,4,IF(B3463&lt;1000,"ND",0))),"-")</f>
        <v>0</v>
      </c>
      <c r="B3463" s="116">
        <v>21736</v>
      </c>
      <c r="C3463" s="117">
        <v>45484</v>
      </c>
      <c r="D3463" s="116">
        <v>77.069999999999993</v>
      </c>
      <c r="E3463" s="117">
        <v>45488</v>
      </c>
      <c r="F3463" s="116">
        <f>COUNTIFS($A$3:A11713,A3463,$B$3:B11713,B3463)</f>
        <v>1</v>
      </c>
      <c r="G3463" s="116"/>
    </row>
    <row r="3464" spans="1:7" x14ac:dyDescent="0.2">
      <c r="A3464" s="116">
        <f>IF(ISNUMBER(Tabela2[[#This Row],[CT-e/NFS]])=TRUE,(IF(B3464&gt;30000,4,IF(B3464&lt;1000,"ND",0))),"-")</f>
        <v>0</v>
      </c>
      <c r="B3464" s="116">
        <v>21735</v>
      </c>
      <c r="C3464" s="117">
        <v>45484</v>
      </c>
      <c r="D3464" s="116">
        <v>272.76</v>
      </c>
      <c r="E3464" s="117">
        <v>45488</v>
      </c>
      <c r="F3464" s="116">
        <f>COUNTIFS($A$3:A11714,A3464,$B$3:B11714,B3464)</f>
        <v>1</v>
      </c>
      <c r="G3464" s="116"/>
    </row>
    <row r="3465" spans="1:7" x14ac:dyDescent="0.2">
      <c r="A3465" s="116">
        <f>IF(ISNUMBER(Tabela2[[#This Row],[CT-e/NFS]])=TRUE,(IF(B3465&gt;30000,4,IF(B3465&lt;1000,"ND",0))),"-")</f>
        <v>0</v>
      </c>
      <c r="B3465" s="116">
        <v>21737</v>
      </c>
      <c r="C3465" s="117">
        <v>45484</v>
      </c>
      <c r="D3465" s="116">
        <v>378.99</v>
      </c>
      <c r="E3465" s="117">
        <v>45488</v>
      </c>
      <c r="F3465" s="116">
        <f>COUNTIFS($A$3:A11715,A3465,$B$3:B11715,B3465)</f>
        <v>1</v>
      </c>
      <c r="G3465" s="116"/>
    </row>
    <row r="3466" spans="1:7" x14ac:dyDescent="0.2">
      <c r="A3466" s="116">
        <f>IF(ISNUMBER(Tabela2[[#This Row],[CT-e/NFS]])=TRUE,(IF(B3466&gt;30000,4,IF(B3466&lt;1000,"ND",0))),"-")</f>
        <v>0</v>
      </c>
      <c r="B3466" s="116">
        <v>21734</v>
      </c>
      <c r="C3466" s="117">
        <v>45484</v>
      </c>
      <c r="D3466" s="116">
        <v>338.19</v>
      </c>
      <c r="E3466" s="117">
        <v>45488</v>
      </c>
      <c r="F3466" s="116">
        <f>COUNTIFS($A$3:A11716,A3466,$B$3:B11716,B3466)</f>
        <v>1</v>
      </c>
      <c r="G3466" s="116"/>
    </row>
    <row r="3467" spans="1:7" x14ac:dyDescent="0.2">
      <c r="A3467" s="116">
        <f>IF(ISNUMBER(Tabela2[[#This Row],[CT-e/NFS]])=TRUE,(IF(B3467&gt;30000,4,IF(B3467&lt;1000,"ND",0))),"-")</f>
        <v>0</v>
      </c>
      <c r="B3467" s="116">
        <v>21733</v>
      </c>
      <c r="C3467" s="117">
        <v>45484</v>
      </c>
      <c r="D3467" s="116">
        <v>76.19</v>
      </c>
      <c r="E3467" s="117">
        <v>45488</v>
      </c>
      <c r="F3467" s="116">
        <f>COUNTIFS($A$3:A11717,A3467,$B$3:B11717,B3467)</f>
        <v>1</v>
      </c>
      <c r="G3467" s="116"/>
    </row>
    <row r="3468" spans="1:7" x14ac:dyDescent="0.2">
      <c r="A3468" s="116">
        <f>IF(ISNUMBER(Tabela2[[#This Row],[CT-e/NFS]])=TRUE,(IF(B3468&gt;30000,4,IF(B3468&lt;1000,"ND",0))),"-")</f>
        <v>0</v>
      </c>
      <c r="B3468" s="116">
        <v>21731</v>
      </c>
      <c r="C3468" s="117">
        <v>45484</v>
      </c>
      <c r="D3468" s="116">
        <v>76.3</v>
      </c>
      <c r="E3468" s="117">
        <v>45488</v>
      </c>
      <c r="F3468" s="116">
        <f>COUNTIFS($A$3:A11718,A3468,$B$3:B11718,B3468)</f>
        <v>1</v>
      </c>
      <c r="G3468" s="116"/>
    </row>
    <row r="3469" spans="1:7" x14ac:dyDescent="0.2">
      <c r="A3469" s="116">
        <f>IF(ISNUMBER(Tabela2[[#This Row],[CT-e/NFS]])=TRUE,(IF(B3469&gt;30000,4,IF(B3469&lt;1000,"ND",0))),"-")</f>
        <v>0</v>
      </c>
      <c r="B3469" s="116">
        <v>21730</v>
      </c>
      <c r="C3469" s="117">
        <v>45484</v>
      </c>
      <c r="D3469" s="116">
        <v>76.3</v>
      </c>
      <c r="E3469" s="117">
        <v>45488</v>
      </c>
      <c r="F3469" s="116">
        <f>COUNTIFS($A$3:A11719,A3469,$B$3:B11719,B3469)</f>
        <v>1</v>
      </c>
      <c r="G3469" s="116"/>
    </row>
    <row r="3470" spans="1:7" x14ac:dyDescent="0.2">
      <c r="A3470" s="116">
        <f>IF(ISNUMBER(Tabela2[[#This Row],[CT-e/NFS]])=TRUE,(IF(B3470&gt;30000,4,IF(B3470&lt;1000,"ND",0))),"-")</f>
        <v>0</v>
      </c>
      <c r="B3470" s="116">
        <v>21729</v>
      </c>
      <c r="C3470" s="117">
        <v>45484</v>
      </c>
      <c r="D3470" s="116">
        <v>160.38</v>
      </c>
      <c r="E3470" s="117">
        <v>45488</v>
      </c>
      <c r="F3470" s="116">
        <f>COUNTIFS($A$3:A11720,A3470,$B$3:B11720,B3470)</f>
        <v>1</v>
      </c>
      <c r="G3470" s="116"/>
    </row>
    <row r="3471" spans="1:7" x14ac:dyDescent="0.2">
      <c r="A3471" s="116">
        <f>IF(ISNUMBER(Tabela2[[#This Row],[CT-e/NFS]])=TRUE,(IF(B3471&gt;30000,4,IF(B3471&lt;1000,"ND",0))),"-")</f>
        <v>0</v>
      </c>
      <c r="B3471" s="116">
        <v>21727</v>
      </c>
      <c r="C3471" s="117">
        <v>45484</v>
      </c>
      <c r="D3471" s="116">
        <v>158.52000000000001</v>
      </c>
      <c r="E3471" s="117">
        <v>45488</v>
      </c>
      <c r="F3471" s="116">
        <f>COUNTIFS($A$3:A11721,A3471,$B$3:B11721,B3471)</f>
        <v>1</v>
      </c>
      <c r="G3471" s="116"/>
    </row>
    <row r="3472" spans="1:7" x14ac:dyDescent="0.2">
      <c r="A3472" s="116">
        <f>IF(ISNUMBER(Tabela2[[#This Row],[CT-e/NFS]])=TRUE,(IF(B3472&gt;30000,4,IF(B3472&lt;1000,"ND",0))),"-")</f>
        <v>0</v>
      </c>
      <c r="B3472" s="116">
        <v>21726</v>
      </c>
      <c r="C3472" s="117">
        <v>45484</v>
      </c>
      <c r="D3472" s="116">
        <v>76.41</v>
      </c>
      <c r="E3472" s="117">
        <v>45488</v>
      </c>
      <c r="F3472" s="116">
        <f>COUNTIFS($A$3:A11722,A3472,$B$3:B11722,B3472)</f>
        <v>1</v>
      </c>
      <c r="G3472" s="116"/>
    </row>
    <row r="3473" spans="1:7" x14ac:dyDescent="0.2">
      <c r="A3473" s="116">
        <f>IF(ISNUMBER(Tabela2[[#This Row],[CT-e/NFS]])=TRUE,(IF(B3473&gt;30000,4,IF(B3473&lt;1000,"ND",0))),"-")</f>
        <v>0</v>
      </c>
      <c r="B3473" s="116">
        <v>21764</v>
      </c>
      <c r="C3473" s="117">
        <v>45484</v>
      </c>
      <c r="D3473" s="116">
        <v>77.62</v>
      </c>
      <c r="E3473" s="117">
        <v>45488</v>
      </c>
      <c r="F3473" s="116">
        <f>COUNTIFS($A$3:A11723,A3473,$B$3:B11723,B3473)</f>
        <v>1</v>
      </c>
      <c r="G3473" s="116"/>
    </row>
    <row r="3474" spans="1:7" x14ac:dyDescent="0.2">
      <c r="A3474" s="116">
        <f>IF(ISNUMBER(Tabela2[[#This Row],[CT-e/NFS]])=TRUE,(IF(B3474&gt;30000,4,IF(B3474&lt;1000,"ND",0))),"-")</f>
        <v>0</v>
      </c>
      <c r="B3474" s="116">
        <v>21762</v>
      </c>
      <c r="C3474" s="117">
        <v>45484</v>
      </c>
      <c r="D3474" s="116">
        <v>76.37</v>
      </c>
      <c r="E3474" s="117">
        <v>45488</v>
      </c>
      <c r="F3474" s="116">
        <f>COUNTIFS($A$3:A11724,A3474,$B$3:B11724,B3474)</f>
        <v>1</v>
      </c>
      <c r="G3474" s="116"/>
    </row>
    <row r="3475" spans="1:7" x14ac:dyDescent="0.2">
      <c r="A3475" s="116">
        <f>IF(ISNUMBER(Tabela2[[#This Row],[CT-e/NFS]])=TRUE,(IF(B3475&gt;30000,4,IF(B3475&lt;1000,"ND",0))),"-")</f>
        <v>0</v>
      </c>
      <c r="B3475" s="116">
        <v>21765</v>
      </c>
      <c r="C3475" s="117">
        <v>45484</v>
      </c>
      <c r="D3475" s="116">
        <v>77.39</v>
      </c>
      <c r="E3475" s="117">
        <v>45488</v>
      </c>
      <c r="F3475" s="116">
        <f>COUNTIFS($A$3:A11725,A3475,$B$3:B11725,B3475)</f>
        <v>1</v>
      </c>
      <c r="G3475" s="116"/>
    </row>
    <row r="3476" spans="1:7" x14ac:dyDescent="0.2">
      <c r="A3476" s="116">
        <f>IF(ISNUMBER(Tabela2[[#This Row],[CT-e/NFS]])=TRUE,(IF(B3476&gt;30000,4,IF(B3476&lt;1000,"ND",0))),"-")</f>
        <v>0</v>
      </c>
      <c r="B3476" s="116">
        <v>21763</v>
      </c>
      <c r="C3476" s="117">
        <v>45484</v>
      </c>
      <c r="D3476" s="116">
        <v>76.38</v>
      </c>
      <c r="E3476" s="117">
        <v>45488</v>
      </c>
      <c r="F3476" s="116">
        <f>COUNTIFS($A$3:A11726,A3476,$B$3:B11726,B3476)</f>
        <v>1</v>
      </c>
      <c r="G3476" s="116"/>
    </row>
    <row r="3477" spans="1:7" x14ac:dyDescent="0.2">
      <c r="A3477" s="116">
        <f>IF(ISNUMBER(Tabela2[[#This Row],[CT-e/NFS]])=TRUE,(IF(B3477&gt;30000,4,IF(B3477&lt;1000,"ND",0))),"-")</f>
        <v>0</v>
      </c>
      <c r="B3477" s="116">
        <v>21766</v>
      </c>
      <c r="C3477" s="117">
        <v>45484</v>
      </c>
      <c r="D3477" s="116">
        <v>87.72</v>
      </c>
      <c r="E3477" s="117">
        <v>45488</v>
      </c>
      <c r="F3477" s="116">
        <f>COUNTIFS($A$3:A11727,A3477,$B$3:B11727,B3477)</f>
        <v>1</v>
      </c>
      <c r="G3477" s="116"/>
    </row>
    <row r="3478" spans="1:7" x14ac:dyDescent="0.2">
      <c r="A3478" s="116">
        <f>IF(ISNUMBER(Tabela2[[#This Row],[CT-e/NFS]])=TRUE,(IF(B3478&gt;30000,4,IF(B3478&lt;1000,"ND",0))),"-")</f>
        <v>4</v>
      </c>
      <c r="B3478" s="116">
        <v>47943</v>
      </c>
      <c r="C3478" s="117">
        <v>45484</v>
      </c>
      <c r="D3478" s="116">
        <v>124.52</v>
      </c>
      <c r="E3478" s="117">
        <v>45488</v>
      </c>
      <c r="F3478" s="116">
        <f>COUNTIFS($A$3:A11728,A3478,$B$3:B11728,B3478)</f>
        <v>1</v>
      </c>
      <c r="G3478" s="116"/>
    </row>
    <row r="3479" spans="1:7" x14ac:dyDescent="0.2">
      <c r="A3479" s="116">
        <f>IF(ISNUMBER(Tabela2[[#This Row],[CT-e/NFS]])=TRUE,(IF(B3479&gt;30000,4,IF(B3479&lt;1000,"ND",0))),"-")</f>
        <v>4</v>
      </c>
      <c r="B3479" s="116">
        <v>47940</v>
      </c>
      <c r="C3479" s="117">
        <v>45484</v>
      </c>
      <c r="D3479" s="116">
        <v>124.51</v>
      </c>
      <c r="E3479" s="117">
        <v>45488</v>
      </c>
      <c r="F3479" s="116">
        <f>COUNTIFS($A$3:A11729,A3479,$B$3:B11729,B3479)</f>
        <v>1</v>
      </c>
      <c r="G3479" s="116"/>
    </row>
    <row r="3480" spans="1:7" x14ac:dyDescent="0.2">
      <c r="A3480" s="116">
        <f>IF(ISNUMBER(Tabela2[[#This Row],[CT-e/NFS]])=TRUE,(IF(B3480&gt;30000,4,IF(B3480&lt;1000,"ND",0))),"-")</f>
        <v>4</v>
      </c>
      <c r="B3480" s="116">
        <v>47946</v>
      </c>
      <c r="C3480" s="117">
        <v>45484</v>
      </c>
      <c r="D3480" s="116">
        <v>243.98</v>
      </c>
      <c r="E3480" s="117">
        <v>45488</v>
      </c>
      <c r="F3480" s="116">
        <f>COUNTIFS($A$3:A11730,A3480,$B$3:B11730,B3480)</f>
        <v>1</v>
      </c>
      <c r="G3480" s="116"/>
    </row>
    <row r="3481" spans="1:7" x14ac:dyDescent="0.2">
      <c r="A3481" s="116">
        <f>IF(ISNUMBER(Tabela2[[#This Row],[CT-e/NFS]])=TRUE,(IF(B3481&gt;30000,4,IF(B3481&lt;1000,"ND",0))),"-")</f>
        <v>4</v>
      </c>
      <c r="B3481" s="116">
        <v>47956</v>
      </c>
      <c r="C3481" s="117">
        <v>45484</v>
      </c>
      <c r="D3481" s="116">
        <v>229.67</v>
      </c>
      <c r="E3481" s="117">
        <v>45488</v>
      </c>
      <c r="F3481" s="116">
        <f>COUNTIFS($A$3:A11731,A3481,$B$3:B11731,B3481)</f>
        <v>1</v>
      </c>
      <c r="G3481" s="116"/>
    </row>
    <row r="3482" spans="1:7" x14ac:dyDescent="0.2">
      <c r="A3482" s="116">
        <f>IF(ISNUMBER(Tabela2[[#This Row],[CT-e/NFS]])=TRUE,(IF(B3482&gt;30000,4,IF(B3482&lt;1000,"ND",0))),"-")</f>
        <v>4</v>
      </c>
      <c r="B3482" s="116">
        <v>47935</v>
      </c>
      <c r="C3482" s="117">
        <v>45484</v>
      </c>
      <c r="D3482" s="116">
        <v>122.89</v>
      </c>
      <c r="E3482" s="117">
        <v>45488</v>
      </c>
      <c r="F3482" s="116">
        <f>COUNTIFS($A$3:A11732,A3482,$B$3:B11732,B3482)</f>
        <v>1</v>
      </c>
      <c r="G3482" s="116"/>
    </row>
    <row r="3483" spans="1:7" x14ac:dyDescent="0.2">
      <c r="A3483" s="116">
        <f>IF(ISNUMBER(Tabela2[[#This Row],[CT-e/NFS]])=TRUE,(IF(B3483&gt;30000,4,IF(B3483&lt;1000,"ND",0))),"-")</f>
        <v>4</v>
      </c>
      <c r="B3483" s="116">
        <v>47942</v>
      </c>
      <c r="C3483" s="117">
        <v>45484</v>
      </c>
      <c r="D3483" s="116">
        <v>124.3</v>
      </c>
      <c r="E3483" s="117">
        <v>45488</v>
      </c>
      <c r="F3483" s="116">
        <f>COUNTIFS($A$3:A11733,A3483,$B$3:B11733,B3483)</f>
        <v>1</v>
      </c>
      <c r="G3483" s="116"/>
    </row>
    <row r="3484" spans="1:7" x14ac:dyDescent="0.2">
      <c r="A3484" s="116">
        <f>IF(ISNUMBER(Tabela2[[#This Row],[CT-e/NFS]])=TRUE,(IF(B3484&gt;30000,4,IF(B3484&lt;1000,"ND",0))),"-")</f>
        <v>4</v>
      </c>
      <c r="B3484" s="116">
        <v>47945</v>
      </c>
      <c r="C3484" s="117">
        <v>45484</v>
      </c>
      <c r="D3484" s="116">
        <v>125.35</v>
      </c>
      <c r="E3484" s="117">
        <v>45488</v>
      </c>
      <c r="F3484" s="116">
        <f>COUNTIFS($A$3:A11734,A3484,$B$3:B11734,B3484)</f>
        <v>1</v>
      </c>
      <c r="G3484" s="116"/>
    </row>
    <row r="3485" spans="1:7" x14ac:dyDescent="0.2">
      <c r="A3485" s="116">
        <f>IF(ISNUMBER(Tabela2[[#This Row],[CT-e/NFS]])=TRUE,(IF(B3485&gt;30000,4,IF(B3485&lt;1000,"ND",0))),"-")</f>
        <v>4</v>
      </c>
      <c r="B3485" s="116">
        <v>47939</v>
      </c>
      <c r="C3485" s="117">
        <v>45484</v>
      </c>
      <c r="D3485" s="116">
        <v>124.18</v>
      </c>
      <c r="E3485" s="117">
        <v>45488</v>
      </c>
      <c r="F3485" s="116">
        <f>COUNTIFS($A$3:A11735,A3485,$B$3:B11735,B3485)</f>
        <v>1</v>
      </c>
      <c r="G3485" s="116"/>
    </row>
    <row r="3486" spans="1:7" x14ac:dyDescent="0.2">
      <c r="A3486" s="116">
        <f>IF(ISNUMBER(Tabela2[[#This Row],[CT-e/NFS]])=TRUE,(IF(B3486&gt;30000,4,IF(B3486&lt;1000,"ND",0))),"-")</f>
        <v>4</v>
      </c>
      <c r="B3486" s="116">
        <v>47958</v>
      </c>
      <c r="C3486" s="117">
        <v>45484</v>
      </c>
      <c r="D3486" s="116">
        <v>224.26</v>
      </c>
      <c r="E3486" s="117">
        <v>45488</v>
      </c>
      <c r="F3486" s="116">
        <f>COUNTIFS($A$3:A11736,A3486,$B$3:B11736,B3486)</f>
        <v>1</v>
      </c>
      <c r="G3486" s="116"/>
    </row>
    <row r="3487" spans="1:7" x14ac:dyDescent="0.2">
      <c r="A3487" s="116">
        <f>IF(ISNUMBER(Tabela2[[#This Row],[CT-e/NFS]])=TRUE,(IF(B3487&gt;30000,4,IF(B3487&lt;1000,"ND",0))),"-")</f>
        <v>4</v>
      </c>
      <c r="B3487" s="116">
        <v>47937</v>
      </c>
      <c r="C3487" s="117">
        <v>45484</v>
      </c>
      <c r="D3487" s="116">
        <v>124.02</v>
      </c>
      <c r="E3487" s="117">
        <v>45488</v>
      </c>
      <c r="F3487" s="116">
        <f>COUNTIFS($A$3:A11737,A3487,$B$3:B11737,B3487)</f>
        <v>1</v>
      </c>
      <c r="G3487" s="116"/>
    </row>
    <row r="3488" spans="1:7" x14ac:dyDescent="0.2">
      <c r="A3488" s="116">
        <f>IF(ISNUMBER(Tabela2[[#This Row],[CT-e/NFS]])=TRUE,(IF(B3488&gt;30000,4,IF(B3488&lt;1000,"ND",0))),"-")</f>
        <v>4</v>
      </c>
      <c r="B3488" s="116">
        <v>47938</v>
      </c>
      <c r="C3488" s="117">
        <v>45484</v>
      </c>
      <c r="D3488" s="116">
        <v>246.33</v>
      </c>
      <c r="E3488" s="117">
        <v>45488</v>
      </c>
      <c r="F3488" s="116">
        <f>COUNTIFS($A$3:A11738,A3488,$B$3:B11738,B3488)</f>
        <v>1</v>
      </c>
      <c r="G3488" s="116"/>
    </row>
    <row r="3489" spans="1:7" x14ac:dyDescent="0.2">
      <c r="A3489" s="116">
        <f>IF(ISNUMBER(Tabela2[[#This Row],[CT-e/NFS]])=TRUE,(IF(B3489&gt;30000,4,IF(B3489&lt;1000,"ND",0))),"-")</f>
        <v>4</v>
      </c>
      <c r="B3489" s="116">
        <v>47960</v>
      </c>
      <c r="C3489" s="117">
        <v>45484</v>
      </c>
      <c r="D3489" s="116">
        <v>405.08</v>
      </c>
      <c r="E3489" s="117">
        <v>45488</v>
      </c>
      <c r="F3489" s="116">
        <f>COUNTIFS($A$3:A11739,A3489,$B$3:B11739,B3489)</f>
        <v>1</v>
      </c>
      <c r="G3489" s="116"/>
    </row>
    <row r="3490" spans="1:7" x14ac:dyDescent="0.2">
      <c r="A3490" s="116">
        <f>IF(ISNUMBER(Tabela2[[#This Row],[CT-e/NFS]])=TRUE,(IF(B3490&gt;30000,4,IF(B3490&lt;1000,"ND",0))),"-")</f>
        <v>4</v>
      </c>
      <c r="B3490" s="116">
        <v>47936</v>
      </c>
      <c r="C3490" s="117">
        <v>45484</v>
      </c>
      <c r="D3490" s="116">
        <v>124.15</v>
      </c>
      <c r="E3490" s="117">
        <v>45488</v>
      </c>
      <c r="F3490" s="116">
        <f>COUNTIFS($A$3:A11740,A3490,$B$3:B11740,B3490)</f>
        <v>1</v>
      </c>
      <c r="G3490" s="116"/>
    </row>
    <row r="3491" spans="1:7" x14ac:dyDescent="0.2">
      <c r="A3491" s="116">
        <f>IF(ISNUMBER(Tabela2[[#This Row],[CT-e/NFS]])=TRUE,(IF(B3491&gt;30000,4,IF(B3491&lt;1000,"ND",0))),"-")</f>
        <v>0</v>
      </c>
      <c r="B3491" s="116">
        <v>21753</v>
      </c>
      <c r="C3491" s="117">
        <v>45484</v>
      </c>
      <c r="D3491" s="116">
        <v>76.44</v>
      </c>
      <c r="E3491" s="117">
        <v>45488</v>
      </c>
      <c r="F3491" s="116">
        <f>COUNTIFS($A$3:A11741,A3491,$B$3:B11741,B3491)</f>
        <v>1</v>
      </c>
      <c r="G3491" s="116"/>
    </row>
    <row r="3492" spans="1:7" x14ac:dyDescent="0.2">
      <c r="A3492" s="116">
        <f>IF(ISNUMBER(Tabela2[[#This Row],[CT-e/NFS]])=TRUE,(IF(B3492&gt;30000,4,IF(B3492&lt;1000,"ND",0))),"-")</f>
        <v>0</v>
      </c>
      <c r="B3492" s="116">
        <v>21749</v>
      </c>
      <c r="C3492" s="117">
        <v>45484</v>
      </c>
      <c r="D3492" s="116">
        <v>76.27</v>
      </c>
      <c r="E3492" s="117">
        <v>45488</v>
      </c>
      <c r="F3492" s="116">
        <f>COUNTIFS($A$3:A11742,A3492,$B$3:B11742,B3492)</f>
        <v>1</v>
      </c>
      <c r="G3492" s="116"/>
    </row>
    <row r="3493" spans="1:7" x14ac:dyDescent="0.2">
      <c r="A3493" s="116">
        <f>IF(ISNUMBER(Tabela2[[#This Row],[CT-e/NFS]])=TRUE,(IF(B3493&gt;30000,4,IF(B3493&lt;1000,"ND",0))),"-")</f>
        <v>0</v>
      </c>
      <c r="B3493" s="116">
        <v>21738</v>
      </c>
      <c r="C3493" s="117">
        <v>45484</v>
      </c>
      <c r="D3493" s="116">
        <v>76.58</v>
      </c>
      <c r="E3493" s="117">
        <v>45488</v>
      </c>
      <c r="F3493" s="116">
        <f>COUNTIFS($A$3:A11743,A3493,$B$3:B11743,B3493)</f>
        <v>1</v>
      </c>
      <c r="G3493" s="116"/>
    </row>
    <row r="3494" spans="1:7" x14ac:dyDescent="0.2">
      <c r="A3494" s="116">
        <f>IF(ISNUMBER(Tabela2[[#This Row],[CT-e/NFS]])=TRUE,(IF(B3494&gt;30000,4,IF(B3494&lt;1000,"ND",0))),"-")</f>
        <v>0</v>
      </c>
      <c r="B3494" s="116">
        <v>21732</v>
      </c>
      <c r="C3494" s="117">
        <v>45484</v>
      </c>
      <c r="D3494" s="116">
        <v>600.79999999999995</v>
      </c>
      <c r="E3494" s="117">
        <v>45488</v>
      </c>
      <c r="F3494" s="116">
        <f>COUNTIFS($A$3:A11744,A3494,$B$3:B11744,B3494)</f>
        <v>1</v>
      </c>
      <c r="G3494" s="116"/>
    </row>
    <row r="3495" spans="1:7" x14ac:dyDescent="0.2">
      <c r="A3495" s="116">
        <f>IF(ISNUMBER(Tabela2[[#This Row],[CT-e/NFS]])=TRUE,(IF(B3495&gt;30000,4,IF(B3495&lt;1000,"ND",0))),"-")</f>
        <v>4</v>
      </c>
      <c r="B3495" s="116">
        <v>47929</v>
      </c>
      <c r="C3495" s="117">
        <v>45484</v>
      </c>
      <c r="D3495" s="116">
        <v>124.42</v>
      </c>
      <c r="E3495" s="117">
        <v>45488</v>
      </c>
      <c r="F3495" s="116">
        <f>COUNTIFS($A$3:A11745,A3495,$B$3:B11745,B3495)</f>
        <v>1</v>
      </c>
      <c r="G3495" s="116"/>
    </row>
    <row r="3496" spans="1:7" x14ac:dyDescent="0.2">
      <c r="A3496" s="116">
        <f>IF(ISNUMBER(Tabela2[[#This Row],[CT-e/NFS]])=TRUE,(IF(B3496&gt;30000,4,IF(B3496&lt;1000,"ND",0))),"-")</f>
        <v>4</v>
      </c>
      <c r="B3496" s="116">
        <v>47930</v>
      </c>
      <c r="C3496" s="117">
        <v>45484</v>
      </c>
      <c r="D3496" s="116">
        <v>123.05</v>
      </c>
      <c r="E3496" s="117">
        <v>45488</v>
      </c>
      <c r="F3496" s="116">
        <f>COUNTIFS($A$3:A11746,A3496,$B$3:B11746,B3496)</f>
        <v>1</v>
      </c>
      <c r="G3496" s="116"/>
    </row>
    <row r="3497" spans="1:7" x14ac:dyDescent="0.2">
      <c r="A3497" s="116">
        <f>IF(ISNUMBER(Tabela2[[#This Row],[CT-e/NFS]])=TRUE,(IF(B3497&gt;30000,4,IF(B3497&lt;1000,"ND",0))),"-")</f>
        <v>4</v>
      </c>
      <c r="B3497" s="116">
        <v>47931</v>
      </c>
      <c r="C3497" s="117">
        <v>45484</v>
      </c>
      <c r="D3497" s="116">
        <v>137.4</v>
      </c>
      <c r="E3497" s="117">
        <v>45488</v>
      </c>
      <c r="F3497" s="116">
        <f>COUNTIFS($A$3:A11747,A3497,$B$3:B11747,B3497)</f>
        <v>1</v>
      </c>
      <c r="G3497" s="116"/>
    </row>
    <row r="3498" spans="1:7" x14ac:dyDescent="0.2">
      <c r="A3498" s="116">
        <f>IF(ISNUMBER(Tabela2[[#This Row],[CT-e/NFS]])=TRUE,(IF(B3498&gt;30000,4,IF(B3498&lt;1000,"ND",0))),"-")</f>
        <v>4</v>
      </c>
      <c r="B3498" s="116">
        <v>47932</v>
      </c>
      <c r="C3498" s="117">
        <v>45484</v>
      </c>
      <c r="D3498" s="116">
        <v>123.27</v>
      </c>
      <c r="E3498" s="117">
        <v>45488</v>
      </c>
      <c r="F3498" s="116">
        <f>COUNTIFS($A$3:A11748,A3498,$B$3:B11748,B3498)</f>
        <v>1</v>
      </c>
      <c r="G3498" s="116"/>
    </row>
    <row r="3499" spans="1:7" x14ac:dyDescent="0.2">
      <c r="A3499" s="116">
        <f>IF(ISNUMBER(Tabela2[[#This Row],[CT-e/NFS]])=TRUE,(IF(B3499&gt;30000,4,IF(B3499&lt;1000,"ND",0))),"-")</f>
        <v>4</v>
      </c>
      <c r="B3499" s="116">
        <v>47933</v>
      </c>
      <c r="C3499" s="117">
        <v>45484</v>
      </c>
      <c r="D3499" s="116">
        <v>126.24</v>
      </c>
      <c r="E3499" s="117">
        <v>45488</v>
      </c>
      <c r="F3499" s="116">
        <f>COUNTIFS($A$3:A11749,A3499,$B$3:B11749,B3499)</f>
        <v>1</v>
      </c>
      <c r="G3499" s="116"/>
    </row>
    <row r="3500" spans="1:7" x14ac:dyDescent="0.2">
      <c r="A3500" s="116">
        <f>IF(ISNUMBER(Tabela2[[#This Row],[CT-e/NFS]])=TRUE,(IF(B3500&gt;30000,4,IF(B3500&lt;1000,"ND",0))),"-")</f>
        <v>4</v>
      </c>
      <c r="B3500" s="116">
        <v>47934</v>
      </c>
      <c r="C3500" s="117">
        <v>45484</v>
      </c>
      <c r="D3500" s="116">
        <v>124.05</v>
      </c>
      <c r="E3500" s="117">
        <v>45488</v>
      </c>
      <c r="F3500" s="116">
        <f>COUNTIFS($A$3:A11750,A3500,$B$3:B11750,B3500)</f>
        <v>1</v>
      </c>
      <c r="G3500" s="116"/>
    </row>
    <row r="3501" spans="1:7" x14ac:dyDescent="0.2">
      <c r="A3501" s="116">
        <f>IF(ISNUMBER(Tabela2[[#This Row],[CT-e/NFS]])=TRUE,(IF(B3501&gt;30000,4,IF(B3501&lt;1000,"ND",0))),"-")</f>
        <v>4</v>
      </c>
      <c r="B3501" s="116">
        <v>47961</v>
      </c>
      <c r="C3501" s="117">
        <v>45484</v>
      </c>
      <c r="D3501" s="116">
        <v>62.02</v>
      </c>
      <c r="E3501" s="117">
        <v>45488</v>
      </c>
      <c r="F3501" s="116">
        <f>COUNTIFS($A$3:A11751,A3501,$B$3:B11751,B3501)</f>
        <v>1</v>
      </c>
      <c r="G3501" s="116"/>
    </row>
    <row r="3502" spans="1:7" x14ac:dyDescent="0.2">
      <c r="A3502" s="116">
        <f>IF(ISNUMBER(Tabela2[[#This Row],[CT-e/NFS]])=TRUE,(IF(B3502&gt;30000,4,IF(B3502&lt;1000,"ND",0))),"-")</f>
        <v>4</v>
      </c>
      <c r="B3502" s="116">
        <v>47962</v>
      </c>
      <c r="C3502" s="117">
        <v>45484</v>
      </c>
      <c r="D3502" s="116">
        <v>111.77</v>
      </c>
      <c r="E3502" s="117">
        <v>45488</v>
      </c>
      <c r="F3502" s="116">
        <f>COUNTIFS($A$3:A11752,A3502,$B$3:B11752,B3502)</f>
        <v>1</v>
      </c>
      <c r="G3502" s="116"/>
    </row>
    <row r="3503" spans="1:7" x14ac:dyDescent="0.2">
      <c r="A3503" s="116">
        <f>IF(ISNUMBER(Tabela2[[#This Row],[CT-e/NFS]])=TRUE,(IF(B3503&gt;30000,4,IF(B3503&lt;1000,"ND",0))),"-")</f>
        <v>0</v>
      </c>
      <c r="B3503" s="116">
        <v>21725</v>
      </c>
      <c r="C3503" s="117">
        <v>45484</v>
      </c>
      <c r="D3503" s="116">
        <v>37.799999999999997</v>
      </c>
      <c r="E3503" s="117">
        <v>45488</v>
      </c>
      <c r="F3503" s="116">
        <f>COUNTIFS($A$3:A11753,A3503,$B$3:B11753,B3503)</f>
        <v>1</v>
      </c>
      <c r="G3503" s="116"/>
    </row>
    <row r="3504" spans="1:7" x14ac:dyDescent="0.2">
      <c r="A3504" s="116">
        <f>IF(ISNUMBER(Tabela2[[#This Row],[CT-e/NFS]])=TRUE,(IF(B3504&gt;30000,4,IF(B3504&lt;1000,"ND",0))),"-")</f>
        <v>0</v>
      </c>
      <c r="B3504" s="116">
        <v>21728</v>
      </c>
      <c r="C3504" s="117">
        <v>45484</v>
      </c>
      <c r="D3504" s="116">
        <v>68.040000000000006</v>
      </c>
      <c r="E3504" s="117">
        <v>45488</v>
      </c>
      <c r="F3504" s="116">
        <f>COUNTIFS($A$3:A11754,A3504,$B$3:B11754,B3504)</f>
        <v>1</v>
      </c>
      <c r="G3504" s="116"/>
    </row>
    <row r="3505" spans="1:7" x14ac:dyDescent="0.2">
      <c r="A3505" s="116">
        <f>IF(ISNUMBER(Tabela2[[#This Row],[CT-e/NFS]])=TRUE,(IF(B3505&gt;30000,4,IF(B3505&lt;1000,"ND",0))),"-")</f>
        <v>4</v>
      </c>
      <c r="B3505" s="116">
        <v>48036</v>
      </c>
      <c r="C3505" s="117">
        <v>45484</v>
      </c>
      <c r="D3505" s="116">
        <v>147.35</v>
      </c>
      <c r="E3505" s="117">
        <v>45488</v>
      </c>
      <c r="F3505" s="116">
        <f>COUNTIFS($A$3:A11755,A3505,$B$3:B11755,B3505)</f>
        <v>1</v>
      </c>
      <c r="G3505" s="116"/>
    </row>
    <row r="3506" spans="1:7" x14ac:dyDescent="0.2">
      <c r="A3506" s="116">
        <f>IF(ISNUMBER(Tabela2[[#This Row],[CT-e/NFS]])=TRUE,(IF(B3506&gt;30000,4,IF(B3506&lt;1000,"ND",0))),"-")</f>
        <v>4</v>
      </c>
      <c r="B3506" s="116">
        <v>48001</v>
      </c>
      <c r="C3506" s="117">
        <v>45484</v>
      </c>
      <c r="D3506" s="116">
        <v>238.68</v>
      </c>
      <c r="E3506" s="117">
        <v>45488</v>
      </c>
      <c r="F3506" s="116">
        <f>COUNTIFS($A$3:A11756,A3506,$B$3:B11756,B3506)</f>
        <v>1</v>
      </c>
      <c r="G3506" s="116"/>
    </row>
    <row r="3507" spans="1:7" x14ac:dyDescent="0.2">
      <c r="A3507" s="116">
        <f>IF(ISNUMBER(Tabela2[[#This Row],[CT-e/NFS]])=TRUE,(IF(B3507&gt;30000,4,IF(B3507&lt;1000,"ND",0))),"-")</f>
        <v>4</v>
      </c>
      <c r="B3507" s="116">
        <v>48060</v>
      </c>
      <c r="C3507" s="117">
        <v>45484</v>
      </c>
      <c r="D3507" s="116">
        <v>124.35</v>
      </c>
      <c r="E3507" s="117">
        <v>45488</v>
      </c>
      <c r="F3507" s="116">
        <f>COUNTIFS($A$3:A11757,A3507,$B$3:B11757,B3507)</f>
        <v>1</v>
      </c>
      <c r="G3507" s="116"/>
    </row>
    <row r="3508" spans="1:7" x14ac:dyDescent="0.2">
      <c r="A3508" s="116">
        <f>IF(ISNUMBER(Tabela2[[#This Row],[CT-e/NFS]])=TRUE,(IF(B3508&gt;30000,4,IF(B3508&lt;1000,"ND",0))),"-")</f>
        <v>4</v>
      </c>
      <c r="B3508" s="116">
        <v>47997</v>
      </c>
      <c r="C3508" s="117">
        <v>45484</v>
      </c>
      <c r="D3508" s="116">
        <v>124.38</v>
      </c>
      <c r="E3508" s="117">
        <v>45488</v>
      </c>
      <c r="F3508" s="116">
        <f>COUNTIFS($A$3:A11758,A3508,$B$3:B11758,B3508)</f>
        <v>1</v>
      </c>
      <c r="G3508" s="116"/>
    </row>
    <row r="3509" spans="1:7" x14ac:dyDescent="0.2">
      <c r="A3509" s="116">
        <f>IF(ISNUMBER(Tabela2[[#This Row],[CT-e/NFS]])=TRUE,(IF(B3509&gt;30000,4,IF(B3509&lt;1000,"ND",0))),"-")</f>
        <v>4</v>
      </c>
      <c r="B3509" s="116">
        <v>47972</v>
      </c>
      <c r="C3509" s="117">
        <v>45484</v>
      </c>
      <c r="D3509" s="116">
        <v>112.25</v>
      </c>
      <c r="E3509" s="117">
        <v>45488</v>
      </c>
      <c r="F3509" s="116">
        <f>COUNTIFS($A$3:A11759,A3509,$B$3:B11759,B3509)</f>
        <v>1</v>
      </c>
      <c r="G3509" s="116"/>
    </row>
    <row r="3510" spans="1:7" x14ac:dyDescent="0.2">
      <c r="A3510" s="116">
        <f>IF(ISNUMBER(Tabela2[[#This Row],[CT-e/NFS]])=TRUE,(IF(B3510&gt;30000,4,IF(B3510&lt;1000,"ND",0))),"-")</f>
        <v>4</v>
      </c>
      <c r="B3510" s="116">
        <v>47944</v>
      </c>
      <c r="C3510" s="117">
        <v>45484</v>
      </c>
      <c r="D3510" s="116">
        <v>88.27</v>
      </c>
      <c r="E3510" s="117">
        <v>45488</v>
      </c>
      <c r="F3510" s="116">
        <f>COUNTIFS($A$3:A11760,A3510,$B$3:B11760,B3510)</f>
        <v>1</v>
      </c>
      <c r="G3510" s="116"/>
    </row>
    <row r="3511" spans="1:7" x14ac:dyDescent="0.2">
      <c r="A3511" s="116">
        <f>IF(ISNUMBER(Tabela2[[#This Row],[CT-e/NFS]])=TRUE,(IF(B3511&gt;30000,4,IF(B3511&lt;1000,"ND",0))),"-")</f>
        <v>4</v>
      </c>
      <c r="B3511" s="116">
        <v>48045</v>
      </c>
      <c r="C3511" s="117">
        <v>45484</v>
      </c>
      <c r="D3511" s="116">
        <v>130.06</v>
      </c>
      <c r="E3511" s="117">
        <v>45488</v>
      </c>
      <c r="F3511" s="116">
        <f>COUNTIFS($A$3:A11761,A3511,$B$3:B11761,B3511)</f>
        <v>1</v>
      </c>
      <c r="G3511" s="116"/>
    </row>
    <row r="3512" spans="1:7" x14ac:dyDescent="0.2">
      <c r="A3512" s="116">
        <f>IF(ISNUMBER(Tabela2[[#This Row],[CT-e/NFS]])=TRUE,(IF(B3512&gt;30000,4,IF(B3512&lt;1000,"ND",0))),"-")</f>
        <v>4</v>
      </c>
      <c r="B3512" s="116">
        <v>48000</v>
      </c>
      <c r="C3512" s="117">
        <v>45484</v>
      </c>
      <c r="D3512" s="116">
        <v>240.41</v>
      </c>
      <c r="E3512" s="117">
        <v>45488</v>
      </c>
      <c r="F3512" s="116">
        <f>COUNTIFS($A$3:A11762,A3512,$B$3:B11762,B3512)</f>
        <v>1</v>
      </c>
      <c r="G3512" s="116"/>
    </row>
    <row r="3513" spans="1:7" x14ac:dyDescent="0.2">
      <c r="A3513" s="116">
        <f>IF(ISNUMBER(Tabela2[[#This Row],[CT-e/NFS]])=TRUE,(IF(B3513&gt;30000,4,IF(B3513&lt;1000,"ND",0))),"-")</f>
        <v>4</v>
      </c>
      <c r="B3513" s="116">
        <v>48074</v>
      </c>
      <c r="C3513" s="117">
        <v>45484</v>
      </c>
      <c r="D3513" s="116">
        <v>396.45</v>
      </c>
      <c r="E3513" s="117">
        <v>45488</v>
      </c>
      <c r="F3513" s="116">
        <f>COUNTIFS($A$3:A11763,A3513,$B$3:B11763,B3513)</f>
        <v>1</v>
      </c>
      <c r="G3513" s="116"/>
    </row>
    <row r="3514" spans="1:7" x14ac:dyDescent="0.2">
      <c r="A3514" s="116">
        <f>IF(ISNUMBER(Tabela2[[#This Row],[CT-e/NFS]])=TRUE,(IF(B3514&gt;30000,4,IF(B3514&lt;1000,"ND",0))),"-")</f>
        <v>4</v>
      </c>
      <c r="B3514" s="116">
        <v>48059</v>
      </c>
      <c r="C3514" s="117">
        <v>45484</v>
      </c>
      <c r="D3514" s="116">
        <v>124.52</v>
      </c>
      <c r="E3514" s="117">
        <v>45488</v>
      </c>
      <c r="F3514" s="116">
        <f>COUNTIFS($A$3:A11764,A3514,$B$3:B11764,B3514)</f>
        <v>1</v>
      </c>
      <c r="G3514" s="116"/>
    </row>
    <row r="3515" spans="1:7" x14ac:dyDescent="0.2">
      <c r="A3515" s="116">
        <f>IF(ISNUMBER(Tabela2[[#This Row],[CT-e/NFS]])=TRUE,(IF(B3515&gt;30000,4,IF(B3515&lt;1000,"ND",0))),"-")</f>
        <v>4</v>
      </c>
      <c r="B3515" s="116">
        <v>48006</v>
      </c>
      <c r="C3515" s="117">
        <v>45484</v>
      </c>
      <c r="D3515" s="116">
        <v>441.33</v>
      </c>
      <c r="E3515" s="117">
        <v>45488</v>
      </c>
      <c r="F3515" s="116">
        <f>COUNTIFS($A$3:A11765,A3515,$B$3:B11765,B3515)</f>
        <v>1</v>
      </c>
      <c r="G3515" s="116"/>
    </row>
    <row r="3516" spans="1:7" x14ac:dyDescent="0.2">
      <c r="A3516" s="116">
        <f>IF(ISNUMBER(Tabela2[[#This Row],[CT-e/NFS]])=TRUE,(IF(B3516&gt;30000,4,IF(B3516&lt;1000,"ND",0))),"-")</f>
        <v>4</v>
      </c>
      <c r="B3516" s="116">
        <v>48035</v>
      </c>
      <c r="C3516" s="117">
        <v>45484</v>
      </c>
      <c r="D3516" s="116">
        <v>123.99</v>
      </c>
      <c r="E3516" s="117">
        <v>45488</v>
      </c>
      <c r="F3516" s="116">
        <f>COUNTIFS($A$3:A11766,A3516,$B$3:B11766,B3516)</f>
        <v>1</v>
      </c>
      <c r="G3516" s="116"/>
    </row>
    <row r="3517" spans="1:7" x14ac:dyDescent="0.2">
      <c r="A3517" s="116">
        <f>IF(ISNUMBER(Tabela2[[#This Row],[CT-e/NFS]])=TRUE,(IF(B3517&gt;30000,4,IF(B3517&lt;1000,"ND",0))),"-")</f>
        <v>4</v>
      </c>
      <c r="B3517" s="116">
        <v>48051</v>
      </c>
      <c r="C3517" s="117">
        <v>45484</v>
      </c>
      <c r="D3517" s="116">
        <v>461.13</v>
      </c>
      <c r="E3517" s="117">
        <v>45488</v>
      </c>
      <c r="F3517" s="116">
        <f>COUNTIFS($A$3:A11767,A3517,$B$3:B11767,B3517)</f>
        <v>1</v>
      </c>
      <c r="G3517" s="116"/>
    </row>
    <row r="3518" spans="1:7" x14ac:dyDescent="0.2">
      <c r="A3518" s="116">
        <f>IF(ISNUMBER(Tabela2[[#This Row],[CT-e/NFS]])=TRUE,(IF(B3518&gt;30000,4,IF(B3518&lt;1000,"ND",0))),"-")</f>
        <v>4</v>
      </c>
      <c r="B3518" s="116">
        <v>47988</v>
      </c>
      <c r="C3518" s="117">
        <v>45484</v>
      </c>
      <c r="D3518" s="116">
        <v>114.83</v>
      </c>
      <c r="E3518" s="117">
        <v>45488</v>
      </c>
      <c r="F3518" s="116">
        <f>COUNTIFS($A$3:A11768,A3518,$B$3:B11768,B3518)</f>
        <v>1</v>
      </c>
      <c r="G3518" s="116"/>
    </row>
    <row r="3519" spans="1:7" x14ac:dyDescent="0.2">
      <c r="A3519" s="116">
        <f>IF(ISNUMBER(Tabela2[[#This Row],[CT-e/NFS]])=TRUE,(IF(B3519&gt;30000,4,IF(B3519&lt;1000,"ND",0))),"-")</f>
        <v>4</v>
      </c>
      <c r="B3519" s="116">
        <v>47999</v>
      </c>
      <c r="C3519" s="117">
        <v>45484</v>
      </c>
      <c r="D3519" s="116">
        <v>240.35</v>
      </c>
      <c r="E3519" s="117">
        <v>45488</v>
      </c>
      <c r="F3519" s="116">
        <f>COUNTIFS($A$3:A11769,A3519,$B$3:B11769,B3519)</f>
        <v>1</v>
      </c>
      <c r="G3519" s="116"/>
    </row>
    <row r="3520" spans="1:7" x14ac:dyDescent="0.2">
      <c r="A3520" s="116">
        <f>IF(ISNUMBER(Tabela2[[#This Row],[CT-e/NFS]])=TRUE,(IF(B3520&gt;30000,4,IF(B3520&lt;1000,"ND",0))),"-")</f>
        <v>4</v>
      </c>
      <c r="B3520" s="116">
        <v>48072</v>
      </c>
      <c r="C3520" s="117">
        <v>45484</v>
      </c>
      <c r="D3520" s="116">
        <v>408.02</v>
      </c>
      <c r="E3520" s="117">
        <v>45488</v>
      </c>
      <c r="F3520" s="116">
        <f>COUNTIFS($A$3:A11770,A3520,$B$3:B11770,B3520)</f>
        <v>1</v>
      </c>
      <c r="G3520" s="116"/>
    </row>
    <row r="3521" spans="1:7" x14ac:dyDescent="0.2">
      <c r="A3521" s="116">
        <f>IF(ISNUMBER(Tabela2[[#This Row],[CT-e/NFS]])=TRUE,(IF(B3521&gt;30000,4,IF(B3521&lt;1000,"ND",0))),"-")</f>
        <v>4</v>
      </c>
      <c r="B3521" s="116">
        <v>48028</v>
      </c>
      <c r="C3521" s="117">
        <v>45484</v>
      </c>
      <c r="D3521" s="116">
        <v>123.94</v>
      </c>
      <c r="E3521" s="117">
        <v>45488</v>
      </c>
      <c r="F3521" s="116">
        <f>COUNTIFS($A$3:A11771,A3521,$B$3:B11771,B3521)</f>
        <v>1</v>
      </c>
      <c r="G3521" s="116"/>
    </row>
    <row r="3522" spans="1:7" x14ac:dyDescent="0.2">
      <c r="A3522" s="116">
        <f>IF(ISNUMBER(Tabela2[[#This Row],[CT-e/NFS]])=TRUE,(IF(B3522&gt;30000,4,IF(B3522&lt;1000,"ND",0))),"-")</f>
        <v>4</v>
      </c>
      <c r="B3522" s="116">
        <v>48016</v>
      </c>
      <c r="C3522" s="117">
        <v>45484</v>
      </c>
      <c r="D3522" s="116">
        <v>125.08</v>
      </c>
      <c r="E3522" s="117">
        <v>45488</v>
      </c>
      <c r="F3522" s="116">
        <f>COUNTIFS($A$3:A11772,A3522,$B$3:B11772,B3522)</f>
        <v>1</v>
      </c>
      <c r="G3522" s="116"/>
    </row>
    <row r="3523" spans="1:7" x14ac:dyDescent="0.2">
      <c r="A3523" s="116">
        <f>IF(ISNUMBER(Tabela2[[#This Row],[CT-e/NFS]])=TRUE,(IF(B3523&gt;30000,4,IF(B3523&lt;1000,"ND",0))),"-")</f>
        <v>4</v>
      </c>
      <c r="B3523" s="116">
        <v>48029</v>
      </c>
      <c r="C3523" s="117">
        <v>45484</v>
      </c>
      <c r="D3523" s="116">
        <v>135.97999999999999</v>
      </c>
      <c r="E3523" s="117">
        <v>45488</v>
      </c>
      <c r="F3523" s="116">
        <f>COUNTIFS($A$3:A11773,A3523,$B$3:B11773,B3523)</f>
        <v>1</v>
      </c>
      <c r="G3523" s="116"/>
    </row>
    <row r="3524" spans="1:7" x14ac:dyDescent="0.2">
      <c r="A3524" s="116">
        <f>IF(ISNUMBER(Tabela2[[#This Row],[CT-e/NFS]])=TRUE,(IF(B3524&gt;30000,4,IF(B3524&lt;1000,"ND",0))),"-")</f>
        <v>4</v>
      </c>
      <c r="B3524" s="116">
        <v>48033</v>
      </c>
      <c r="C3524" s="117">
        <v>45484</v>
      </c>
      <c r="D3524" s="116">
        <v>396.44</v>
      </c>
      <c r="E3524" s="117">
        <v>45488</v>
      </c>
      <c r="F3524" s="116">
        <f>COUNTIFS($A$3:A11774,A3524,$B$3:B11774,B3524)</f>
        <v>1</v>
      </c>
      <c r="G3524" s="116"/>
    </row>
    <row r="3525" spans="1:7" x14ac:dyDescent="0.2">
      <c r="A3525" s="116">
        <f>IF(ISNUMBER(Tabela2[[#This Row],[CT-e/NFS]])=TRUE,(IF(B3525&gt;30000,4,IF(B3525&lt;1000,"ND",0))),"-")</f>
        <v>4</v>
      </c>
      <c r="B3525" s="116">
        <v>47979</v>
      </c>
      <c r="C3525" s="117">
        <v>45484</v>
      </c>
      <c r="D3525" s="116">
        <v>409.03</v>
      </c>
      <c r="E3525" s="117">
        <v>45488</v>
      </c>
      <c r="F3525" s="116">
        <f>COUNTIFS($A$3:A11775,A3525,$B$3:B11775,B3525)</f>
        <v>1</v>
      </c>
      <c r="G3525" s="116"/>
    </row>
    <row r="3526" spans="1:7" x14ac:dyDescent="0.2">
      <c r="A3526" s="116">
        <f>IF(ISNUMBER(Tabela2[[#This Row],[CT-e/NFS]])=TRUE,(IF(B3526&gt;30000,4,IF(B3526&lt;1000,"ND",0))),"-")</f>
        <v>4</v>
      </c>
      <c r="B3526" s="116">
        <v>47968</v>
      </c>
      <c r="C3526" s="117">
        <v>45484</v>
      </c>
      <c r="D3526" s="116">
        <v>1137.73</v>
      </c>
      <c r="E3526" s="117">
        <v>45488</v>
      </c>
      <c r="F3526" s="116">
        <f>COUNTIFS($A$3:A11776,A3526,$B$3:B11776,B3526)</f>
        <v>1</v>
      </c>
      <c r="G3526" s="116"/>
    </row>
    <row r="3527" spans="1:7" x14ac:dyDescent="0.2">
      <c r="A3527" s="116">
        <f>IF(ISNUMBER(Tabela2[[#This Row],[CT-e/NFS]])=TRUE,(IF(B3527&gt;30000,4,IF(B3527&lt;1000,"ND",0))),"-")</f>
        <v>4</v>
      </c>
      <c r="B3527" s="116">
        <v>47994</v>
      </c>
      <c r="C3527" s="117">
        <v>45484</v>
      </c>
      <c r="D3527" s="116">
        <v>1194.2</v>
      </c>
      <c r="E3527" s="117">
        <v>45488</v>
      </c>
      <c r="F3527" s="116">
        <f>COUNTIFS($A$3:A11777,A3527,$B$3:B11777,B3527)</f>
        <v>1</v>
      </c>
      <c r="G3527" s="116"/>
    </row>
    <row r="3528" spans="1:7" x14ac:dyDescent="0.2">
      <c r="A3528" s="116">
        <f>IF(ISNUMBER(Tabela2[[#This Row],[CT-e/NFS]])=TRUE,(IF(B3528&gt;30000,4,IF(B3528&lt;1000,"ND",0))),"-")</f>
        <v>4</v>
      </c>
      <c r="B3528" s="116">
        <v>48041</v>
      </c>
      <c r="C3528" s="117">
        <v>45484</v>
      </c>
      <c r="D3528" s="116">
        <v>134.05000000000001</v>
      </c>
      <c r="E3528" s="117">
        <v>45488</v>
      </c>
      <c r="F3528" s="116">
        <f>COUNTIFS($A$3:A11778,A3528,$B$3:B11778,B3528)</f>
        <v>1</v>
      </c>
      <c r="G3528" s="116"/>
    </row>
    <row r="3529" spans="1:7" x14ac:dyDescent="0.2">
      <c r="A3529" s="116">
        <f>IF(ISNUMBER(Tabela2[[#This Row],[CT-e/NFS]])=TRUE,(IF(B3529&gt;30000,4,IF(B3529&lt;1000,"ND",0))),"-")</f>
        <v>4</v>
      </c>
      <c r="B3529" s="116">
        <v>47978</v>
      </c>
      <c r="C3529" s="117">
        <v>45484</v>
      </c>
      <c r="D3529" s="116">
        <v>173.95</v>
      </c>
      <c r="E3529" s="117">
        <v>45488</v>
      </c>
      <c r="F3529" s="116">
        <f>COUNTIFS($A$3:A11779,A3529,$B$3:B11779,B3529)</f>
        <v>1</v>
      </c>
      <c r="G3529" s="116"/>
    </row>
    <row r="3530" spans="1:7" x14ac:dyDescent="0.2">
      <c r="A3530" s="116">
        <f>IF(ISNUMBER(Tabela2[[#This Row],[CT-e/NFS]])=TRUE,(IF(B3530&gt;30000,4,IF(B3530&lt;1000,"ND",0))),"-")</f>
        <v>4</v>
      </c>
      <c r="B3530" s="116">
        <v>47970</v>
      </c>
      <c r="C3530" s="117">
        <v>45484</v>
      </c>
      <c r="D3530" s="116">
        <v>125.36</v>
      </c>
      <c r="E3530" s="117">
        <v>45488</v>
      </c>
      <c r="F3530" s="116">
        <f>COUNTIFS($A$3:A11780,A3530,$B$3:B11780,B3530)</f>
        <v>1</v>
      </c>
      <c r="G3530" s="116"/>
    </row>
    <row r="3531" spans="1:7" x14ac:dyDescent="0.2">
      <c r="A3531" s="116">
        <f>IF(ISNUMBER(Tabela2[[#This Row],[CT-e/NFS]])=TRUE,(IF(B3531&gt;30000,4,IF(B3531&lt;1000,"ND",0))),"-")</f>
        <v>4</v>
      </c>
      <c r="B3531" s="116">
        <v>48012</v>
      </c>
      <c r="C3531" s="117">
        <v>45484</v>
      </c>
      <c r="D3531" s="116">
        <v>243.8</v>
      </c>
      <c r="E3531" s="117">
        <v>45488</v>
      </c>
      <c r="F3531" s="116">
        <f>COUNTIFS($A$3:A11781,A3531,$B$3:B11781,B3531)</f>
        <v>1</v>
      </c>
      <c r="G3531" s="116"/>
    </row>
    <row r="3532" spans="1:7" x14ac:dyDescent="0.2">
      <c r="A3532" s="116">
        <f>IF(ISNUMBER(Tabela2[[#This Row],[CT-e/NFS]])=TRUE,(IF(B3532&gt;30000,4,IF(B3532&lt;1000,"ND",0))),"-")</f>
        <v>4</v>
      </c>
      <c r="B3532" s="116">
        <v>48043</v>
      </c>
      <c r="C3532" s="117">
        <v>45484</v>
      </c>
      <c r="D3532" s="116">
        <v>1245.6099999999999</v>
      </c>
      <c r="E3532" s="117">
        <v>45488</v>
      </c>
      <c r="F3532" s="116">
        <f>COUNTIFS($A$3:A11782,A3532,$B$3:B11782,B3532)</f>
        <v>1</v>
      </c>
      <c r="G3532" s="116"/>
    </row>
    <row r="3533" spans="1:7" x14ac:dyDescent="0.2">
      <c r="A3533" s="116">
        <f>IF(ISNUMBER(Tabela2[[#This Row],[CT-e/NFS]])=TRUE,(IF(B3533&gt;30000,4,IF(B3533&lt;1000,"ND",0))),"-")</f>
        <v>4</v>
      </c>
      <c r="B3533" s="116">
        <v>48032</v>
      </c>
      <c r="C3533" s="117">
        <v>45484</v>
      </c>
      <c r="D3533" s="116">
        <v>123.9</v>
      </c>
      <c r="E3533" s="117">
        <v>45488</v>
      </c>
      <c r="F3533" s="116">
        <f>COUNTIFS($A$3:A11783,A3533,$B$3:B11783,B3533)</f>
        <v>1</v>
      </c>
      <c r="G3533" s="116"/>
    </row>
    <row r="3534" spans="1:7" x14ac:dyDescent="0.2">
      <c r="A3534" s="116">
        <f>IF(ISNUMBER(Tabela2[[#This Row],[CT-e/NFS]])=TRUE,(IF(B3534&gt;30000,4,IF(B3534&lt;1000,"ND",0))),"-")</f>
        <v>4</v>
      </c>
      <c r="B3534" s="116">
        <v>48038</v>
      </c>
      <c r="C3534" s="117">
        <v>45484</v>
      </c>
      <c r="D3534" s="116">
        <v>124.03</v>
      </c>
      <c r="E3534" s="117">
        <v>45488</v>
      </c>
      <c r="F3534" s="116">
        <f>COUNTIFS($A$3:A11784,A3534,$B$3:B11784,B3534)</f>
        <v>1</v>
      </c>
      <c r="G3534" s="116"/>
    </row>
    <row r="3535" spans="1:7" x14ac:dyDescent="0.2">
      <c r="A3535" s="116">
        <f>IF(ISNUMBER(Tabela2[[#This Row],[CT-e/NFS]])=TRUE,(IF(B3535&gt;30000,4,IF(B3535&lt;1000,"ND",0))),"-")</f>
        <v>4</v>
      </c>
      <c r="B3535" s="116">
        <v>48009</v>
      </c>
      <c r="C3535" s="117">
        <v>45484</v>
      </c>
      <c r="D3535" s="116">
        <v>1003.67</v>
      </c>
      <c r="E3535" s="117">
        <v>45488</v>
      </c>
      <c r="F3535" s="116">
        <f>COUNTIFS($A$3:A11785,A3535,$B$3:B11785,B3535)</f>
        <v>1</v>
      </c>
      <c r="G3535" s="116"/>
    </row>
    <row r="3536" spans="1:7" x14ac:dyDescent="0.2">
      <c r="A3536" s="116">
        <f>IF(ISNUMBER(Tabela2[[#This Row],[CT-e/NFS]])=TRUE,(IF(B3536&gt;30000,4,IF(B3536&lt;1000,"ND",0))),"-")</f>
        <v>4</v>
      </c>
      <c r="B3536" s="116">
        <v>48031</v>
      </c>
      <c r="C3536" s="117">
        <v>45484</v>
      </c>
      <c r="D3536" s="116">
        <v>173.95</v>
      </c>
      <c r="E3536" s="117">
        <v>45488</v>
      </c>
      <c r="F3536" s="116">
        <f>COUNTIFS($A$3:A11786,A3536,$B$3:B11786,B3536)</f>
        <v>1</v>
      </c>
      <c r="G3536" s="116"/>
    </row>
    <row r="3537" spans="1:7" x14ac:dyDescent="0.2">
      <c r="A3537" s="116">
        <f>IF(ISNUMBER(Tabela2[[#This Row],[CT-e/NFS]])=TRUE,(IF(B3537&gt;30000,4,IF(B3537&lt;1000,"ND",0))),"-")</f>
        <v>4</v>
      </c>
      <c r="B3537" s="116">
        <v>47969</v>
      </c>
      <c r="C3537" s="117">
        <v>45484</v>
      </c>
      <c r="D3537" s="116">
        <v>242.3</v>
      </c>
      <c r="E3537" s="117">
        <v>45488</v>
      </c>
      <c r="F3537" s="116">
        <f>COUNTIFS($A$3:A11787,A3537,$B$3:B11787,B3537)</f>
        <v>1</v>
      </c>
      <c r="G3537" s="116"/>
    </row>
    <row r="3538" spans="1:7" x14ac:dyDescent="0.2">
      <c r="A3538" s="116">
        <f>IF(ISNUMBER(Tabela2[[#This Row],[CT-e/NFS]])=TRUE,(IF(B3538&gt;30000,4,IF(B3538&lt;1000,"ND",0))),"-")</f>
        <v>4</v>
      </c>
      <c r="B3538" s="116">
        <v>48037</v>
      </c>
      <c r="C3538" s="117">
        <v>45484</v>
      </c>
      <c r="D3538" s="116">
        <v>124.28</v>
      </c>
      <c r="E3538" s="117">
        <v>45488</v>
      </c>
      <c r="F3538" s="116">
        <f>COUNTIFS($A$3:A11788,A3538,$B$3:B11788,B3538)</f>
        <v>1</v>
      </c>
      <c r="G3538" s="116"/>
    </row>
    <row r="3539" spans="1:7" x14ac:dyDescent="0.2">
      <c r="A3539" s="116">
        <f>IF(ISNUMBER(Tabela2[[#This Row],[CT-e/NFS]])=TRUE,(IF(B3539&gt;30000,4,IF(B3539&lt;1000,"ND",0))),"-")</f>
        <v>4</v>
      </c>
      <c r="B3539" s="116">
        <v>48021</v>
      </c>
      <c r="C3539" s="117">
        <v>45484</v>
      </c>
      <c r="D3539" s="116">
        <v>699.6</v>
      </c>
      <c r="E3539" s="117">
        <v>45488</v>
      </c>
      <c r="F3539" s="116">
        <f>COUNTIFS($A$3:A11789,A3539,$B$3:B11789,B3539)</f>
        <v>1</v>
      </c>
      <c r="G3539" s="116"/>
    </row>
    <row r="3540" spans="1:7" x14ac:dyDescent="0.2">
      <c r="A3540" s="116">
        <f>IF(ISNUMBER(Tabela2[[#This Row],[CT-e/NFS]])=TRUE,(IF(B3540&gt;30000,4,IF(B3540&lt;1000,"ND",0))),"-")</f>
        <v>4</v>
      </c>
      <c r="B3540" s="116">
        <v>47989</v>
      </c>
      <c r="C3540" s="117">
        <v>45484</v>
      </c>
      <c r="D3540" s="116">
        <v>207.42</v>
      </c>
      <c r="E3540" s="117">
        <v>45488</v>
      </c>
      <c r="F3540" s="116">
        <f>COUNTIFS($A$3:A11790,A3540,$B$3:B11790,B3540)</f>
        <v>1</v>
      </c>
      <c r="G3540" s="116"/>
    </row>
    <row r="3541" spans="1:7" x14ac:dyDescent="0.2">
      <c r="A3541" s="116">
        <f>IF(ISNUMBER(Tabela2[[#This Row],[CT-e/NFS]])=TRUE,(IF(B3541&gt;30000,4,IF(B3541&lt;1000,"ND",0))),"-")</f>
        <v>4</v>
      </c>
      <c r="B3541" s="116">
        <v>48065</v>
      </c>
      <c r="C3541" s="117">
        <v>45484</v>
      </c>
      <c r="D3541" s="116">
        <v>702.1</v>
      </c>
      <c r="E3541" s="117">
        <v>45488</v>
      </c>
      <c r="F3541" s="116">
        <f>COUNTIFS($A$3:A11791,A3541,$B$3:B11791,B3541)</f>
        <v>1</v>
      </c>
      <c r="G3541" s="116"/>
    </row>
    <row r="3542" spans="1:7" x14ac:dyDescent="0.2">
      <c r="A3542" s="116">
        <f>IF(ISNUMBER(Tabela2[[#This Row],[CT-e/NFS]])=TRUE,(IF(B3542&gt;30000,4,IF(B3542&lt;1000,"ND",0))),"-")</f>
        <v>4</v>
      </c>
      <c r="B3542" s="116">
        <v>47977</v>
      </c>
      <c r="C3542" s="117">
        <v>45484</v>
      </c>
      <c r="D3542" s="116">
        <v>396.44</v>
      </c>
      <c r="E3542" s="117">
        <v>45488</v>
      </c>
      <c r="F3542" s="116">
        <f>COUNTIFS($A$3:A11792,A3542,$B$3:B11792,B3542)</f>
        <v>1</v>
      </c>
      <c r="G3542" s="116"/>
    </row>
    <row r="3543" spans="1:7" x14ac:dyDescent="0.2">
      <c r="A3543" s="116">
        <f>IF(ISNUMBER(Tabela2[[#This Row],[CT-e/NFS]])=TRUE,(IF(B3543&gt;30000,4,IF(B3543&lt;1000,"ND",0))),"-")</f>
        <v>4</v>
      </c>
      <c r="B3543" s="116">
        <v>48019</v>
      </c>
      <c r="C3543" s="117">
        <v>45484</v>
      </c>
      <c r="D3543" s="116">
        <v>335.65</v>
      </c>
      <c r="E3543" s="117">
        <v>45488</v>
      </c>
      <c r="F3543" s="116">
        <f>COUNTIFS($A$3:A11793,A3543,$B$3:B11793,B3543)</f>
        <v>1</v>
      </c>
      <c r="G3543" s="116"/>
    </row>
    <row r="3544" spans="1:7" x14ac:dyDescent="0.2">
      <c r="A3544" s="116">
        <f>IF(ISNUMBER(Tabela2[[#This Row],[CT-e/NFS]])=TRUE,(IF(B3544&gt;30000,4,IF(B3544&lt;1000,"ND",0))),"-")</f>
        <v>4</v>
      </c>
      <c r="B3544" s="116">
        <v>48020</v>
      </c>
      <c r="C3544" s="117">
        <v>45484</v>
      </c>
      <c r="D3544" s="116">
        <v>323.51</v>
      </c>
      <c r="E3544" s="117">
        <v>45488</v>
      </c>
      <c r="F3544" s="116">
        <f>COUNTIFS($A$3:A11794,A3544,$B$3:B11794,B3544)</f>
        <v>1</v>
      </c>
      <c r="G3544" s="116"/>
    </row>
    <row r="3545" spans="1:7" x14ac:dyDescent="0.2">
      <c r="A3545" s="116">
        <f>IF(ISNUMBER(Tabela2[[#This Row],[CT-e/NFS]])=TRUE,(IF(B3545&gt;30000,4,IF(B3545&lt;1000,"ND",0))),"-")</f>
        <v>4</v>
      </c>
      <c r="B3545" s="116">
        <v>47996</v>
      </c>
      <c r="C3545" s="117">
        <v>45484</v>
      </c>
      <c r="D3545" s="116">
        <v>122.77</v>
      </c>
      <c r="E3545" s="117">
        <v>45488</v>
      </c>
      <c r="F3545" s="116">
        <f>COUNTIFS($A$3:A11795,A3545,$B$3:B11795,B3545)</f>
        <v>1</v>
      </c>
      <c r="G3545" s="116"/>
    </row>
    <row r="3546" spans="1:7" x14ac:dyDescent="0.2">
      <c r="A3546" s="116">
        <f>IF(ISNUMBER(Tabela2[[#This Row],[CT-e/NFS]])=TRUE,(IF(B3546&gt;30000,4,IF(B3546&lt;1000,"ND",0))),"-")</f>
        <v>4</v>
      </c>
      <c r="B3546" s="116">
        <v>48005</v>
      </c>
      <c r="C3546" s="117">
        <v>45484</v>
      </c>
      <c r="D3546" s="116">
        <v>606.85</v>
      </c>
      <c r="E3546" s="117">
        <v>45488</v>
      </c>
      <c r="F3546" s="116">
        <f>COUNTIFS($A$3:A11796,A3546,$B$3:B11796,B3546)</f>
        <v>1</v>
      </c>
      <c r="G3546" s="116"/>
    </row>
    <row r="3547" spans="1:7" x14ac:dyDescent="0.2">
      <c r="A3547" s="116">
        <f>IF(ISNUMBER(Tabela2[[#This Row],[CT-e/NFS]])=TRUE,(IF(B3547&gt;30000,4,IF(B3547&lt;1000,"ND",0))),"-")</f>
        <v>4</v>
      </c>
      <c r="B3547" s="116">
        <v>48030</v>
      </c>
      <c r="C3547" s="117">
        <v>45484</v>
      </c>
      <c r="D3547" s="116">
        <v>124.69</v>
      </c>
      <c r="E3547" s="117">
        <v>45488</v>
      </c>
      <c r="F3547" s="116">
        <f>COUNTIFS($A$3:A11797,A3547,$B$3:B11797,B3547)</f>
        <v>1</v>
      </c>
      <c r="G3547" s="116"/>
    </row>
    <row r="3548" spans="1:7" x14ac:dyDescent="0.2">
      <c r="A3548" s="116">
        <f>IF(ISNUMBER(Tabela2[[#This Row],[CT-e/NFS]])=TRUE,(IF(B3548&gt;30000,4,IF(B3548&lt;1000,"ND",0))),"-")</f>
        <v>4</v>
      </c>
      <c r="B3548" s="116">
        <v>48018</v>
      </c>
      <c r="C3548" s="117">
        <v>45484</v>
      </c>
      <c r="D3548" s="116">
        <v>399.53</v>
      </c>
      <c r="E3548" s="117">
        <v>45488</v>
      </c>
      <c r="F3548" s="116">
        <f>COUNTIFS($A$3:A11798,A3548,$B$3:B11798,B3548)</f>
        <v>1</v>
      </c>
      <c r="G3548" s="116"/>
    </row>
    <row r="3549" spans="1:7" x14ac:dyDescent="0.2">
      <c r="A3549" s="116">
        <f>IF(ISNUMBER(Tabela2[[#This Row],[CT-e/NFS]])=TRUE,(IF(B3549&gt;30000,4,IF(B3549&lt;1000,"ND",0))),"-")</f>
        <v>4</v>
      </c>
      <c r="B3549" s="116">
        <v>47991</v>
      </c>
      <c r="C3549" s="117">
        <v>45484</v>
      </c>
      <c r="D3549" s="116">
        <v>246.38</v>
      </c>
      <c r="E3549" s="117">
        <v>45488</v>
      </c>
      <c r="F3549" s="116">
        <f>COUNTIFS($A$3:A11799,A3549,$B$3:B11799,B3549)</f>
        <v>1</v>
      </c>
      <c r="G3549" s="116"/>
    </row>
    <row r="3550" spans="1:7" x14ac:dyDescent="0.2">
      <c r="A3550" s="116">
        <f>IF(ISNUMBER(Tabela2[[#This Row],[CT-e/NFS]])=TRUE,(IF(B3550&gt;30000,4,IF(B3550&lt;1000,"ND",0))),"-")</f>
        <v>4</v>
      </c>
      <c r="B3550" s="116">
        <v>48004</v>
      </c>
      <c r="C3550" s="117">
        <v>45484</v>
      </c>
      <c r="D3550" s="116">
        <v>332.94</v>
      </c>
      <c r="E3550" s="117">
        <v>45488</v>
      </c>
      <c r="F3550" s="116">
        <f>COUNTIFS($A$3:A11800,A3550,$B$3:B11800,B3550)</f>
        <v>1</v>
      </c>
      <c r="G3550" s="116"/>
    </row>
    <row r="3551" spans="1:7" x14ac:dyDescent="0.2">
      <c r="A3551" s="116">
        <f>IF(ISNUMBER(Tabela2[[#This Row],[CT-e/NFS]])=TRUE,(IF(B3551&gt;30000,4,IF(B3551&lt;1000,"ND",0))),"-")</f>
        <v>4</v>
      </c>
      <c r="B3551" s="116">
        <v>47995</v>
      </c>
      <c r="C3551" s="117">
        <v>45484</v>
      </c>
      <c r="D3551" s="116">
        <v>798.27</v>
      </c>
      <c r="E3551" s="117">
        <v>45488</v>
      </c>
      <c r="F3551" s="116">
        <f>COUNTIFS($A$3:A11801,A3551,$B$3:B11801,B3551)</f>
        <v>1</v>
      </c>
      <c r="G3551" s="116"/>
    </row>
    <row r="3552" spans="1:7" x14ac:dyDescent="0.2">
      <c r="A3552" s="116">
        <f>IF(ISNUMBER(Tabela2[[#This Row],[CT-e/NFS]])=TRUE,(IF(B3552&gt;30000,4,IF(B3552&lt;1000,"ND",0))),"-")</f>
        <v>4</v>
      </c>
      <c r="B3552" s="116">
        <v>48071</v>
      </c>
      <c r="C3552" s="117">
        <v>45484</v>
      </c>
      <c r="D3552" s="116">
        <v>157.1</v>
      </c>
      <c r="E3552" s="117">
        <v>45488</v>
      </c>
      <c r="F3552" s="116">
        <f>COUNTIFS($A$3:A11802,A3552,$B$3:B11802,B3552)</f>
        <v>1</v>
      </c>
      <c r="G3552" s="116"/>
    </row>
    <row r="3553" spans="1:7" x14ac:dyDescent="0.2">
      <c r="A3553" s="116">
        <f>IF(ISNUMBER(Tabela2[[#This Row],[CT-e/NFS]])=TRUE,(IF(B3553&gt;30000,4,IF(B3553&lt;1000,"ND",0))),"-")</f>
        <v>4</v>
      </c>
      <c r="B3553" s="116">
        <v>48002</v>
      </c>
      <c r="C3553" s="117">
        <v>45484</v>
      </c>
      <c r="D3553" s="116">
        <v>150.75</v>
      </c>
      <c r="E3553" s="117">
        <v>45488</v>
      </c>
      <c r="F3553" s="116">
        <f>COUNTIFS($A$3:A11803,A3553,$B$3:B11803,B3553)</f>
        <v>1</v>
      </c>
      <c r="G3553" s="116"/>
    </row>
    <row r="3554" spans="1:7" x14ac:dyDescent="0.2">
      <c r="A3554" s="116">
        <f>IF(ISNUMBER(Tabela2[[#This Row],[CT-e/NFS]])=TRUE,(IF(B3554&gt;30000,4,IF(B3554&lt;1000,"ND",0))),"-")</f>
        <v>4</v>
      </c>
      <c r="B3554" s="116">
        <v>47990</v>
      </c>
      <c r="C3554" s="117">
        <v>45484</v>
      </c>
      <c r="D3554" s="116">
        <v>208.63</v>
      </c>
      <c r="E3554" s="117">
        <v>45488</v>
      </c>
      <c r="F3554" s="116">
        <f>COUNTIFS($A$3:A11804,A3554,$B$3:B11804,B3554)</f>
        <v>1</v>
      </c>
      <c r="G3554" s="116"/>
    </row>
    <row r="3555" spans="1:7" x14ac:dyDescent="0.2">
      <c r="A3555" s="116">
        <f>IF(ISNUMBER(Tabela2[[#This Row],[CT-e/NFS]])=TRUE,(IF(B3555&gt;30000,4,IF(B3555&lt;1000,"ND",0))),"-")</f>
        <v>4</v>
      </c>
      <c r="B3555" s="116">
        <v>48034</v>
      </c>
      <c r="C3555" s="117">
        <v>45484</v>
      </c>
      <c r="D3555" s="116">
        <v>123.2</v>
      </c>
      <c r="E3555" s="117">
        <v>45488</v>
      </c>
      <c r="F3555" s="116">
        <f>COUNTIFS($A$3:A11805,A3555,$B$3:B11805,B3555)</f>
        <v>1</v>
      </c>
      <c r="G3555" s="116"/>
    </row>
    <row r="3556" spans="1:7" x14ac:dyDescent="0.2">
      <c r="A3556" s="116">
        <f>IF(ISNUMBER(Tabela2[[#This Row],[CT-e/NFS]])=TRUE,(IF(B3556&gt;30000,4,IF(B3556&lt;1000,"ND",0))),"-")</f>
        <v>4</v>
      </c>
      <c r="B3556" s="116">
        <v>47993</v>
      </c>
      <c r="C3556" s="117">
        <v>45484</v>
      </c>
      <c r="D3556" s="116">
        <v>232.22</v>
      </c>
      <c r="E3556" s="117">
        <v>45488</v>
      </c>
      <c r="F3556" s="116">
        <f>COUNTIFS($A$3:A11806,A3556,$B$3:B11806,B3556)</f>
        <v>1</v>
      </c>
      <c r="G3556" s="116"/>
    </row>
    <row r="3557" spans="1:7" x14ac:dyDescent="0.2">
      <c r="A3557" s="116">
        <f>IF(ISNUMBER(Tabela2[[#This Row],[CT-e/NFS]])=TRUE,(IF(B3557&gt;30000,4,IF(B3557&lt;1000,"ND",0))),"-")</f>
        <v>4</v>
      </c>
      <c r="B3557" s="116">
        <v>48050</v>
      </c>
      <c r="C3557" s="117">
        <v>45484</v>
      </c>
      <c r="D3557" s="116">
        <v>123.52</v>
      </c>
      <c r="E3557" s="117">
        <v>45488</v>
      </c>
      <c r="F3557" s="116">
        <f>COUNTIFS($A$3:A11807,A3557,$B$3:B11807,B3557)</f>
        <v>1</v>
      </c>
      <c r="G3557" s="116"/>
    </row>
    <row r="3558" spans="1:7" x14ac:dyDescent="0.2">
      <c r="A3558" s="116">
        <f>IF(ISNUMBER(Tabela2[[#This Row],[CT-e/NFS]])=TRUE,(IF(B3558&gt;30000,4,IF(B3558&lt;1000,"ND",0))),"-")</f>
        <v>4</v>
      </c>
      <c r="B3558" s="116">
        <v>48056</v>
      </c>
      <c r="C3558" s="117">
        <v>45484</v>
      </c>
      <c r="D3558" s="116">
        <v>125.68</v>
      </c>
      <c r="E3558" s="117">
        <v>45488</v>
      </c>
      <c r="F3558" s="116">
        <f>COUNTIFS($A$3:A11808,A3558,$B$3:B11808,B3558)</f>
        <v>1</v>
      </c>
      <c r="G3558" s="116"/>
    </row>
    <row r="3559" spans="1:7" x14ac:dyDescent="0.2">
      <c r="A3559" s="116">
        <f>IF(ISNUMBER(Tabela2[[#This Row],[CT-e/NFS]])=TRUE,(IF(B3559&gt;30000,4,IF(B3559&lt;1000,"ND",0))),"-")</f>
        <v>4</v>
      </c>
      <c r="B3559" s="116">
        <v>48048</v>
      </c>
      <c r="C3559" s="117">
        <v>45484</v>
      </c>
      <c r="D3559" s="116">
        <v>172.34</v>
      </c>
      <c r="E3559" s="117">
        <v>45488</v>
      </c>
      <c r="F3559" s="116">
        <f>COUNTIFS($A$3:A11809,A3559,$B$3:B11809,B3559)</f>
        <v>1</v>
      </c>
      <c r="G3559" s="116"/>
    </row>
    <row r="3560" spans="1:7" x14ac:dyDescent="0.2">
      <c r="A3560" s="116">
        <f>IF(ISNUMBER(Tabela2[[#This Row],[CT-e/NFS]])=TRUE,(IF(B3560&gt;30000,4,IF(B3560&lt;1000,"ND",0))),"-")</f>
        <v>4</v>
      </c>
      <c r="B3560" s="116">
        <v>47985</v>
      </c>
      <c r="C3560" s="117">
        <v>45484</v>
      </c>
      <c r="D3560" s="116">
        <v>62.07</v>
      </c>
      <c r="E3560" s="117">
        <v>45488</v>
      </c>
      <c r="F3560" s="116">
        <f>COUNTIFS($A$3:A11810,A3560,$B$3:B11810,B3560)</f>
        <v>1</v>
      </c>
      <c r="G3560" s="116"/>
    </row>
    <row r="3561" spans="1:7" x14ac:dyDescent="0.2">
      <c r="A3561" s="116">
        <f>IF(ISNUMBER(Tabela2[[#This Row],[CT-e/NFS]])=TRUE,(IF(B3561&gt;30000,4,IF(B3561&lt;1000,"ND",0))),"-")</f>
        <v>4</v>
      </c>
      <c r="B3561" s="116">
        <v>48026</v>
      </c>
      <c r="C3561" s="117">
        <v>45484</v>
      </c>
      <c r="D3561" s="116">
        <v>126.03</v>
      </c>
      <c r="E3561" s="117">
        <v>45488</v>
      </c>
      <c r="F3561" s="116">
        <f>COUNTIFS($A$3:A11811,A3561,$B$3:B11811,B3561)</f>
        <v>1</v>
      </c>
      <c r="G3561" s="116"/>
    </row>
    <row r="3562" spans="1:7" x14ac:dyDescent="0.2">
      <c r="A3562" s="116">
        <f>IF(ISNUMBER(Tabela2[[#This Row],[CT-e/NFS]])=TRUE,(IF(B3562&gt;30000,4,IF(B3562&lt;1000,"ND",0))),"-")</f>
        <v>4</v>
      </c>
      <c r="B3562" s="116">
        <v>48057</v>
      </c>
      <c r="C3562" s="117">
        <v>45484</v>
      </c>
      <c r="D3562" s="116">
        <v>124.32</v>
      </c>
      <c r="E3562" s="117">
        <v>45488</v>
      </c>
      <c r="F3562" s="116">
        <f>COUNTIFS($A$3:A11812,A3562,$B$3:B11812,B3562)</f>
        <v>1</v>
      </c>
      <c r="G3562" s="116"/>
    </row>
    <row r="3563" spans="1:7" x14ac:dyDescent="0.2">
      <c r="A3563" s="116">
        <f>IF(ISNUMBER(Tabela2[[#This Row],[CT-e/NFS]])=TRUE,(IF(B3563&gt;30000,4,IF(B3563&lt;1000,"ND",0))),"-")</f>
        <v>4</v>
      </c>
      <c r="B3563" s="116">
        <v>48014</v>
      </c>
      <c r="C3563" s="117">
        <v>45484</v>
      </c>
      <c r="D3563" s="116">
        <v>110.64</v>
      </c>
      <c r="E3563" s="117">
        <v>45488</v>
      </c>
      <c r="F3563" s="116">
        <f>COUNTIFS($A$3:A11813,A3563,$B$3:B11813,B3563)</f>
        <v>1</v>
      </c>
      <c r="G3563" s="116"/>
    </row>
    <row r="3564" spans="1:7" x14ac:dyDescent="0.2">
      <c r="A3564" s="116">
        <f>IF(ISNUMBER(Tabela2[[#This Row],[CT-e/NFS]])=TRUE,(IF(B3564&gt;30000,4,IF(B3564&lt;1000,"ND",0))),"-")</f>
        <v>4</v>
      </c>
      <c r="B3564" s="116">
        <v>47992</v>
      </c>
      <c r="C3564" s="117">
        <v>45484</v>
      </c>
      <c r="D3564" s="116">
        <v>239.42</v>
      </c>
      <c r="E3564" s="117">
        <v>45488</v>
      </c>
      <c r="F3564" s="116">
        <f>COUNTIFS($A$3:A11814,A3564,$B$3:B11814,B3564)</f>
        <v>1</v>
      </c>
      <c r="G3564" s="116"/>
    </row>
    <row r="3565" spans="1:7" x14ac:dyDescent="0.2">
      <c r="A3565" s="116">
        <f>IF(ISNUMBER(Tabela2[[#This Row],[CT-e/NFS]])=TRUE,(IF(B3565&gt;30000,4,IF(B3565&lt;1000,"ND",0))),"-")</f>
        <v>4</v>
      </c>
      <c r="B3565" s="116">
        <v>48025</v>
      </c>
      <c r="C3565" s="117">
        <v>45484</v>
      </c>
      <c r="D3565" s="116">
        <v>125.36</v>
      </c>
      <c r="E3565" s="117">
        <v>45488</v>
      </c>
      <c r="F3565" s="116">
        <f>COUNTIFS($A$3:A11815,A3565,$B$3:B11815,B3565)</f>
        <v>1</v>
      </c>
      <c r="G3565" s="116"/>
    </row>
    <row r="3566" spans="1:7" x14ac:dyDescent="0.2">
      <c r="A3566" s="116">
        <f>IF(ISNUMBER(Tabela2[[#This Row],[CT-e/NFS]])=TRUE,(IF(B3566&gt;30000,4,IF(B3566&lt;1000,"ND",0))),"-")</f>
        <v>4</v>
      </c>
      <c r="B3566" s="116">
        <v>48058</v>
      </c>
      <c r="C3566" s="117">
        <v>45484</v>
      </c>
      <c r="D3566" s="116">
        <v>125.03</v>
      </c>
      <c r="E3566" s="117">
        <v>45488</v>
      </c>
      <c r="F3566" s="116">
        <f>COUNTIFS($A$3:A11816,A3566,$B$3:B11816,B3566)</f>
        <v>1</v>
      </c>
      <c r="G3566" s="116"/>
    </row>
    <row r="3567" spans="1:7" x14ac:dyDescent="0.2">
      <c r="A3567" s="116">
        <f>IF(ISNUMBER(Tabela2[[#This Row],[CT-e/NFS]])=TRUE,(IF(B3567&gt;30000,4,IF(B3567&lt;1000,"ND",0))),"-")</f>
        <v>4</v>
      </c>
      <c r="B3567" s="116">
        <v>48054</v>
      </c>
      <c r="C3567" s="117">
        <v>45484</v>
      </c>
      <c r="D3567" s="116">
        <v>122.91</v>
      </c>
      <c r="E3567" s="117">
        <v>45488</v>
      </c>
      <c r="F3567" s="116">
        <f>COUNTIFS($A$3:A11817,A3567,$B$3:B11817,B3567)</f>
        <v>1</v>
      </c>
      <c r="G3567" s="116"/>
    </row>
    <row r="3568" spans="1:7" x14ac:dyDescent="0.2">
      <c r="A3568" s="116">
        <f>IF(ISNUMBER(Tabela2[[#This Row],[CT-e/NFS]])=TRUE,(IF(B3568&gt;30000,4,IF(B3568&lt;1000,"ND",0))),"-")</f>
        <v>4</v>
      </c>
      <c r="B3568" s="116">
        <v>47986</v>
      </c>
      <c r="C3568" s="117">
        <v>45484</v>
      </c>
      <c r="D3568" s="116">
        <v>111.88</v>
      </c>
      <c r="E3568" s="117">
        <v>45488</v>
      </c>
      <c r="F3568" s="116">
        <f>COUNTIFS($A$3:A11818,A3568,$B$3:B11818,B3568)</f>
        <v>1</v>
      </c>
      <c r="G3568" s="116"/>
    </row>
    <row r="3569" spans="1:7" x14ac:dyDescent="0.2">
      <c r="A3569" s="116">
        <f>IF(ISNUMBER(Tabela2[[#This Row],[CT-e/NFS]])=TRUE,(IF(B3569&gt;30000,4,IF(B3569&lt;1000,"ND",0))),"-")</f>
        <v>4</v>
      </c>
      <c r="B3569" s="116">
        <v>48073</v>
      </c>
      <c r="C3569" s="117">
        <v>45484</v>
      </c>
      <c r="D3569" s="116">
        <v>384.32</v>
      </c>
      <c r="E3569" s="117">
        <v>45488</v>
      </c>
      <c r="F3569" s="116">
        <f>COUNTIFS($A$3:A11819,A3569,$B$3:B11819,B3569)</f>
        <v>1</v>
      </c>
      <c r="G3569" s="116"/>
    </row>
    <row r="3570" spans="1:7" x14ac:dyDescent="0.2">
      <c r="A3570" s="116">
        <f>IF(ISNUMBER(Tabela2[[#This Row],[CT-e/NFS]])=TRUE,(IF(B3570&gt;30000,4,IF(B3570&lt;1000,"ND",0))),"-")</f>
        <v>4</v>
      </c>
      <c r="B3570" s="116">
        <v>48023</v>
      </c>
      <c r="C3570" s="117">
        <v>45484</v>
      </c>
      <c r="D3570" s="116">
        <v>123.51</v>
      </c>
      <c r="E3570" s="117">
        <v>45488</v>
      </c>
      <c r="F3570" s="116">
        <f>COUNTIFS($A$3:A11820,A3570,$B$3:B11820,B3570)</f>
        <v>1</v>
      </c>
      <c r="G3570" s="116"/>
    </row>
    <row r="3571" spans="1:7" x14ac:dyDescent="0.2">
      <c r="A3571" s="116">
        <f>IF(ISNUMBER(Tabela2[[#This Row],[CT-e/NFS]])=TRUE,(IF(B3571&gt;30000,4,IF(B3571&lt;1000,"ND",0))),"-")</f>
        <v>4</v>
      </c>
      <c r="B3571" s="116">
        <v>47982</v>
      </c>
      <c r="C3571" s="117">
        <v>45484</v>
      </c>
      <c r="D3571" s="116">
        <v>1718.15</v>
      </c>
      <c r="E3571" s="117">
        <v>45488</v>
      </c>
      <c r="F3571" s="116">
        <f>COUNTIFS($A$3:A11821,A3571,$B$3:B11821,B3571)</f>
        <v>1</v>
      </c>
      <c r="G3571" s="116"/>
    </row>
    <row r="3572" spans="1:7" x14ac:dyDescent="0.2">
      <c r="A3572" s="116">
        <f>IF(ISNUMBER(Tabela2[[#This Row],[CT-e/NFS]])=TRUE,(IF(B3572&gt;30000,4,IF(B3572&lt;1000,"ND",0))),"-")</f>
        <v>4</v>
      </c>
      <c r="B3572" s="116">
        <v>47987</v>
      </c>
      <c r="C3572" s="117">
        <v>45484</v>
      </c>
      <c r="D3572" s="116">
        <v>463.67</v>
      </c>
      <c r="E3572" s="117">
        <v>45488</v>
      </c>
      <c r="F3572" s="116">
        <f>COUNTIFS($A$3:A11822,A3572,$B$3:B11822,B3572)</f>
        <v>1</v>
      </c>
      <c r="G3572" s="116"/>
    </row>
    <row r="3573" spans="1:7" x14ac:dyDescent="0.2">
      <c r="A3573" s="116">
        <f>IF(ISNUMBER(Tabela2[[#This Row],[CT-e/NFS]])=TRUE,(IF(B3573&gt;30000,4,IF(B3573&lt;1000,"ND",0))),"-")</f>
        <v>4</v>
      </c>
      <c r="B3573" s="116">
        <v>48015</v>
      </c>
      <c r="C3573" s="117">
        <v>45484</v>
      </c>
      <c r="D3573" s="116">
        <v>61.45</v>
      </c>
      <c r="E3573" s="117">
        <v>45488</v>
      </c>
      <c r="F3573" s="116">
        <f>COUNTIFS($A$3:A11823,A3573,$B$3:B11823,B3573)</f>
        <v>1</v>
      </c>
      <c r="G3573" s="116"/>
    </row>
    <row r="3574" spans="1:7" x14ac:dyDescent="0.2">
      <c r="A3574" s="116">
        <f>IF(ISNUMBER(Tabela2[[#This Row],[CT-e/NFS]])=TRUE,(IF(B3574&gt;30000,4,IF(B3574&lt;1000,"ND",0))),"-")</f>
        <v>4</v>
      </c>
      <c r="B3574" s="116">
        <v>48017</v>
      </c>
      <c r="C3574" s="117">
        <v>45484</v>
      </c>
      <c r="D3574" s="116">
        <v>176.14</v>
      </c>
      <c r="E3574" s="117">
        <v>45488</v>
      </c>
      <c r="F3574" s="116">
        <f>COUNTIFS($A$3:A11824,A3574,$B$3:B11824,B3574)</f>
        <v>1</v>
      </c>
      <c r="G3574" s="116"/>
    </row>
    <row r="3575" spans="1:7" x14ac:dyDescent="0.2">
      <c r="A3575" s="116">
        <f>IF(ISNUMBER(Tabela2[[#This Row],[CT-e/NFS]])=TRUE,(IF(B3575&gt;30000,4,IF(B3575&lt;1000,"ND",0))),"-")</f>
        <v>4</v>
      </c>
      <c r="B3575" s="116">
        <v>48064</v>
      </c>
      <c r="C3575" s="117">
        <v>45484</v>
      </c>
      <c r="D3575" s="116">
        <v>124.41</v>
      </c>
      <c r="E3575" s="117">
        <v>45488</v>
      </c>
      <c r="F3575" s="116">
        <f>COUNTIFS($A$3:A11825,A3575,$B$3:B11825,B3575)</f>
        <v>1</v>
      </c>
      <c r="G3575" s="116"/>
    </row>
    <row r="3576" spans="1:7" x14ac:dyDescent="0.2">
      <c r="A3576" s="116">
        <f>IF(ISNUMBER(Tabela2[[#This Row],[CT-e/NFS]])=TRUE,(IF(B3576&gt;30000,4,IF(B3576&lt;1000,"ND",0))),"-")</f>
        <v>4</v>
      </c>
      <c r="B3576" s="116">
        <v>48070</v>
      </c>
      <c r="C3576" s="117">
        <v>45484</v>
      </c>
      <c r="D3576" s="116">
        <v>86.98</v>
      </c>
      <c r="E3576" s="117">
        <v>45488</v>
      </c>
      <c r="F3576" s="116">
        <f>COUNTIFS($A$3:A11826,A3576,$B$3:B11826,B3576)</f>
        <v>1</v>
      </c>
      <c r="G3576" s="116"/>
    </row>
    <row r="3577" spans="1:7" x14ac:dyDescent="0.2">
      <c r="A3577" s="116">
        <f>IF(ISNUMBER(Tabela2[[#This Row],[CT-e/NFS]])=TRUE,(IF(B3577&gt;30000,4,IF(B3577&lt;1000,"ND",0))),"-")</f>
        <v>4</v>
      </c>
      <c r="B3577" s="116">
        <v>47980</v>
      </c>
      <c r="C3577" s="117">
        <v>45484</v>
      </c>
      <c r="D3577" s="116">
        <v>1086.24</v>
      </c>
      <c r="E3577" s="117">
        <v>45488</v>
      </c>
      <c r="F3577" s="116">
        <f>COUNTIFS($A$3:A11827,A3577,$B$3:B11827,B3577)</f>
        <v>1</v>
      </c>
      <c r="G3577" s="116"/>
    </row>
    <row r="3578" spans="1:7" x14ac:dyDescent="0.2">
      <c r="A3578" s="116">
        <f>IF(ISNUMBER(Tabela2[[#This Row],[CT-e/NFS]])=TRUE,(IF(B3578&gt;30000,4,IF(B3578&lt;1000,"ND",0))),"-")</f>
        <v>4</v>
      </c>
      <c r="B3578" s="116">
        <v>48044</v>
      </c>
      <c r="C3578" s="117">
        <v>45484</v>
      </c>
      <c r="D3578" s="116">
        <v>463.02</v>
      </c>
      <c r="E3578" s="117">
        <v>45488</v>
      </c>
      <c r="F3578" s="116">
        <f>COUNTIFS($A$3:A11828,A3578,$B$3:B11828,B3578)</f>
        <v>1</v>
      </c>
      <c r="G3578" s="116"/>
    </row>
    <row r="3579" spans="1:7" x14ac:dyDescent="0.2">
      <c r="A3579" s="116">
        <f>IF(ISNUMBER(Tabela2[[#This Row],[CT-e/NFS]])=TRUE,(IF(B3579&gt;30000,4,IF(B3579&lt;1000,"ND",0))),"-")</f>
        <v>4</v>
      </c>
      <c r="B3579" s="116">
        <v>48055</v>
      </c>
      <c r="C3579" s="117">
        <v>45484</v>
      </c>
      <c r="D3579" s="116">
        <v>122.89</v>
      </c>
      <c r="E3579" s="117">
        <v>45488</v>
      </c>
      <c r="F3579" s="116">
        <f>COUNTIFS($A$3:A11829,A3579,$B$3:B11829,B3579)</f>
        <v>1</v>
      </c>
      <c r="G3579" s="116"/>
    </row>
    <row r="3580" spans="1:7" x14ac:dyDescent="0.2">
      <c r="A3580" s="116">
        <f>IF(ISNUMBER(Tabela2[[#This Row],[CT-e/NFS]])=TRUE,(IF(B3580&gt;30000,4,IF(B3580&lt;1000,"ND",0))),"-")</f>
        <v>4</v>
      </c>
      <c r="B3580" s="116">
        <v>48022</v>
      </c>
      <c r="C3580" s="117">
        <v>45484</v>
      </c>
      <c r="D3580" s="116">
        <v>123.92</v>
      </c>
      <c r="E3580" s="117">
        <v>45488</v>
      </c>
      <c r="F3580" s="116">
        <f>COUNTIFS($A$3:A11830,A3580,$B$3:B11830,B3580)</f>
        <v>1</v>
      </c>
      <c r="G3580" s="116"/>
    </row>
    <row r="3581" spans="1:7" x14ac:dyDescent="0.2">
      <c r="A3581" s="116">
        <f>IF(ISNUMBER(Tabela2[[#This Row],[CT-e/NFS]])=TRUE,(IF(B3581&gt;30000,4,IF(B3581&lt;1000,"ND",0))),"-")</f>
        <v>4</v>
      </c>
      <c r="B3581" s="116">
        <v>48053</v>
      </c>
      <c r="C3581" s="117">
        <v>45484</v>
      </c>
      <c r="D3581" s="116">
        <v>124.33</v>
      </c>
      <c r="E3581" s="117">
        <v>45488</v>
      </c>
      <c r="F3581" s="116">
        <f>COUNTIFS($A$3:A11831,A3581,$B$3:B11831,B3581)</f>
        <v>1</v>
      </c>
      <c r="G3581" s="116"/>
    </row>
    <row r="3582" spans="1:7" x14ac:dyDescent="0.2">
      <c r="A3582" s="116">
        <f>IF(ISNUMBER(Tabela2[[#This Row],[CT-e/NFS]])=TRUE,(IF(B3582&gt;30000,4,IF(B3582&lt;1000,"ND",0))),"-")</f>
        <v>4</v>
      </c>
      <c r="B3582" s="116">
        <v>48027</v>
      </c>
      <c r="C3582" s="117">
        <v>45484</v>
      </c>
      <c r="D3582" s="116">
        <v>224.05</v>
      </c>
      <c r="E3582" s="117">
        <v>45488</v>
      </c>
      <c r="F3582" s="116">
        <f>COUNTIFS($A$3:A11832,A3582,$B$3:B11832,B3582)</f>
        <v>1</v>
      </c>
      <c r="G3582" s="116"/>
    </row>
    <row r="3583" spans="1:7" x14ac:dyDescent="0.2">
      <c r="A3583" s="116">
        <f>IF(ISNUMBER(Tabela2[[#This Row],[CT-e/NFS]])=TRUE,(IF(B3583&gt;30000,4,IF(B3583&lt;1000,"ND",0))),"-")</f>
        <v>4</v>
      </c>
      <c r="B3583" s="116">
        <v>48063</v>
      </c>
      <c r="C3583" s="117">
        <v>45484</v>
      </c>
      <c r="D3583" s="116">
        <v>126.22</v>
      </c>
      <c r="E3583" s="117">
        <v>45488</v>
      </c>
      <c r="F3583" s="116">
        <f>COUNTIFS($A$3:A11833,A3583,$B$3:B11833,B3583)</f>
        <v>1</v>
      </c>
      <c r="G3583" s="116"/>
    </row>
    <row r="3584" spans="1:7" x14ac:dyDescent="0.2">
      <c r="A3584" s="116">
        <f>IF(ISNUMBER(Tabela2[[#This Row],[CT-e/NFS]])=TRUE,(IF(B3584&gt;30000,4,IF(B3584&lt;1000,"ND",0))),"-")</f>
        <v>0</v>
      </c>
      <c r="B3584" s="116">
        <v>21806</v>
      </c>
      <c r="C3584" s="117">
        <v>45484</v>
      </c>
      <c r="D3584" s="116">
        <v>75.8</v>
      </c>
      <c r="E3584" s="117">
        <v>45488</v>
      </c>
      <c r="F3584" s="116">
        <f>COUNTIFS($A$3:A11834,A3584,$B$3:B11834,B3584)</f>
        <v>1</v>
      </c>
      <c r="G3584" s="116"/>
    </row>
    <row r="3585" spans="1:7" x14ac:dyDescent="0.2">
      <c r="A3585" s="116">
        <f>IF(ISNUMBER(Tabela2[[#This Row],[CT-e/NFS]])=TRUE,(IF(B3585&gt;30000,4,IF(B3585&lt;1000,"ND",0))),"-")</f>
        <v>0</v>
      </c>
      <c r="B3585" s="116">
        <v>21807</v>
      </c>
      <c r="C3585" s="117">
        <v>45484</v>
      </c>
      <c r="D3585" s="116">
        <v>76.290000000000006</v>
      </c>
      <c r="E3585" s="117">
        <v>45488</v>
      </c>
      <c r="F3585" s="116">
        <f>COUNTIFS($A$3:A11835,A3585,$B$3:B11835,B3585)</f>
        <v>1</v>
      </c>
      <c r="G3585" s="116"/>
    </row>
    <row r="3586" spans="1:7" x14ac:dyDescent="0.2">
      <c r="A3586" s="116">
        <f>IF(ISNUMBER(Tabela2[[#This Row],[CT-e/NFS]])=TRUE,(IF(B3586&gt;30000,4,IF(B3586&lt;1000,"ND",0))),"-")</f>
        <v>0</v>
      </c>
      <c r="B3586" s="116">
        <v>21808</v>
      </c>
      <c r="C3586" s="117">
        <v>45484</v>
      </c>
      <c r="D3586" s="116">
        <v>76.3</v>
      </c>
      <c r="E3586" s="117">
        <v>45488</v>
      </c>
      <c r="F3586" s="116">
        <f>COUNTIFS($A$3:A11836,A3586,$B$3:B11836,B3586)</f>
        <v>1</v>
      </c>
      <c r="G3586" s="116"/>
    </row>
    <row r="3587" spans="1:7" x14ac:dyDescent="0.2">
      <c r="A3587" s="116">
        <f>IF(ISNUMBER(Tabela2[[#This Row],[CT-e/NFS]])=TRUE,(IF(B3587&gt;30000,4,IF(B3587&lt;1000,"ND",0))),"-")</f>
        <v>0</v>
      </c>
      <c r="B3587" s="116">
        <v>21809</v>
      </c>
      <c r="C3587" s="117">
        <v>45484</v>
      </c>
      <c r="D3587" s="116">
        <v>409.15</v>
      </c>
      <c r="E3587" s="117">
        <v>45488</v>
      </c>
      <c r="F3587" s="116">
        <f>COUNTIFS($A$3:A11837,A3587,$B$3:B11837,B3587)</f>
        <v>1</v>
      </c>
      <c r="G3587" s="116"/>
    </row>
    <row r="3588" spans="1:7" x14ac:dyDescent="0.2">
      <c r="A3588" s="116">
        <f>IF(ISNUMBER(Tabela2[[#This Row],[CT-e/NFS]])=TRUE,(IF(B3588&gt;30000,4,IF(B3588&lt;1000,"ND",0))),"-")</f>
        <v>4</v>
      </c>
      <c r="B3588" s="116">
        <v>47998</v>
      </c>
      <c r="C3588" s="117">
        <v>45484</v>
      </c>
      <c r="D3588" s="116">
        <v>126.02</v>
      </c>
      <c r="E3588" s="117">
        <v>45488</v>
      </c>
      <c r="F3588" s="116">
        <f>COUNTIFS($A$3:A11838,A3588,$B$3:B11838,B3588)</f>
        <v>1</v>
      </c>
      <c r="G3588" s="116"/>
    </row>
    <row r="3589" spans="1:7" x14ac:dyDescent="0.2">
      <c r="A3589" s="116">
        <f>IF(ISNUMBER(Tabela2[[#This Row],[CT-e/NFS]])=TRUE,(IF(B3589&gt;30000,4,IF(B3589&lt;1000,"ND",0))),"-")</f>
        <v>4</v>
      </c>
      <c r="B3589" s="116">
        <v>48003</v>
      </c>
      <c r="C3589" s="117">
        <v>45484</v>
      </c>
      <c r="D3589" s="116">
        <v>450.66</v>
      </c>
      <c r="E3589" s="117">
        <v>45488</v>
      </c>
      <c r="F3589" s="116">
        <f>COUNTIFS($A$3:A11839,A3589,$B$3:B11839,B3589)</f>
        <v>1</v>
      </c>
      <c r="G3589" s="116"/>
    </row>
    <row r="3590" spans="1:7" x14ac:dyDescent="0.2">
      <c r="A3590" s="116">
        <f>IF(ISNUMBER(Tabela2[[#This Row],[CT-e/NFS]])=TRUE,(IF(B3590&gt;30000,4,IF(B3590&lt;1000,"ND",0))),"-")</f>
        <v>4</v>
      </c>
      <c r="B3590" s="116">
        <v>47971</v>
      </c>
      <c r="C3590" s="117">
        <v>45484</v>
      </c>
      <c r="D3590" s="116">
        <v>62.26</v>
      </c>
      <c r="E3590" s="117">
        <v>45488</v>
      </c>
      <c r="F3590" s="116">
        <f>COUNTIFS($A$3:A11840,A3590,$B$3:B11840,B3590)</f>
        <v>1</v>
      </c>
      <c r="G3590" s="116"/>
    </row>
    <row r="3591" spans="1:7" x14ac:dyDescent="0.2">
      <c r="A3591" s="116">
        <f>IF(ISNUMBER(Tabela2[[#This Row],[CT-e/NFS]])=TRUE,(IF(B3591&gt;30000,4,IF(B3591&lt;1000,"ND",0))),"-")</f>
        <v>4</v>
      </c>
      <c r="B3591" s="116">
        <v>48062</v>
      </c>
      <c r="C3591" s="117">
        <v>45484</v>
      </c>
      <c r="D3591" s="116">
        <v>173.95</v>
      </c>
      <c r="E3591" s="117">
        <v>45488</v>
      </c>
      <c r="F3591" s="116">
        <f>COUNTIFS($A$3:A11841,A3591,$B$3:B11841,B3591)</f>
        <v>1</v>
      </c>
      <c r="G3591" s="116"/>
    </row>
    <row r="3592" spans="1:7" x14ac:dyDescent="0.2">
      <c r="A3592" s="116">
        <f>IF(ISNUMBER(Tabela2[[#This Row],[CT-e/NFS]])=TRUE,(IF(B3592&gt;30000,4,IF(B3592&lt;1000,"ND",0))),"-")</f>
        <v>4</v>
      </c>
      <c r="B3592" s="116">
        <v>48052</v>
      </c>
      <c r="C3592" s="117">
        <v>45484</v>
      </c>
      <c r="D3592" s="116">
        <v>168.92</v>
      </c>
      <c r="E3592" s="117">
        <v>45488</v>
      </c>
      <c r="F3592" s="116">
        <f>COUNTIFS($A$3:A11842,A3592,$B$3:B11842,B3592)</f>
        <v>1</v>
      </c>
      <c r="G3592" s="116"/>
    </row>
    <row r="3593" spans="1:7" x14ac:dyDescent="0.2">
      <c r="A3593" s="116">
        <f>IF(ISNUMBER(Tabela2[[#This Row],[CT-e/NFS]])=TRUE,(IF(B3593&gt;30000,4,IF(B3593&lt;1000,"ND",0))),"-")</f>
        <v>0</v>
      </c>
      <c r="B3593" s="116">
        <v>21805</v>
      </c>
      <c r="C3593" s="117">
        <v>45484</v>
      </c>
      <c r="D3593" s="116">
        <v>414.75</v>
      </c>
      <c r="E3593" s="117">
        <v>45488</v>
      </c>
      <c r="F3593" s="116">
        <f>COUNTIFS($A$3:A11843,A3593,$B$3:B11843,B3593)</f>
        <v>1</v>
      </c>
      <c r="G3593" s="116"/>
    </row>
    <row r="3594" spans="1:7" x14ac:dyDescent="0.2">
      <c r="A3594" s="116">
        <f>IF(ISNUMBER(Tabela2[[#This Row],[CT-e/NFS]])=TRUE,(IF(B3594&gt;30000,4,IF(B3594&lt;1000,"ND",0))),"-")</f>
        <v>4</v>
      </c>
      <c r="B3594" s="116">
        <v>47983</v>
      </c>
      <c r="C3594" s="117">
        <v>45484</v>
      </c>
      <c r="D3594" s="116">
        <v>122.91</v>
      </c>
      <c r="E3594" s="117">
        <v>45488</v>
      </c>
      <c r="F3594" s="116">
        <f>COUNTIFS($A$3:A11844,A3594,$B$3:B11844,B3594)</f>
        <v>1</v>
      </c>
      <c r="G3594" s="116"/>
    </row>
    <row r="3595" spans="1:7" x14ac:dyDescent="0.2">
      <c r="A3595" s="116">
        <f>IF(ISNUMBER(Tabela2[[#This Row],[CT-e/NFS]])=TRUE,(IF(B3595&gt;30000,4,IF(B3595&lt;1000,"ND",0))),"-")</f>
        <v>4</v>
      </c>
      <c r="B3595" s="116">
        <v>48024</v>
      </c>
      <c r="C3595" s="117">
        <v>45484</v>
      </c>
      <c r="D3595" s="116">
        <v>242.6</v>
      </c>
      <c r="E3595" s="117">
        <v>45488</v>
      </c>
      <c r="F3595" s="116">
        <f>COUNTIFS($A$3:A11845,A3595,$B$3:B11845,B3595)</f>
        <v>1</v>
      </c>
      <c r="G3595" s="116"/>
    </row>
    <row r="3596" spans="1:7" x14ac:dyDescent="0.2">
      <c r="A3596" s="116">
        <f>IF(ISNUMBER(Tabela2[[#This Row],[CT-e/NFS]])=TRUE,(IF(B3596&gt;30000,4,IF(B3596&lt;1000,"ND",0))),"-")</f>
        <v>4</v>
      </c>
      <c r="B3596" s="116">
        <v>47974</v>
      </c>
      <c r="C3596" s="117">
        <v>45484</v>
      </c>
      <c r="D3596" s="116">
        <v>112.24</v>
      </c>
      <c r="E3596" s="117">
        <v>45488</v>
      </c>
      <c r="F3596" s="116">
        <f>COUNTIFS($A$3:A11846,A3596,$B$3:B11846,B3596)</f>
        <v>1</v>
      </c>
      <c r="G3596" s="116"/>
    </row>
    <row r="3597" spans="1:7" x14ac:dyDescent="0.2">
      <c r="A3597" s="116">
        <f>IF(ISNUMBER(Tabela2[[#This Row],[CT-e/NFS]])=TRUE,(IF(B3597&gt;30000,4,IF(B3597&lt;1000,"ND",0))),"-")</f>
        <v>4</v>
      </c>
      <c r="B3597" s="116">
        <v>48008</v>
      </c>
      <c r="C3597" s="117">
        <v>45484</v>
      </c>
      <c r="D3597" s="116">
        <v>539.26</v>
      </c>
      <c r="E3597" s="117">
        <v>45488</v>
      </c>
      <c r="F3597" s="116">
        <f>COUNTIFS($A$3:A11847,A3597,$B$3:B11847,B3597)</f>
        <v>1</v>
      </c>
      <c r="G3597" s="116"/>
    </row>
    <row r="3598" spans="1:7" x14ac:dyDescent="0.2">
      <c r="A3598" s="116">
        <f>IF(ISNUMBER(Tabela2[[#This Row],[CT-e/NFS]])=TRUE,(IF(B3598&gt;30000,4,IF(B3598&lt;1000,"ND",0))),"-")</f>
        <v>4</v>
      </c>
      <c r="B3598" s="116">
        <v>47967</v>
      </c>
      <c r="C3598" s="117">
        <v>45484</v>
      </c>
      <c r="D3598" s="116">
        <v>609.98</v>
      </c>
      <c r="E3598" s="117">
        <v>45488</v>
      </c>
      <c r="F3598" s="116">
        <f>COUNTIFS($A$3:A11848,A3598,$B$3:B11848,B3598)</f>
        <v>1</v>
      </c>
      <c r="G3598" s="116"/>
    </row>
    <row r="3599" spans="1:7" x14ac:dyDescent="0.2">
      <c r="A3599" s="116">
        <f>IF(ISNUMBER(Tabela2[[#This Row],[CT-e/NFS]])=TRUE,(IF(B3599&gt;30000,4,IF(B3599&lt;1000,"ND",0))),"-")</f>
        <v>4</v>
      </c>
      <c r="B3599" s="116">
        <v>48011</v>
      </c>
      <c r="C3599" s="117">
        <v>45484</v>
      </c>
      <c r="D3599" s="116">
        <v>124.34</v>
      </c>
      <c r="E3599" s="117">
        <v>45488</v>
      </c>
      <c r="F3599" s="116">
        <f>COUNTIFS($A$3:A11849,A3599,$B$3:B11849,B3599)</f>
        <v>1</v>
      </c>
      <c r="G3599" s="116"/>
    </row>
    <row r="3600" spans="1:7" x14ac:dyDescent="0.2">
      <c r="A3600" s="116">
        <f>IF(ISNUMBER(Tabela2[[#This Row],[CT-e/NFS]])=TRUE,(IF(B3600&gt;30000,4,IF(B3600&lt;1000,"ND",0))),"-")</f>
        <v>4</v>
      </c>
      <c r="B3600" s="116">
        <v>48047</v>
      </c>
      <c r="C3600" s="117">
        <v>45484</v>
      </c>
      <c r="D3600" s="116">
        <v>124.25</v>
      </c>
      <c r="E3600" s="117">
        <v>45488</v>
      </c>
      <c r="F3600" s="116">
        <f>COUNTIFS($A$3:A11850,A3600,$B$3:B11850,B3600)</f>
        <v>1</v>
      </c>
      <c r="G3600" s="116"/>
    </row>
    <row r="3601" spans="1:7" x14ac:dyDescent="0.2">
      <c r="A3601" s="116">
        <f>IF(ISNUMBER(Tabela2[[#This Row],[CT-e/NFS]])=TRUE,(IF(B3601&gt;30000,4,IF(B3601&lt;1000,"ND",0))),"-")</f>
        <v>4</v>
      </c>
      <c r="B3601" s="116">
        <v>48061</v>
      </c>
      <c r="C3601" s="117">
        <v>45484</v>
      </c>
      <c r="D3601" s="116">
        <v>168.09</v>
      </c>
      <c r="E3601" s="117">
        <v>45488</v>
      </c>
      <c r="F3601" s="116">
        <f>COUNTIFS($A$3:A11851,A3601,$B$3:B11851,B3601)</f>
        <v>1</v>
      </c>
      <c r="G3601" s="116"/>
    </row>
    <row r="3602" spans="1:7" x14ac:dyDescent="0.2">
      <c r="A3602" s="116">
        <f>IF(ISNUMBER(Tabela2[[#This Row],[CT-e/NFS]])=TRUE,(IF(B3602&gt;30000,4,IF(B3602&lt;1000,"ND",0))),"-")</f>
        <v>4</v>
      </c>
      <c r="B3602" s="116">
        <v>47973</v>
      </c>
      <c r="C3602" s="117">
        <v>45484</v>
      </c>
      <c r="D3602" s="116">
        <v>62.25</v>
      </c>
      <c r="E3602" s="117">
        <v>45488</v>
      </c>
      <c r="F3602" s="116">
        <f>COUNTIFS($A$3:A11852,A3602,$B$3:B11852,B3602)</f>
        <v>1</v>
      </c>
      <c r="G3602" s="116"/>
    </row>
    <row r="3603" spans="1:7" x14ac:dyDescent="0.2">
      <c r="A3603" s="116">
        <f>IF(ISNUMBER(Tabela2[[#This Row],[CT-e/NFS]])=TRUE,(IF(B3603&gt;30000,4,IF(B3603&lt;1000,"ND",0))),"-")</f>
        <v>4</v>
      </c>
      <c r="B3603" s="116">
        <v>48046</v>
      </c>
      <c r="C3603" s="117">
        <v>45484</v>
      </c>
      <c r="D3603" s="116">
        <v>123.55</v>
      </c>
      <c r="E3603" s="117">
        <v>45488</v>
      </c>
      <c r="F3603" s="116">
        <f>COUNTIFS($A$3:A11853,A3603,$B$3:B11853,B3603)</f>
        <v>1</v>
      </c>
      <c r="G3603" s="116"/>
    </row>
    <row r="3604" spans="1:7" x14ac:dyDescent="0.2">
      <c r="A3604" s="116">
        <f>IF(ISNUMBER(Tabela2[[#This Row],[CT-e/NFS]])=TRUE,(IF(B3604&gt;30000,4,IF(B3604&lt;1000,"ND",0))),"-")</f>
        <v>4</v>
      </c>
      <c r="B3604" s="116">
        <v>48007</v>
      </c>
      <c r="C3604" s="117">
        <v>45484</v>
      </c>
      <c r="D3604" s="116">
        <v>123.22</v>
      </c>
      <c r="E3604" s="117">
        <v>45488</v>
      </c>
      <c r="F3604" s="116">
        <f>COUNTIFS($A$3:A11854,A3604,$B$3:B11854,B3604)</f>
        <v>1</v>
      </c>
      <c r="G3604" s="116"/>
    </row>
    <row r="3605" spans="1:7" x14ac:dyDescent="0.2">
      <c r="A3605" s="116">
        <f>IF(ISNUMBER(Tabela2[[#This Row],[CT-e/NFS]])=TRUE,(IF(B3605&gt;30000,4,IF(B3605&lt;1000,"ND",0))),"-")</f>
        <v>4</v>
      </c>
      <c r="B3605" s="116">
        <v>48049</v>
      </c>
      <c r="C3605" s="117">
        <v>45484</v>
      </c>
      <c r="D3605" s="116">
        <v>125.56</v>
      </c>
      <c r="E3605" s="117">
        <v>45488</v>
      </c>
      <c r="F3605" s="116">
        <f>COUNTIFS($A$3:A11855,A3605,$B$3:B11855,B3605)</f>
        <v>1</v>
      </c>
      <c r="G3605" s="116"/>
    </row>
    <row r="3606" spans="1:7" x14ac:dyDescent="0.2">
      <c r="A3606" s="116">
        <f>IF(ISNUMBER(Tabela2[[#This Row],[CT-e/NFS]])=TRUE,(IF(B3606&gt;30000,4,IF(B3606&lt;1000,"ND",0))),"-")</f>
        <v>4</v>
      </c>
      <c r="B3606" s="116">
        <v>48042</v>
      </c>
      <c r="C3606" s="117">
        <v>45484</v>
      </c>
      <c r="D3606" s="116">
        <v>1758.3</v>
      </c>
      <c r="E3606" s="117">
        <v>45488</v>
      </c>
      <c r="F3606" s="116">
        <f>COUNTIFS($A$3:A11856,A3606,$B$3:B11856,B3606)</f>
        <v>1</v>
      </c>
      <c r="G3606" s="116"/>
    </row>
    <row r="3607" spans="1:7" x14ac:dyDescent="0.2">
      <c r="A3607" s="116">
        <f>IF(ISNUMBER(Tabela2[[#This Row],[CT-e/NFS]])=TRUE,(IF(B3607&gt;30000,4,IF(B3607&lt;1000,"ND",0))),"-")</f>
        <v>0</v>
      </c>
      <c r="B3607" s="116">
        <v>21767</v>
      </c>
      <c r="C3607" s="117">
        <v>45484</v>
      </c>
      <c r="D3607" s="116">
        <v>322.85000000000002</v>
      </c>
      <c r="E3607" s="117">
        <v>45488</v>
      </c>
      <c r="F3607" s="116">
        <f>COUNTIFS($A$3:A11857,A3607,$B$3:B11857,B3607)</f>
        <v>1</v>
      </c>
      <c r="G3607" s="116"/>
    </row>
    <row r="3608" spans="1:7" x14ac:dyDescent="0.2">
      <c r="A3608" s="116">
        <f>IF(ISNUMBER(Tabela2[[#This Row],[CT-e/NFS]])=TRUE,(IF(B3608&gt;30000,4,IF(B3608&lt;1000,"ND",0))),"-")</f>
        <v>0</v>
      </c>
      <c r="B3608" s="116">
        <v>21785</v>
      </c>
      <c r="C3608" s="117">
        <v>45484</v>
      </c>
      <c r="D3608" s="116">
        <v>269.33999999999997</v>
      </c>
      <c r="E3608" s="117">
        <v>45488</v>
      </c>
      <c r="F3608" s="116">
        <f>COUNTIFS($A$3:A11858,A3608,$B$3:B11858,B3608)</f>
        <v>1</v>
      </c>
      <c r="G3608" s="116"/>
    </row>
    <row r="3609" spans="1:7" x14ac:dyDescent="0.2">
      <c r="A3609" s="116">
        <f>IF(ISNUMBER(Tabela2[[#This Row],[CT-e/NFS]])=TRUE,(IF(B3609&gt;30000,4,IF(B3609&lt;1000,"ND",0))),"-")</f>
        <v>0</v>
      </c>
      <c r="B3609" s="116">
        <v>21784</v>
      </c>
      <c r="C3609" s="117">
        <v>45484</v>
      </c>
      <c r="D3609" s="116">
        <v>151.88999999999999</v>
      </c>
      <c r="E3609" s="117">
        <v>45488</v>
      </c>
      <c r="F3609" s="116">
        <f>COUNTIFS($A$3:A11859,A3609,$B$3:B11859,B3609)</f>
        <v>1</v>
      </c>
      <c r="G3609" s="116"/>
    </row>
    <row r="3610" spans="1:7" x14ac:dyDescent="0.2">
      <c r="A3610" s="116">
        <f>IF(ISNUMBER(Tabela2[[#This Row],[CT-e/NFS]])=TRUE,(IF(B3610&gt;30000,4,IF(B3610&lt;1000,"ND",0))),"-")</f>
        <v>0</v>
      </c>
      <c r="B3610" s="116">
        <v>21782</v>
      </c>
      <c r="C3610" s="117">
        <v>45484</v>
      </c>
      <c r="D3610" s="116">
        <v>76.34</v>
      </c>
      <c r="E3610" s="117">
        <v>45488</v>
      </c>
      <c r="F3610" s="116">
        <f>COUNTIFS($A$3:A11860,A3610,$B$3:B11860,B3610)</f>
        <v>1</v>
      </c>
      <c r="G3610" s="116"/>
    </row>
    <row r="3611" spans="1:7" x14ac:dyDescent="0.2">
      <c r="A3611" s="116">
        <f>IF(ISNUMBER(Tabela2[[#This Row],[CT-e/NFS]])=TRUE,(IF(B3611&gt;30000,4,IF(B3611&lt;1000,"ND",0))),"-")</f>
        <v>0</v>
      </c>
      <c r="B3611" s="116">
        <v>21781</v>
      </c>
      <c r="C3611" s="117">
        <v>45484</v>
      </c>
      <c r="D3611" s="116">
        <v>76.52</v>
      </c>
      <c r="E3611" s="117">
        <v>45488</v>
      </c>
      <c r="F3611" s="116">
        <f>COUNTIFS($A$3:A11861,A3611,$B$3:B11861,B3611)</f>
        <v>1</v>
      </c>
      <c r="G3611" s="116"/>
    </row>
    <row r="3612" spans="1:7" x14ac:dyDescent="0.2">
      <c r="A3612" s="116">
        <f>IF(ISNUMBER(Tabela2[[#This Row],[CT-e/NFS]])=TRUE,(IF(B3612&gt;30000,4,IF(B3612&lt;1000,"ND",0))),"-")</f>
        <v>0</v>
      </c>
      <c r="B3612" s="116">
        <v>21779</v>
      </c>
      <c r="C3612" s="117">
        <v>45484</v>
      </c>
      <c r="D3612" s="116">
        <v>515.41</v>
      </c>
      <c r="E3612" s="117">
        <v>45488</v>
      </c>
      <c r="F3612" s="116">
        <f>COUNTIFS($A$3:A11862,A3612,$B$3:B11862,B3612)</f>
        <v>1</v>
      </c>
      <c r="G3612" s="116"/>
    </row>
    <row r="3613" spans="1:7" x14ac:dyDescent="0.2">
      <c r="A3613" s="116">
        <f>IF(ISNUMBER(Tabela2[[#This Row],[CT-e/NFS]])=TRUE,(IF(B3613&gt;30000,4,IF(B3613&lt;1000,"ND",0))),"-")</f>
        <v>0</v>
      </c>
      <c r="B3613" s="116">
        <v>21780</v>
      </c>
      <c r="C3613" s="117">
        <v>45484</v>
      </c>
      <c r="D3613" s="116">
        <v>118.52</v>
      </c>
      <c r="E3613" s="117">
        <v>45488</v>
      </c>
      <c r="F3613" s="116">
        <f>COUNTIFS($A$3:A11863,A3613,$B$3:B11863,B3613)</f>
        <v>1</v>
      </c>
      <c r="G3613" s="116"/>
    </row>
    <row r="3614" spans="1:7" x14ac:dyDescent="0.2">
      <c r="A3614" s="116">
        <f>IF(ISNUMBER(Tabela2[[#This Row],[CT-e/NFS]])=TRUE,(IF(B3614&gt;30000,4,IF(B3614&lt;1000,"ND",0))),"-")</f>
        <v>0</v>
      </c>
      <c r="B3614" s="116">
        <v>21775</v>
      </c>
      <c r="C3614" s="117">
        <v>45484</v>
      </c>
      <c r="D3614" s="116">
        <v>77.58</v>
      </c>
      <c r="E3614" s="117">
        <v>45488</v>
      </c>
      <c r="F3614" s="116">
        <f>COUNTIFS($A$3:A11864,A3614,$B$3:B11864,B3614)</f>
        <v>1</v>
      </c>
      <c r="G3614" s="116"/>
    </row>
    <row r="3615" spans="1:7" x14ac:dyDescent="0.2">
      <c r="A3615" s="116">
        <f>IF(ISNUMBER(Tabela2[[#This Row],[CT-e/NFS]])=TRUE,(IF(B3615&gt;30000,4,IF(B3615&lt;1000,"ND",0))),"-")</f>
        <v>0</v>
      </c>
      <c r="B3615" s="116">
        <v>21777</v>
      </c>
      <c r="C3615" s="117">
        <v>45484</v>
      </c>
      <c r="D3615" s="116">
        <v>77.62</v>
      </c>
      <c r="E3615" s="117">
        <v>45488</v>
      </c>
      <c r="F3615" s="116">
        <f>COUNTIFS($A$3:A11865,A3615,$B$3:B11865,B3615)</f>
        <v>1</v>
      </c>
      <c r="G3615" s="116"/>
    </row>
    <row r="3616" spans="1:7" x14ac:dyDescent="0.2">
      <c r="A3616" s="116">
        <f>IF(ISNUMBER(Tabela2[[#This Row],[CT-e/NFS]])=TRUE,(IF(B3616&gt;30000,4,IF(B3616&lt;1000,"ND",0))),"-")</f>
        <v>0</v>
      </c>
      <c r="B3616" s="116">
        <v>21774</v>
      </c>
      <c r="C3616" s="117">
        <v>45484</v>
      </c>
      <c r="D3616" s="116">
        <v>122.49</v>
      </c>
      <c r="E3616" s="117">
        <v>45488</v>
      </c>
      <c r="F3616" s="116">
        <f>COUNTIFS($A$3:A11866,A3616,$B$3:B11866,B3616)</f>
        <v>1</v>
      </c>
      <c r="G3616" s="116"/>
    </row>
    <row r="3617" spans="1:7" x14ac:dyDescent="0.2">
      <c r="A3617" s="116">
        <f>IF(ISNUMBER(Tabela2[[#This Row],[CT-e/NFS]])=TRUE,(IF(B3617&gt;30000,4,IF(B3617&lt;1000,"ND",0))),"-")</f>
        <v>0</v>
      </c>
      <c r="B3617" s="116">
        <v>21773</v>
      </c>
      <c r="C3617" s="117">
        <v>45484</v>
      </c>
      <c r="D3617" s="116">
        <v>416.35</v>
      </c>
      <c r="E3617" s="117">
        <v>45488</v>
      </c>
      <c r="F3617" s="116">
        <f>COUNTIFS($A$3:A11867,A3617,$B$3:B11867,B3617)</f>
        <v>1</v>
      </c>
      <c r="G3617" s="116"/>
    </row>
    <row r="3618" spans="1:7" x14ac:dyDescent="0.2">
      <c r="A3618" s="116">
        <f>IF(ISNUMBER(Tabela2[[#This Row],[CT-e/NFS]])=TRUE,(IF(B3618&gt;30000,4,IF(B3618&lt;1000,"ND",0))),"-")</f>
        <v>0</v>
      </c>
      <c r="B3618" s="116">
        <v>21776</v>
      </c>
      <c r="C3618" s="117">
        <v>45484</v>
      </c>
      <c r="D3618" s="116">
        <v>77.06</v>
      </c>
      <c r="E3618" s="117">
        <v>45488</v>
      </c>
      <c r="F3618" s="116">
        <f>COUNTIFS($A$3:A11868,A3618,$B$3:B11868,B3618)</f>
        <v>1</v>
      </c>
      <c r="G3618" s="116"/>
    </row>
    <row r="3619" spans="1:7" x14ac:dyDescent="0.2">
      <c r="A3619" s="116">
        <f>IF(ISNUMBER(Tabela2[[#This Row],[CT-e/NFS]])=TRUE,(IF(B3619&gt;30000,4,IF(B3619&lt;1000,"ND",0))),"-")</f>
        <v>0</v>
      </c>
      <c r="B3619" s="116">
        <v>21769</v>
      </c>
      <c r="C3619" s="117">
        <v>45484</v>
      </c>
      <c r="D3619" s="116">
        <v>76.34</v>
      </c>
      <c r="E3619" s="117">
        <v>45488</v>
      </c>
      <c r="F3619" s="116">
        <f>COUNTIFS($A$3:A11869,A3619,$B$3:B11869,B3619)</f>
        <v>1</v>
      </c>
      <c r="G3619" s="116"/>
    </row>
    <row r="3620" spans="1:7" x14ac:dyDescent="0.2">
      <c r="A3620" s="116">
        <f>IF(ISNUMBER(Tabela2[[#This Row],[CT-e/NFS]])=TRUE,(IF(B3620&gt;30000,4,IF(B3620&lt;1000,"ND",0))),"-")</f>
        <v>0</v>
      </c>
      <c r="B3620" s="116">
        <v>21772</v>
      </c>
      <c r="C3620" s="117">
        <v>45484</v>
      </c>
      <c r="D3620" s="116">
        <v>75.680000000000007</v>
      </c>
      <c r="E3620" s="117">
        <v>45488</v>
      </c>
      <c r="F3620" s="116">
        <f>COUNTIFS($A$3:A11870,A3620,$B$3:B11870,B3620)</f>
        <v>1</v>
      </c>
      <c r="G3620" s="116"/>
    </row>
    <row r="3621" spans="1:7" x14ac:dyDescent="0.2">
      <c r="A3621" s="116">
        <f>IF(ISNUMBER(Tabela2[[#This Row],[CT-e/NFS]])=TRUE,(IF(B3621&gt;30000,4,IF(B3621&lt;1000,"ND",0))),"-")</f>
        <v>0</v>
      </c>
      <c r="B3621" s="116">
        <v>21771</v>
      </c>
      <c r="C3621" s="117">
        <v>45484</v>
      </c>
      <c r="D3621" s="116">
        <v>76.349999999999994</v>
      </c>
      <c r="E3621" s="117">
        <v>45488</v>
      </c>
      <c r="F3621" s="116">
        <f>COUNTIFS($A$3:A11871,A3621,$B$3:B11871,B3621)</f>
        <v>1</v>
      </c>
      <c r="G3621" s="116"/>
    </row>
    <row r="3622" spans="1:7" x14ac:dyDescent="0.2">
      <c r="A3622" s="116">
        <f>IF(ISNUMBER(Tabela2[[#This Row],[CT-e/NFS]])=TRUE,(IF(B3622&gt;30000,4,IF(B3622&lt;1000,"ND",0))),"-")</f>
        <v>0</v>
      </c>
      <c r="B3622" s="116">
        <v>21787</v>
      </c>
      <c r="C3622" s="117">
        <v>45484</v>
      </c>
      <c r="D3622" s="116">
        <v>185.77</v>
      </c>
      <c r="E3622" s="117">
        <v>45488</v>
      </c>
      <c r="F3622" s="116">
        <f>COUNTIFS($A$3:A11872,A3622,$B$3:B11872,B3622)</f>
        <v>1</v>
      </c>
      <c r="G3622" s="116"/>
    </row>
    <row r="3623" spans="1:7" x14ac:dyDescent="0.2">
      <c r="A3623" s="116">
        <f>IF(ISNUMBER(Tabela2[[#This Row],[CT-e/NFS]])=TRUE,(IF(B3623&gt;30000,4,IF(B3623&lt;1000,"ND",0))),"-")</f>
        <v>0</v>
      </c>
      <c r="B3623" s="116">
        <v>21799</v>
      </c>
      <c r="C3623" s="117">
        <v>45484</v>
      </c>
      <c r="D3623" s="116">
        <v>844.29</v>
      </c>
      <c r="E3623" s="117">
        <v>45488</v>
      </c>
      <c r="F3623" s="116">
        <f>COUNTIFS($A$3:A11873,A3623,$B$3:B11873,B3623)</f>
        <v>1</v>
      </c>
      <c r="G3623" s="116"/>
    </row>
    <row r="3624" spans="1:7" x14ac:dyDescent="0.2">
      <c r="A3624" s="116">
        <f>IF(ISNUMBER(Tabela2[[#This Row],[CT-e/NFS]])=TRUE,(IF(B3624&gt;30000,4,IF(B3624&lt;1000,"ND",0))),"-")</f>
        <v>0</v>
      </c>
      <c r="B3624" s="116">
        <v>21798</v>
      </c>
      <c r="C3624" s="117">
        <v>45484</v>
      </c>
      <c r="D3624" s="116">
        <v>252.67</v>
      </c>
      <c r="E3624" s="117">
        <v>45488</v>
      </c>
      <c r="F3624" s="116">
        <f>COUNTIFS($A$3:A11874,A3624,$B$3:B11874,B3624)</f>
        <v>1</v>
      </c>
      <c r="G3624" s="116"/>
    </row>
    <row r="3625" spans="1:7" x14ac:dyDescent="0.2">
      <c r="A3625" s="116">
        <f>IF(ISNUMBER(Tabela2[[#This Row],[CT-e/NFS]])=TRUE,(IF(B3625&gt;30000,4,IF(B3625&lt;1000,"ND",0))),"-")</f>
        <v>0</v>
      </c>
      <c r="B3625" s="116">
        <v>21797</v>
      </c>
      <c r="C3625" s="117">
        <v>45484</v>
      </c>
      <c r="D3625" s="116">
        <v>115.53</v>
      </c>
      <c r="E3625" s="117">
        <v>45488</v>
      </c>
      <c r="F3625" s="116">
        <f>COUNTIFS($A$3:A11875,A3625,$B$3:B11875,B3625)</f>
        <v>1</v>
      </c>
      <c r="G3625" s="116"/>
    </row>
    <row r="3626" spans="1:7" x14ac:dyDescent="0.2">
      <c r="A3626" s="116">
        <f>IF(ISNUMBER(Tabela2[[#This Row],[CT-e/NFS]])=TRUE,(IF(B3626&gt;30000,4,IF(B3626&lt;1000,"ND",0))),"-")</f>
        <v>0</v>
      </c>
      <c r="B3626" s="116">
        <v>21794</v>
      </c>
      <c r="C3626" s="117">
        <v>45484</v>
      </c>
      <c r="D3626" s="116">
        <v>75.7</v>
      </c>
      <c r="E3626" s="117">
        <v>45488</v>
      </c>
      <c r="F3626" s="116">
        <f>COUNTIFS($A$3:A11876,A3626,$B$3:B11876,B3626)</f>
        <v>1</v>
      </c>
      <c r="G3626" s="116"/>
    </row>
    <row r="3627" spans="1:7" x14ac:dyDescent="0.2">
      <c r="A3627" s="116">
        <f>IF(ISNUMBER(Tabela2[[#This Row],[CT-e/NFS]])=TRUE,(IF(B3627&gt;30000,4,IF(B3627&lt;1000,"ND",0))),"-")</f>
        <v>0</v>
      </c>
      <c r="B3627" s="116">
        <v>21796</v>
      </c>
      <c r="C3627" s="117">
        <v>45484</v>
      </c>
      <c r="D3627" s="116">
        <v>77.09</v>
      </c>
      <c r="E3627" s="117">
        <v>45488</v>
      </c>
      <c r="F3627" s="116">
        <f>COUNTIFS($A$3:A11877,A3627,$B$3:B11877,B3627)</f>
        <v>1</v>
      </c>
      <c r="G3627" s="116"/>
    </row>
    <row r="3628" spans="1:7" x14ac:dyDescent="0.2">
      <c r="A3628" s="116">
        <f>IF(ISNUMBER(Tabela2[[#This Row],[CT-e/NFS]])=TRUE,(IF(B3628&gt;30000,4,IF(B3628&lt;1000,"ND",0))),"-")</f>
        <v>0</v>
      </c>
      <c r="B3628" s="116">
        <v>21795</v>
      </c>
      <c r="C3628" s="117">
        <v>45484</v>
      </c>
      <c r="D3628" s="116">
        <v>77.63</v>
      </c>
      <c r="E3628" s="117">
        <v>45488</v>
      </c>
      <c r="F3628" s="116">
        <f>COUNTIFS($A$3:A11878,A3628,$B$3:B11878,B3628)</f>
        <v>1</v>
      </c>
      <c r="G3628" s="116"/>
    </row>
    <row r="3629" spans="1:7" x14ac:dyDescent="0.2">
      <c r="A3629" s="116">
        <f>IF(ISNUMBER(Tabela2[[#This Row],[CT-e/NFS]])=TRUE,(IF(B3629&gt;30000,4,IF(B3629&lt;1000,"ND",0))),"-")</f>
        <v>0</v>
      </c>
      <c r="B3629" s="116">
        <v>21802</v>
      </c>
      <c r="C3629" s="117">
        <v>45484</v>
      </c>
      <c r="D3629" s="116">
        <v>338.19</v>
      </c>
      <c r="E3629" s="117">
        <v>45488</v>
      </c>
      <c r="F3629" s="116">
        <f>COUNTIFS($A$3:A11879,A3629,$B$3:B11879,B3629)</f>
        <v>1</v>
      </c>
      <c r="G3629" s="116"/>
    </row>
    <row r="3630" spans="1:7" x14ac:dyDescent="0.2">
      <c r="A3630" s="116">
        <f>IF(ISNUMBER(Tabela2[[#This Row],[CT-e/NFS]])=TRUE,(IF(B3630&gt;30000,4,IF(B3630&lt;1000,"ND",0))),"-")</f>
        <v>0</v>
      </c>
      <c r="B3630" s="116">
        <v>21804</v>
      </c>
      <c r="C3630" s="117">
        <v>45484</v>
      </c>
      <c r="D3630" s="116">
        <v>76.790000000000006</v>
      </c>
      <c r="E3630" s="117">
        <v>45488</v>
      </c>
      <c r="F3630" s="116">
        <f>COUNTIFS($A$3:A11880,A3630,$B$3:B11880,B3630)</f>
        <v>1</v>
      </c>
      <c r="G3630" s="116"/>
    </row>
    <row r="3631" spans="1:7" x14ac:dyDescent="0.2">
      <c r="A3631" s="116">
        <f>IF(ISNUMBER(Tabela2[[#This Row],[CT-e/NFS]])=TRUE,(IF(B3631&gt;30000,4,IF(B3631&lt;1000,"ND",0))),"-")</f>
        <v>0</v>
      </c>
      <c r="B3631" s="116">
        <v>21803</v>
      </c>
      <c r="C3631" s="117">
        <v>45484</v>
      </c>
      <c r="D3631" s="116">
        <v>76.31</v>
      </c>
      <c r="E3631" s="117">
        <v>45488</v>
      </c>
      <c r="F3631" s="116">
        <f>COUNTIFS($A$3:A11881,A3631,$B$3:B11881,B3631)</f>
        <v>1</v>
      </c>
      <c r="G3631" s="116"/>
    </row>
    <row r="3632" spans="1:7" x14ac:dyDescent="0.2">
      <c r="A3632" s="116">
        <f>IF(ISNUMBER(Tabela2[[#This Row],[CT-e/NFS]])=TRUE,(IF(B3632&gt;30000,4,IF(B3632&lt;1000,"ND",0))),"-")</f>
        <v>0</v>
      </c>
      <c r="B3632" s="116">
        <v>21801</v>
      </c>
      <c r="C3632" s="117">
        <v>45484</v>
      </c>
      <c r="D3632" s="116">
        <v>76.28</v>
      </c>
      <c r="E3632" s="117">
        <v>45488</v>
      </c>
      <c r="F3632" s="116">
        <f>COUNTIFS($A$3:A11882,A3632,$B$3:B11882,B3632)</f>
        <v>1</v>
      </c>
      <c r="G3632" s="116"/>
    </row>
    <row r="3633" spans="1:7" x14ac:dyDescent="0.2">
      <c r="A3633" s="116">
        <f>IF(ISNUMBER(Tabela2[[#This Row],[CT-e/NFS]])=TRUE,(IF(B3633&gt;30000,4,IF(B3633&lt;1000,"ND",0))),"-")</f>
        <v>4</v>
      </c>
      <c r="B3633" s="116">
        <v>47966</v>
      </c>
      <c r="C3633" s="117">
        <v>45484</v>
      </c>
      <c r="D3633" s="116">
        <v>1356.02</v>
      </c>
      <c r="E3633" s="117">
        <v>45488</v>
      </c>
      <c r="F3633" s="116">
        <f>COUNTIFS($A$3:A11883,A3633,$B$3:B11883,B3633)</f>
        <v>1</v>
      </c>
      <c r="G3633" s="116"/>
    </row>
    <row r="3634" spans="1:7" x14ac:dyDescent="0.2">
      <c r="A3634" s="116">
        <f>IF(ISNUMBER(Tabela2[[#This Row],[CT-e/NFS]])=TRUE,(IF(B3634&gt;30000,4,IF(B3634&lt;1000,"ND",0))),"-")</f>
        <v>0</v>
      </c>
      <c r="B3634" s="116">
        <v>21768</v>
      </c>
      <c r="C3634" s="117">
        <v>45484</v>
      </c>
      <c r="D3634" s="116">
        <v>1001.33</v>
      </c>
      <c r="E3634" s="117">
        <v>45488</v>
      </c>
      <c r="F3634" s="116">
        <f>COUNTIFS($A$3:A11884,A3634,$B$3:B11884,B3634)</f>
        <v>1</v>
      </c>
      <c r="G3634" s="116"/>
    </row>
    <row r="3635" spans="1:7" x14ac:dyDescent="0.2">
      <c r="A3635" s="116">
        <f>IF(ISNUMBER(Tabela2[[#This Row],[CT-e/NFS]])=TRUE,(IF(B3635&gt;30000,4,IF(B3635&lt;1000,"ND",0))),"-")</f>
        <v>0</v>
      </c>
      <c r="B3635" s="116">
        <v>21800</v>
      </c>
      <c r="C3635" s="117">
        <v>45484</v>
      </c>
      <c r="D3635" s="116">
        <v>75.7</v>
      </c>
      <c r="E3635" s="117">
        <v>45488</v>
      </c>
      <c r="F3635" s="116">
        <f>COUNTIFS($A$3:A11885,A3635,$B$3:B11885,B3635)</f>
        <v>1</v>
      </c>
      <c r="G3635" s="116"/>
    </row>
    <row r="3636" spans="1:7" x14ac:dyDescent="0.2">
      <c r="A3636" s="116">
        <f>IF(ISNUMBER(Tabela2[[#This Row],[CT-e/NFS]])=TRUE,(IF(B3636&gt;30000,4,IF(B3636&lt;1000,"ND",0))),"-")</f>
        <v>4</v>
      </c>
      <c r="B3636" s="116">
        <v>48066</v>
      </c>
      <c r="C3636" s="117">
        <v>45484</v>
      </c>
      <c r="D3636" s="116">
        <v>6389.23</v>
      </c>
      <c r="E3636" s="117">
        <v>45488</v>
      </c>
      <c r="F3636" s="116">
        <f>COUNTIFS($A$3:A11886,A3636,$B$3:B11886,B3636)</f>
        <v>1</v>
      </c>
      <c r="G3636" s="116"/>
    </row>
    <row r="3637" spans="1:7" x14ac:dyDescent="0.2">
      <c r="A3637" s="116">
        <f>IF(ISNUMBER(Tabela2[[#This Row],[CT-e/NFS]])=TRUE,(IF(B3637&gt;30000,4,IF(B3637&lt;1000,"ND",0))),"-")</f>
        <v>4</v>
      </c>
      <c r="B3637" s="116">
        <v>48068</v>
      </c>
      <c r="C3637" s="117">
        <v>45484</v>
      </c>
      <c r="D3637" s="116">
        <v>7986.53</v>
      </c>
      <c r="E3637" s="117">
        <v>45488</v>
      </c>
      <c r="F3637" s="116">
        <f>COUNTIFS($A$3:A11887,A3637,$B$3:B11887,B3637)</f>
        <v>1</v>
      </c>
      <c r="G3637" s="116"/>
    </row>
    <row r="3638" spans="1:7" x14ac:dyDescent="0.2">
      <c r="A3638" s="116">
        <f>IF(ISNUMBER(Tabela2[[#This Row],[CT-e/NFS]])=TRUE,(IF(B3638&gt;30000,4,IF(B3638&lt;1000,"ND",0))),"-")</f>
        <v>4</v>
      </c>
      <c r="B3638" s="116">
        <v>48069</v>
      </c>
      <c r="C3638" s="117">
        <v>45484</v>
      </c>
      <c r="D3638" s="116">
        <v>11181.14</v>
      </c>
      <c r="E3638" s="117">
        <v>45488</v>
      </c>
      <c r="F3638" s="116">
        <f>COUNTIFS($A$3:A11888,A3638,$B$3:B11888,B3638)</f>
        <v>1</v>
      </c>
      <c r="G3638" s="116"/>
    </row>
    <row r="3639" spans="1:7" x14ac:dyDescent="0.2">
      <c r="A3639" s="116">
        <f>IF(ISNUMBER(Tabela2[[#This Row],[CT-e/NFS]])=TRUE,(IF(B3639&gt;30000,4,IF(B3639&lt;1000,"ND",0))),"-")</f>
        <v>4</v>
      </c>
      <c r="B3639" s="116">
        <v>48067</v>
      </c>
      <c r="C3639" s="117">
        <v>45484</v>
      </c>
      <c r="D3639" s="116">
        <v>1597.31</v>
      </c>
      <c r="E3639" s="117">
        <v>45488</v>
      </c>
      <c r="F3639" s="116">
        <f>COUNTIFS($A$3:A11889,A3639,$B$3:B11889,B3639)</f>
        <v>1</v>
      </c>
      <c r="G3639" s="116"/>
    </row>
    <row r="3640" spans="1:7" x14ac:dyDescent="0.2">
      <c r="A3640" s="116">
        <f>IF(ISNUMBER(Tabela2[[#This Row],[CT-e/NFS]])=TRUE,(IF(B3640&gt;30000,4,IF(B3640&lt;1000,"ND",0))),"-")</f>
        <v>0</v>
      </c>
      <c r="B3640" s="116">
        <v>21778</v>
      </c>
      <c r="C3640" s="117">
        <v>45484</v>
      </c>
      <c r="D3640" s="116">
        <v>515.41</v>
      </c>
      <c r="E3640" s="117">
        <v>45488</v>
      </c>
      <c r="F3640" s="116">
        <f>COUNTIFS($A$3:A11890,A3640,$B$3:B11890,B3640)</f>
        <v>1</v>
      </c>
      <c r="G3640" s="116"/>
    </row>
    <row r="3641" spans="1:7" x14ac:dyDescent="0.2">
      <c r="A3641" s="116">
        <f>IF(ISNUMBER(Tabela2[[#This Row],[CT-e/NFS]])=TRUE,(IF(B3641&gt;30000,4,IF(B3641&lt;1000,"ND",0))),"-")</f>
        <v>0</v>
      </c>
      <c r="B3641" s="116">
        <v>21793</v>
      </c>
      <c r="C3641" s="117">
        <v>45484</v>
      </c>
      <c r="D3641" s="116">
        <v>38.81</v>
      </c>
      <c r="E3641" s="117">
        <v>45488</v>
      </c>
      <c r="F3641" s="116">
        <f>COUNTIFS($A$3:A11891,A3641,$B$3:B11891,B3641)</f>
        <v>1</v>
      </c>
      <c r="G3641" s="116"/>
    </row>
    <row r="3642" spans="1:7" x14ac:dyDescent="0.2">
      <c r="A3642" s="116">
        <f>IF(ISNUMBER(Tabela2[[#This Row],[CT-e/NFS]])=TRUE,(IF(B3642&gt;30000,4,IF(B3642&lt;1000,"ND",0))),"-")</f>
        <v>0</v>
      </c>
      <c r="B3642" s="116">
        <v>21790</v>
      </c>
      <c r="C3642" s="117">
        <v>45484</v>
      </c>
      <c r="D3642" s="116">
        <v>70.06</v>
      </c>
      <c r="E3642" s="117">
        <v>45488</v>
      </c>
      <c r="F3642" s="116">
        <f>COUNTIFS($A$3:A11892,A3642,$B$3:B11892,B3642)</f>
        <v>1</v>
      </c>
      <c r="G3642" s="116"/>
    </row>
    <row r="3643" spans="1:7" x14ac:dyDescent="0.2">
      <c r="A3643" s="116">
        <f>IF(ISNUMBER(Tabela2[[#This Row],[CT-e/NFS]])=TRUE,(IF(B3643&gt;30000,4,IF(B3643&lt;1000,"ND",0))),"-")</f>
        <v>0</v>
      </c>
      <c r="B3643" s="116">
        <v>21792</v>
      </c>
      <c r="C3643" s="117">
        <v>45484</v>
      </c>
      <c r="D3643" s="116">
        <v>38.17</v>
      </c>
      <c r="E3643" s="117">
        <v>45488</v>
      </c>
      <c r="F3643" s="116">
        <f>COUNTIFS($A$3:A11893,A3643,$B$3:B11893,B3643)</f>
        <v>1</v>
      </c>
      <c r="G3643" s="116"/>
    </row>
    <row r="3644" spans="1:7" x14ac:dyDescent="0.2">
      <c r="A3644" s="116">
        <f>IF(ISNUMBER(Tabela2[[#This Row],[CT-e/NFS]])=TRUE,(IF(B3644&gt;30000,4,IF(B3644&lt;1000,"ND",0))),"-")</f>
        <v>0</v>
      </c>
      <c r="B3644" s="116">
        <v>21789</v>
      </c>
      <c r="C3644" s="117">
        <v>45484</v>
      </c>
      <c r="D3644" s="116">
        <v>68.78</v>
      </c>
      <c r="E3644" s="117">
        <v>45488</v>
      </c>
      <c r="F3644" s="116">
        <f>COUNTIFS($A$3:A11894,A3644,$B$3:B11894,B3644)</f>
        <v>1</v>
      </c>
      <c r="G3644" s="116"/>
    </row>
    <row r="3645" spans="1:7" x14ac:dyDescent="0.2">
      <c r="A3645" s="116">
        <f>IF(ISNUMBER(Tabela2[[#This Row],[CT-e/NFS]])=TRUE,(IF(B3645&gt;30000,4,IF(B3645&lt;1000,"ND",0))),"-")</f>
        <v>0</v>
      </c>
      <c r="B3645" s="116">
        <v>21788</v>
      </c>
      <c r="C3645" s="117">
        <v>45484</v>
      </c>
      <c r="D3645" s="116">
        <v>38.17</v>
      </c>
      <c r="E3645" s="117">
        <v>45488</v>
      </c>
      <c r="F3645" s="116">
        <f>COUNTIFS($A$3:A11895,A3645,$B$3:B11895,B3645)</f>
        <v>1</v>
      </c>
      <c r="G3645" s="116"/>
    </row>
    <row r="3646" spans="1:7" x14ac:dyDescent="0.2">
      <c r="A3646" s="116">
        <f>IF(ISNUMBER(Tabela2[[#This Row],[CT-e/NFS]])=TRUE,(IF(B3646&gt;30000,4,IF(B3646&lt;1000,"ND",0))),"-")</f>
        <v>0</v>
      </c>
      <c r="B3646" s="116">
        <v>21791</v>
      </c>
      <c r="C3646" s="117">
        <v>45484</v>
      </c>
      <c r="D3646" s="116">
        <v>68.790000000000006</v>
      </c>
      <c r="E3646" s="117">
        <v>45488</v>
      </c>
      <c r="F3646" s="116">
        <f>COUNTIFS($A$3:A11896,A3646,$B$3:B11896,B3646)</f>
        <v>1</v>
      </c>
      <c r="G3646" s="116"/>
    </row>
    <row r="3647" spans="1:7" x14ac:dyDescent="0.2">
      <c r="A3647" s="116">
        <f>IF(ISNUMBER(Tabela2[[#This Row],[CT-e/NFS]])=TRUE,(IF(B3647&gt;30000,4,IF(B3647&lt;1000,"ND",0))),"-")</f>
        <v>0</v>
      </c>
      <c r="B3647" s="116">
        <v>21810</v>
      </c>
      <c r="C3647" s="117">
        <v>45484</v>
      </c>
      <c r="D3647" s="116">
        <v>348.37</v>
      </c>
      <c r="E3647" s="117">
        <v>45488</v>
      </c>
      <c r="F3647" s="116">
        <f>COUNTIFS($A$3:A11897,A3647,$B$3:B11897,B3647)</f>
        <v>1</v>
      </c>
      <c r="G3647" s="116"/>
    </row>
    <row r="3648" spans="1:7" x14ac:dyDescent="0.2">
      <c r="A3648" s="116">
        <f>IF(ISNUMBER(Tabela2[[#This Row],[CT-e/NFS]])=TRUE,(IF(B3648&gt;30000,4,IF(B3648&lt;1000,"ND",0))),"-")</f>
        <v>0</v>
      </c>
      <c r="B3648" s="116">
        <v>21770</v>
      </c>
      <c r="C3648" s="117">
        <v>45484</v>
      </c>
      <c r="D3648" s="116">
        <v>844.29</v>
      </c>
      <c r="E3648" s="117">
        <v>45488</v>
      </c>
      <c r="F3648" s="116">
        <f>COUNTIFS($A$3:A11898,A3648,$B$3:B11898,B3648)</f>
        <v>1</v>
      </c>
      <c r="G3648" s="116"/>
    </row>
    <row r="3649" spans="1:7" x14ac:dyDescent="0.2">
      <c r="A3649" s="116">
        <f>IF(ISNUMBER(Tabela2[[#This Row],[CT-e/NFS]])=TRUE,(IF(B3649&gt;30000,4,IF(B3649&lt;1000,"ND",0))),"-")</f>
        <v>4</v>
      </c>
      <c r="B3649" s="116">
        <v>48077</v>
      </c>
      <c r="C3649" s="117">
        <v>45484</v>
      </c>
      <c r="D3649" s="116">
        <v>396.45</v>
      </c>
      <c r="E3649" s="117">
        <v>45488</v>
      </c>
      <c r="F3649" s="116">
        <f>COUNTIFS($A$3:A11899,A3649,$B$3:B11899,B3649)</f>
        <v>1</v>
      </c>
      <c r="G3649" s="116"/>
    </row>
    <row r="3650" spans="1:7" x14ac:dyDescent="0.2">
      <c r="A3650" s="116" t="str">
        <f>IF(ISNUMBER(Tabela2[[#This Row],[CT-e/NFS]])=TRUE,(IF(B3650&gt;30000,4,IF(B3650&lt;1000,"ND",0))),"-")</f>
        <v>ND</v>
      </c>
      <c r="B3650" s="116">
        <v>224</v>
      </c>
      <c r="C3650" s="117">
        <v>45484</v>
      </c>
      <c r="D3650" s="116">
        <v>1007.55</v>
      </c>
      <c r="E3650" s="117">
        <v>45488</v>
      </c>
      <c r="F3650" s="116">
        <f>COUNTIFS($A$3:A11900,A3650,$B$3:B11900,B3650)</f>
        <v>1</v>
      </c>
      <c r="G3650" s="116"/>
    </row>
    <row r="3651" spans="1:7" x14ac:dyDescent="0.2">
      <c r="A3651" s="116">
        <f>IF(ISNUMBER(Tabela2[[#This Row],[CT-e/NFS]])=TRUE,(IF(B3651&gt;30000,4,IF(B3651&lt;1000,"ND",0))),"-")</f>
        <v>4</v>
      </c>
      <c r="B3651" s="116">
        <v>48010</v>
      </c>
      <c r="C3651" s="117">
        <v>45484</v>
      </c>
      <c r="D3651" s="116">
        <v>227.27</v>
      </c>
      <c r="E3651" s="117">
        <v>45488</v>
      </c>
      <c r="F3651" s="116">
        <f>COUNTIFS($A$3:A11901,A3651,$B$3:B11901,B3651)</f>
        <v>1</v>
      </c>
      <c r="G3651" s="116"/>
    </row>
    <row r="3652" spans="1:7" x14ac:dyDescent="0.2">
      <c r="A3652" s="116">
        <f>IF(ISNUMBER(Tabela2[[#This Row],[CT-e/NFS]])=TRUE,(IF(B3652&gt;30000,4,IF(B3652&lt;1000,"ND",0))),"-")</f>
        <v>4</v>
      </c>
      <c r="B3652" s="116">
        <v>47336</v>
      </c>
      <c r="C3652" s="117">
        <v>45477</v>
      </c>
      <c r="D3652" s="116">
        <v>209.94</v>
      </c>
      <c r="E3652" s="117">
        <v>45503</v>
      </c>
      <c r="F3652" s="116">
        <f>COUNTIFS($A$3:A11902,A3652,$B$3:B11902,B3652)</f>
        <v>1</v>
      </c>
      <c r="G3652" s="116"/>
    </row>
    <row r="3653" spans="1:7" x14ac:dyDescent="0.2">
      <c r="A3653" s="116">
        <f>IF(ISNUMBER(Tabela2[[#This Row],[CT-e/NFS]])=TRUE,(IF(B3653&gt;30000,4,IF(B3653&lt;1000,"ND",0))),"-")</f>
        <v>4</v>
      </c>
      <c r="B3653" s="116">
        <v>47362</v>
      </c>
      <c r="C3653" s="117">
        <v>45477</v>
      </c>
      <c r="D3653" s="116">
        <v>923.89</v>
      </c>
      <c r="E3653" s="117">
        <v>45503</v>
      </c>
      <c r="F3653" s="116">
        <f>COUNTIFS($A$3:A11903,A3653,$B$3:B11903,B3653)</f>
        <v>1</v>
      </c>
      <c r="G3653" s="116"/>
    </row>
    <row r="3654" spans="1:7" x14ac:dyDescent="0.2">
      <c r="A3654" s="116">
        <f>IF(ISNUMBER(Tabela2[[#This Row],[CT-e/NFS]])=TRUE,(IF(B3654&gt;30000,4,IF(B3654&lt;1000,"ND",0))),"-")</f>
        <v>0</v>
      </c>
      <c r="B3654" s="116">
        <v>21541</v>
      </c>
      <c r="C3654" s="117">
        <v>45484</v>
      </c>
      <c r="D3654" s="116">
        <v>99.17</v>
      </c>
      <c r="E3654" s="117">
        <v>45503</v>
      </c>
      <c r="F3654" s="116">
        <f>COUNTIFS($A$3:A11904,A3654,$B$3:B11904,B3654)</f>
        <v>1</v>
      </c>
      <c r="G3654" s="116"/>
    </row>
    <row r="3655" spans="1:7" x14ac:dyDescent="0.2">
      <c r="A3655" s="116">
        <f>IF(ISNUMBER(Tabela2[[#This Row],[CT-e/NFS]])=TRUE,(IF(B3655&gt;30000,4,IF(B3655&lt;1000,"ND",0))),"-")</f>
        <v>0</v>
      </c>
      <c r="B3655" s="116">
        <v>21682</v>
      </c>
      <c r="C3655" s="117">
        <v>45484</v>
      </c>
      <c r="D3655" s="116">
        <v>450.51</v>
      </c>
      <c r="E3655" s="117">
        <v>45503</v>
      </c>
      <c r="F3655" s="116">
        <f>COUNTIFS($A$3:A11905,A3655,$B$3:B11905,B3655)</f>
        <v>1</v>
      </c>
      <c r="G3655" s="116"/>
    </row>
    <row r="3656" spans="1:7" x14ac:dyDescent="0.2">
      <c r="A3656" s="116">
        <f>IF(ISNUMBER(Tabela2[[#This Row],[CT-e/NFS]])=TRUE,(IF(B3656&gt;30000,4,IF(B3656&lt;1000,"ND",0))),"-")</f>
        <v>4</v>
      </c>
      <c r="B3656" s="116">
        <v>47556</v>
      </c>
      <c r="C3656" s="117">
        <v>45484</v>
      </c>
      <c r="D3656" s="116">
        <v>671.03</v>
      </c>
      <c r="E3656" s="117">
        <v>45503</v>
      </c>
      <c r="F3656" s="116">
        <f>COUNTIFS($A$3:A11906,A3656,$B$3:B11906,B3656)</f>
        <v>1</v>
      </c>
      <c r="G3656" s="116"/>
    </row>
    <row r="3657" spans="1:7" x14ac:dyDescent="0.2">
      <c r="A3657" s="116">
        <f>IF(ISNUMBER(Tabela2[[#This Row],[CT-e/NFS]])=TRUE,(IF(B3657&gt;30000,4,IF(B3657&lt;1000,"ND",0))),"-")</f>
        <v>4</v>
      </c>
      <c r="B3657" s="116">
        <v>47553</v>
      </c>
      <c r="C3657" s="117">
        <v>45484</v>
      </c>
      <c r="D3657" s="116">
        <v>323.49</v>
      </c>
      <c r="E3657" s="117">
        <v>45503</v>
      </c>
      <c r="F3657" s="116">
        <f>COUNTIFS($A$3:A11907,A3657,$B$3:B11907,B3657)</f>
        <v>1</v>
      </c>
      <c r="G3657" s="116"/>
    </row>
    <row r="3658" spans="1:7" x14ac:dyDescent="0.2">
      <c r="A3658" s="116">
        <f>IF(ISNUMBER(Tabela2[[#This Row],[CT-e/NFS]])=TRUE,(IF(B3658&gt;30000,4,IF(B3658&lt;1000,"ND",0))),"-")</f>
        <v>4</v>
      </c>
      <c r="B3658" s="116">
        <v>47554</v>
      </c>
      <c r="C3658" s="117">
        <v>45484</v>
      </c>
      <c r="D3658" s="116">
        <v>517.83000000000004</v>
      </c>
      <c r="E3658" s="117">
        <v>45503</v>
      </c>
      <c r="F3658" s="116">
        <f>COUNTIFS($A$3:A11908,A3658,$B$3:B11908,B3658)</f>
        <v>1</v>
      </c>
      <c r="G3658" s="116"/>
    </row>
    <row r="3659" spans="1:7" x14ac:dyDescent="0.2">
      <c r="A3659" s="116">
        <f>IF(ISNUMBER(Tabela2[[#This Row],[CT-e/NFS]])=TRUE,(IF(B3659&gt;30000,4,IF(B3659&lt;1000,"ND",0))),"-")</f>
        <v>4</v>
      </c>
      <c r="B3659" s="116">
        <v>47635</v>
      </c>
      <c r="C3659" s="117">
        <v>45484</v>
      </c>
      <c r="D3659" s="116">
        <v>352.82</v>
      </c>
      <c r="E3659" s="117">
        <v>45503</v>
      </c>
      <c r="F3659" s="116">
        <f>COUNTIFS($A$3:A11909,A3659,$B$3:B11909,B3659)</f>
        <v>1</v>
      </c>
      <c r="G3659" s="116"/>
    </row>
    <row r="3660" spans="1:7" x14ac:dyDescent="0.2">
      <c r="A3660" s="116">
        <f>IF(ISNUMBER(Tabela2[[#This Row],[CT-e/NFS]])=TRUE,(IF(B3660&gt;30000,4,IF(B3660&lt;1000,"ND",0))),"-")</f>
        <v>4</v>
      </c>
      <c r="B3660" s="116">
        <v>47585</v>
      </c>
      <c r="C3660" s="117">
        <v>45435</v>
      </c>
      <c r="D3660" s="116">
        <v>186.57</v>
      </c>
      <c r="E3660" s="117">
        <v>45503</v>
      </c>
      <c r="F3660" s="116">
        <f>COUNTIFS($A$3:A11910,A3660,$B$3:B11910,B3660)</f>
        <v>1</v>
      </c>
      <c r="G3660" s="116"/>
    </row>
    <row r="3661" spans="1:7" x14ac:dyDescent="0.2">
      <c r="A3661" s="116">
        <f>IF(ISNUMBER(Tabela2[[#This Row],[CT-e/NFS]])=TRUE,(IF(B3661&gt;30000,4,IF(B3661&lt;1000,"ND",0))),"-")</f>
        <v>4</v>
      </c>
      <c r="B3661" s="116">
        <v>47896</v>
      </c>
      <c r="C3661" s="117">
        <v>45428</v>
      </c>
      <c r="D3661" s="116">
        <v>522.94000000000005</v>
      </c>
      <c r="E3661" s="117">
        <v>45503</v>
      </c>
      <c r="F3661" s="116">
        <f>COUNTIFS($A$3:A11911,A3661,$B$3:B11911,B3661)</f>
        <v>1</v>
      </c>
      <c r="G3661" s="116"/>
    </row>
    <row r="3662" spans="1:7" x14ac:dyDescent="0.2">
      <c r="A3662" s="116">
        <f>IF(ISNUMBER(Tabela2[[#This Row],[CT-e/NFS]])=TRUE,(IF(B3662&gt;30000,4,IF(B3662&lt;1000,"ND",0))),"-")</f>
        <v>4</v>
      </c>
      <c r="B3662" s="116">
        <v>47700</v>
      </c>
      <c r="C3662" s="117">
        <v>45428</v>
      </c>
      <c r="D3662" s="116">
        <v>201.39</v>
      </c>
      <c r="E3662" s="117">
        <v>45503</v>
      </c>
      <c r="F3662" s="116">
        <f>COUNTIFS($A$3:A11912,A3662,$B$3:B11912,B3662)</f>
        <v>1</v>
      </c>
      <c r="G3662" s="116"/>
    </row>
    <row r="3663" spans="1:7" x14ac:dyDescent="0.2">
      <c r="A3663" s="116">
        <f>IF(ISNUMBER(Tabela2[[#This Row],[CT-e/NFS]])=TRUE,(IF(B3663&gt;30000,4,IF(B3663&lt;1000,"ND",0))),"-")</f>
        <v>4</v>
      </c>
      <c r="B3663" s="116">
        <v>47421</v>
      </c>
      <c r="C3663" s="117">
        <v>45428</v>
      </c>
      <c r="D3663" s="116">
        <v>102.61</v>
      </c>
      <c r="E3663" s="117">
        <v>45503</v>
      </c>
      <c r="F3663" s="116">
        <f>COUNTIFS($A$3:A11913,A3663,$B$3:B11913,B3663)</f>
        <v>1</v>
      </c>
      <c r="G3663" s="116"/>
    </row>
    <row r="3664" spans="1:7" x14ac:dyDescent="0.2">
      <c r="A3664" s="116">
        <f>IF(ISNUMBER(Tabela2[[#This Row],[CT-e/NFS]])=TRUE,(IF(B3664&gt;30000,4,IF(B3664&lt;1000,"ND",0))),"-")</f>
        <v>4</v>
      </c>
      <c r="B3664" s="116">
        <v>47337</v>
      </c>
      <c r="C3664" s="117">
        <v>45428</v>
      </c>
      <c r="D3664" s="116">
        <v>468.89</v>
      </c>
      <c r="E3664" s="117">
        <v>45503</v>
      </c>
      <c r="F3664" s="116">
        <f>COUNTIFS($A$3:A11914,A3664,$B$3:B11914,B3664)</f>
        <v>1</v>
      </c>
      <c r="G3664" s="116"/>
    </row>
    <row r="3665" spans="1:7" x14ac:dyDescent="0.2">
      <c r="A3665" s="116">
        <f>IF(ISNUMBER(Tabela2[[#This Row],[CT-e/NFS]])=TRUE,(IF(B3665&gt;30000,4,IF(B3665&lt;1000,"ND",0))),"-")</f>
        <v>4</v>
      </c>
      <c r="B3665" s="116">
        <v>47812</v>
      </c>
      <c r="C3665" s="117">
        <v>45428</v>
      </c>
      <c r="D3665" s="116">
        <v>542.03</v>
      </c>
      <c r="E3665" s="117">
        <v>45503</v>
      </c>
      <c r="F3665" s="116">
        <f>COUNTIFS($A$3:A11915,A3665,$B$3:B11915,B3665)</f>
        <v>1</v>
      </c>
      <c r="G3665" s="116"/>
    </row>
    <row r="3666" spans="1:7" x14ac:dyDescent="0.2">
      <c r="A3666" s="116">
        <f>IF(ISNUMBER(Tabela2[[#This Row],[CT-e/NFS]])=TRUE,(IF(B3666&gt;30000,4,IF(B3666&lt;1000,"ND",0))),"-")</f>
        <v>4</v>
      </c>
      <c r="B3666" s="116">
        <v>47927</v>
      </c>
      <c r="C3666" s="117">
        <v>45428</v>
      </c>
      <c r="D3666" s="116">
        <v>542.03</v>
      </c>
      <c r="E3666" s="117">
        <v>45503</v>
      </c>
      <c r="F3666" s="116">
        <f>COUNTIFS($A$3:A11916,A3666,$B$3:B11916,B3666)</f>
        <v>1</v>
      </c>
      <c r="G3666" s="116"/>
    </row>
    <row r="3667" spans="1:7" x14ac:dyDescent="0.2">
      <c r="A3667" s="116">
        <f>IF(ISNUMBER(Tabela2[[#This Row],[CT-e/NFS]])=TRUE,(IF(B3667&gt;30000,4,IF(B3667&lt;1000,"ND",0))),"-")</f>
        <v>4</v>
      </c>
      <c r="B3667" s="116">
        <v>47335</v>
      </c>
      <c r="C3667" s="117">
        <v>45428</v>
      </c>
      <c r="D3667" s="116">
        <v>202.11</v>
      </c>
      <c r="E3667" s="117">
        <v>45503</v>
      </c>
      <c r="F3667" s="116">
        <f>COUNTIFS($A$3:A11917,A3667,$B$3:B11917,B3667)</f>
        <v>1</v>
      </c>
      <c r="G3667" s="116"/>
    </row>
    <row r="3668" spans="1:7" x14ac:dyDescent="0.2">
      <c r="A3668" s="116">
        <f>IF(ISNUMBER(Tabela2[[#This Row],[CT-e/NFS]])=TRUE,(IF(B3668&gt;30000,4,IF(B3668&lt;1000,"ND",0))),"-")</f>
        <v>4</v>
      </c>
      <c r="B3668" s="116">
        <v>47609</v>
      </c>
      <c r="C3668" s="117">
        <v>45428</v>
      </c>
      <c r="D3668" s="116">
        <v>306.01</v>
      </c>
      <c r="E3668" s="117">
        <v>45503</v>
      </c>
      <c r="F3668" s="116">
        <f>COUNTIFS($A$3:A11918,A3668,$B$3:B11918,B3668)</f>
        <v>1</v>
      </c>
      <c r="G3668" s="116"/>
    </row>
    <row r="3669" spans="1:7" x14ac:dyDescent="0.2">
      <c r="A3669" s="116">
        <f>IF(ISNUMBER(Tabela2[[#This Row],[CT-e/NFS]])=TRUE,(IF(B3669&gt;30000,4,IF(B3669&lt;1000,"ND",0))),"-")</f>
        <v>4</v>
      </c>
      <c r="B3669" s="116">
        <v>47608</v>
      </c>
      <c r="C3669" s="117">
        <v>45428</v>
      </c>
      <c r="D3669" s="116">
        <v>181.74</v>
      </c>
      <c r="E3669" s="117">
        <v>45503</v>
      </c>
      <c r="F3669" s="116">
        <f>COUNTIFS($A$3:A11919,A3669,$B$3:B11919,B3669)</f>
        <v>1</v>
      </c>
      <c r="G3669" s="116"/>
    </row>
    <row r="3670" spans="1:7" x14ac:dyDescent="0.2">
      <c r="A3670" s="116">
        <f>IF(ISNUMBER(Tabela2[[#This Row],[CT-e/NFS]])=TRUE,(IF(B3670&gt;30000,4,IF(B3670&lt;1000,"ND",0))),"-")</f>
        <v>4</v>
      </c>
      <c r="B3670" s="116">
        <v>47739</v>
      </c>
      <c r="C3670" s="117">
        <v>45428</v>
      </c>
      <c r="D3670" s="116">
        <v>112.5</v>
      </c>
      <c r="E3670" s="117">
        <v>45503</v>
      </c>
      <c r="F3670" s="116">
        <f>COUNTIFS($A$3:A11920,A3670,$B$3:B11920,B3670)</f>
        <v>1</v>
      </c>
      <c r="G3670" s="116"/>
    </row>
    <row r="3671" spans="1:7" x14ac:dyDescent="0.2">
      <c r="A3671" s="116">
        <f>IF(ISNUMBER(Tabela2[[#This Row],[CT-e/NFS]])=TRUE,(IF(B3671&gt;30000,4,IF(B3671&lt;1000,"ND",0))),"-")</f>
        <v>4</v>
      </c>
      <c r="B3671" s="116">
        <v>47605</v>
      </c>
      <c r="C3671" s="117">
        <v>45428</v>
      </c>
      <c r="D3671" s="116">
        <v>105.56</v>
      </c>
      <c r="E3671" s="117">
        <v>45503</v>
      </c>
      <c r="F3671" s="116">
        <f>COUNTIFS($A$3:A11921,A3671,$B$3:B11921,B3671)</f>
        <v>1</v>
      </c>
      <c r="G3671" s="116"/>
    </row>
    <row r="3672" spans="1:7" x14ac:dyDescent="0.2">
      <c r="A3672" s="116">
        <f>IF(ISNUMBER(Tabela2[[#This Row],[CT-e/NFS]])=TRUE,(IF(B3672&gt;30000,4,IF(B3672&lt;1000,"ND",0))),"-")</f>
        <v>4</v>
      </c>
      <c r="B3672" s="116">
        <v>47909</v>
      </c>
      <c r="C3672" s="117">
        <v>45428</v>
      </c>
      <c r="D3672" s="116">
        <v>135.99</v>
      </c>
      <c r="E3672" s="117">
        <v>45503</v>
      </c>
      <c r="F3672" s="116">
        <f>COUNTIFS($A$3:A11922,A3672,$B$3:B11922,B3672)</f>
        <v>1</v>
      </c>
      <c r="G3672" s="116"/>
    </row>
    <row r="3673" spans="1:7" x14ac:dyDescent="0.2">
      <c r="A3673" s="116">
        <f>IF(ISNUMBER(Tabela2[[#This Row],[CT-e/NFS]])=TRUE,(IF(B3673&gt;30000,4,IF(B3673&lt;1000,"ND",0))),"-")</f>
        <v>4</v>
      </c>
      <c r="B3673" s="116">
        <v>47736</v>
      </c>
      <c r="C3673" s="117">
        <v>45428</v>
      </c>
      <c r="D3673" s="116">
        <v>112.5</v>
      </c>
      <c r="E3673" s="117">
        <v>45503</v>
      </c>
      <c r="F3673" s="116">
        <f>COUNTIFS($A$3:A11923,A3673,$B$3:B11923,B3673)</f>
        <v>1</v>
      </c>
      <c r="G3673" s="116"/>
    </row>
    <row r="3674" spans="1:7" x14ac:dyDescent="0.2">
      <c r="A3674" s="116">
        <f>IF(ISNUMBER(Tabela2[[#This Row],[CT-e/NFS]])=TRUE,(IF(B3674&gt;30000,4,IF(B3674&lt;1000,"ND",0))),"-")</f>
        <v>4</v>
      </c>
      <c r="B3674" s="116">
        <v>47908</v>
      </c>
      <c r="C3674" s="117">
        <v>45428</v>
      </c>
      <c r="D3674" s="116">
        <v>504.99</v>
      </c>
      <c r="E3674" s="117">
        <v>45503</v>
      </c>
      <c r="F3674" s="116">
        <f>COUNTIFS($A$3:A11924,A3674,$B$3:B11924,B3674)</f>
        <v>1</v>
      </c>
      <c r="G3674" s="116"/>
    </row>
    <row r="3675" spans="1:7" x14ac:dyDescent="0.2">
      <c r="A3675" s="116">
        <f>IF(ISNUMBER(Tabela2[[#This Row],[CT-e/NFS]])=TRUE,(IF(B3675&gt;30000,4,IF(B3675&lt;1000,"ND",0))),"-")</f>
        <v>4</v>
      </c>
      <c r="B3675" s="116">
        <v>47535</v>
      </c>
      <c r="C3675" s="117">
        <v>45428</v>
      </c>
      <c r="D3675" s="116">
        <v>104.17</v>
      </c>
      <c r="E3675" s="117">
        <v>45503</v>
      </c>
      <c r="F3675" s="116">
        <f>COUNTIFS($A$3:A11925,A3675,$B$3:B11925,B3675)</f>
        <v>1</v>
      </c>
      <c r="G3675" s="116"/>
    </row>
    <row r="3676" spans="1:7" x14ac:dyDescent="0.2">
      <c r="A3676" s="116">
        <f>IF(ISNUMBER(Tabela2[[#This Row],[CT-e/NFS]])=TRUE,(IF(B3676&gt;30000,4,IF(B3676&lt;1000,"ND",0))),"-")</f>
        <v>4</v>
      </c>
      <c r="B3676" s="116">
        <v>47420</v>
      </c>
      <c r="C3676" s="117">
        <v>45428</v>
      </c>
      <c r="D3676" s="116">
        <v>638.76</v>
      </c>
      <c r="E3676" s="117">
        <v>45503</v>
      </c>
      <c r="F3676" s="116">
        <f>COUNTIFS($A$3:A11926,A3676,$B$3:B11926,B3676)</f>
        <v>1</v>
      </c>
      <c r="G3676" s="116"/>
    </row>
    <row r="3677" spans="1:7" x14ac:dyDescent="0.2">
      <c r="A3677" s="116">
        <f>IF(ISNUMBER(Tabela2[[#This Row],[CT-e/NFS]])=TRUE,(IF(B3677&gt;30000,4,IF(B3677&lt;1000,"ND",0))),"-")</f>
        <v>4</v>
      </c>
      <c r="B3677" s="116">
        <v>47485</v>
      </c>
      <c r="C3677" s="117">
        <v>45428</v>
      </c>
      <c r="D3677" s="116">
        <v>204.55</v>
      </c>
      <c r="E3677" s="117">
        <v>45503</v>
      </c>
      <c r="F3677" s="116">
        <f>COUNTIFS($A$3:A11927,A3677,$B$3:B11927,B3677)</f>
        <v>1</v>
      </c>
      <c r="G3677" s="116"/>
    </row>
    <row r="3678" spans="1:7" x14ac:dyDescent="0.2">
      <c r="A3678" s="116">
        <f>IF(ISNUMBER(Tabela2[[#This Row],[CT-e/NFS]])=TRUE,(IF(B3678&gt;30000,4,IF(B3678&lt;1000,"ND",0))),"-")</f>
        <v>4</v>
      </c>
      <c r="B3678" s="116">
        <v>47926</v>
      </c>
      <c r="C3678" s="117">
        <v>45428</v>
      </c>
      <c r="D3678" s="116">
        <v>111.41</v>
      </c>
      <c r="E3678" s="117">
        <v>45503</v>
      </c>
      <c r="F3678" s="116">
        <f>COUNTIFS($A$3:A11928,A3678,$B$3:B11928,B3678)</f>
        <v>1</v>
      </c>
      <c r="G3678" s="116"/>
    </row>
    <row r="3679" spans="1:7" x14ac:dyDescent="0.2">
      <c r="A3679" s="116">
        <f>IF(ISNUMBER(Tabela2[[#This Row],[CT-e/NFS]])=TRUE,(IF(B3679&gt;30000,4,IF(B3679&lt;1000,"ND",0))),"-")</f>
        <v>4</v>
      </c>
      <c r="B3679" s="116">
        <v>47559</v>
      </c>
      <c r="C3679" s="117">
        <v>45428</v>
      </c>
      <c r="D3679" s="116">
        <v>111.03</v>
      </c>
      <c r="E3679" s="117">
        <v>45503</v>
      </c>
      <c r="F3679" s="116">
        <f>COUNTIFS($A$3:A11929,A3679,$B$3:B11929,B3679)</f>
        <v>1</v>
      </c>
      <c r="G3679" s="116"/>
    </row>
    <row r="3680" spans="1:7" x14ac:dyDescent="0.2">
      <c r="A3680" s="116">
        <f>IF(ISNUMBER(Tabela2[[#This Row],[CT-e/NFS]])=TRUE,(IF(B3680&gt;30000,4,IF(B3680&lt;1000,"ND",0))),"-")</f>
        <v>4</v>
      </c>
      <c r="B3680" s="116">
        <v>47558</v>
      </c>
      <c r="C3680" s="117">
        <v>45428</v>
      </c>
      <c r="D3680" s="116">
        <v>100.68</v>
      </c>
      <c r="E3680" s="117">
        <v>45503</v>
      </c>
      <c r="F3680" s="116">
        <f>COUNTIFS($A$3:A11930,A3680,$B$3:B11930,B3680)</f>
        <v>1</v>
      </c>
      <c r="G3680" s="116"/>
    </row>
    <row r="3681" spans="1:7" x14ac:dyDescent="0.2">
      <c r="A3681" s="116">
        <f>IF(ISNUMBER(Tabela2[[#This Row],[CT-e/NFS]])=TRUE,(IF(B3681&gt;30000,4,IF(B3681&lt;1000,"ND",0))),"-")</f>
        <v>4</v>
      </c>
      <c r="B3681" s="116">
        <v>47928</v>
      </c>
      <c r="C3681" s="117">
        <v>45428</v>
      </c>
      <c r="D3681" s="116">
        <v>104.17</v>
      </c>
      <c r="E3681" s="117">
        <v>45503</v>
      </c>
      <c r="F3681" s="116">
        <f>COUNTIFS($A$3:A11931,A3681,$B$3:B11931,B3681)</f>
        <v>1</v>
      </c>
      <c r="G3681" s="116"/>
    </row>
    <row r="3682" spans="1:7" x14ac:dyDescent="0.2">
      <c r="A3682" s="116">
        <f>IF(ISNUMBER(Tabela2[[#This Row],[CT-e/NFS]])=TRUE,(IF(B3682&gt;30000,4,IF(B3682&lt;1000,"ND",0))),"-")</f>
        <v>4</v>
      </c>
      <c r="B3682" s="116">
        <v>47479</v>
      </c>
      <c r="C3682" s="117">
        <v>45428</v>
      </c>
      <c r="D3682" s="116">
        <v>675.17</v>
      </c>
      <c r="E3682" s="117">
        <v>45503</v>
      </c>
      <c r="F3682" s="116">
        <f>COUNTIFS($A$3:A11932,A3682,$B$3:B11932,B3682)</f>
        <v>1</v>
      </c>
      <c r="G3682" s="116"/>
    </row>
    <row r="3683" spans="1:7" x14ac:dyDescent="0.2">
      <c r="A3683" s="116">
        <f>IF(ISNUMBER(Tabela2[[#This Row],[CT-e/NFS]])=TRUE,(IF(B3683&gt;30000,4,IF(B3683&lt;1000,"ND",0))),"-")</f>
        <v>4</v>
      </c>
      <c r="B3683" s="116">
        <v>47453</v>
      </c>
      <c r="C3683" s="117">
        <v>45428</v>
      </c>
      <c r="D3683" s="116">
        <v>144.19</v>
      </c>
      <c r="E3683" s="117">
        <v>45503</v>
      </c>
      <c r="F3683" s="116">
        <f>COUNTIFS($A$3:A11933,A3683,$B$3:B11933,B3683)</f>
        <v>1</v>
      </c>
      <c r="G3683" s="116"/>
    </row>
    <row r="3684" spans="1:7" x14ac:dyDescent="0.2">
      <c r="A3684" s="116">
        <f>IF(ISNUMBER(Tabela2[[#This Row],[CT-e/NFS]])=TRUE,(IF(B3684&gt;30000,4,IF(B3684&lt;1000,"ND",0))),"-")</f>
        <v>0</v>
      </c>
      <c r="B3684" s="116">
        <v>21578</v>
      </c>
      <c r="C3684" s="117">
        <v>45428</v>
      </c>
      <c r="D3684" s="116">
        <v>97.68</v>
      </c>
      <c r="E3684" s="117">
        <v>45503</v>
      </c>
      <c r="F3684" s="116">
        <f>COUNTIFS($A$3:A11934,A3684,$B$3:B11934,B3684)</f>
        <v>1</v>
      </c>
      <c r="G3684" s="116"/>
    </row>
    <row r="3685" spans="1:7" x14ac:dyDescent="0.2">
      <c r="A3685" s="116">
        <f>IF(ISNUMBER(Tabela2[[#This Row],[CT-e/NFS]])=TRUE,(IF(B3685&gt;30000,4,IF(B3685&lt;1000,"ND",0))),"-")</f>
        <v>0</v>
      </c>
      <c r="B3685" s="116">
        <v>21579</v>
      </c>
      <c r="C3685" s="117">
        <v>45428</v>
      </c>
      <c r="D3685" s="116">
        <v>100.9</v>
      </c>
      <c r="E3685" s="117">
        <v>45503</v>
      </c>
      <c r="F3685" s="116">
        <f>COUNTIFS($A$3:A11935,A3685,$B$3:B11935,B3685)</f>
        <v>1</v>
      </c>
      <c r="G3685" s="116"/>
    </row>
    <row r="3686" spans="1:7" x14ac:dyDescent="0.2">
      <c r="A3686" s="116">
        <f>IF(ISNUMBER(Tabela2[[#This Row],[CT-e/NFS]])=TRUE,(IF(B3686&gt;30000,4,IF(B3686&lt;1000,"ND",0))),"-")</f>
        <v>0</v>
      </c>
      <c r="B3686" s="116">
        <v>21580</v>
      </c>
      <c r="C3686" s="117">
        <v>45428</v>
      </c>
      <c r="D3686" s="116">
        <v>101.45</v>
      </c>
      <c r="E3686" s="117">
        <v>45503</v>
      </c>
      <c r="F3686" s="116">
        <f>COUNTIFS($A$3:A11936,A3686,$B$3:B11936,B3686)</f>
        <v>1</v>
      </c>
      <c r="G3686" s="116"/>
    </row>
    <row r="3687" spans="1:7" x14ac:dyDescent="0.2">
      <c r="A3687" s="116">
        <f>IF(ISNUMBER(Tabela2[[#This Row],[CT-e/NFS]])=TRUE,(IF(B3687&gt;30000,4,IF(B3687&lt;1000,"ND",0))),"-")</f>
        <v>0</v>
      </c>
      <c r="B3687" s="116">
        <v>21581</v>
      </c>
      <c r="C3687" s="117">
        <v>45428</v>
      </c>
      <c r="D3687" s="116">
        <v>93.33</v>
      </c>
      <c r="E3687" s="117">
        <v>45503</v>
      </c>
      <c r="F3687" s="116">
        <f>COUNTIFS($A$3:A11937,A3687,$B$3:B11937,B3687)</f>
        <v>1</v>
      </c>
      <c r="G3687" s="116"/>
    </row>
    <row r="3688" spans="1:7" x14ac:dyDescent="0.2">
      <c r="A3688" s="116">
        <f>IF(ISNUMBER(Tabela2[[#This Row],[CT-e/NFS]])=TRUE,(IF(B3688&gt;30000,4,IF(B3688&lt;1000,"ND",0))),"-")</f>
        <v>0</v>
      </c>
      <c r="B3688" s="116">
        <v>21583</v>
      </c>
      <c r="C3688" s="117">
        <v>45428</v>
      </c>
      <c r="D3688" s="116">
        <v>98.96</v>
      </c>
      <c r="E3688" s="117">
        <v>45503</v>
      </c>
      <c r="F3688" s="116">
        <f>COUNTIFS($A$3:A11938,A3688,$B$3:B11938,B3688)</f>
        <v>1</v>
      </c>
      <c r="G3688" s="116"/>
    </row>
    <row r="3689" spans="1:7" x14ac:dyDescent="0.2">
      <c r="A3689" s="116">
        <f>IF(ISNUMBER(Tabela2[[#This Row],[CT-e/NFS]])=TRUE,(IF(B3689&gt;30000,4,IF(B3689&lt;1000,"ND",0))),"-")</f>
        <v>0</v>
      </c>
      <c r="B3689" s="116">
        <v>21609</v>
      </c>
      <c r="C3689" s="117">
        <v>45428</v>
      </c>
      <c r="D3689" s="116">
        <v>97.06</v>
      </c>
      <c r="E3689" s="117">
        <v>45503</v>
      </c>
      <c r="F3689" s="116">
        <f>COUNTIFS($A$3:A11939,A3689,$B$3:B11939,B3689)</f>
        <v>1</v>
      </c>
      <c r="G3689" s="116"/>
    </row>
    <row r="3690" spans="1:7" x14ac:dyDescent="0.2">
      <c r="A3690" s="116">
        <f>IF(ISNUMBER(Tabela2[[#This Row],[CT-e/NFS]])=TRUE,(IF(B3690&gt;30000,4,IF(B3690&lt;1000,"ND",0))),"-")</f>
        <v>0</v>
      </c>
      <c r="B3690" s="116">
        <v>21611</v>
      </c>
      <c r="C3690" s="117">
        <v>45428</v>
      </c>
      <c r="D3690" s="116">
        <v>99.01</v>
      </c>
      <c r="E3690" s="117">
        <v>45503</v>
      </c>
      <c r="F3690" s="116">
        <f>COUNTIFS($A$3:A11940,A3690,$B$3:B11940,B3690)</f>
        <v>1</v>
      </c>
      <c r="G3690" s="116"/>
    </row>
    <row r="3691" spans="1:7" x14ac:dyDescent="0.2">
      <c r="A3691" s="116">
        <f>IF(ISNUMBER(Tabela2[[#This Row],[CT-e/NFS]])=TRUE,(IF(B3691&gt;30000,4,IF(B3691&lt;1000,"ND",0))),"-")</f>
        <v>0</v>
      </c>
      <c r="B3691" s="116">
        <v>21612</v>
      </c>
      <c r="C3691" s="117">
        <v>45428</v>
      </c>
      <c r="D3691" s="116">
        <v>94.58</v>
      </c>
      <c r="E3691" s="117">
        <v>45503</v>
      </c>
      <c r="F3691" s="116">
        <f>COUNTIFS($A$3:A11941,A3691,$B$3:B11941,B3691)</f>
        <v>1</v>
      </c>
      <c r="G3691" s="116"/>
    </row>
    <row r="3692" spans="1:7" x14ac:dyDescent="0.2">
      <c r="A3692" s="116">
        <f>IF(ISNUMBER(Tabela2[[#This Row],[CT-e/NFS]])=TRUE,(IF(B3692&gt;30000,4,IF(B3692&lt;1000,"ND",0))),"-")</f>
        <v>0</v>
      </c>
      <c r="B3692" s="116">
        <v>21610</v>
      </c>
      <c r="C3692" s="117">
        <v>45428</v>
      </c>
      <c r="D3692" s="116">
        <v>92.8</v>
      </c>
      <c r="E3692" s="117">
        <v>45503</v>
      </c>
      <c r="F3692" s="116">
        <f>COUNTIFS($A$3:A11942,A3692,$B$3:B11942,B3692)</f>
        <v>1</v>
      </c>
      <c r="G3692" s="116"/>
    </row>
    <row r="3693" spans="1:7" x14ac:dyDescent="0.2">
      <c r="A3693" s="116">
        <f>IF(ISNUMBER(Tabela2[[#This Row],[CT-e/NFS]])=TRUE,(IF(B3693&gt;30000,4,IF(B3693&lt;1000,"ND",0))),"-")</f>
        <v>0</v>
      </c>
      <c r="B3693" s="116">
        <v>21633</v>
      </c>
      <c r="C3693" s="117">
        <v>45428</v>
      </c>
      <c r="D3693" s="116">
        <v>232.25</v>
      </c>
      <c r="E3693" s="117">
        <v>45503</v>
      </c>
      <c r="F3693" s="116">
        <f>COUNTIFS($A$3:A11943,A3693,$B$3:B11943,B3693)</f>
        <v>1</v>
      </c>
      <c r="G3693" s="116"/>
    </row>
    <row r="3694" spans="1:7" x14ac:dyDescent="0.2">
      <c r="A3694" s="116">
        <f>IF(ISNUMBER(Tabela2[[#This Row],[CT-e/NFS]])=TRUE,(IF(B3694&gt;30000,4,IF(B3694&lt;1000,"ND",0))),"-")</f>
        <v>0</v>
      </c>
      <c r="B3694" s="116">
        <v>21632</v>
      </c>
      <c r="C3694" s="117">
        <v>45428</v>
      </c>
      <c r="D3694" s="116">
        <v>97.06</v>
      </c>
      <c r="E3694" s="117">
        <v>45503</v>
      </c>
      <c r="F3694" s="116">
        <f>COUNTIFS($A$3:A11944,A3694,$B$3:B11944,B3694)</f>
        <v>1</v>
      </c>
      <c r="G3694" s="116"/>
    </row>
    <row r="3695" spans="1:7" x14ac:dyDescent="0.2">
      <c r="A3695" s="116">
        <f>IF(ISNUMBER(Tabela2[[#This Row],[CT-e/NFS]])=TRUE,(IF(B3695&gt;30000,4,IF(B3695&lt;1000,"ND",0))),"-")</f>
        <v>0</v>
      </c>
      <c r="B3695" s="116">
        <v>21634</v>
      </c>
      <c r="C3695" s="117">
        <v>45428</v>
      </c>
      <c r="D3695" s="116">
        <v>112.25</v>
      </c>
      <c r="E3695" s="117">
        <v>45503</v>
      </c>
      <c r="F3695" s="116">
        <f>COUNTIFS($A$3:A11945,A3695,$B$3:B11945,B3695)</f>
        <v>1</v>
      </c>
      <c r="G3695" s="116"/>
    </row>
    <row r="3696" spans="1:7" x14ac:dyDescent="0.2">
      <c r="A3696" s="116">
        <f>IF(ISNUMBER(Tabela2[[#This Row],[CT-e/NFS]])=TRUE,(IF(B3696&gt;30000,4,IF(B3696&lt;1000,"ND",0))),"-")</f>
        <v>0</v>
      </c>
      <c r="B3696" s="116">
        <v>21677</v>
      </c>
      <c r="C3696" s="117">
        <v>45428</v>
      </c>
      <c r="D3696" s="116">
        <v>90.29</v>
      </c>
      <c r="E3696" s="117">
        <v>45503</v>
      </c>
      <c r="F3696" s="116">
        <f>COUNTIFS($A$3:A11946,A3696,$B$3:B11946,B3696)</f>
        <v>1</v>
      </c>
      <c r="G3696" s="116"/>
    </row>
    <row r="3697" spans="1:7" x14ac:dyDescent="0.2">
      <c r="A3697" s="116">
        <f>IF(ISNUMBER(Tabela2[[#This Row],[CT-e/NFS]])=TRUE,(IF(B3697&gt;30000,4,IF(B3697&lt;1000,"ND",0))),"-")</f>
        <v>0</v>
      </c>
      <c r="B3697" s="116">
        <v>21680</v>
      </c>
      <c r="C3697" s="117">
        <v>45428</v>
      </c>
      <c r="D3697" s="116">
        <v>97.68</v>
      </c>
      <c r="E3697" s="117">
        <v>45503</v>
      </c>
      <c r="F3697" s="116">
        <f>COUNTIFS($A$3:A11947,A3697,$B$3:B11947,B3697)</f>
        <v>1</v>
      </c>
      <c r="G3697" s="116"/>
    </row>
    <row r="3698" spans="1:7" x14ac:dyDescent="0.2">
      <c r="A3698" s="116">
        <f>IF(ISNUMBER(Tabela2[[#This Row],[CT-e/NFS]])=TRUE,(IF(B3698&gt;30000,4,IF(B3698&lt;1000,"ND",0))),"-")</f>
        <v>0</v>
      </c>
      <c r="B3698" s="116">
        <v>21681</v>
      </c>
      <c r="C3698" s="117">
        <v>45428</v>
      </c>
      <c r="D3698" s="116">
        <v>101.45</v>
      </c>
      <c r="E3698" s="117">
        <v>45503</v>
      </c>
      <c r="F3698" s="116">
        <f>COUNTIFS($A$3:A11948,A3698,$B$3:B11948,B3698)</f>
        <v>1</v>
      </c>
      <c r="G3698" s="116"/>
    </row>
    <row r="3699" spans="1:7" x14ac:dyDescent="0.2">
      <c r="A3699" s="116">
        <f>IF(ISNUMBER(Tabela2[[#This Row],[CT-e/NFS]])=TRUE,(IF(B3699&gt;30000,4,IF(B3699&lt;1000,"ND",0))),"-")</f>
        <v>0</v>
      </c>
      <c r="B3699" s="116">
        <v>21716</v>
      </c>
      <c r="C3699" s="117">
        <v>45428</v>
      </c>
      <c r="D3699" s="116">
        <v>97.06</v>
      </c>
      <c r="E3699" s="117">
        <v>45503</v>
      </c>
      <c r="F3699" s="116">
        <f>COUNTIFS($A$3:A11949,A3699,$B$3:B11949,B3699)</f>
        <v>1</v>
      </c>
      <c r="G3699" s="116"/>
    </row>
    <row r="3700" spans="1:7" x14ac:dyDescent="0.2">
      <c r="A3700" s="116">
        <f>IF(ISNUMBER(Tabela2[[#This Row],[CT-e/NFS]])=TRUE,(IF(B3700&gt;30000,4,IF(B3700&lt;1000,"ND",0))),"-")</f>
        <v>0</v>
      </c>
      <c r="B3700" s="116">
        <v>21707</v>
      </c>
      <c r="C3700" s="117">
        <v>45428</v>
      </c>
      <c r="D3700" s="116">
        <v>123.51</v>
      </c>
      <c r="E3700" s="117">
        <v>45503</v>
      </c>
      <c r="F3700" s="116">
        <f>COUNTIFS($A$3:A11950,A3700,$B$3:B11950,B3700)</f>
        <v>1</v>
      </c>
      <c r="G3700" s="116"/>
    </row>
    <row r="3701" spans="1:7" x14ac:dyDescent="0.2">
      <c r="A3701" s="116">
        <f>IF(ISNUMBER(Tabela2[[#This Row],[CT-e/NFS]])=TRUE,(IF(B3701&gt;30000,4,IF(B3701&lt;1000,"ND",0))),"-")</f>
        <v>0</v>
      </c>
      <c r="B3701" s="116">
        <v>21757</v>
      </c>
      <c r="C3701" s="117">
        <v>45428</v>
      </c>
      <c r="D3701" s="116">
        <v>288.72000000000003</v>
      </c>
      <c r="E3701" s="117">
        <v>45503</v>
      </c>
      <c r="F3701" s="116">
        <f>COUNTIFS($A$3:A11951,A3701,$B$3:B11951,B3701)</f>
        <v>1</v>
      </c>
      <c r="G3701" s="116"/>
    </row>
    <row r="3702" spans="1:7" x14ac:dyDescent="0.2">
      <c r="A3702" s="116">
        <f>IF(ISNUMBER(Tabela2[[#This Row],[CT-e/NFS]])=TRUE,(IF(B3702&gt;30000,4,IF(B3702&lt;1000,"ND",0))),"-")</f>
        <v>0</v>
      </c>
      <c r="B3702" s="116">
        <v>21758</v>
      </c>
      <c r="C3702" s="117">
        <v>45428</v>
      </c>
      <c r="D3702" s="116">
        <v>97.06</v>
      </c>
      <c r="E3702" s="117">
        <v>45503</v>
      </c>
      <c r="F3702" s="116">
        <f>COUNTIFS($A$3:A11952,A3702,$B$3:B11952,B3702)</f>
        <v>1</v>
      </c>
      <c r="G3702" s="116"/>
    </row>
    <row r="3703" spans="1:7" x14ac:dyDescent="0.2">
      <c r="A3703" s="116">
        <f>IF(ISNUMBER(Tabela2[[#This Row],[CT-e/NFS]])=TRUE,(IF(B3703&gt;30000,4,IF(B3703&lt;1000,"ND",0))),"-")</f>
        <v>0</v>
      </c>
      <c r="B3703" s="116">
        <v>21759</v>
      </c>
      <c r="C3703" s="117">
        <v>45428</v>
      </c>
      <c r="D3703" s="116">
        <v>98.96</v>
      </c>
      <c r="E3703" s="117">
        <v>45503</v>
      </c>
      <c r="F3703" s="116">
        <f>COUNTIFS($A$3:A11953,A3703,$B$3:B11953,B3703)</f>
        <v>1</v>
      </c>
      <c r="G3703" s="116"/>
    </row>
    <row r="3704" spans="1:7" x14ac:dyDescent="0.2">
      <c r="A3704" s="116">
        <f>IF(ISNUMBER(Tabela2[[#This Row],[CT-e/NFS]])=TRUE,(IF(B3704&gt;30000,4,IF(B3704&lt;1000,"ND",0))),"-")</f>
        <v>0</v>
      </c>
      <c r="B3704" s="116">
        <v>21756</v>
      </c>
      <c r="C3704" s="117">
        <v>45428</v>
      </c>
      <c r="D3704" s="116">
        <v>122.21</v>
      </c>
      <c r="E3704" s="117">
        <v>45503</v>
      </c>
      <c r="F3704" s="116">
        <f>COUNTIFS($A$3:A11954,A3704,$B$3:B11954,B3704)</f>
        <v>1</v>
      </c>
      <c r="G3704" s="116"/>
    </row>
    <row r="3705" spans="1:7" x14ac:dyDescent="0.2">
      <c r="A3705" s="116">
        <f>IF(ISNUMBER(Tabela2[[#This Row],[CT-e/NFS]])=TRUE,(IF(B3705&gt;30000,4,IF(B3705&lt;1000,"ND",0))),"-")</f>
        <v>4</v>
      </c>
      <c r="B3705" s="116">
        <v>47261</v>
      </c>
      <c r="C3705" s="117">
        <v>45428</v>
      </c>
      <c r="D3705" s="116">
        <v>135.34</v>
      </c>
      <c r="E3705" s="117">
        <v>45503</v>
      </c>
      <c r="F3705" s="116">
        <f>COUNTIFS($A$3:A11955,A3705,$B$3:B11955,B3705)</f>
        <v>1</v>
      </c>
      <c r="G3705" s="116"/>
    </row>
    <row r="3706" spans="1:7" x14ac:dyDescent="0.2">
      <c r="A3706" s="116">
        <f>IF(ISNUMBER(Tabela2[[#This Row],[CT-e/NFS]])=TRUE,(IF(B3706&gt;30000,4,IF(B3706&lt;1000,"ND",0))),"-")</f>
        <v>4</v>
      </c>
      <c r="B3706" s="116">
        <v>47104</v>
      </c>
      <c r="C3706" s="117">
        <v>45428</v>
      </c>
      <c r="D3706" s="116">
        <v>542.03</v>
      </c>
      <c r="E3706" s="117">
        <v>45503</v>
      </c>
      <c r="F3706" s="116">
        <f>COUNTIFS($A$3:A11956,A3706,$B$3:B11956,B3706)</f>
        <v>1</v>
      </c>
      <c r="G3706" s="116"/>
    </row>
    <row r="3707" spans="1:7" x14ac:dyDescent="0.2">
      <c r="A3707" s="116">
        <f>IF(ISNUMBER(Tabela2[[#This Row],[CT-e/NFS]])=TRUE,(IF(B3707&gt;30000,4,IF(B3707&lt;1000,"ND",0))),"-")</f>
        <v>4</v>
      </c>
      <c r="B3707" s="116">
        <v>47145</v>
      </c>
      <c r="C3707" s="117">
        <v>45428</v>
      </c>
      <c r="D3707" s="116">
        <v>127.88</v>
      </c>
      <c r="E3707" s="117">
        <v>45503</v>
      </c>
      <c r="F3707" s="116">
        <f>COUNTIFS($A$3:A11957,A3707,$B$3:B11957,B3707)</f>
        <v>1</v>
      </c>
      <c r="G3707" s="116"/>
    </row>
    <row r="3708" spans="1:7" x14ac:dyDescent="0.2">
      <c r="A3708" s="116">
        <f>IF(ISNUMBER(Tabela2[[#This Row],[CT-e/NFS]])=TRUE,(IF(B3708&gt;30000,4,IF(B3708&lt;1000,"ND",0))),"-")</f>
        <v>4</v>
      </c>
      <c r="B3708" s="116">
        <v>47260</v>
      </c>
      <c r="C3708" s="117">
        <v>45428</v>
      </c>
      <c r="D3708" s="116">
        <v>112.5</v>
      </c>
      <c r="E3708" s="117">
        <v>45503</v>
      </c>
      <c r="F3708" s="116">
        <f>COUNTIFS($A$3:A11958,A3708,$B$3:B11958,B3708)</f>
        <v>1</v>
      </c>
      <c r="G3708" s="116"/>
    </row>
    <row r="3709" spans="1:7" x14ac:dyDescent="0.2">
      <c r="A3709" s="116">
        <f>IF(ISNUMBER(Tabela2[[#This Row],[CT-e/NFS]])=TRUE,(IF(B3709&gt;30000,4,IF(B3709&lt;1000,"ND",0))),"-")</f>
        <v>0</v>
      </c>
      <c r="B3709" s="116">
        <v>21484</v>
      </c>
      <c r="C3709" s="117">
        <v>45428</v>
      </c>
      <c r="D3709" s="116">
        <v>100.4</v>
      </c>
      <c r="E3709" s="117">
        <v>45503</v>
      </c>
      <c r="F3709" s="116">
        <f>COUNTIFS($A$3:A11959,A3709,$B$3:B11959,B3709)</f>
        <v>1</v>
      </c>
      <c r="G3709" s="116"/>
    </row>
    <row r="3710" spans="1:7" x14ac:dyDescent="0.2">
      <c r="A3710" s="116">
        <f>IF(ISNUMBER(Tabela2[[#This Row],[CT-e/NFS]])=TRUE,(IF(B3710&gt;30000,4,IF(B3710&lt;1000,"ND",0))),"-")</f>
        <v>0</v>
      </c>
      <c r="B3710" s="116">
        <v>21485</v>
      </c>
      <c r="C3710" s="117">
        <v>45428</v>
      </c>
      <c r="D3710" s="116">
        <v>99.33</v>
      </c>
      <c r="E3710" s="117">
        <v>45503</v>
      </c>
      <c r="F3710" s="116">
        <f>COUNTIFS($A$3:A11960,A3710,$B$3:B11960,B3710)</f>
        <v>1</v>
      </c>
      <c r="G3710" s="116"/>
    </row>
    <row r="3711" spans="1:7" x14ac:dyDescent="0.2">
      <c r="A3711" s="116">
        <f>IF(ISNUMBER(Tabela2[[#This Row],[CT-e/NFS]])=TRUE,(IF(B3711&gt;30000,4,IF(B3711&lt;1000,"ND",0))),"-")</f>
        <v>0</v>
      </c>
      <c r="B3711" s="116">
        <v>21487</v>
      </c>
      <c r="C3711" s="117">
        <v>45428</v>
      </c>
      <c r="D3711" s="116">
        <v>63.5</v>
      </c>
      <c r="E3711" s="117">
        <v>45503</v>
      </c>
      <c r="F3711" s="116">
        <f>COUNTIFS($A$3:A11961,A3711,$B$3:B11961,B3711)</f>
        <v>1</v>
      </c>
      <c r="G3711" s="116"/>
    </row>
    <row r="3712" spans="1:7" x14ac:dyDescent="0.2">
      <c r="A3712" s="116">
        <f>IF(ISNUMBER(Tabela2[[#This Row],[CT-e/NFS]])=TRUE,(IF(B3712&gt;30000,4,IF(B3712&lt;1000,"ND",0))),"-")</f>
        <v>0</v>
      </c>
      <c r="B3712" s="116">
        <v>21542</v>
      </c>
      <c r="C3712" s="117">
        <v>45428</v>
      </c>
      <c r="D3712" s="116">
        <v>129.30000000000001</v>
      </c>
      <c r="E3712" s="117">
        <v>45503</v>
      </c>
      <c r="F3712" s="116">
        <f>COUNTIFS($A$3:A11962,A3712,$B$3:B11962,B3712)</f>
        <v>1</v>
      </c>
      <c r="G3712" s="116"/>
    </row>
    <row r="3713" spans="1:7" x14ac:dyDescent="0.2">
      <c r="A3713" s="116">
        <f>IF(ISNUMBER(Tabela2[[#This Row],[CT-e/NFS]])=TRUE,(IF(B3713&gt;30000,4,IF(B3713&lt;1000,"ND",0))),"-")</f>
        <v>0</v>
      </c>
      <c r="B3713" s="116">
        <v>21783</v>
      </c>
      <c r="C3713" s="117">
        <v>45428</v>
      </c>
      <c r="D3713" s="116">
        <v>232.25</v>
      </c>
      <c r="E3713" s="117">
        <v>45503</v>
      </c>
      <c r="F3713" s="116">
        <f>COUNTIFS($A$3:A11963,A3713,$B$3:B11963,B3713)</f>
        <v>1</v>
      </c>
      <c r="G3713" s="116"/>
    </row>
    <row r="3714" spans="1:7" x14ac:dyDescent="0.2">
      <c r="A3714" s="116">
        <f>IF(ISNUMBER(Tabela2[[#This Row],[CT-e/NFS]])=TRUE,(IF(B3714&gt;30000,4,IF(B3714&lt;1000,"ND",0))),"-")</f>
        <v>4</v>
      </c>
      <c r="B3714" s="116">
        <v>47984</v>
      </c>
      <c r="C3714" s="117">
        <v>45477</v>
      </c>
      <c r="D3714" s="116">
        <v>50.59</v>
      </c>
      <c r="E3714" s="117">
        <v>45503</v>
      </c>
      <c r="F3714" s="116">
        <f>COUNTIFS($A$3:A11964,A3714,$B$3:B11964,B3714)</f>
        <v>1</v>
      </c>
      <c r="G3714" s="116"/>
    </row>
    <row r="3715" spans="1:7" x14ac:dyDescent="0.2">
      <c r="A3715" s="116">
        <f>IF(ISNUMBER(Tabela2[[#This Row],[CT-e/NFS]])=TRUE,(IF(B3715&gt;30000,4,IF(B3715&lt;1000,"ND",0))),"-")</f>
        <v>4</v>
      </c>
      <c r="B3715" s="116">
        <v>48040</v>
      </c>
      <c r="C3715" s="117">
        <v>45477</v>
      </c>
      <c r="D3715" s="116">
        <v>141.03</v>
      </c>
      <c r="E3715" s="117">
        <v>45503</v>
      </c>
      <c r="F3715" s="116">
        <f>COUNTIFS($A$3:A11965,A3715,$B$3:B11965,B3715)</f>
        <v>1</v>
      </c>
      <c r="G3715" s="116"/>
    </row>
    <row r="3716" spans="1:7" x14ac:dyDescent="0.2">
      <c r="A3716" s="116">
        <f>IF(ISNUMBER(Tabela2[[#This Row],[CT-e/NFS]])=TRUE,(IF(B3716&gt;30000,4,IF(B3716&lt;1000,"ND",0))),"-")</f>
        <v>4</v>
      </c>
      <c r="B3716" s="116">
        <v>48075</v>
      </c>
      <c r="C3716" s="117">
        <v>45477</v>
      </c>
      <c r="D3716" s="116">
        <v>247.47</v>
      </c>
      <c r="E3716" s="117">
        <v>45503</v>
      </c>
      <c r="F3716" s="116">
        <f>COUNTIFS($A$3:A11966,A3716,$B$3:B11966,B3716)</f>
        <v>1</v>
      </c>
      <c r="G3716" s="116"/>
    </row>
    <row r="3717" spans="1:7" x14ac:dyDescent="0.2">
      <c r="A3717" s="116">
        <f>IF(ISNUMBER(Tabela2[[#This Row],[CT-e/NFS]])=TRUE,(IF(B3717&gt;30000,4,IF(B3717&lt;1000,"ND",0))),"-")</f>
        <v>4</v>
      </c>
      <c r="B3717" s="116">
        <v>48076</v>
      </c>
      <c r="C3717" s="117">
        <v>45477</v>
      </c>
      <c r="D3717" s="116">
        <v>494.94</v>
      </c>
      <c r="E3717" s="117">
        <v>45503</v>
      </c>
      <c r="F3717" s="116">
        <f>COUNTIFS($A$3:A11967,A3717,$B$3:B11967,B3717)</f>
        <v>1</v>
      </c>
      <c r="G3717" s="116"/>
    </row>
    <row r="3718" spans="1:7" x14ac:dyDescent="0.2">
      <c r="A3718" s="116">
        <f>IF(ISNUMBER(Tabela2[[#This Row],[CT-e/NFS]])=TRUE,(IF(B3718&gt;30000,4,IF(B3718&lt;1000,"ND",0))),"-")</f>
        <v>0</v>
      </c>
      <c r="B3718" s="116">
        <v>21786</v>
      </c>
      <c r="C3718" s="117">
        <v>45477</v>
      </c>
      <c r="D3718" s="116">
        <v>703.45</v>
      </c>
      <c r="E3718" s="117">
        <v>45503</v>
      </c>
      <c r="F3718" s="116">
        <f>COUNTIFS($A$3:A11968,A3718,$B$3:B11968,B3718)</f>
        <v>1</v>
      </c>
      <c r="G3718" s="116"/>
    </row>
    <row r="3719" spans="1:7" x14ac:dyDescent="0.2">
      <c r="A3719" s="116">
        <f>IF(ISNUMBER(Tabela2[[#This Row],[CT-e/NFS]])=TRUE,(IF(B3719&gt;30000,4,IF(B3719&lt;1000,"ND",0))),"-")</f>
        <v>4</v>
      </c>
      <c r="B3719" s="116">
        <v>47981</v>
      </c>
      <c r="C3719" s="117">
        <v>45439</v>
      </c>
      <c r="D3719" s="116">
        <v>122.4</v>
      </c>
      <c r="E3719" s="117">
        <v>45503</v>
      </c>
      <c r="F3719" s="116">
        <f>COUNTIFS($A$3:A11969,A3719,$B$3:B11969,B3719)</f>
        <v>1</v>
      </c>
      <c r="G3719" s="116"/>
    </row>
    <row r="3720" spans="1:7" x14ac:dyDescent="0.2">
      <c r="A3720" s="116">
        <f>IF(ISNUMBER(Tabela2[[#This Row],[CT-e/NFS]])=TRUE,(IF(B3720&gt;30000,4,IF(B3720&lt;1000,"ND",0))),"-")</f>
        <v>4</v>
      </c>
      <c r="B3720" s="116">
        <v>48120</v>
      </c>
      <c r="C3720" s="117">
        <v>45439</v>
      </c>
      <c r="D3720" s="116">
        <v>528.66999999999996</v>
      </c>
      <c r="E3720" s="117">
        <v>45503</v>
      </c>
      <c r="F3720" s="116">
        <f>COUNTIFS($A$3:A11970,A3720,$B$3:B11970,B3720)</f>
        <v>1</v>
      </c>
      <c r="G3720" s="116"/>
    </row>
    <row r="3721" spans="1:7" x14ac:dyDescent="0.2">
      <c r="A3721" s="116">
        <f>IF(ISNUMBER(Tabela2[[#This Row],[CT-e/NFS]])=TRUE,(IF(B3721&gt;30000,4,IF(B3721&lt;1000,"ND",0))),"-")</f>
        <v>4</v>
      </c>
      <c r="B3721" s="116">
        <v>48113</v>
      </c>
      <c r="C3721" s="117">
        <v>45439</v>
      </c>
      <c r="D3721" s="116">
        <v>609.98</v>
      </c>
      <c r="E3721" s="117">
        <v>45503</v>
      </c>
      <c r="F3721" s="116">
        <f>COUNTIFS($A$3:A11971,A3721,$B$3:B11971,B3721)</f>
        <v>1</v>
      </c>
      <c r="G3721" s="116"/>
    </row>
    <row r="3722" spans="1:7" x14ac:dyDescent="0.2">
      <c r="A3722" s="116">
        <f>IF(ISNUMBER(Tabela2[[#This Row],[CT-e/NFS]])=TRUE,(IF(B3722&gt;30000,4,IF(B3722&lt;1000,"ND",0))),"-")</f>
        <v>4</v>
      </c>
      <c r="B3722" s="116">
        <v>48119</v>
      </c>
      <c r="C3722" s="117">
        <v>45439</v>
      </c>
      <c r="D3722" s="116">
        <v>330.55</v>
      </c>
      <c r="E3722" s="117">
        <v>45503</v>
      </c>
      <c r="F3722" s="116">
        <f>COUNTIFS($A$3:A11972,A3722,$B$3:B11972,B3722)</f>
        <v>1</v>
      </c>
      <c r="G3722" s="116"/>
    </row>
    <row r="3723" spans="1:7" x14ac:dyDescent="0.2">
      <c r="A3723" s="116">
        <f>IF(ISNUMBER(Tabela2[[#This Row],[CT-e/NFS]])=TRUE,(IF(B3723&gt;30000,4,IF(B3723&lt;1000,"ND",0))),"-")</f>
        <v>4</v>
      </c>
      <c r="B3723" s="116">
        <v>48104</v>
      </c>
      <c r="C3723" s="117">
        <v>45439</v>
      </c>
      <c r="D3723" s="116">
        <v>122.17</v>
      </c>
      <c r="E3723" s="117">
        <v>45503</v>
      </c>
      <c r="F3723" s="116">
        <f>COUNTIFS($A$3:A11973,A3723,$B$3:B11973,B3723)</f>
        <v>1</v>
      </c>
      <c r="G3723" s="116"/>
    </row>
    <row r="3724" spans="1:7" x14ac:dyDescent="0.2">
      <c r="A3724" s="116">
        <f>IF(ISNUMBER(Tabela2[[#This Row],[CT-e/NFS]])=TRUE,(IF(B3724&gt;30000,4,IF(B3724&lt;1000,"ND",0))),"-")</f>
        <v>4</v>
      </c>
      <c r="B3724" s="116">
        <v>48105</v>
      </c>
      <c r="C3724" s="117">
        <v>45439</v>
      </c>
      <c r="D3724" s="116">
        <v>104.17</v>
      </c>
      <c r="E3724" s="117">
        <v>45503</v>
      </c>
      <c r="F3724" s="116">
        <f>COUNTIFS($A$3:A11974,A3724,$B$3:B11974,B3724)</f>
        <v>1</v>
      </c>
      <c r="G3724" s="116"/>
    </row>
    <row r="3725" spans="1:7" x14ac:dyDescent="0.2">
      <c r="A3725" s="116">
        <f>IF(ISNUMBER(Tabela2[[#This Row],[CT-e/NFS]])=TRUE,(IF(B3725&gt;30000,4,IF(B3725&lt;1000,"ND",0))),"-")</f>
        <v>4</v>
      </c>
      <c r="B3725" s="116">
        <v>48159</v>
      </c>
      <c r="C3725" s="117">
        <v>45439</v>
      </c>
      <c r="D3725" s="116">
        <v>284.39999999999998</v>
      </c>
      <c r="E3725" s="117">
        <v>45503</v>
      </c>
      <c r="F3725" s="116">
        <f>COUNTIFS($A$3:A11975,A3725,$B$3:B11975,B3725)</f>
        <v>1</v>
      </c>
      <c r="G3725" s="116"/>
    </row>
    <row r="3726" spans="1:7" x14ac:dyDescent="0.2">
      <c r="A3726" s="116">
        <f>IF(ISNUMBER(Tabela2[[#This Row],[CT-e/NFS]])=TRUE,(IF(B3726&gt;30000,4,IF(B3726&lt;1000,"ND",0))),"-")</f>
        <v>0</v>
      </c>
      <c r="B3726" s="116">
        <v>21812</v>
      </c>
      <c r="C3726" s="117">
        <v>45439</v>
      </c>
      <c r="D3726" s="116">
        <v>305.05</v>
      </c>
      <c r="E3726" s="117">
        <v>45503</v>
      </c>
      <c r="F3726" s="116">
        <f>COUNTIFS($A$3:A11976,A3726,$B$3:B11976,B3726)</f>
        <v>1</v>
      </c>
      <c r="G3726" s="116"/>
    </row>
    <row r="3727" spans="1:7" x14ac:dyDescent="0.2">
      <c r="A3727" s="116">
        <f>IF(ISNUMBER(Tabela2[[#This Row],[CT-e/NFS]])=TRUE,(IF(B3727&gt;30000,4,IF(B3727&lt;1000,"ND",0))),"-")</f>
        <v>0</v>
      </c>
      <c r="B3727" s="116">
        <v>21811</v>
      </c>
      <c r="C3727" s="117">
        <v>45439</v>
      </c>
      <c r="D3727" s="116">
        <v>113.85</v>
      </c>
      <c r="E3727" s="117">
        <v>45503</v>
      </c>
      <c r="F3727" s="116">
        <f>COUNTIFS($A$3:A11977,A3727,$B$3:B11977,B3727)</f>
        <v>1</v>
      </c>
      <c r="G3727" s="116"/>
    </row>
    <row r="3728" spans="1:7" x14ac:dyDescent="0.2">
      <c r="A3728" s="116">
        <f>IF(ISNUMBER(Tabela2[[#This Row],[CT-e/NFS]])=TRUE,(IF(B3728&gt;30000,4,IF(B3728&lt;1000,"ND",0))),"-")</f>
        <v>0</v>
      </c>
      <c r="B3728" s="116">
        <v>21834</v>
      </c>
      <c r="C3728" s="117">
        <v>45439</v>
      </c>
      <c r="D3728" s="116">
        <v>93.33</v>
      </c>
      <c r="E3728" s="117">
        <v>45503</v>
      </c>
      <c r="F3728" s="116">
        <f>COUNTIFS($A$3:A11978,A3728,$B$3:B11978,B3728)</f>
        <v>1</v>
      </c>
      <c r="G3728" s="116"/>
    </row>
    <row r="3729" spans="1:7" x14ac:dyDescent="0.2">
      <c r="A3729" s="116">
        <f>IF(ISNUMBER(Tabela2[[#This Row],[CT-e/NFS]])=TRUE,(IF(B3729&gt;30000,4,IF(B3729&lt;1000,"ND",0))),"-")</f>
        <v>0</v>
      </c>
      <c r="B3729" s="116">
        <v>21837</v>
      </c>
      <c r="C3729" s="117">
        <v>45439</v>
      </c>
      <c r="D3729" s="116">
        <v>104.95</v>
      </c>
      <c r="E3729" s="117">
        <v>45503</v>
      </c>
      <c r="F3729" s="116">
        <f>COUNTIFS($A$3:A11979,A3729,$B$3:B11979,B3729)</f>
        <v>1</v>
      </c>
      <c r="G3729" s="116"/>
    </row>
    <row r="3730" spans="1:7" x14ac:dyDescent="0.2">
      <c r="A3730" s="116">
        <f>IF(ISNUMBER(Tabela2[[#This Row],[CT-e/NFS]])=TRUE,(IF(B3730&gt;30000,4,IF(B3730&lt;1000,"ND",0))),"-")</f>
        <v>0</v>
      </c>
      <c r="B3730" s="116">
        <v>21835</v>
      </c>
      <c r="C3730" s="117">
        <v>45439</v>
      </c>
      <c r="D3730" s="116">
        <v>97.68</v>
      </c>
      <c r="E3730" s="117">
        <v>45503</v>
      </c>
      <c r="F3730" s="116">
        <f>COUNTIFS($A$3:A11980,A3730,$B$3:B11980,B3730)</f>
        <v>1</v>
      </c>
      <c r="G3730" s="116"/>
    </row>
    <row r="3731" spans="1:7" x14ac:dyDescent="0.2">
      <c r="A3731" s="116">
        <f>IF(ISNUMBER(Tabela2[[#This Row],[CT-e/NFS]])=TRUE,(IF(B3731&gt;30000,4,IF(B3731&lt;1000,"ND",0))),"-")</f>
        <v>0</v>
      </c>
      <c r="B3731" s="116">
        <v>21836</v>
      </c>
      <c r="C3731" s="117">
        <v>45439</v>
      </c>
      <c r="D3731" s="116">
        <v>97.06</v>
      </c>
      <c r="E3731" s="117">
        <v>45503</v>
      </c>
      <c r="F3731" s="116">
        <f>COUNTIFS($A$3:A11981,A3731,$B$3:B11981,B3731)</f>
        <v>1</v>
      </c>
      <c r="G3731" s="116"/>
    </row>
    <row r="3732" spans="1:7" x14ac:dyDescent="0.2">
      <c r="A3732" s="116">
        <f>IF(ISNUMBER(Tabela2[[#This Row],[CT-e/NFS]])=TRUE,(IF(B3732&gt;30000,4,IF(B3732&lt;1000,"ND",0))),"-")</f>
        <v>4</v>
      </c>
      <c r="B3732" s="116">
        <v>48155</v>
      </c>
      <c r="C3732" s="117">
        <v>45477</v>
      </c>
      <c r="D3732" s="116">
        <v>136.01</v>
      </c>
      <c r="E3732" s="117">
        <v>45503</v>
      </c>
      <c r="F3732" s="116">
        <f>COUNTIFS($A$3:A11982,A3732,$B$3:B11982,B3732)</f>
        <v>1</v>
      </c>
      <c r="G3732" s="116"/>
    </row>
    <row r="3733" spans="1:7" x14ac:dyDescent="0.2">
      <c r="A3733" s="116">
        <f>IF(ISNUMBER(Tabela2[[#This Row],[CT-e/NFS]])=TRUE,(IF(B3733&gt;30000,4,IF(B3733&lt;1000,"ND",0))),"-")</f>
        <v>4</v>
      </c>
      <c r="B3733" s="116">
        <v>48197</v>
      </c>
      <c r="C3733" s="117">
        <v>45477</v>
      </c>
      <c r="D3733" s="116">
        <v>671.03</v>
      </c>
      <c r="E3733" s="117">
        <v>45503</v>
      </c>
      <c r="F3733" s="116">
        <f>COUNTIFS($A$3:A11983,A3733,$B$3:B11983,B3733)</f>
        <v>1</v>
      </c>
      <c r="G3733" s="116"/>
    </row>
    <row r="3734" spans="1:7" x14ac:dyDescent="0.2">
      <c r="A3734" s="116">
        <f>IF(ISNUMBER(Tabela2[[#This Row],[CT-e/NFS]])=TRUE,(IF(B3734&gt;30000,4,IF(B3734&lt;1000,"ND",0))),"-")</f>
        <v>4</v>
      </c>
      <c r="B3734" s="116">
        <v>48216</v>
      </c>
      <c r="C3734" s="117">
        <v>45477</v>
      </c>
      <c r="D3734" s="116">
        <v>101.83</v>
      </c>
      <c r="E3734" s="117">
        <v>45503</v>
      </c>
      <c r="F3734" s="116">
        <f>COUNTIFS($A$3:A11984,A3734,$B$3:B11984,B3734)</f>
        <v>1</v>
      </c>
      <c r="G3734" s="116"/>
    </row>
    <row r="3735" spans="1:7" x14ac:dyDescent="0.2">
      <c r="A3735" s="116">
        <f>IF(ISNUMBER(Tabela2[[#This Row],[CT-e/NFS]])=TRUE,(IF(B3735&gt;30000,4,IF(B3735&lt;1000,"ND",0))),"-")</f>
        <v>4</v>
      </c>
      <c r="B3735" s="116">
        <v>48199</v>
      </c>
      <c r="C3735" s="117">
        <v>45477</v>
      </c>
      <c r="D3735" s="116">
        <v>149.93</v>
      </c>
      <c r="E3735" s="117">
        <v>45503</v>
      </c>
      <c r="F3735" s="116">
        <f>COUNTIFS($A$3:A11985,A3735,$B$3:B11985,B3735)</f>
        <v>1</v>
      </c>
      <c r="G3735" s="116"/>
    </row>
    <row r="3736" spans="1:7" x14ac:dyDescent="0.2">
      <c r="A3736" s="116">
        <f>IF(ISNUMBER(Tabela2[[#This Row],[CT-e/NFS]])=TRUE,(IF(B3736&gt;30000,4,IF(B3736&lt;1000,"ND",0))),"-")</f>
        <v>4</v>
      </c>
      <c r="B3736" s="116">
        <v>48154</v>
      </c>
      <c r="C3736" s="117">
        <v>45477</v>
      </c>
      <c r="D3736" s="116">
        <v>131.16</v>
      </c>
      <c r="E3736" s="117">
        <v>45503</v>
      </c>
      <c r="F3736" s="116">
        <f>COUNTIFS($A$3:A11986,A3736,$B$3:B11986,B3736)</f>
        <v>1</v>
      </c>
      <c r="G3736" s="116"/>
    </row>
    <row r="3737" spans="1:7" x14ac:dyDescent="0.2">
      <c r="A3737" s="116">
        <f>IF(ISNUMBER(Tabela2[[#This Row],[CT-e/NFS]])=TRUE,(IF(B3737&gt;30000,4,IF(B3737&lt;1000,"ND",0))),"-")</f>
        <v>0</v>
      </c>
      <c r="B3737" s="116">
        <v>21863</v>
      </c>
      <c r="C3737" s="117">
        <v>45477</v>
      </c>
      <c r="D3737" s="116">
        <v>92.12</v>
      </c>
      <c r="E3737" s="117">
        <v>45503</v>
      </c>
      <c r="F3737" s="116">
        <f>COUNTIFS($A$3:A11987,A3737,$B$3:B11987,B3737)</f>
        <v>1</v>
      </c>
      <c r="G3737" s="116"/>
    </row>
    <row r="3738" spans="1:7" x14ac:dyDescent="0.2">
      <c r="A3738" s="116">
        <f>IF(ISNUMBER(Tabela2[[#This Row],[CT-e/NFS]])=TRUE,(IF(B3738&gt;30000,4,IF(B3738&lt;1000,"ND",0))),"-")</f>
        <v>0</v>
      </c>
      <c r="B3738" s="116">
        <v>21859</v>
      </c>
      <c r="C3738" s="117">
        <v>45477</v>
      </c>
      <c r="D3738" s="116">
        <v>89.61</v>
      </c>
      <c r="E3738" s="117">
        <v>45503</v>
      </c>
      <c r="F3738" s="116">
        <f>COUNTIFS($A$3:A11988,A3738,$B$3:B11988,B3738)</f>
        <v>1</v>
      </c>
      <c r="G3738" s="116"/>
    </row>
    <row r="3739" spans="1:7" x14ac:dyDescent="0.2">
      <c r="A3739" s="116">
        <f>IF(ISNUMBER(Tabela2[[#This Row],[CT-e/NFS]])=TRUE,(IF(B3739&gt;30000,4,IF(B3739&lt;1000,"ND",0))),"-")</f>
        <v>0</v>
      </c>
      <c r="B3739" s="116">
        <v>21864</v>
      </c>
      <c r="C3739" s="117">
        <v>45477</v>
      </c>
      <c r="D3739" s="116">
        <v>94.47</v>
      </c>
      <c r="E3739" s="117">
        <v>45503</v>
      </c>
      <c r="F3739" s="116">
        <f>COUNTIFS($A$3:A11989,A3739,$B$3:B11989,B3739)</f>
        <v>1</v>
      </c>
      <c r="G3739" s="116"/>
    </row>
    <row r="3740" spans="1:7" x14ac:dyDescent="0.2">
      <c r="A3740" s="116">
        <f>IF(ISNUMBER(Tabela2[[#This Row],[CT-e/NFS]])=TRUE,(IF(B3740&gt;30000,4,IF(B3740&lt;1000,"ND",0))),"-")</f>
        <v>4</v>
      </c>
      <c r="B3740" s="116">
        <v>48277</v>
      </c>
      <c r="C3740" s="117">
        <v>45500</v>
      </c>
      <c r="D3740" s="116">
        <v>342.35</v>
      </c>
      <c r="E3740" s="117">
        <v>45503</v>
      </c>
      <c r="F3740" s="116">
        <f>COUNTIFS($A$3:A11990,A3740,$B$3:B11990,B3740)</f>
        <v>1</v>
      </c>
      <c r="G3740" s="116"/>
    </row>
    <row r="3741" spans="1:7" x14ac:dyDescent="0.2">
      <c r="A3741" s="116">
        <f>IF(ISNUMBER(Tabela2[[#This Row],[CT-e/NFS]])=TRUE,(IF(B3741&gt;30000,4,IF(B3741&lt;1000,"ND",0))),"-")</f>
        <v>4</v>
      </c>
      <c r="B3741" s="116">
        <v>48246</v>
      </c>
      <c r="C3741" s="117">
        <v>45500</v>
      </c>
      <c r="D3741" s="116">
        <v>487.14</v>
      </c>
      <c r="E3741" s="117">
        <v>45503</v>
      </c>
      <c r="F3741" s="116">
        <f>COUNTIFS($A$3:A11991,A3741,$B$3:B11991,B3741)</f>
        <v>1</v>
      </c>
      <c r="G3741" s="116"/>
    </row>
    <row r="3742" spans="1:7" x14ac:dyDescent="0.2">
      <c r="A3742" s="116">
        <f>IF(ISNUMBER(Tabela2[[#This Row],[CT-e/NFS]])=TRUE,(IF(B3742&gt;30000,4,IF(B3742&lt;1000,"ND",0))),"-")</f>
        <v>0</v>
      </c>
      <c r="B3742" s="116">
        <v>21876</v>
      </c>
      <c r="C3742" s="117">
        <v>45500</v>
      </c>
      <c r="D3742" s="116">
        <v>690.98</v>
      </c>
      <c r="E3742" s="117">
        <v>45503</v>
      </c>
      <c r="F3742" s="116">
        <f>COUNTIFS($A$3:A11992,A3742,$B$3:B11992,B3742)</f>
        <v>1</v>
      </c>
      <c r="G3742" s="116"/>
    </row>
    <row r="3743" spans="1:7" x14ac:dyDescent="0.2">
      <c r="A3743" s="116">
        <f>IF(ISNUMBER(Tabela2[[#This Row],[CT-e/NFS]])=TRUE,(IF(B3743&gt;30000,4,IF(B3743&lt;1000,"ND",0))),"-")</f>
        <v>0</v>
      </c>
      <c r="B3743" s="116">
        <v>21877</v>
      </c>
      <c r="C3743" s="117">
        <v>45474</v>
      </c>
      <c r="D3743" s="116">
        <v>191.15</v>
      </c>
      <c r="E3743" s="117">
        <v>45503</v>
      </c>
      <c r="F3743" s="116">
        <f>COUNTIFS($A$3:A11993,A3743,$B$3:B11993,B3743)</f>
        <v>1</v>
      </c>
      <c r="G3743" s="116"/>
    </row>
    <row r="3744" spans="1:7" x14ac:dyDescent="0.2">
      <c r="A3744" s="116">
        <f>IF(ISNUMBER(Tabela2[[#This Row],[CT-e/NFS]])=TRUE,(IF(B3744&gt;30000,4,IF(B3744&lt;1000,"ND",0))),"-")</f>
        <v>4</v>
      </c>
      <c r="B3744" s="116">
        <v>48403</v>
      </c>
      <c r="C3744" s="117">
        <v>45477</v>
      </c>
      <c r="D3744" s="116">
        <v>325.58</v>
      </c>
      <c r="E3744" s="117">
        <v>45503</v>
      </c>
      <c r="F3744" s="116">
        <f>COUNTIFS($A$3:A11994,A3744,$B$3:B11994,B3744)</f>
        <v>1</v>
      </c>
      <c r="G3744" s="116"/>
    </row>
    <row r="3745" spans="1:7" x14ac:dyDescent="0.2">
      <c r="A3745" s="116">
        <f>IF(ISNUMBER(Tabela2[[#This Row],[CT-e/NFS]])=TRUE,(IF(B3745&gt;30000,4,IF(B3745&lt;1000,"ND",0))),"-")</f>
        <v>4</v>
      </c>
      <c r="B3745" s="116">
        <v>48406</v>
      </c>
      <c r="C3745" s="117">
        <v>45477</v>
      </c>
      <c r="D3745" s="116">
        <v>270.07</v>
      </c>
      <c r="E3745" s="117">
        <v>45503</v>
      </c>
      <c r="F3745" s="116">
        <f>COUNTIFS($A$3:A11995,A3745,$B$3:B11995,B3745)</f>
        <v>1</v>
      </c>
      <c r="G3745" s="116"/>
    </row>
    <row r="3746" spans="1:7" x14ac:dyDescent="0.2">
      <c r="A3746" s="116">
        <f>IF(ISNUMBER(Tabela2[[#This Row],[CT-e/NFS]])=TRUE,(IF(B3746&gt;30000,4,IF(B3746&lt;1000,"ND",0))),"-")</f>
        <v>4</v>
      </c>
      <c r="B3746" s="116">
        <v>48456</v>
      </c>
      <c r="C3746" s="117">
        <v>45484</v>
      </c>
      <c r="D3746" s="116">
        <v>100.49</v>
      </c>
      <c r="E3746" s="117">
        <v>45503</v>
      </c>
      <c r="F3746" s="116">
        <f>COUNTIFS($A$3:A11996,A3746,$B$3:B11996,B3746)</f>
        <v>1</v>
      </c>
      <c r="G3746" s="116"/>
    </row>
    <row r="3747" spans="1:7" x14ac:dyDescent="0.2">
      <c r="A3747" s="116">
        <f>IF(ISNUMBER(Tabela2[[#This Row],[CT-e/NFS]])=TRUE,(IF(B3747&gt;30000,4,IF(B3747&lt;1000,"ND",0))),"-")</f>
        <v>4</v>
      </c>
      <c r="B3747" s="116">
        <v>48517</v>
      </c>
      <c r="C3747" s="117">
        <v>45484</v>
      </c>
      <c r="D3747" s="116">
        <v>553.38</v>
      </c>
      <c r="E3747" s="117">
        <v>45503</v>
      </c>
      <c r="F3747" s="116">
        <f>COUNTIFS($A$3:A11997,A3747,$B$3:B11997,B3747)</f>
        <v>1</v>
      </c>
      <c r="G3747" s="116"/>
    </row>
    <row r="3748" spans="1:7" x14ac:dyDescent="0.2">
      <c r="A3748" s="116">
        <f>IF(ISNUMBER(Tabela2[[#This Row],[CT-e/NFS]])=TRUE,(IF(B3748&gt;30000,4,IF(B3748&lt;1000,"ND",0))),"-")</f>
        <v>4</v>
      </c>
      <c r="B3748" s="116">
        <v>48432</v>
      </c>
      <c r="C3748" s="117">
        <v>45484</v>
      </c>
      <c r="D3748" s="116">
        <v>154.78</v>
      </c>
      <c r="E3748" s="117">
        <v>45503</v>
      </c>
      <c r="F3748" s="116">
        <f>COUNTIFS($A$3:A11998,A3748,$B$3:B11998,B3748)</f>
        <v>1</v>
      </c>
      <c r="G3748" s="116"/>
    </row>
    <row r="3749" spans="1:7" x14ac:dyDescent="0.2">
      <c r="A3749" s="116">
        <f>IF(ISNUMBER(Tabela2[[#This Row],[CT-e/NFS]])=TRUE,(IF(B3749&gt;30000,4,IF(B3749&lt;1000,"ND",0))),"-")</f>
        <v>4</v>
      </c>
      <c r="B3749" s="116">
        <v>48433</v>
      </c>
      <c r="C3749" s="117">
        <v>45484</v>
      </c>
      <c r="D3749" s="116">
        <v>110.39</v>
      </c>
      <c r="E3749" s="117">
        <v>45503</v>
      </c>
      <c r="F3749" s="116">
        <f>COUNTIFS($A$3:A11999,A3749,$B$3:B11999,B3749)</f>
        <v>1</v>
      </c>
      <c r="G3749" s="116"/>
    </row>
    <row r="3750" spans="1:7" x14ac:dyDescent="0.2">
      <c r="A3750" s="116">
        <f>IF(ISNUMBER(Tabela2[[#This Row],[CT-e/NFS]])=TRUE,(IF(B3750&gt;30000,4,IF(B3750&lt;1000,"ND",0))),"-")</f>
        <v>4</v>
      </c>
      <c r="B3750" s="116">
        <v>48425</v>
      </c>
      <c r="C3750" s="117">
        <v>45484</v>
      </c>
      <c r="D3750" s="116">
        <v>451.72</v>
      </c>
      <c r="E3750" s="117">
        <v>45503</v>
      </c>
      <c r="F3750" s="116">
        <f>COUNTIFS($A$3:A12000,A3750,$B$3:B12000,B3750)</f>
        <v>1</v>
      </c>
      <c r="G3750" s="116"/>
    </row>
    <row r="3751" spans="1:7" x14ac:dyDescent="0.2">
      <c r="A3751" s="116">
        <f>IF(ISNUMBER(Tabela2[[#This Row],[CT-e/NFS]])=TRUE,(IF(B3751&gt;30000,4,IF(B3751&lt;1000,"ND",0))),"-")</f>
        <v>4</v>
      </c>
      <c r="B3751" s="116">
        <v>48494</v>
      </c>
      <c r="C3751" s="117">
        <v>45484</v>
      </c>
      <c r="D3751" s="116">
        <v>488.51</v>
      </c>
      <c r="E3751" s="117">
        <v>45503</v>
      </c>
      <c r="F3751" s="116">
        <f>COUNTIFS($A$3:A12001,A3751,$B$3:B12001,B3751)</f>
        <v>1</v>
      </c>
      <c r="G3751" s="116"/>
    </row>
    <row r="3752" spans="1:7" x14ac:dyDescent="0.2">
      <c r="A3752" s="116">
        <f>IF(ISNUMBER(Tabela2[[#This Row],[CT-e/NFS]])=TRUE,(IF(B3752&gt;30000,4,IF(B3752&lt;1000,"ND",0))),"-")</f>
        <v>4</v>
      </c>
      <c r="B3752" s="116">
        <v>48516</v>
      </c>
      <c r="C3752" s="117">
        <v>45484</v>
      </c>
      <c r="D3752" s="116">
        <v>103.52</v>
      </c>
      <c r="E3752" s="117">
        <v>45503</v>
      </c>
      <c r="F3752" s="116">
        <f>COUNTIFS($A$3:A12002,A3752,$B$3:B12002,B3752)</f>
        <v>1</v>
      </c>
      <c r="G3752" s="116"/>
    </row>
    <row r="3753" spans="1:7" x14ac:dyDescent="0.2">
      <c r="A3753" s="116">
        <f>IF(ISNUMBER(Tabela2[[#This Row],[CT-e/NFS]])=TRUE,(IF(B3753&gt;30000,4,IF(B3753&lt;1000,"ND",0))),"-")</f>
        <v>4</v>
      </c>
      <c r="B3753" s="116">
        <v>48495</v>
      </c>
      <c r="C3753" s="117">
        <v>45484</v>
      </c>
      <c r="D3753" s="116">
        <v>256.86</v>
      </c>
      <c r="E3753" s="117">
        <v>45503</v>
      </c>
      <c r="F3753" s="116">
        <f>COUNTIFS($A$3:A12003,A3753,$B$3:B12003,B3753)</f>
        <v>1</v>
      </c>
      <c r="G3753" s="116"/>
    </row>
    <row r="3754" spans="1:7" x14ac:dyDescent="0.2">
      <c r="A3754" s="116">
        <f>IF(ISNUMBER(Tabela2[[#This Row],[CT-e/NFS]])=TRUE,(IF(B3754&gt;30000,4,IF(B3754&lt;1000,"ND",0))),"-")</f>
        <v>4</v>
      </c>
      <c r="B3754" s="116">
        <v>48455</v>
      </c>
      <c r="C3754" s="117">
        <v>45484</v>
      </c>
      <c r="D3754" s="116">
        <v>59.78</v>
      </c>
      <c r="E3754" s="117">
        <v>45503</v>
      </c>
      <c r="F3754" s="116">
        <f>COUNTIFS($A$3:A12004,A3754,$B$3:B12004,B3754)</f>
        <v>1</v>
      </c>
      <c r="G3754" s="116"/>
    </row>
    <row r="3755" spans="1:7" x14ac:dyDescent="0.2">
      <c r="A3755" s="116">
        <f>IF(ISNUMBER(Tabela2[[#This Row],[CT-e/NFS]])=TRUE,(IF(B3755&gt;30000,4,IF(B3755&lt;1000,"ND",0))),"-")</f>
        <v>0</v>
      </c>
      <c r="B3755" s="116">
        <v>21921</v>
      </c>
      <c r="C3755" s="117">
        <v>45484</v>
      </c>
      <c r="D3755" s="116">
        <v>89.61</v>
      </c>
      <c r="E3755" s="117">
        <v>45503</v>
      </c>
      <c r="F3755" s="116">
        <f>COUNTIFS($A$3:A12005,A3755,$B$3:B12005,B3755)</f>
        <v>1</v>
      </c>
      <c r="G3755" s="116"/>
    </row>
    <row r="3756" spans="1:7" x14ac:dyDescent="0.2">
      <c r="A3756" s="116">
        <f>IF(ISNUMBER(Tabela2[[#This Row],[CT-e/NFS]])=TRUE,(IF(B3756&gt;30000,4,IF(B3756&lt;1000,"ND",0))),"-")</f>
        <v>0</v>
      </c>
      <c r="B3756" s="116">
        <v>21905</v>
      </c>
      <c r="C3756" s="117">
        <v>45474</v>
      </c>
      <c r="D3756" s="116">
        <v>97.68</v>
      </c>
      <c r="E3756" s="117">
        <v>45503</v>
      </c>
      <c r="F3756" s="116">
        <f>COUNTIFS($A$3:A12006,A3756,$B$3:B12006,B3756)</f>
        <v>1</v>
      </c>
      <c r="G3756" s="116"/>
    </row>
    <row r="3757" spans="1:7" x14ac:dyDescent="0.2">
      <c r="A3757" s="116">
        <f>IF(ISNUMBER(Tabela2[[#This Row],[CT-e/NFS]])=TRUE,(IF(B3757&gt;30000,4,IF(B3757&lt;1000,"ND",0))),"-")</f>
        <v>0</v>
      </c>
      <c r="B3757" s="116">
        <v>21909</v>
      </c>
      <c r="C3757" s="117">
        <v>45474</v>
      </c>
      <c r="D3757" s="116">
        <v>127.38</v>
      </c>
      <c r="E3757" s="117">
        <v>45503</v>
      </c>
      <c r="F3757" s="116">
        <f>COUNTIFS($A$3:A12007,A3757,$B$3:B12007,B3757)</f>
        <v>1</v>
      </c>
      <c r="G3757" s="116"/>
    </row>
    <row r="3758" spans="1:7" x14ac:dyDescent="0.2">
      <c r="A3758" s="116">
        <f>IF(ISNUMBER(Tabela2[[#This Row],[CT-e/NFS]])=TRUE,(IF(B3758&gt;30000,4,IF(B3758&lt;1000,"ND",0))),"-")</f>
        <v>0</v>
      </c>
      <c r="B3758" s="116">
        <v>21937</v>
      </c>
      <c r="C3758" s="117">
        <v>45474</v>
      </c>
      <c r="D3758" s="116">
        <v>98.63</v>
      </c>
      <c r="E3758" s="117">
        <v>45503</v>
      </c>
      <c r="F3758" s="116">
        <f>COUNTIFS($A$3:A12008,A3758,$B$3:B12008,B3758)</f>
        <v>1</v>
      </c>
      <c r="G3758" s="116"/>
    </row>
    <row r="3759" spans="1:7" x14ac:dyDescent="0.2">
      <c r="A3759" s="116">
        <f>IF(ISNUMBER(Tabela2[[#This Row],[CT-e/NFS]])=TRUE,(IF(B3759&gt;30000,4,IF(B3759&lt;1000,"ND",0))),"-")</f>
        <v>0</v>
      </c>
      <c r="B3759" s="116">
        <v>21936</v>
      </c>
      <c r="C3759" s="117">
        <v>45474</v>
      </c>
      <c r="D3759" s="116">
        <v>287.2</v>
      </c>
      <c r="E3759" s="117">
        <v>45503</v>
      </c>
      <c r="F3759" s="116">
        <f>COUNTIFS($A$3:A12009,A3759,$B$3:B12009,B3759)</f>
        <v>1</v>
      </c>
      <c r="G3759" s="116"/>
    </row>
    <row r="3760" spans="1:7" x14ac:dyDescent="0.2">
      <c r="A3760" s="116">
        <f>IF(ISNUMBER(Tabela2[[#This Row],[CT-e/NFS]])=TRUE,(IF(B3760&gt;30000,4,IF(B3760&lt;1000,"ND",0))),"-")</f>
        <v>0</v>
      </c>
      <c r="B3760" s="116">
        <v>21967</v>
      </c>
      <c r="C3760" s="117">
        <v>45474</v>
      </c>
      <c r="D3760" s="116">
        <v>128.71</v>
      </c>
      <c r="E3760" s="117">
        <v>45503</v>
      </c>
      <c r="F3760" s="116">
        <f>COUNTIFS($A$3:A12010,A3760,$B$3:B12010,B3760)</f>
        <v>1</v>
      </c>
      <c r="G3760" s="116"/>
    </row>
    <row r="3761" spans="1:7" x14ac:dyDescent="0.2">
      <c r="A3761" s="116">
        <f>IF(ISNUMBER(Tabela2[[#This Row],[CT-e/NFS]])=TRUE,(IF(B3761&gt;30000,4,IF(B3761&lt;1000,"ND",0))),"-")</f>
        <v>0</v>
      </c>
      <c r="B3761" s="116">
        <v>21965</v>
      </c>
      <c r="C3761" s="117">
        <v>45474</v>
      </c>
      <c r="D3761" s="116">
        <v>133.11000000000001</v>
      </c>
      <c r="E3761" s="117">
        <v>45503</v>
      </c>
      <c r="F3761" s="116">
        <f>COUNTIFS($A$3:A12011,A3761,$B$3:B12011,B3761)</f>
        <v>1</v>
      </c>
      <c r="G3761" s="116"/>
    </row>
    <row r="3762" spans="1:7" x14ac:dyDescent="0.2">
      <c r="A3762" s="116">
        <f>IF(ISNUMBER(Tabela2[[#This Row],[CT-e/NFS]])=TRUE,(IF(B3762&gt;30000,4,IF(B3762&lt;1000,"ND",0))),"-")</f>
        <v>0</v>
      </c>
      <c r="B3762" s="116">
        <v>21964</v>
      </c>
      <c r="C3762" s="117">
        <v>45474</v>
      </c>
      <c r="D3762" s="116">
        <v>122.21</v>
      </c>
      <c r="E3762" s="117">
        <v>45503</v>
      </c>
      <c r="F3762" s="116">
        <f>COUNTIFS($A$3:A12012,A3762,$B$3:B12012,B3762)</f>
        <v>1</v>
      </c>
      <c r="G3762" s="116"/>
    </row>
    <row r="3763" spans="1:7" x14ac:dyDescent="0.2">
      <c r="A3763" s="116">
        <f>IF(ISNUMBER(Tabela2[[#This Row],[CT-e/NFS]])=TRUE,(IF(B3763&gt;30000,4,IF(B3763&lt;1000,"ND",0))),"-")</f>
        <v>0</v>
      </c>
      <c r="B3763" s="116">
        <v>21971</v>
      </c>
      <c r="C3763" s="117">
        <v>45474</v>
      </c>
      <c r="D3763" s="116">
        <v>121.83</v>
      </c>
      <c r="E3763" s="117">
        <v>45503</v>
      </c>
      <c r="F3763" s="116">
        <f>COUNTIFS($A$3:A12013,A3763,$B$3:B12013,B3763)</f>
        <v>1</v>
      </c>
      <c r="G3763" s="116"/>
    </row>
    <row r="3764" spans="1:7" x14ac:dyDescent="0.2">
      <c r="A3764" s="116">
        <f>IF(ISNUMBER(Tabela2[[#This Row],[CT-e/NFS]])=TRUE,(IF(B3764&gt;30000,4,IF(B3764&lt;1000,"ND",0))),"-")</f>
        <v>4</v>
      </c>
      <c r="B3764" s="116">
        <v>48453</v>
      </c>
      <c r="C3764" s="117">
        <v>45474</v>
      </c>
      <c r="D3764" s="116">
        <v>111.03</v>
      </c>
      <c r="E3764" s="117">
        <v>45503</v>
      </c>
      <c r="F3764" s="116">
        <f>COUNTIFS($A$3:A12014,A3764,$B$3:B12014,B3764)</f>
        <v>1</v>
      </c>
      <c r="G3764" s="116"/>
    </row>
    <row r="3765" spans="1:7" x14ac:dyDescent="0.2">
      <c r="A3765" s="116">
        <f>IF(ISNUMBER(Tabela2[[#This Row],[CT-e/NFS]])=TRUE,(IF(B3765&gt;30000,4,IF(B3765&lt;1000,"ND",0))),"-")</f>
        <v>4</v>
      </c>
      <c r="B3765" s="116">
        <v>48457</v>
      </c>
      <c r="C3765" s="117">
        <v>45474</v>
      </c>
      <c r="D3765" s="116">
        <v>105.56</v>
      </c>
      <c r="E3765" s="117">
        <v>45503</v>
      </c>
      <c r="F3765" s="116">
        <f>COUNTIFS($A$3:A12015,A3765,$B$3:B12015,B3765)</f>
        <v>1</v>
      </c>
      <c r="G3765" s="116"/>
    </row>
    <row r="3766" spans="1:7" x14ac:dyDescent="0.2">
      <c r="A3766" s="116">
        <f>IF(ISNUMBER(Tabela2[[#This Row],[CT-e/NFS]])=TRUE,(IF(B3766&gt;30000,4,IF(B3766&lt;1000,"ND",0))),"-")</f>
        <v>4</v>
      </c>
      <c r="B3766" s="116">
        <v>48705</v>
      </c>
      <c r="C3766" s="117">
        <v>45474</v>
      </c>
      <c r="D3766" s="116">
        <v>107.91</v>
      </c>
      <c r="E3766" s="117">
        <v>45503</v>
      </c>
      <c r="F3766" s="116">
        <f>COUNTIFS($A$3:A12016,A3766,$B$3:B12016,B3766)</f>
        <v>1</v>
      </c>
      <c r="G3766" s="116"/>
    </row>
    <row r="3767" spans="1:7" x14ac:dyDescent="0.2">
      <c r="A3767" s="116">
        <f>IF(ISNUMBER(Tabela2[[#This Row],[CT-e/NFS]])=TRUE,(IF(B3767&gt;30000,4,IF(B3767&lt;1000,"ND",0))),"-")</f>
        <v>4</v>
      </c>
      <c r="B3767" s="116">
        <v>48602</v>
      </c>
      <c r="C3767" s="117">
        <v>45474</v>
      </c>
      <c r="D3767" s="116">
        <v>128.99</v>
      </c>
      <c r="E3767" s="117">
        <v>45503</v>
      </c>
      <c r="F3767" s="116">
        <f>COUNTIFS($A$3:A12017,A3767,$B$3:B12017,B3767)</f>
        <v>1</v>
      </c>
      <c r="G3767" s="116"/>
    </row>
    <row r="3768" spans="1:7" x14ac:dyDescent="0.2">
      <c r="A3768" s="116">
        <f>IF(ISNUMBER(Tabela2[[#This Row],[CT-e/NFS]])=TRUE,(IF(B3768&gt;30000,4,IF(B3768&lt;1000,"ND",0))),"-")</f>
        <v>4</v>
      </c>
      <c r="B3768" s="116">
        <v>48656</v>
      </c>
      <c r="C3768" s="117">
        <v>45474</v>
      </c>
      <c r="D3768" s="116">
        <v>111.03</v>
      </c>
      <c r="E3768" s="117">
        <v>45503</v>
      </c>
      <c r="F3768" s="116">
        <f>COUNTIFS($A$3:A12018,A3768,$B$3:B12018,B3768)</f>
        <v>1</v>
      </c>
      <c r="G3768" s="116"/>
    </row>
    <row r="3769" spans="1:7" x14ac:dyDescent="0.2">
      <c r="A3769" s="116">
        <f>IF(ISNUMBER(Tabela2[[#This Row],[CT-e/NFS]])=TRUE,(IF(B3769&gt;30000,4,IF(B3769&lt;1000,"ND",0))),"-")</f>
        <v>4</v>
      </c>
      <c r="B3769" s="116">
        <v>48686</v>
      </c>
      <c r="C3769" s="117">
        <v>45474</v>
      </c>
      <c r="D3769" s="116">
        <v>147.51</v>
      </c>
      <c r="E3769" s="117">
        <v>45503</v>
      </c>
      <c r="F3769" s="116">
        <f>COUNTIFS($A$3:A12019,A3769,$B$3:B12019,B3769)</f>
        <v>1</v>
      </c>
      <c r="G3769" s="116"/>
    </row>
    <row r="3770" spans="1:7" x14ac:dyDescent="0.2">
      <c r="A3770" s="116">
        <f>IF(ISNUMBER(Tabela2[[#This Row],[CT-e/NFS]])=TRUE,(IF(B3770&gt;30000,4,IF(B3770&lt;1000,"ND",0))),"-")</f>
        <v>4</v>
      </c>
      <c r="B3770" s="116">
        <v>48473</v>
      </c>
      <c r="C3770" s="117">
        <v>45474</v>
      </c>
      <c r="D3770" s="116">
        <v>336.35</v>
      </c>
      <c r="E3770" s="117">
        <v>45503</v>
      </c>
      <c r="F3770" s="116">
        <f>COUNTIFS($A$3:A12020,A3770,$B$3:B12020,B3770)</f>
        <v>1</v>
      </c>
      <c r="G3770" s="116"/>
    </row>
    <row r="3771" spans="1:7" x14ac:dyDescent="0.2">
      <c r="A3771" s="116">
        <f>IF(ISNUMBER(Tabela2[[#This Row],[CT-e/NFS]])=TRUE,(IF(B3771&gt;30000,4,IF(B3771&lt;1000,"ND",0))),"-")</f>
        <v>4</v>
      </c>
      <c r="B3771" s="116">
        <v>48631</v>
      </c>
      <c r="C3771" s="117">
        <v>45474</v>
      </c>
      <c r="D3771" s="116">
        <v>131.81</v>
      </c>
      <c r="E3771" s="117">
        <v>45503</v>
      </c>
      <c r="F3771" s="116">
        <f>COUNTIFS($A$3:A12021,A3771,$B$3:B12021,B3771)</f>
        <v>1</v>
      </c>
      <c r="G3771" s="116"/>
    </row>
    <row r="3772" spans="1:7" x14ac:dyDescent="0.2">
      <c r="A3772" s="116">
        <f>IF(ISNUMBER(Tabela2[[#This Row],[CT-e/NFS]])=TRUE,(IF(B3772&gt;30000,4,IF(B3772&lt;1000,"ND",0))),"-")</f>
        <v>4</v>
      </c>
      <c r="B3772" s="116">
        <v>48596</v>
      </c>
      <c r="C3772" s="117">
        <v>45474</v>
      </c>
      <c r="D3772" s="116">
        <v>110.92</v>
      </c>
      <c r="E3772" s="117">
        <v>45503</v>
      </c>
      <c r="F3772" s="116">
        <f>COUNTIFS($A$3:A12022,A3772,$B$3:B12022,B3772)</f>
        <v>1</v>
      </c>
      <c r="G3772" s="116"/>
    </row>
    <row r="3773" spans="1:7" x14ac:dyDescent="0.2">
      <c r="A3773" s="116">
        <f>IF(ISNUMBER(Tabela2[[#This Row],[CT-e/NFS]])=TRUE,(IF(B3773&gt;30000,4,IF(B3773&lt;1000,"ND",0))),"-")</f>
        <v>4</v>
      </c>
      <c r="B3773" s="116">
        <v>48597</v>
      </c>
      <c r="C3773" s="117">
        <v>45474</v>
      </c>
      <c r="D3773" s="116">
        <v>104.17</v>
      </c>
      <c r="E3773" s="117">
        <v>45503</v>
      </c>
      <c r="F3773" s="116">
        <f>COUNTIFS($A$3:A12023,A3773,$B$3:B12023,B3773)</f>
        <v>1</v>
      </c>
      <c r="G3773" s="116"/>
    </row>
    <row r="3774" spans="1:7" x14ac:dyDescent="0.2">
      <c r="A3774" s="116">
        <f>IF(ISNUMBER(Tabela2[[#This Row],[CT-e/NFS]])=TRUE,(IF(B3774&gt;30000,4,IF(B3774&lt;1000,"ND",0))),"-")</f>
        <v>4</v>
      </c>
      <c r="B3774" s="116">
        <v>48513</v>
      </c>
      <c r="C3774" s="117">
        <v>45474</v>
      </c>
      <c r="D3774" s="116">
        <v>118.08</v>
      </c>
      <c r="E3774" s="117">
        <v>45503</v>
      </c>
      <c r="F3774" s="116">
        <f>COUNTIFS($A$3:A12024,A3774,$B$3:B12024,B3774)</f>
        <v>1</v>
      </c>
      <c r="G3774" s="116"/>
    </row>
    <row r="3775" spans="1:7" x14ac:dyDescent="0.2">
      <c r="A3775" s="116">
        <f>IF(ISNUMBER(Tabela2[[#This Row],[CT-e/NFS]])=TRUE,(IF(B3775&gt;30000,4,IF(B3775&lt;1000,"ND",0))),"-")</f>
        <v>4</v>
      </c>
      <c r="B3775" s="116">
        <v>48598</v>
      </c>
      <c r="C3775" s="117">
        <v>45474</v>
      </c>
      <c r="D3775" s="116">
        <v>294.91000000000003</v>
      </c>
      <c r="E3775" s="117">
        <v>45503</v>
      </c>
      <c r="F3775" s="116">
        <f>COUNTIFS($A$3:A12025,A3775,$B$3:B12025,B3775)</f>
        <v>1</v>
      </c>
      <c r="G3775" s="116"/>
    </row>
    <row r="3776" spans="1:7" x14ac:dyDescent="0.2">
      <c r="A3776" s="116">
        <f>IF(ISNUMBER(Tabela2[[#This Row],[CT-e/NFS]])=TRUE,(IF(B3776&gt;30000,4,IF(B3776&lt;1000,"ND",0))),"-")</f>
        <v>4</v>
      </c>
      <c r="B3776" s="116">
        <v>48599</v>
      </c>
      <c r="C3776" s="117">
        <v>45481</v>
      </c>
      <c r="D3776" s="116">
        <v>201.58</v>
      </c>
      <c r="E3776" s="117">
        <v>45503</v>
      </c>
      <c r="F3776" s="116">
        <f>COUNTIFS($A$3:A12026,A3776,$B$3:B12026,B3776)</f>
        <v>1</v>
      </c>
      <c r="G3776" s="116"/>
    </row>
    <row r="3777" spans="1:7" x14ac:dyDescent="0.2">
      <c r="A3777" s="116">
        <f>IF(ISNUMBER(Tabela2[[#This Row],[CT-e/NFS]])=TRUE,(IF(B3777&gt;30000,4,IF(B3777&lt;1000,"ND",0))),"-")</f>
        <v>4</v>
      </c>
      <c r="B3777" s="116">
        <v>48454</v>
      </c>
      <c r="C3777" s="117">
        <v>45481</v>
      </c>
      <c r="D3777" s="116">
        <v>180.26</v>
      </c>
      <c r="E3777" s="117">
        <v>45503</v>
      </c>
      <c r="F3777" s="116">
        <f>COUNTIFS($A$3:A12027,A3777,$B$3:B12027,B3777)</f>
        <v>1</v>
      </c>
      <c r="G3777" s="116"/>
    </row>
    <row r="3778" spans="1:7" x14ac:dyDescent="0.2">
      <c r="A3778" s="116">
        <f>IF(ISNUMBER(Tabela2[[#This Row],[CT-e/NFS]])=TRUE,(IF(B3778&gt;30000,4,IF(B3778&lt;1000,"ND",0))),"-")</f>
        <v>4</v>
      </c>
      <c r="B3778" s="116">
        <v>41175</v>
      </c>
      <c r="C3778" s="117">
        <v>45477</v>
      </c>
      <c r="D3778" s="116">
        <v>103.03</v>
      </c>
      <c r="E3778" s="117">
        <v>45503</v>
      </c>
      <c r="F3778" s="116">
        <f>COUNTIFS($A$3:A12028,A3778,$B$3:B12028,B3778)</f>
        <v>1</v>
      </c>
      <c r="G3778" s="116"/>
    </row>
    <row r="3779" spans="1:7" x14ac:dyDescent="0.2">
      <c r="A3779" s="116">
        <f>IF(ISNUMBER(Tabela2[[#This Row],[CT-e/NFS]])=TRUE,(IF(B3779&gt;30000,4,IF(B3779&lt;1000,"ND",0))),"-")</f>
        <v>4</v>
      </c>
      <c r="B3779" s="116">
        <v>41174</v>
      </c>
      <c r="C3779" s="117">
        <v>45477</v>
      </c>
      <c r="D3779" s="116">
        <v>598.03</v>
      </c>
      <c r="E3779" s="117">
        <v>45503</v>
      </c>
      <c r="F3779" s="116">
        <f>COUNTIFS($A$3:A12029,A3779,$B$3:B12029,B3779)</f>
        <v>1</v>
      </c>
      <c r="G3779" s="116"/>
    </row>
    <row r="3780" spans="1:7" x14ac:dyDescent="0.2">
      <c r="A3780" s="116">
        <f>IF(ISNUMBER(Tabela2[[#This Row],[CT-e/NFS]])=TRUE,(IF(B3780&gt;30000,4,IF(B3780&lt;1000,"ND",0))),"-")</f>
        <v>4</v>
      </c>
      <c r="B3780" s="116">
        <v>45280</v>
      </c>
      <c r="C3780" s="117">
        <v>45312</v>
      </c>
      <c r="D3780" s="116">
        <v>1060</v>
      </c>
      <c r="E3780" s="117">
        <v>45503</v>
      </c>
      <c r="F3780" s="116">
        <f>COUNTIFS($A$3:A12030,A3780,$B$3:B12030,B3780)</f>
        <v>1</v>
      </c>
      <c r="G3780" s="131" t="s">
        <v>148</v>
      </c>
    </row>
    <row r="3781" spans="1:7" x14ac:dyDescent="0.2">
      <c r="A3781" s="116">
        <f>IF(ISNUMBER(Tabela2[[#This Row],[CT-e/NFS]])=TRUE,(IF(B3781&gt;30000,4,IF(B3781&lt;1000,"ND",0))),"-")</f>
        <v>4</v>
      </c>
      <c r="B3781" s="116">
        <v>48091</v>
      </c>
      <c r="C3781" s="117">
        <v>45495</v>
      </c>
      <c r="D3781" s="116">
        <v>1139.3599999999999</v>
      </c>
      <c r="E3781" s="117">
        <v>45503</v>
      </c>
      <c r="F3781" s="116">
        <f>COUNTIFS($A$3:A12031,A3781,$B$3:B12031,B3781)</f>
        <v>1</v>
      </c>
      <c r="G3781" s="116"/>
    </row>
    <row r="3782" spans="1:7" x14ac:dyDescent="0.2">
      <c r="A3782" s="116">
        <f>IF(ISNUMBER(Tabela2[[#This Row],[CT-e/NFS]])=TRUE,(IF(B3782&gt;30000,4,IF(B3782&lt;1000,"ND",0))),"-")</f>
        <v>4</v>
      </c>
      <c r="B3782" s="116">
        <v>48099</v>
      </c>
      <c r="C3782" s="117">
        <v>45495</v>
      </c>
      <c r="D3782" s="116">
        <v>62.26</v>
      </c>
      <c r="E3782" s="117">
        <v>45503</v>
      </c>
      <c r="F3782" s="116">
        <f>COUNTIFS($A$3:A12032,A3782,$B$3:B12032,B3782)</f>
        <v>1</v>
      </c>
      <c r="G3782" s="116"/>
    </row>
    <row r="3783" spans="1:7" x14ac:dyDescent="0.2">
      <c r="A3783" s="116">
        <f>IF(ISNUMBER(Tabela2[[#This Row],[CT-e/NFS]])=TRUE,(IF(B3783&gt;30000,4,IF(B3783&lt;1000,"ND",0))),"-")</f>
        <v>4</v>
      </c>
      <c r="B3783" s="116">
        <v>48100</v>
      </c>
      <c r="C3783" s="117">
        <v>45495</v>
      </c>
      <c r="D3783" s="116">
        <v>112.25</v>
      </c>
      <c r="E3783" s="117">
        <v>45503</v>
      </c>
      <c r="F3783" s="116">
        <f>COUNTIFS($A$3:A12033,A3783,$B$3:B12033,B3783)</f>
        <v>1</v>
      </c>
      <c r="G3783" s="116"/>
    </row>
    <row r="3784" spans="1:7" x14ac:dyDescent="0.2">
      <c r="A3784" s="116">
        <f>IF(ISNUMBER(Tabela2[[#This Row],[CT-e/NFS]])=TRUE,(IF(B3784&gt;30000,4,IF(B3784&lt;1000,"ND",0))),"-")</f>
        <v>4</v>
      </c>
      <c r="B3784" s="116">
        <v>48080</v>
      </c>
      <c r="C3784" s="117">
        <v>45495</v>
      </c>
      <c r="D3784" s="116">
        <v>241.17</v>
      </c>
      <c r="E3784" s="117">
        <v>45503</v>
      </c>
      <c r="F3784" s="116">
        <f>COUNTIFS($A$3:A12034,A3784,$B$3:B12034,B3784)</f>
        <v>1</v>
      </c>
      <c r="G3784" s="116"/>
    </row>
    <row r="3785" spans="1:7" x14ac:dyDescent="0.2">
      <c r="A3785" s="116">
        <f>IF(ISNUMBER(Tabela2[[#This Row],[CT-e/NFS]])=TRUE,(IF(B3785&gt;30000,4,IF(B3785&lt;1000,"ND",0))),"-")</f>
        <v>4</v>
      </c>
      <c r="B3785" s="116">
        <v>48103</v>
      </c>
      <c r="C3785" s="117">
        <v>45495</v>
      </c>
      <c r="D3785" s="116">
        <v>609.98</v>
      </c>
      <c r="E3785" s="117">
        <v>45503</v>
      </c>
      <c r="F3785" s="116">
        <f>COUNTIFS($A$3:A12035,A3785,$B$3:B12035,B3785)</f>
        <v>1</v>
      </c>
      <c r="G3785" s="116"/>
    </row>
    <row r="3786" spans="1:7" x14ac:dyDescent="0.2">
      <c r="A3786" s="116">
        <f>IF(ISNUMBER(Tabela2[[#This Row],[CT-e/NFS]])=TRUE,(IF(B3786&gt;30000,4,IF(B3786&lt;1000,"ND",0))),"-")</f>
        <v>4</v>
      </c>
      <c r="B3786" s="116">
        <v>48079</v>
      </c>
      <c r="C3786" s="117">
        <v>45495</v>
      </c>
      <c r="D3786" s="116">
        <v>127.1</v>
      </c>
      <c r="E3786" s="117">
        <v>45503</v>
      </c>
      <c r="F3786" s="116">
        <f>COUNTIFS($A$3:A12036,A3786,$B$3:B12036,B3786)</f>
        <v>1</v>
      </c>
      <c r="G3786" s="116"/>
    </row>
    <row r="3787" spans="1:7" x14ac:dyDescent="0.2">
      <c r="A3787" s="116">
        <f>IF(ISNUMBER(Tabela2[[#This Row],[CT-e/NFS]])=TRUE,(IF(B3787&gt;30000,4,IF(B3787&lt;1000,"ND",0))),"-")</f>
        <v>4</v>
      </c>
      <c r="B3787" s="116">
        <v>48084</v>
      </c>
      <c r="C3787" s="117">
        <v>45495</v>
      </c>
      <c r="D3787" s="116">
        <v>168.49</v>
      </c>
      <c r="E3787" s="117">
        <v>45503</v>
      </c>
      <c r="F3787" s="116">
        <f>COUNTIFS($A$3:A12037,A3787,$B$3:B12037,B3787)</f>
        <v>1</v>
      </c>
      <c r="G3787" s="116"/>
    </row>
    <row r="3788" spans="1:7" x14ac:dyDescent="0.2">
      <c r="A3788" s="116">
        <f>IF(ISNUMBER(Tabela2[[#This Row],[CT-e/NFS]])=TRUE,(IF(B3788&gt;30000,4,IF(B3788&lt;1000,"ND",0))),"-")</f>
        <v>4</v>
      </c>
      <c r="B3788" s="116">
        <v>48083</v>
      </c>
      <c r="C3788" s="117">
        <v>45495</v>
      </c>
      <c r="D3788" s="116">
        <v>406.72</v>
      </c>
      <c r="E3788" s="117">
        <v>45503</v>
      </c>
      <c r="F3788" s="116">
        <f>COUNTIFS($A$3:A12038,A3788,$B$3:B12038,B3788)</f>
        <v>1</v>
      </c>
      <c r="G3788" s="116"/>
    </row>
    <row r="3789" spans="1:7" x14ac:dyDescent="0.2">
      <c r="A3789" s="116">
        <f>IF(ISNUMBER(Tabela2[[#This Row],[CT-e/NFS]])=TRUE,(IF(B3789&gt;30000,4,IF(B3789&lt;1000,"ND",0))),"-")</f>
        <v>4</v>
      </c>
      <c r="B3789" s="116">
        <v>48116</v>
      </c>
      <c r="C3789" s="117">
        <v>45495</v>
      </c>
      <c r="D3789" s="116">
        <v>124.36</v>
      </c>
      <c r="E3789" s="117">
        <v>45503</v>
      </c>
      <c r="F3789" s="116">
        <f>COUNTIFS($A$3:A12039,A3789,$B$3:B12039,B3789)</f>
        <v>1</v>
      </c>
      <c r="G3789" s="116"/>
    </row>
    <row r="3790" spans="1:7" x14ac:dyDescent="0.2">
      <c r="A3790" s="116">
        <f>IF(ISNUMBER(Tabela2[[#This Row],[CT-e/NFS]])=TRUE,(IF(B3790&gt;30000,4,IF(B3790&lt;1000,"ND",0))),"-")</f>
        <v>4</v>
      </c>
      <c r="B3790" s="116">
        <v>48094</v>
      </c>
      <c r="C3790" s="117">
        <v>45495</v>
      </c>
      <c r="D3790" s="116">
        <v>61.39</v>
      </c>
      <c r="E3790" s="117">
        <v>45503</v>
      </c>
      <c r="F3790" s="116">
        <f>COUNTIFS($A$3:A12040,A3790,$B$3:B12040,B3790)</f>
        <v>1</v>
      </c>
      <c r="G3790" s="116"/>
    </row>
    <row r="3791" spans="1:7" x14ac:dyDescent="0.2">
      <c r="A3791" s="116">
        <f>IF(ISNUMBER(Tabela2[[#This Row],[CT-e/NFS]])=TRUE,(IF(B3791&gt;30000,4,IF(B3791&lt;1000,"ND",0))),"-")</f>
        <v>4</v>
      </c>
      <c r="B3791" s="116">
        <v>48114</v>
      </c>
      <c r="C3791" s="117">
        <v>45495</v>
      </c>
      <c r="D3791" s="116">
        <v>122.89</v>
      </c>
      <c r="E3791" s="117">
        <v>45503</v>
      </c>
      <c r="F3791" s="116">
        <f>COUNTIFS($A$3:A12041,A3791,$B$3:B12041,B3791)</f>
        <v>1</v>
      </c>
      <c r="G3791" s="116"/>
    </row>
    <row r="3792" spans="1:7" x14ac:dyDescent="0.2">
      <c r="A3792" s="116">
        <f>IF(ISNUMBER(Tabela2[[#This Row],[CT-e/NFS]])=TRUE,(IF(B3792&gt;30000,4,IF(B3792&lt;1000,"ND",0))),"-")</f>
        <v>4</v>
      </c>
      <c r="B3792" s="116">
        <v>48117</v>
      </c>
      <c r="C3792" s="117">
        <v>45495</v>
      </c>
      <c r="D3792" s="116">
        <v>125.48</v>
      </c>
      <c r="E3792" s="117">
        <v>45503</v>
      </c>
      <c r="F3792" s="116">
        <f>COUNTIFS($A$3:A12042,A3792,$B$3:B12042,B3792)</f>
        <v>1</v>
      </c>
      <c r="G3792" s="116"/>
    </row>
    <row r="3793" spans="1:7" x14ac:dyDescent="0.2">
      <c r="A3793" s="116">
        <f>IF(ISNUMBER(Tabela2[[#This Row],[CT-e/NFS]])=TRUE,(IF(B3793&gt;30000,4,IF(B3793&lt;1000,"ND",0))),"-")</f>
        <v>4</v>
      </c>
      <c r="B3793" s="116">
        <v>48082</v>
      </c>
      <c r="C3793" s="117">
        <v>45495</v>
      </c>
      <c r="D3793" s="116">
        <v>125.86</v>
      </c>
      <c r="E3793" s="117">
        <v>45503</v>
      </c>
      <c r="F3793" s="116">
        <f>COUNTIFS($A$3:A12043,A3793,$B$3:B12043,B3793)</f>
        <v>1</v>
      </c>
      <c r="G3793" s="116"/>
    </row>
    <row r="3794" spans="1:7" x14ac:dyDescent="0.2">
      <c r="A3794" s="116">
        <f>IF(ISNUMBER(Tabela2[[#This Row],[CT-e/NFS]])=TRUE,(IF(B3794&gt;30000,4,IF(B3794&lt;1000,"ND",0))),"-")</f>
        <v>4</v>
      </c>
      <c r="B3794" s="116">
        <v>48086</v>
      </c>
      <c r="C3794" s="117">
        <v>45495</v>
      </c>
      <c r="D3794" s="116">
        <v>246.33</v>
      </c>
      <c r="E3794" s="117">
        <v>45503</v>
      </c>
      <c r="F3794" s="116">
        <f>COUNTIFS($A$3:A12044,A3794,$B$3:B12044,B3794)</f>
        <v>1</v>
      </c>
      <c r="G3794" s="116"/>
    </row>
    <row r="3795" spans="1:7" x14ac:dyDescent="0.2">
      <c r="A3795" s="116">
        <f>IF(ISNUMBER(Tabela2[[#This Row],[CT-e/NFS]])=TRUE,(IF(B3795&gt;30000,4,IF(B3795&lt;1000,"ND",0))),"-")</f>
        <v>4</v>
      </c>
      <c r="B3795" s="116">
        <v>48131</v>
      </c>
      <c r="C3795" s="117">
        <v>45495</v>
      </c>
      <c r="D3795" s="116">
        <v>125.77</v>
      </c>
      <c r="E3795" s="117">
        <v>45503</v>
      </c>
      <c r="F3795" s="116">
        <f>COUNTIFS($A$3:A12045,A3795,$B$3:B12045,B3795)</f>
        <v>1</v>
      </c>
      <c r="G3795" s="116"/>
    </row>
    <row r="3796" spans="1:7" x14ac:dyDescent="0.2">
      <c r="A3796" s="116">
        <f>IF(ISNUMBER(Tabela2[[#This Row],[CT-e/NFS]])=TRUE,(IF(B3796&gt;30000,4,IF(B3796&lt;1000,"ND",0))),"-")</f>
        <v>4</v>
      </c>
      <c r="B3796" s="116">
        <v>48107</v>
      </c>
      <c r="C3796" s="117">
        <v>45495</v>
      </c>
      <c r="D3796" s="116">
        <v>602.70000000000005</v>
      </c>
      <c r="E3796" s="117">
        <v>45503</v>
      </c>
      <c r="F3796" s="116">
        <f>COUNTIFS($A$3:A12046,A3796,$B$3:B12046,B3796)</f>
        <v>1</v>
      </c>
      <c r="G3796" s="116"/>
    </row>
    <row r="3797" spans="1:7" x14ac:dyDescent="0.2">
      <c r="A3797" s="116">
        <f>IF(ISNUMBER(Tabela2[[#This Row],[CT-e/NFS]])=TRUE,(IF(B3797&gt;30000,4,IF(B3797&lt;1000,"ND",0))),"-")</f>
        <v>4</v>
      </c>
      <c r="B3797" s="116">
        <v>48078</v>
      </c>
      <c r="C3797" s="117">
        <v>45495</v>
      </c>
      <c r="D3797" s="116">
        <v>798.27</v>
      </c>
      <c r="E3797" s="117">
        <v>45503</v>
      </c>
      <c r="F3797" s="116">
        <f>COUNTIFS($A$3:A12047,A3797,$B$3:B12047,B3797)</f>
        <v>1</v>
      </c>
      <c r="G3797" s="116"/>
    </row>
    <row r="3798" spans="1:7" x14ac:dyDescent="0.2">
      <c r="A3798" s="116">
        <f>IF(ISNUMBER(Tabela2[[#This Row],[CT-e/NFS]])=TRUE,(IF(B3798&gt;30000,4,IF(B3798&lt;1000,"ND",0))),"-")</f>
        <v>4</v>
      </c>
      <c r="B3798" s="116">
        <v>48095</v>
      </c>
      <c r="C3798" s="117">
        <v>45495</v>
      </c>
      <c r="D3798" s="116">
        <v>110.5</v>
      </c>
      <c r="E3798" s="117">
        <v>45503</v>
      </c>
      <c r="F3798" s="116">
        <f>COUNTIFS($A$3:A12048,A3798,$B$3:B12048,B3798)</f>
        <v>1</v>
      </c>
      <c r="G3798" s="116"/>
    </row>
    <row r="3799" spans="1:7" x14ac:dyDescent="0.2">
      <c r="A3799" s="116">
        <f>IF(ISNUMBER(Tabela2[[#This Row],[CT-e/NFS]])=TRUE,(IF(B3799&gt;30000,4,IF(B3799&lt;1000,"ND",0))),"-")</f>
        <v>4</v>
      </c>
      <c r="B3799" s="116">
        <v>48108</v>
      </c>
      <c r="C3799" s="117">
        <v>45495</v>
      </c>
      <c r="D3799" s="116">
        <v>535.02</v>
      </c>
      <c r="E3799" s="117">
        <v>45503</v>
      </c>
      <c r="F3799" s="116">
        <f>COUNTIFS($A$3:A12049,A3799,$B$3:B12049,B3799)</f>
        <v>1</v>
      </c>
      <c r="G3799" s="116"/>
    </row>
    <row r="3800" spans="1:7" x14ac:dyDescent="0.2">
      <c r="A3800" s="116">
        <f>IF(ISNUMBER(Tabela2[[#This Row],[CT-e/NFS]])=TRUE,(IF(B3800&gt;30000,4,IF(B3800&lt;1000,"ND",0))),"-")</f>
        <v>4</v>
      </c>
      <c r="B3800" s="116">
        <v>48115</v>
      </c>
      <c r="C3800" s="117">
        <v>45495</v>
      </c>
      <c r="D3800" s="116">
        <v>126.24</v>
      </c>
      <c r="E3800" s="117">
        <v>45503</v>
      </c>
      <c r="F3800" s="116">
        <f>COUNTIFS($A$3:A12050,A3800,$B$3:B12050,B3800)</f>
        <v>1</v>
      </c>
      <c r="G3800" s="116"/>
    </row>
    <row r="3801" spans="1:7" x14ac:dyDescent="0.2">
      <c r="A3801" s="116">
        <f>IF(ISNUMBER(Tabela2[[#This Row],[CT-e/NFS]])=TRUE,(IF(B3801&gt;30000,4,IF(B3801&lt;1000,"ND",0))),"-")</f>
        <v>4</v>
      </c>
      <c r="B3801" s="116">
        <v>48096</v>
      </c>
      <c r="C3801" s="117">
        <v>45495</v>
      </c>
      <c r="D3801" s="116">
        <v>122.92</v>
      </c>
      <c r="E3801" s="117">
        <v>45503</v>
      </c>
      <c r="F3801" s="116">
        <f>COUNTIFS($A$3:A12051,A3801,$B$3:B12051,B3801)</f>
        <v>1</v>
      </c>
      <c r="G3801" s="116"/>
    </row>
    <row r="3802" spans="1:7" x14ac:dyDescent="0.2">
      <c r="A3802" s="116">
        <f>IF(ISNUMBER(Tabela2[[#This Row],[CT-e/NFS]])=TRUE,(IF(B3802&gt;30000,4,IF(B3802&lt;1000,"ND",0))),"-")</f>
        <v>4</v>
      </c>
      <c r="B3802" s="116">
        <v>48093</v>
      </c>
      <c r="C3802" s="117">
        <v>45495</v>
      </c>
      <c r="D3802" s="116">
        <v>241.56</v>
      </c>
      <c r="E3802" s="117">
        <v>45503</v>
      </c>
      <c r="F3802" s="116">
        <f>COUNTIFS($A$3:A12052,A3802,$B$3:B12052,B3802)</f>
        <v>1</v>
      </c>
      <c r="G3802" s="116"/>
    </row>
    <row r="3803" spans="1:7" x14ac:dyDescent="0.2">
      <c r="A3803" s="116">
        <f>IF(ISNUMBER(Tabela2[[#This Row],[CT-e/NFS]])=TRUE,(IF(B3803&gt;30000,4,IF(B3803&lt;1000,"ND",0))),"-")</f>
        <v>4</v>
      </c>
      <c r="B3803" s="116">
        <v>48090</v>
      </c>
      <c r="C3803" s="117">
        <v>45495</v>
      </c>
      <c r="D3803" s="116">
        <v>123.13</v>
      </c>
      <c r="E3803" s="117">
        <v>45503</v>
      </c>
      <c r="F3803" s="116">
        <f>COUNTIFS($A$3:A12053,A3803,$B$3:B12053,B3803)</f>
        <v>1</v>
      </c>
      <c r="G3803" s="116"/>
    </row>
    <row r="3804" spans="1:7" x14ac:dyDescent="0.2">
      <c r="A3804" s="116">
        <f>IF(ISNUMBER(Tabela2[[#This Row],[CT-e/NFS]])=TRUE,(IF(B3804&gt;30000,4,IF(B3804&lt;1000,"ND",0))),"-")</f>
        <v>4</v>
      </c>
      <c r="B3804" s="116">
        <v>48128</v>
      </c>
      <c r="C3804" s="117">
        <v>45495</v>
      </c>
      <c r="D3804" s="116">
        <v>702.74</v>
      </c>
      <c r="E3804" s="117">
        <v>45503</v>
      </c>
      <c r="F3804" s="116">
        <f>COUNTIFS($A$3:A12054,A3804,$B$3:B12054,B3804)</f>
        <v>1</v>
      </c>
      <c r="G3804" s="116"/>
    </row>
    <row r="3805" spans="1:7" x14ac:dyDescent="0.2">
      <c r="A3805" s="116">
        <f>IF(ISNUMBER(Tabela2[[#This Row],[CT-e/NFS]])=TRUE,(IF(B3805&gt;30000,4,IF(B3805&lt;1000,"ND",0))),"-")</f>
        <v>4</v>
      </c>
      <c r="B3805" s="116">
        <v>48085</v>
      </c>
      <c r="C3805" s="117">
        <v>45495</v>
      </c>
      <c r="D3805" s="116">
        <v>396.44</v>
      </c>
      <c r="E3805" s="117">
        <v>45503</v>
      </c>
      <c r="F3805" s="116">
        <f>COUNTIFS($A$3:A12055,A3805,$B$3:B12055,B3805)</f>
        <v>1</v>
      </c>
      <c r="G3805" s="116"/>
    </row>
    <row r="3806" spans="1:7" x14ac:dyDescent="0.2">
      <c r="A3806" s="116">
        <f>IF(ISNUMBER(Tabela2[[#This Row],[CT-e/NFS]])=TRUE,(IF(B3806&gt;30000,4,IF(B3806&lt;1000,"ND",0))),"-")</f>
        <v>4</v>
      </c>
      <c r="B3806" s="116">
        <v>48097</v>
      </c>
      <c r="C3806" s="117">
        <v>45495</v>
      </c>
      <c r="D3806" s="116">
        <v>62.16</v>
      </c>
      <c r="E3806" s="117">
        <v>45503</v>
      </c>
      <c r="F3806" s="116">
        <f>COUNTIFS($A$3:A12056,A3806,$B$3:B12056,B3806)</f>
        <v>1</v>
      </c>
      <c r="G3806" s="116"/>
    </row>
    <row r="3807" spans="1:7" x14ac:dyDescent="0.2">
      <c r="A3807" s="116">
        <f>IF(ISNUMBER(Tabela2[[#This Row],[CT-e/NFS]])=TRUE,(IF(B3807&gt;30000,4,IF(B3807&lt;1000,"ND",0))),"-")</f>
        <v>4</v>
      </c>
      <c r="B3807" s="116">
        <v>48123</v>
      </c>
      <c r="C3807" s="117">
        <v>45495</v>
      </c>
      <c r="D3807" s="116">
        <v>123.23</v>
      </c>
      <c r="E3807" s="117">
        <v>45503</v>
      </c>
      <c r="F3807" s="116">
        <f>COUNTIFS($A$3:A12057,A3807,$B$3:B12057,B3807)</f>
        <v>1</v>
      </c>
      <c r="G3807" s="116"/>
    </row>
    <row r="3808" spans="1:7" x14ac:dyDescent="0.2">
      <c r="A3808" s="116">
        <f>IF(ISNUMBER(Tabela2[[#This Row],[CT-e/NFS]])=TRUE,(IF(B3808&gt;30000,4,IF(B3808&lt;1000,"ND",0))),"-")</f>
        <v>4</v>
      </c>
      <c r="B3808" s="116">
        <v>48112</v>
      </c>
      <c r="C3808" s="117">
        <v>45495</v>
      </c>
      <c r="D3808" s="116">
        <v>1133.1099999999999</v>
      </c>
      <c r="E3808" s="117">
        <v>45503</v>
      </c>
      <c r="F3808" s="116">
        <f>COUNTIFS($A$3:A12058,A3808,$B$3:B12058,B3808)</f>
        <v>1</v>
      </c>
      <c r="G3808" s="116"/>
    </row>
    <row r="3809" spans="1:7" x14ac:dyDescent="0.2">
      <c r="A3809" s="116">
        <f>IF(ISNUMBER(Tabela2[[#This Row],[CT-e/NFS]])=TRUE,(IF(B3809&gt;30000,4,IF(B3809&lt;1000,"ND",0))),"-")</f>
        <v>4</v>
      </c>
      <c r="B3809" s="116">
        <v>48089</v>
      </c>
      <c r="C3809" s="117">
        <v>45495</v>
      </c>
      <c r="D3809" s="116">
        <v>123.52</v>
      </c>
      <c r="E3809" s="117">
        <v>45503</v>
      </c>
      <c r="F3809" s="116">
        <f>COUNTIFS($A$3:A12059,A3809,$B$3:B12059,B3809)</f>
        <v>1</v>
      </c>
      <c r="G3809" s="116"/>
    </row>
    <row r="3810" spans="1:7" x14ac:dyDescent="0.2">
      <c r="A3810" s="116">
        <f>IF(ISNUMBER(Tabela2[[#This Row],[CT-e/NFS]])=TRUE,(IF(B3810&gt;30000,4,IF(B3810&lt;1000,"ND",0))),"-")</f>
        <v>4</v>
      </c>
      <c r="B3810" s="116">
        <v>48081</v>
      </c>
      <c r="C3810" s="117">
        <v>45495</v>
      </c>
      <c r="D3810" s="116">
        <v>251.26</v>
      </c>
      <c r="E3810" s="117">
        <v>45503</v>
      </c>
      <c r="F3810" s="116">
        <f>COUNTIFS($A$3:A12060,A3810,$B$3:B12060,B3810)</f>
        <v>1</v>
      </c>
      <c r="G3810" s="116"/>
    </row>
    <row r="3811" spans="1:7" x14ac:dyDescent="0.2">
      <c r="A3811" s="116">
        <f>IF(ISNUMBER(Tabela2[[#This Row],[CT-e/NFS]])=TRUE,(IF(B3811&gt;30000,4,IF(B3811&lt;1000,"ND",0))),"-")</f>
        <v>0</v>
      </c>
      <c r="B3811" s="116">
        <v>21819</v>
      </c>
      <c r="C3811" s="117">
        <v>45495</v>
      </c>
      <c r="D3811" s="116">
        <v>76.010000000000005</v>
      </c>
      <c r="E3811" s="117">
        <v>45503</v>
      </c>
      <c r="F3811" s="116">
        <f>COUNTIFS($A$3:A12061,A3811,$B$3:B12061,B3811)</f>
        <v>1</v>
      </c>
      <c r="G3811" s="116"/>
    </row>
    <row r="3812" spans="1:7" x14ac:dyDescent="0.2">
      <c r="A3812" s="116">
        <f>IF(ISNUMBER(Tabela2[[#This Row],[CT-e/NFS]])=TRUE,(IF(B3812&gt;30000,4,IF(B3812&lt;1000,"ND",0))),"-")</f>
        <v>0</v>
      </c>
      <c r="B3812" s="116">
        <v>21818</v>
      </c>
      <c r="C3812" s="117">
        <v>45495</v>
      </c>
      <c r="D3812" s="116">
        <v>75.69</v>
      </c>
      <c r="E3812" s="117">
        <v>45503</v>
      </c>
      <c r="F3812" s="116">
        <f>COUNTIFS($A$3:A12062,A3812,$B$3:B12062,B3812)</f>
        <v>1</v>
      </c>
      <c r="G3812" s="116"/>
    </row>
    <row r="3813" spans="1:7" x14ac:dyDescent="0.2">
      <c r="A3813" s="116">
        <f>IF(ISNUMBER(Tabela2[[#This Row],[CT-e/NFS]])=TRUE,(IF(B3813&gt;30000,4,IF(B3813&lt;1000,"ND",0))),"-")</f>
        <v>0</v>
      </c>
      <c r="B3813" s="116">
        <v>21817</v>
      </c>
      <c r="C3813" s="117">
        <v>45495</v>
      </c>
      <c r="D3813" s="116">
        <v>76.47</v>
      </c>
      <c r="E3813" s="117">
        <v>45503</v>
      </c>
      <c r="F3813" s="116">
        <f>COUNTIFS($A$3:A12063,A3813,$B$3:B12063,B3813)</f>
        <v>1</v>
      </c>
      <c r="G3813" s="116"/>
    </row>
    <row r="3814" spans="1:7" x14ac:dyDescent="0.2">
      <c r="A3814" s="116">
        <f>IF(ISNUMBER(Tabela2[[#This Row],[CT-e/NFS]])=TRUE,(IF(B3814&gt;30000,4,IF(B3814&lt;1000,"ND",0))),"-")</f>
        <v>0</v>
      </c>
      <c r="B3814" s="116">
        <v>21816</v>
      </c>
      <c r="C3814" s="117">
        <v>45495</v>
      </c>
      <c r="D3814" s="116">
        <v>77.34</v>
      </c>
      <c r="E3814" s="117">
        <v>45503</v>
      </c>
      <c r="F3814" s="116">
        <f>COUNTIFS($A$3:A12064,A3814,$B$3:B12064,B3814)</f>
        <v>1</v>
      </c>
      <c r="G3814" s="116"/>
    </row>
    <row r="3815" spans="1:7" x14ac:dyDescent="0.2">
      <c r="A3815" s="116">
        <f>IF(ISNUMBER(Tabela2[[#This Row],[CT-e/NFS]])=TRUE,(IF(B3815&gt;30000,4,IF(B3815&lt;1000,"ND",0))),"-")</f>
        <v>0</v>
      </c>
      <c r="B3815" s="116">
        <v>21815</v>
      </c>
      <c r="C3815" s="117">
        <v>45495</v>
      </c>
      <c r="D3815" s="116">
        <v>77.260000000000005</v>
      </c>
      <c r="E3815" s="117">
        <v>45503</v>
      </c>
      <c r="F3815" s="116">
        <f>COUNTIFS($A$3:A12065,A3815,$B$3:B12065,B3815)</f>
        <v>1</v>
      </c>
      <c r="G3815" s="116"/>
    </row>
    <row r="3816" spans="1:7" x14ac:dyDescent="0.2">
      <c r="A3816" s="116">
        <f>IF(ISNUMBER(Tabela2[[#This Row],[CT-e/NFS]])=TRUE,(IF(B3816&gt;30000,4,IF(B3816&lt;1000,"ND",0))),"-")</f>
        <v>0</v>
      </c>
      <c r="B3816" s="116">
        <v>21824</v>
      </c>
      <c r="C3816" s="117">
        <v>45495</v>
      </c>
      <c r="D3816" s="116">
        <v>76.44</v>
      </c>
      <c r="E3816" s="117">
        <v>45503</v>
      </c>
      <c r="F3816" s="116">
        <f>COUNTIFS($A$3:A12066,A3816,$B$3:B12066,B3816)</f>
        <v>1</v>
      </c>
      <c r="G3816" s="116"/>
    </row>
    <row r="3817" spans="1:7" x14ac:dyDescent="0.2">
      <c r="A3817" s="116">
        <f>IF(ISNUMBER(Tabela2[[#This Row],[CT-e/NFS]])=TRUE,(IF(B3817&gt;30000,4,IF(B3817&lt;1000,"ND",0))),"-")</f>
        <v>0</v>
      </c>
      <c r="B3817" s="116">
        <v>21827</v>
      </c>
      <c r="C3817" s="117">
        <v>45495</v>
      </c>
      <c r="D3817" s="116">
        <v>76.25</v>
      </c>
      <c r="E3817" s="117">
        <v>45503</v>
      </c>
      <c r="F3817" s="116">
        <f>COUNTIFS($A$3:A12067,A3817,$B$3:B12067,B3817)</f>
        <v>1</v>
      </c>
      <c r="G3817" s="116"/>
    </row>
    <row r="3818" spans="1:7" x14ac:dyDescent="0.2">
      <c r="A3818" s="116">
        <f>IF(ISNUMBER(Tabela2[[#This Row],[CT-e/NFS]])=TRUE,(IF(B3818&gt;30000,4,IF(B3818&lt;1000,"ND",0))),"-")</f>
        <v>0</v>
      </c>
      <c r="B3818" s="116">
        <v>21825</v>
      </c>
      <c r="C3818" s="117">
        <v>45495</v>
      </c>
      <c r="D3818" s="116">
        <v>76.8</v>
      </c>
      <c r="E3818" s="117">
        <v>45503</v>
      </c>
      <c r="F3818" s="116">
        <f>COUNTIFS($A$3:A12068,A3818,$B$3:B12068,B3818)</f>
        <v>1</v>
      </c>
      <c r="G3818" s="116"/>
    </row>
    <row r="3819" spans="1:7" x14ac:dyDescent="0.2">
      <c r="A3819" s="116">
        <f>IF(ISNUMBER(Tabela2[[#This Row],[CT-e/NFS]])=TRUE,(IF(B3819&gt;30000,4,IF(B3819&lt;1000,"ND",0))),"-")</f>
        <v>0</v>
      </c>
      <c r="B3819" s="116">
        <v>21823</v>
      </c>
      <c r="C3819" s="117">
        <v>45495</v>
      </c>
      <c r="D3819" s="116">
        <v>77.36</v>
      </c>
      <c r="E3819" s="117">
        <v>45503</v>
      </c>
      <c r="F3819" s="116">
        <f>COUNTIFS($A$3:A12069,A3819,$B$3:B12069,B3819)</f>
        <v>1</v>
      </c>
      <c r="G3819" s="116"/>
    </row>
    <row r="3820" spans="1:7" x14ac:dyDescent="0.2">
      <c r="A3820" s="116">
        <f>IF(ISNUMBER(Tabela2[[#This Row],[CT-e/NFS]])=TRUE,(IF(B3820&gt;30000,4,IF(B3820&lt;1000,"ND",0))),"-")</f>
        <v>0</v>
      </c>
      <c r="B3820" s="116">
        <v>21822</v>
      </c>
      <c r="C3820" s="117">
        <v>45495</v>
      </c>
      <c r="D3820" s="116">
        <v>158.52000000000001</v>
      </c>
      <c r="E3820" s="117">
        <v>45503</v>
      </c>
      <c r="F3820" s="116">
        <f>COUNTIFS($A$3:A12070,A3820,$B$3:B12070,B3820)</f>
        <v>1</v>
      </c>
      <c r="G3820" s="116"/>
    </row>
    <row r="3821" spans="1:7" x14ac:dyDescent="0.2">
      <c r="A3821" s="116">
        <f>IF(ISNUMBER(Tabela2[[#This Row],[CT-e/NFS]])=TRUE,(IF(B3821&gt;30000,4,IF(B3821&lt;1000,"ND",0))),"-")</f>
        <v>0</v>
      </c>
      <c r="B3821" s="116">
        <v>21821</v>
      </c>
      <c r="C3821" s="117">
        <v>45495</v>
      </c>
      <c r="D3821" s="116">
        <v>128.04</v>
      </c>
      <c r="E3821" s="117">
        <v>45503</v>
      </c>
      <c r="F3821" s="116">
        <f>COUNTIFS($A$3:A12071,A3821,$B$3:B12071,B3821)</f>
        <v>1</v>
      </c>
      <c r="G3821" s="116"/>
    </row>
    <row r="3822" spans="1:7" x14ac:dyDescent="0.2">
      <c r="A3822" s="116">
        <f>IF(ISNUMBER(Tabela2[[#This Row],[CT-e/NFS]])=TRUE,(IF(B3822&gt;30000,4,IF(B3822&lt;1000,"ND",0))),"-")</f>
        <v>0</v>
      </c>
      <c r="B3822" s="116">
        <v>21820</v>
      </c>
      <c r="C3822" s="117">
        <v>45495</v>
      </c>
      <c r="D3822" s="116">
        <v>76.44</v>
      </c>
      <c r="E3822" s="117">
        <v>45503</v>
      </c>
      <c r="F3822" s="116">
        <f>COUNTIFS($A$3:A12072,A3822,$B$3:B12072,B3822)</f>
        <v>1</v>
      </c>
      <c r="G3822" s="116"/>
    </row>
    <row r="3823" spans="1:7" x14ac:dyDescent="0.2">
      <c r="A3823" s="116">
        <f>IF(ISNUMBER(Tabela2[[#This Row],[CT-e/NFS]])=TRUE,(IF(B3823&gt;30000,4,IF(B3823&lt;1000,"ND",0))),"-")</f>
        <v>4</v>
      </c>
      <c r="B3823" s="116">
        <v>48098</v>
      </c>
      <c r="C3823" s="117">
        <v>45495</v>
      </c>
      <c r="D3823" s="116">
        <v>112.05</v>
      </c>
      <c r="E3823" s="117">
        <v>45503</v>
      </c>
      <c r="F3823" s="116">
        <f>COUNTIFS($A$3:A12073,A3823,$B$3:B12073,B3823)</f>
        <v>1</v>
      </c>
      <c r="G3823" s="116"/>
    </row>
    <row r="3824" spans="1:7" x14ac:dyDescent="0.2">
      <c r="A3824" s="116">
        <f>IF(ISNUMBER(Tabela2[[#This Row],[CT-e/NFS]])=TRUE,(IF(B3824&gt;30000,4,IF(B3824&lt;1000,"ND",0))),"-")</f>
        <v>4</v>
      </c>
      <c r="B3824" s="116">
        <v>48124</v>
      </c>
      <c r="C3824" s="117">
        <v>45495</v>
      </c>
      <c r="D3824" s="116">
        <v>62.93</v>
      </c>
      <c r="E3824" s="117">
        <v>45503</v>
      </c>
      <c r="F3824" s="116">
        <f>COUNTIFS($A$3:A12074,A3824,$B$3:B12074,B3824)</f>
        <v>1</v>
      </c>
      <c r="G3824" s="116"/>
    </row>
    <row r="3825" spans="1:7" x14ac:dyDescent="0.2">
      <c r="A3825" s="116">
        <f>IF(ISNUMBER(Tabela2[[#This Row],[CT-e/NFS]])=TRUE,(IF(B3825&gt;30000,4,IF(B3825&lt;1000,"ND",0))),"-")</f>
        <v>4</v>
      </c>
      <c r="B3825" s="116">
        <v>48111</v>
      </c>
      <c r="C3825" s="117">
        <v>45495</v>
      </c>
      <c r="D3825" s="116">
        <v>312.58999999999997</v>
      </c>
      <c r="E3825" s="117">
        <v>45503</v>
      </c>
      <c r="F3825" s="116">
        <f>COUNTIFS($A$3:A12075,A3825,$B$3:B12075,B3825)</f>
        <v>1</v>
      </c>
      <c r="G3825" s="116"/>
    </row>
    <row r="3826" spans="1:7" x14ac:dyDescent="0.2">
      <c r="A3826" s="116">
        <f>IF(ISNUMBER(Tabela2[[#This Row],[CT-e/NFS]])=TRUE,(IF(B3826&gt;30000,4,IF(B3826&lt;1000,"ND",0))),"-")</f>
        <v>4</v>
      </c>
      <c r="B3826" s="116">
        <v>48088</v>
      </c>
      <c r="C3826" s="117">
        <v>45495</v>
      </c>
      <c r="D3826" s="116">
        <v>125.34</v>
      </c>
      <c r="E3826" s="117">
        <v>45503</v>
      </c>
      <c r="F3826" s="116">
        <f>COUNTIFS($A$3:A12076,A3826,$B$3:B12076,B3826)</f>
        <v>1</v>
      </c>
      <c r="G3826" s="116"/>
    </row>
    <row r="3827" spans="1:7" x14ac:dyDescent="0.2">
      <c r="A3827" s="116">
        <f>IF(ISNUMBER(Tabela2[[#This Row],[CT-e/NFS]])=TRUE,(IF(B3827&gt;30000,4,IF(B3827&lt;1000,"ND",0))),"-")</f>
        <v>4</v>
      </c>
      <c r="B3827" s="116">
        <v>48110</v>
      </c>
      <c r="C3827" s="117">
        <v>45495</v>
      </c>
      <c r="D3827" s="116">
        <v>312.58999999999997</v>
      </c>
      <c r="E3827" s="117">
        <v>45503</v>
      </c>
      <c r="F3827" s="116">
        <f>COUNTIFS($A$3:A12077,A3827,$B$3:B12077,B3827)</f>
        <v>1</v>
      </c>
      <c r="G3827" s="116"/>
    </row>
    <row r="3828" spans="1:7" x14ac:dyDescent="0.2">
      <c r="A3828" s="116">
        <f>IF(ISNUMBER(Tabela2[[#This Row],[CT-e/NFS]])=TRUE,(IF(B3828&gt;30000,4,IF(B3828&lt;1000,"ND",0))),"-")</f>
        <v>4</v>
      </c>
      <c r="B3828" s="116">
        <v>48126</v>
      </c>
      <c r="C3828" s="117">
        <v>45495</v>
      </c>
      <c r="D3828" s="116">
        <v>987.44</v>
      </c>
      <c r="E3828" s="117">
        <v>45503</v>
      </c>
      <c r="F3828" s="116">
        <f>COUNTIFS($A$3:A12078,A3828,$B$3:B12078,B3828)</f>
        <v>1</v>
      </c>
      <c r="G3828" s="116"/>
    </row>
    <row r="3829" spans="1:7" x14ac:dyDescent="0.2">
      <c r="A3829" s="116">
        <f>IF(ISNUMBER(Tabela2[[#This Row],[CT-e/NFS]])=TRUE,(IF(B3829&gt;30000,4,IF(B3829&lt;1000,"ND",0))),"-")</f>
        <v>4</v>
      </c>
      <c r="B3829" s="116">
        <v>48092</v>
      </c>
      <c r="C3829" s="117">
        <v>45495</v>
      </c>
      <c r="D3829" s="116">
        <v>176.14</v>
      </c>
      <c r="E3829" s="117">
        <v>45503</v>
      </c>
      <c r="F3829" s="116">
        <f>COUNTIFS($A$3:A12079,A3829,$B$3:B12079,B3829)</f>
        <v>1</v>
      </c>
      <c r="G3829" s="116"/>
    </row>
    <row r="3830" spans="1:7" x14ac:dyDescent="0.2">
      <c r="A3830" s="116">
        <f>IF(ISNUMBER(Tabela2[[#This Row],[CT-e/NFS]])=TRUE,(IF(B3830&gt;30000,4,IF(B3830&lt;1000,"ND",0))),"-")</f>
        <v>4</v>
      </c>
      <c r="B3830" s="116">
        <v>48101</v>
      </c>
      <c r="C3830" s="117">
        <v>45495</v>
      </c>
      <c r="D3830" s="116">
        <v>230.56</v>
      </c>
      <c r="E3830" s="117">
        <v>45503</v>
      </c>
      <c r="F3830" s="116">
        <f>COUNTIFS($A$3:A12080,A3830,$B$3:B12080,B3830)</f>
        <v>1</v>
      </c>
      <c r="G3830" s="116"/>
    </row>
    <row r="3831" spans="1:7" x14ac:dyDescent="0.2">
      <c r="A3831" s="116">
        <f>IF(ISNUMBER(Tabela2[[#This Row],[CT-e/NFS]])=TRUE,(IF(B3831&gt;30000,4,IF(B3831&lt;1000,"ND",0))),"-")</f>
        <v>4</v>
      </c>
      <c r="B3831" s="116">
        <v>48087</v>
      </c>
      <c r="C3831" s="117">
        <v>45495</v>
      </c>
      <c r="D3831" s="116">
        <v>146.02000000000001</v>
      </c>
      <c r="E3831" s="117">
        <v>45503</v>
      </c>
      <c r="F3831" s="116">
        <f>COUNTIFS($A$3:A12081,A3831,$B$3:B12081,B3831)</f>
        <v>1</v>
      </c>
      <c r="G3831" s="116"/>
    </row>
    <row r="3832" spans="1:7" x14ac:dyDescent="0.2">
      <c r="A3832" s="116">
        <f>IF(ISNUMBER(Tabela2[[#This Row],[CT-e/NFS]])=TRUE,(IF(B3832&gt;30000,4,IF(B3832&lt;1000,"ND",0))),"-")</f>
        <v>4</v>
      </c>
      <c r="B3832" s="116">
        <v>48122</v>
      </c>
      <c r="C3832" s="117">
        <v>45495</v>
      </c>
      <c r="D3832" s="116">
        <v>125.07</v>
      </c>
      <c r="E3832" s="117">
        <v>45503</v>
      </c>
      <c r="F3832" s="116">
        <f>COUNTIFS($A$3:A12082,A3832,$B$3:B12082,B3832)</f>
        <v>1</v>
      </c>
      <c r="G3832" s="116"/>
    </row>
    <row r="3833" spans="1:7" x14ac:dyDescent="0.2">
      <c r="A3833" s="116">
        <f>IF(ISNUMBER(Tabela2[[#This Row],[CT-e/NFS]])=TRUE,(IF(B3833&gt;30000,4,IF(B3833&lt;1000,"ND",0))),"-")</f>
        <v>0</v>
      </c>
      <c r="B3833" s="116">
        <v>21831</v>
      </c>
      <c r="C3833" s="117">
        <v>45495</v>
      </c>
      <c r="D3833" s="116">
        <v>76.28</v>
      </c>
      <c r="E3833" s="117">
        <v>45503</v>
      </c>
      <c r="F3833" s="116">
        <f>COUNTIFS($A$3:A12083,A3833,$B$3:B12083,B3833)</f>
        <v>1</v>
      </c>
      <c r="G3833" s="116"/>
    </row>
    <row r="3834" spans="1:7" x14ac:dyDescent="0.2">
      <c r="A3834" s="116">
        <f>IF(ISNUMBER(Tabela2[[#This Row],[CT-e/NFS]])=TRUE,(IF(B3834&gt;30000,4,IF(B3834&lt;1000,"ND",0))),"-")</f>
        <v>0</v>
      </c>
      <c r="B3834" s="116">
        <v>21832</v>
      </c>
      <c r="C3834" s="117">
        <v>45495</v>
      </c>
      <c r="D3834" s="116">
        <v>76.44</v>
      </c>
      <c r="E3834" s="117">
        <v>45503</v>
      </c>
      <c r="F3834" s="116">
        <f>COUNTIFS($A$3:A12084,A3834,$B$3:B12084,B3834)</f>
        <v>1</v>
      </c>
      <c r="G3834" s="116"/>
    </row>
    <row r="3835" spans="1:7" x14ac:dyDescent="0.2">
      <c r="A3835" s="116">
        <f>IF(ISNUMBER(Tabela2[[#This Row],[CT-e/NFS]])=TRUE,(IF(B3835&gt;30000,4,IF(B3835&lt;1000,"ND",0))),"-")</f>
        <v>0</v>
      </c>
      <c r="B3835" s="116">
        <v>21830</v>
      </c>
      <c r="C3835" s="117">
        <v>45495</v>
      </c>
      <c r="D3835" s="116">
        <v>597.03</v>
      </c>
      <c r="E3835" s="117">
        <v>45503</v>
      </c>
      <c r="F3835" s="116">
        <f>COUNTIFS($A$3:A12085,A3835,$B$3:B12085,B3835)</f>
        <v>1</v>
      </c>
      <c r="G3835" s="116"/>
    </row>
    <row r="3836" spans="1:7" x14ac:dyDescent="0.2">
      <c r="A3836" s="116">
        <f>IF(ISNUMBER(Tabela2[[#This Row],[CT-e/NFS]])=TRUE,(IF(B3836&gt;30000,4,IF(B3836&lt;1000,"ND",0))),"-")</f>
        <v>0</v>
      </c>
      <c r="B3836" s="116">
        <v>21833</v>
      </c>
      <c r="C3836" s="117">
        <v>45495</v>
      </c>
      <c r="D3836" s="116">
        <v>171.44</v>
      </c>
      <c r="E3836" s="117">
        <v>45503</v>
      </c>
      <c r="F3836" s="116">
        <f>COUNTIFS($A$3:A12086,A3836,$B$3:B12086,B3836)</f>
        <v>1</v>
      </c>
      <c r="G3836" s="116"/>
    </row>
    <row r="3837" spans="1:7" x14ac:dyDescent="0.2">
      <c r="A3837" s="116">
        <f>IF(ISNUMBER(Tabela2[[#This Row],[CT-e/NFS]])=TRUE,(IF(B3837&gt;30000,4,IF(B3837&lt;1000,"ND",0))),"-")</f>
        <v>4</v>
      </c>
      <c r="B3837" s="116">
        <v>48109</v>
      </c>
      <c r="C3837" s="117">
        <v>45495</v>
      </c>
      <c r="D3837" s="116">
        <v>454.19</v>
      </c>
      <c r="E3837" s="117">
        <v>45503</v>
      </c>
      <c r="F3837" s="116">
        <f>COUNTIFS($A$3:A12087,A3837,$B$3:B12087,B3837)</f>
        <v>1</v>
      </c>
      <c r="G3837" s="116"/>
    </row>
    <row r="3838" spans="1:7" x14ac:dyDescent="0.2">
      <c r="A3838" s="116">
        <f>IF(ISNUMBER(Tabela2[[#This Row],[CT-e/NFS]])=TRUE,(IF(B3838&gt;30000,4,IF(B3838&lt;1000,"ND",0))),"-")</f>
        <v>4</v>
      </c>
      <c r="B3838" s="116">
        <v>48133</v>
      </c>
      <c r="C3838" s="117">
        <v>45495</v>
      </c>
      <c r="D3838" s="116">
        <v>125.7</v>
      </c>
      <c r="E3838" s="117">
        <v>45503</v>
      </c>
      <c r="F3838" s="116">
        <f>COUNTIFS($A$3:A12088,A3838,$B$3:B12088,B3838)</f>
        <v>1</v>
      </c>
      <c r="G3838" s="116"/>
    </row>
    <row r="3839" spans="1:7" x14ac:dyDescent="0.2">
      <c r="A3839" s="116">
        <f>IF(ISNUMBER(Tabela2[[#This Row],[CT-e/NFS]])=TRUE,(IF(B3839&gt;30000,4,IF(B3839&lt;1000,"ND",0))),"-")</f>
        <v>4</v>
      </c>
      <c r="B3839" s="116">
        <v>48106</v>
      </c>
      <c r="C3839" s="117">
        <v>45495</v>
      </c>
      <c r="D3839" s="116">
        <v>1245.6099999999999</v>
      </c>
      <c r="E3839" s="117">
        <v>45503</v>
      </c>
      <c r="F3839" s="116">
        <f>COUNTIFS($A$3:A12089,A3839,$B$3:B12089,B3839)</f>
        <v>1</v>
      </c>
      <c r="G3839" s="116"/>
    </row>
    <row r="3840" spans="1:7" x14ac:dyDescent="0.2">
      <c r="A3840" s="116">
        <f>IF(ISNUMBER(Tabela2[[#This Row],[CT-e/NFS]])=TRUE,(IF(B3840&gt;30000,4,IF(B3840&lt;1000,"ND",0))),"-")</f>
        <v>4</v>
      </c>
      <c r="B3840" s="116">
        <v>48135</v>
      </c>
      <c r="C3840" s="117">
        <v>45495</v>
      </c>
      <c r="D3840" s="116">
        <v>123.03</v>
      </c>
      <c r="E3840" s="117">
        <v>45503</v>
      </c>
      <c r="F3840" s="116">
        <f>COUNTIFS($A$3:A12090,A3840,$B$3:B12090,B3840)</f>
        <v>1</v>
      </c>
      <c r="G3840" s="116"/>
    </row>
    <row r="3841" spans="1:7" x14ac:dyDescent="0.2">
      <c r="A3841" s="116">
        <f>IF(ISNUMBER(Tabela2[[#This Row],[CT-e/NFS]])=TRUE,(IF(B3841&gt;30000,4,IF(B3841&lt;1000,"ND",0))),"-")</f>
        <v>4</v>
      </c>
      <c r="B3841" s="116">
        <v>48143</v>
      </c>
      <c r="C3841" s="117">
        <v>45495</v>
      </c>
      <c r="D3841" s="116">
        <v>124.06</v>
      </c>
      <c r="E3841" s="117">
        <v>45503</v>
      </c>
      <c r="F3841" s="116">
        <f>COUNTIFS($A$3:A12091,A3841,$B$3:B12091,B3841)</f>
        <v>1</v>
      </c>
      <c r="G3841" s="116"/>
    </row>
    <row r="3842" spans="1:7" x14ac:dyDescent="0.2">
      <c r="A3842" s="116">
        <f>IF(ISNUMBER(Tabela2[[#This Row],[CT-e/NFS]])=TRUE,(IF(B3842&gt;30000,4,IF(B3842&lt;1000,"ND",0))),"-")</f>
        <v>4</v>
      </c>
      <c r="B3842" s="116">
        <v>48140</v>
      </c>
      <c r="C3842" s="117">
        <v>45495</v>
      </c>
      <c r="D3842" s="116">
        <v>124.3</v>
      </c>
      <c r="E3842" s="117">
        <v>45503</v>
      </c>
      <c r="F3842" s="116">
        <f>COUNTIFS($A$3:A12092,A3842,$B$3:B12092,B3842)</f>
        <v>1</v>
      </c>
      <c r="G3842" s="116"/>
    </row>
    <row r="3843" spans="1:7" x14ac:dyDescent="0.2">
      <c r="A3843" s="116">
        <f>IF(ISNUMBER(Tabela2[[#This Row],[CT-e/NFS]])=TRUE,(IF(B3843&gt;30000,4,IF(B3843&lt;1000,"ND",0))),"-")</f>
        <v>4</v>
      </c>
      <c r="B3843" s="116">
        <v>48134</v>
      </c>
      <c r="C3843" s="117">
        <v>45495</v>
      </c>
      <c r="D3843" s="116">
        <v>123.13</v>
      </c>
      <c r="E3843" s="117">
        <v>45503</v>
      </c>
      <c r="F3843" s="116">
        <f>COUNTIFS($A$3:A12093,A3843,$B$3:B12093,B3843)</f>
        <v>1</v>
      </c>
      <c r="G3843" s="116"/>
    </row>
    <row r="3844" spans="1:7" x14ac:dyDescent="0.2">
      <c r="A3844" s="116">
        <f>IF(ISNUMBER(Tabela2[[#This Row],[CT-e/NFS]])=TRUE,(IF(B3844&gt;30000,4,IF(B3844&lt;1000,"ND",0))),"-")</f>
        <v>4</v>
      </c>
      <c r="B3844" s="116">
        <v>48153</v>
      </c>
      <c r="C3844" s="117">
        <v>45495</v>
      </c>
      <c r="D3844" s="116">
        <v>111.25</v>
      </c>
      <c r="E3844" s="117">
        <v>45503</v>
      </c>
      <c r="F3844" s="116">
        <f>COUNTIFS($A$3:A12094,A3844,$B$3:B12094,B3844)</f>
        <v>1</v>
      </c>
      <c r="G3844" s="116"/>
    </row>
    <row r="3845" spans="1:7" x14ac:dyDescent="0.2">
      <c r="A3845" s="116">
        <f>IF(ISNUMBER(Tabela2[[#This Row],[CT-e/NFS]])=TRUE,(IF(B3845&gt;30000,4,IF(B3845&lt;1000,"ND",0))),"-")</f>
        <v>4</v>
      </c>
      <c r="B3845" s="116">
        <v>48129</v>
      </c>
      <c r="C3845" s="117">
        <v>45495</v>
      </c>
      <c r="D3845" s="116">
        <v>203.35</v>
      </c>
      <c r="E3845" s="117">
        <v>45503</v>
      </c>
      <c r="F3845" s="116">
        <f>COUNTIFS($A$3:A12095,A3845,$B$3:B12095,B3845)</f>
        <v>1</v>
      </c>
      <c r="G3845" s="116"/>
    </row>
    <row r="3846" spans="1:7" x14ac:dyDescent="0.2">
      <c r="A3846" s="116">
        <f>IF(ISNUMBER(Tabela2[[#This Row],[CT-e/NFS]])=TRUE,(IF(B3846&gt;30000,4,IF(B3846&lt;1000,"ND",0))),"-")</f>
        <v>4</v>
      </c>
      <c r="B3846" s="116">
        <v>48152</v>
      </c>
      <c r="C3846" s="117">
        <v>45495</v>
      </c>
      <c r="D3846" s="116">
        <v>61.76</v>
      </c>
      <c r="E3846" s="117">
        <v>45503</v>
      </c>
      <c r="F3846" s="116">
        <f>COUNTIFS($A$3:A12096,A3846,$B$3:B12096,B3846)</f>
        <v>1</v>
      </c>
      <c r="G3846" s="116"/>
    </row>
    <row r="3847" spans="1:7" x14ac:dyDescent="0.2">
      <c r="A3847" s="116">
        <f>IF(ISNUMBER(Tabela2[[#This Row],[CT-e/NFS]])=TRUE,(IF(B3847&gt;30000,4,IF(B3847&lt;1000,"ND",0))),"-")</f>
        <v>4</v>
      </c>
      <c r="B3847" s="116">
        <v>48149</v>
      </c>
      <c r="C3847" s="117">
        <v>45495</v>
      </c>
      <c r="D3847" s="116">
        <v>301.51</v>
      </c>
      <c r="E3847" s="117">
        <v>45503</v>
      </c>
      <c r="F3847" s="116">
        <f>COUNTIFS($A$3:A12097,A3847,$B$3:B12097,B3847)</f>
        <v>1</v>
      </c>
      <c r="G3847" s="116"/>
    </row>
    <row r="3848" spans="1:7" x14ac:dyDescent="0.2">
      <c r="A3848" s="116">
        <f>IF(ISNUMBER(Tabela2[[#This Row],[CT-e/NFS]])=TRUE,(IF(B3848&gt;30000,4,IF(B3848&lt;1000,"ND",0))),"-")</f>
        <v>4</v>
      </c>
      <c r="B3848" s="116">
        <v>48145</v>
      </c>
      <c r="C3848" s="117">
        <v>45495</v>
      </c>
      <c r="D3848" s="116">
        <v>125.7</v>
      </c>
      <c r="E3848" s="117">
        <v>45503</v>
      </c>
      <c r="F3848" s="116">
        <f>COUNTIFS($A$3:A12098,A3848,$B$3:B12098,B3848)</f>
        <v>1</v>
      </c>
      <c r="G3848" s="116"/>
    </row>
    <row r="3849" spans="1:7" x14ac:dyDescent="0.2">
      <c r="A3849" s="116">
        <f>IF(ISNUMBER(Tabela2[[#This Row],[CT-e/NFS]])=TRUE,(IF(B3849&gt;30000,4,IF(B3849&lt;1000,"ND",0))),"-")</f>
        <v>4</v>
      </c>
      <c r="B3849" s="116">
        <v>48121</v>
      </c>
      <c r="C3849" s="117">
        <v>45495</v>
      </c>
      <c r="D3849" s="116">
        <v>124.7</v>
      </c>
      <c r="E3849" s="117">
        <v>45503</v>
      </c>
      <c r="F3849" s="116">
        <f>COUNTIFS($A$3:A12099,A3849,$B$3:B12099,B3849)</f>
        <v>1</v>
      </c>
      <c r="G3849" s="116"/>
    </row>
    <row r="3850" spans="1:7" x14ac:dyDescent="0.2">
      <c r="A3850" s="116">
        <f>IF(ISNUMBER(Tabela2[[#This Row],[CT-e/NFS]])=TRUE,(IF(B3850&gt;30000,4,IF(B3850&lt;1000,"ND",0))),"-")</f>
        <v>4</v>
      </c>
      <c r="B3850" s="116">
        <v>48157</v>
      </c>
      <c r="C3850" s="117">
        <v>45495</v>
      </c>
      <c r="D3850" s="116">
        <v>230.56</v>
      </c>
      <c r="E3850" s="117">
        <v>45503</v>
      </c>
      <c r="F3850" s="116">
        <f>COUNTIFS($A$3:A12100,A3850,$B$3:B12100,B3850)</f>
        <v>1</v>
      </c>
      <c r="G3850" s="116"/>
    </row>
    <row r="3851" spans="1:7" x14ac:dyDescent="0.2">
      <c r="A3851" s="116">
        <f>IF(ISNUMBER(Tabela2[[#This Row],[CT-e/NFS]])=TRUE,(IF(B3851&gt;30000,4,IF(B3851&lt;1000,"ND",0))),"-")</f>
        <v>4</v>
      </c>
      <c r="B3851" s="116">
        <v>48163</v>
      </c>
      <c r="C3851" s="117">
        <v>45495</v>
      </c>
      <c r="D3851" s="116">
        <v>2393.64</v>
      </c>
      <c r="E3851" s="117">
        <v>45503</v>
      </c>
      <c r="F3851" s="116">
        <f>COUNTIFS($A$3:A12101,A3851,$B$3:B12101,B3851)</f>
        <v>1</v>
      </c>
      <c r="G3851" s="116"/>
    </row>
    <row r="3852" spans="1:7" x14ac:dyDescent="0.2">
      <c r="A3852" s="116">
        <f>IF(ISNUMBER(Tabela2[[#This Row],[CT-e/NFS]])=TRUE,(IF(B3852&gt;30000,4,IF(B3852&lt;1000,"ND",0))),"-")</f>
        <v>4</v>
      </c>
      <c r="B3852" s="116">
        <v>48147</v>
      </c>
      <c r="C3852" s="117">
        <v>45495</v>
      </c>
      <c r="D3852" s="116">
        <v>753.77</v>
      </c>
      <c r="E3852" s="117">
        <v>45503</v>
      </c>
      <c r="F3852" s="116">
        <f>COUNTIFS($A$3:A12102,A3852,$B$3:B12102,B3852)</f>
        <v>1</v>
      </c>
      <c r="G3852" s="116"/>
    </row>
    <row r="3853" spans="1:7" x14ac:dyDescent="0.2">
      <c r="A3853" s="116">
        <f>IF(ISNUMBER(Tabela2[[#This Row],[CT-e/NFS]])=TRUE,(IF(B3853&gt;30000,4,IF(B3853&lt;1000,"ND",0))),"-")</f>
        <v>4</v>
      </c>
      <c r="B3853" s="116">
        <v>48151</v>
      </c>
      <c r="C3853" s="117">
        <v>45495</v>
      </c>
      <c r="D3853" s="116">
        <v>238.82</v>
      </c>
      <c r="E3853" s="117">
        <v>45503</v>
      </c>
      <c r="F3853" s="116">
        <f>COUNTIFS($A$3:A12103,A3853,$B$3:B12103,B3853)</f>
        <v>1</v>
      </c>
      <c r="G3853" s="116"/>
    </row>
    <row r="3854" spans="1:7" x14ac:dyDescent="0.2">
      <c r="A3854" s="116">
        <f>IF(ISNUMBER(Tabela2[[#This Row],[CT-e/NFS]])=TRUE,(IF(B3854&gt;30000,4,IF(B3854&lt;1000,"ND",0))),"-")</f>
        <v>4</v>
      </c>
      <c r="B3854" s="116">
        <v>48160</v>
      </c>
      <c r="C3854" s="117">
        <v>45495</v>
      </c>
      <c r="D3854" s="116">
        <v>62.89</v>
      </c>
      <c r="E3854" s="117">
        <v>45503</v>
      </c>
      <c r="F3854" s="116">
        <f>COUNTIFS($A$3:A12104,A3854,$B$3:B12104,B3854)</f>
        <v>1</v>
      </c>
      <c r="G3854" s="116"/>
    </row>
    <row r="3855" spans="1:7" x14ac:dyDescent="0.2">
      <c r="A3855" s="116">
        <f>IF(ISNUMBER(Tabela2[[#This Row],[CT-e/NFS]])=TRUE,(IF(B3855&gt;30000,4,IF(B3855&lt;1000,"ND",0))),"-")</f>
        <v>4</v>
      </c>
      <c r="B3855" s="116">
        <v>48161</v>
      </c>
      <c r="C3855" s="117">
        <v>45495</v>
      </c>
      <c r="D3855" s="116">
        <v>113.5</v>
      </c>
      <c r="E3855" s="117">
        <v>45503</v>
      </c>
      <c r="F3855" s="116">
        <f>COUNTIFS($A$3:A12105,A3855,$B$3:B12105,B3855)</f>
        <v>1</v>
      </c>
      <c r="G3855" s="116"/>
    </row>
    <row r="3856" spans="1:7" x14ac:dyDescent="0.2">
      <c r="A3856" s="116">
        <f>IF(ISNUMBER(Tabela2[[#This Row],[CT-e/NFS]])=TRUE,(IF(B3856&gt;30000,4,IF(B3856&lt;1000,"ND",0))),"-")</f>
        <v>4</v>
      </c>
      <c r="B3856" s="116">
        <v>48142</v>
      </c>
      <c r="C3856" s="117">
        <v>45495</v>
      </c>
      <c r="D3856" s="116">
        <v>238.85</v>
      </c>
      <c r="E3856" s="117">
        <v>45503</v>
      </c>
      <c r="F3856" s="116">
        <f>COUNTIFS($A$3:A12106,A3856,$B$3:B12106,B3856)</f>
        <v>1</v>
      </c>
      <c r="G3856" s="116"/>
    </row>
    <row r="3857" spans="1:7" x14ac:dyDescent="0.2">
      <c r="A3857" s="116">
        <f>IF(ISNUMBER(Tabela2[[#This Row],[CT-e/NFS]])=TRUE,(IF(B3857&gt;30000,4,IF(B3857&lt;1000,"ND",0))),"-")</f>
        <v>4</v>
      </c>
      <c r="B3857" s="116">
        <v>48146</v>
      </c>
      <c r="C3857" s="117">
        <v>45495</v>
      </c>
      <c r="D3857" s="116">
        <v>124.03</v>
      </c>
      <c r="E3857" s="117">
        <v>45503</v>
      </c>
      <c r="F3857" s="116">
        <f>COUNTIFS($A$3:A12107,A3857,$B$3:B12107,B3857)</f>
        <v>1</v>
      </c>
      <c r="G3857" s="116"/>
    </row>
    <row r="3858" spans="1:7" x14ac:dyDescent="0.2">
      <c r="A3858" s="116">
        <f>IF(ISNUMBER(Tabela2[[#This Row],[CT-e/NFS]])=TRUE,(IF(B3858&gt;30000,4,IF(B3858&lt;1000,"ND",0))),"-")</f>
        <v>4</v>
      </c>
      <c r="B3858" s="116">
        <v>48139</v>
      </c>
      <c r="C3858" s="117">
        <v>45495</v>
      </c>
      <c r="D3858" s="116">
        <v>124.52</v>
      </c>
      <c r="E3858" s="117">
        <v>45503</v>
      </c>
      <c r="F3858" s="116">
        <f>COUNTIFS($A$3:A12108,A3858,$B$3:B12108,B3858)</f>
        <v>1</v>
      </c>
      <c r="G3858" s="116"/>
    </row>
    <row r="3859" spans="1:7" x14ac:dyDescent="0.2">
      <c r="A3859" s="116">
        <f>IF(ISNUMBER(Tabela2[[#This Row],[CT-e/NFS]])=TRUE,(IF(B3859&gt;30000,4,IF(B3859&lt;1000,"ND",0))),"-")</f>
        <v>4</v>
      </c>
      <c r="B3859" s="116">
        <v>48138</v>
      </c>
      <c r="C3859" s="117">
        <v>45495</v>
      </c>
      <c r="D3859" s="116">
        <v>124.22</v>
      </c>
      <c r="E3859" s="117">
        <v>45503</v>
      </c>
      <c r="F3859" s="116">
        <f>COUNTIFS($A$3:A12109,A3859,$B$3:B12109,B3859)</f>
        <v>1</v>
      </c>
      <c r="G3859" s="116"/>
    </row>
    <row r="3860" spans="1:7" x14ac:dyDescent="0.2">
      <c r="A3860" s="116">
        <f>IF(ISNUMBER(Tabela2[[#This Row],[CT-e/NFS]])=TRUE,(IF(B3860&gt;30000,4,IF(B3860&lt;1000,"ND",0))),"-")</f>
        <v>4</v>
      </c>
      <c r="B3860" s="116">
        <v>48148</v>
      </c>
      <c r="C3860" s="117">
        <v>45495</v>
      </c>
      <c r="D3860" s="116">
        <v>224.16</v>
      </c>
      <c r="E3860" s="117">
        <v>45503</v>
      </c>
      <c r="F3860" s="116">
        <f>COUNTIFS($A$3:A12110,A3860,$B$3:B12110,B3860)</f>
        <v>1</v>
      </c>
      <c r="G3860" s="116"/>
    </row>
    <row r="3861" spans="1:7" x14ac:dyDescent="0.2">
      <c r="A3861" s="116">
        <f>IF(ISNUMBER(Tabela2[[#This Row],[CT-e/NFS]])=TRUE,(IF(B3861&gt;30000,4,IF(B3861&lt;1000,"ND",0))),"-")</f>
        <v>4</v>
      </c>
      <c r="B3861" s="116">
        <v>48137</v>
      </c>
      <c r="C3861" s="117">
        <v>45495</v>
      </c>
      <c r="D3861" s="116">
        <v>122.9</v>
      </c>
      <c r="E3861" s="117">
        <v>45503</v>
      </c>
      <c r="F3861" s="116">
        <f>COUNTIFS($A$3:A12111,A3861,$B$3:B12111,B3861)</f>
        <v>1</v>
      </c>
      <c r="G3861" s="116"/>
    </row>
    <row r="3862" spans="1:7" x14ac:dyDescent="0.2">
      <c r="A3862" s="116">
        <f>IF(ISNUMBER(Tabela2[[#This Row],[CT-e/NFS]])=TRUE,(IF(B3862&gt;30000,4,IF(B3862&lt;1000,"ND",0))),"-")</f>
        <v>4</v>
      </c>
      <c r="B3862" s="116">
        <v>48141</v>
      </c>
      <c r="C3862" s="117">
        <v>45495</v>
      </c>
      <c r="D3862" s="116">
        <v>125.51</v>
      </c>
      <c r="E3862" s="117">
        <v>45503</v>
      </c>
      <c r="F3862" s="116">
        <f>COUNTIFS($A$3:A12112,A3862,$B$3:B12112,B3862)</f>
        <v>1</v>
      </c>
      <c r="G3862" s="116"/>
    </row>
    <row r="3863" spans="1:7" x14ac:dyDescent="0.2">
      <c r="A3863" s="116">
        <f>IF(ISNUMBER(Tabela2[[#This Row],[CT-e/NFS]])=TRUE,(IF(B3863&gt;30000,4,IF(B3863&lt;1000,"ND",0))),"-")</f>
        <v>4</v>
      </c>
      <c r="B3863" s="116">
        <v>48150</v>
      </c>
      <c r="C3863" s="117">
        <v>45495</v>
      </c>
      <c r="D3863" s="116">
        <v>123.52</v>
      </c>
      <c r="E3863" s="117">
        <v>45503</v>
      </c>
      <c r="F3863" s="116">
        <f>COUNTIFS($A$3:A12113,A3863,$B$3:B12113,B3863)</f>
        <v>1</v>
      </c>
      <c r="G3863" s="116"/>
    </row>
    <row r="3864" spans="1:7" x14ac:dyDescent="0.2">
      <c r="A3864" s="116">
        <f>IF(ISNUMBER(Tabela2[[#This Row],[CT-e/NFS]])=TRUE,(IF(B3864&gt;30000,4,IF(B3864&lt;1000,"ND",0))),"-")</f>
        <v>4</v>
      </c>
      <c r="B3864" s="116">
        <v>48156</v>
      </c>
      <c r="C3864" s="117">
        <v>45495</v>
      </c>
      <c r="D3864" s="116">
        <v>870.8</v>
      </c>
      <c r="E3864" s="117">
        <v>45503</v>
      </c>
      <c r="F3864" s="116">
        <f>COUNTIFS($A$3:A12114,A3864,$B$3:B12114,B3864)</f>
        <v>1</v>
      </c>
      <c r="G3864" s="116"/>
    </row>
    <row r="3865" spans="1:7" x14ac:dyDescent="0.2">
      <c r="A3865" s="116">
        <f>IF(ISNUMBER(Tabela2[[#This Row],[CT-e/NFS]])=TRUE,(IF(B3865&gt;30000,4,IF(B3865&lt;1000,"ND",0))),"-")</f>
        <v>4</v>
      </c>
      <c r="B3865" s="116">
        <v>48132</v>
      </c>
      <c r="C3865" s="117">
        <v>45495</v>
      </c>
      <c r="D3865" s="116">
        <v>126.63</v>
      </c>
      <c r="E3865" s="117">
        <v>45503</v>
      </c>
      <c r="F3865" s="116">
        <f>COUNTIFS($A$3:A12115,A3865,$B$3:B12115,B3865)</f>
        <v>1</v>
      </c>
      <c r="G3865" s="116"/>
    </row>
    <row r="3866" spans="1:7" x14ac:dyDescent="0.2">
      <c r="A3866" s="116">
        <f>IF(ISNUMBER(Tabela2[[#This Row],[CT-e/NFS]])=TRUE,(IF(B3866&gt;30000,4,IF(B3866&lt;1000,"ND",0))),"-")</f>
        <v>4</v>
      </c>
      <c r="B3866" s="116">
        <v>48136</v>
      </c>
      <c r="C3866" s="117">
        <v>45495</v>
      </c>
      <c r="D3866" s="116">
        <v>124.52</v>
      </c>
      <c r="E3866" s="117">
        <v>45503</v>
      </c>
      <c r="F3866" s="116">
        <f>COUNTIFS($A$3:A12116,A3866,$B$3:B12116,B3866)</f>
        <v>1</v>
      </c>
      <c r="G3866" s="116"/>
    </row>
    <row r="3867" spans="1:7" x14ac:dyDescent="0.2">
      <c r="A3867" s="116">
        <f>IF(ISNUMBER(Tabela2[[#This Row],[CT-e/NFS]])=TRUE,(IF(B3867&gt;30000,4,IF(B3867&lt;1000,"ND",0))),"-")</f>
        <v>4</v>
      </c>
      <c r="B3867" s="116">
        <v>48176</v>
      </c>
      <c r="C3867" s="117">
        <v>45495</v>
      </c>
      <c r="D3867" s="116">
        <v>126.65</v>
      </c>
      <c r="E3867" s="117">
        <v>45503</v>
      </c>
      <c r="F3867" s="116">
        <f>COUNTIFS($A$3:A12117,A3867,$B$3:B12117,B3867)</f>
        <v>1</v>
      </c>
      <c r="G3867" s="116"/>
    </row>
    <row r="3868" spans="1:7" x14ac:dyDescent="0.2">
      <c r="A3868" s="116">
        <f>IF(ISNUMBER(Tabela2[[#This Row],[CT-e/NFS]])=TRUE,(IF(B3868&gt;30000,4,IF(B3868&lt;1000,"ND",0))),"-")</f>
        <v>4</v>
      </c>
      <c r="B3868" s="116">
        <v>48175</v>
      </c>
      <c r="C3868" s="117">
        <v>45495</v>
      </c>
      <c r="D3868" s="116">
        <v>150.75</v>
      </c>
      <c r="E3868" s="117">
        <v>45503</v>
      </c>
      <c r="F3868" s="116">
        <f>COUNTIFS($A$3:A12118,A3868,$B$3:B12118,B3868)</f>
        <v>1</v>
      </c>
      <c r="G3868" s="116"/>
    </row>
    <row r="3869" spans="1:7" x14ac:dyDescent="0.2">
      <c r="A3869" s="116">
        <f>IF(ISNUMBER(Tabela2[[#This Row],[CT-e/NFS]])=TRUE,(IF(B3869&gt;30000,4,IF(B3869&lt;1000,"ND",0))),"-")</f>
        <v>4</v>
      </c>
      <c r="B3869" s="116">
        <v>48189</v>
      </c>
      <c r="C3869" s="117">
        <v>45495</v>
      </c>
      <c r="D3869" s="116">
        <v>123.22</v>
      </c>
      <c r="E3869" s="117">
        <v>45503</v>
      </c>
      <c r="F3869" s="116">
        <f>COUNTIFS($A$3:A12119,A3869,$B$3:B12119,B3869)</f>
        <v>1</v>
      </c>
      <c r="G3869" s="116"/>
    </row>
    <row r="3870" spans="1:7" x14ac:dyDescent="0.2">
      <c r="A3870" s="116">
        <f>IF(ISNUMBER(Tabela2[[#This Row],[CT-e/NFS]])=TRUE,(IF(B3870&gt;30000,4,IF(B3870&lt;1000,"ND",0))),"-")</f>
        <v>4</v>
      </c>
      <c r="B3870" s="116">
        <v>48193</v>
      </c>
      <c r="C3870" s="117">
        <v>45495</v>
      </c>
      <c r="D3870" s="116">
        <v>112.25</v>
      </c>
      <c r="E3870" s="117">
        <v>45503</v>
      </c>
      <c r="F3870" s="116">
        <f>COUNTIFS($A$3:A12120,A3870,$B$3:B12120,B3870)</f>
        <v>1</v>
      </c>
      <c r="G3870" s="116"/>
    </row>
    <row r="3871" spans="1:7" x14ac:dyDescent="0.2">
      <c r="A3871" s="116">
        <f>IF(ISNUMBER(Tabela2[[#This Row],[CT-e/NFS]])=TRUE,(IF(B3871&gt;30000,4,IF(B3871&lt;1000,"ND",0))),"-")</f>
        <v>4</v>
      </c>
      <c r="B3871" s="116">
        <v>48144</v>
      </c>
      <c r="C3871" s="117">
        <v>45495</v>
      </c>
      <c r="D3871" s="116">
        <v>134.05000000000001</v>
      </c>
      <c r="E3871" s="117">
        <v>45503</v>
      </c>
      <c r="F3871" s="116">
        <f>COUNTIFS($A$3:A12121,A3871,$B$3:B12121,B3871)</f>
        <v>1</v>
      </c>
      <c r="G3871" s="116"/>
    </row>
    <row r="3872" spans="1:7" x14ac:dyDescent="0.2">
      <c r="A3872" s="116">
        <f>IF(ISNUMBER(Tabela2[[#This Row],[CT-e/NFS]])=TRUE,(IF(B3872&gt;30000,4,IF(B3872&lt;1000,"ND",0))),"-")</f>
        <v>4</v>
      </c>
      <c r="B3872" s="116">
        <v>48179</v>
      </c>
      <c r="C3872" s="117">
        <v>45495</v>
      </c>
      <c r="D3872" s="116">
        <v>344.19</v>
      </c>
      <c r="E3872" s="117">
        <v>45503</v>
      </c>
      <c r="F3872" s="116">
        <f>COUNTIFS($A$3:A12122,A3872,$B$3:B12122,B3872)</f>
        <v>1</v>
      </c>
      <c r="G3872" s="116"/>
    </row>
    <row r="3873" spans="1:7" x14ac:dyDescent="0.2">
      <c r="A3873" s="116">
        <f>IF(ISNUMBER(Tabela2[[#This Row],[CT-e/NFS]])=TRUE,(IF(B3873&gt;30000,4,IF(B3873&lt;1000,"ND",0))),"-")</f>
        <v>4</v>
      </c>
      <c r="B3873" s="116">
        <v>48170</v>
      </c>
      <c r="C3873" s="117">
        <v>45495</v>
      </c>
      <c r="D3873" s="116">
        <v>123.17</v>
      </c>
      <c r="E3873" s="117">
        <v>45503</v>
      </c>
      <c r="F3873" s="116">
        <f>COUNTIFS($A$3:A12123,A3873,$B$3:B12123,B3873)</f>
        <v>1</v>
      </c>
      <c r="G3873" s="116"/>
    </row>
    <row r="3874" spans="1:7" x14ac:dyDescent="0.2">
      <c r="A3874" s="116">
        <f>IF(ISNUMBER(Tabela2[[#This Row],[CT-e/NFS]])=TRUE,(IF(B3874&gt;30000,4,IF(B3874&lt;1000,"ND",0))),"-")</f>
        <v>4</v>
      </c>
      <c r="B3874" s="116">
        <v>48172</v>
      </c>
      <c r="C3874" s="117">
        <v>45495</v>
      </c>
      <c r="D3874" s="116">
        <v>125.35</v>
      </c>
      <c r="E3874" s="117">
        <v>45503</v>
      </c>
      <c r="F3874" s="116">
        <f>COUNTIFS($A$3:A12124,A3874,$B$3:B12124,B3874)</f>
        <v>1</v>
      </c>
      <c r="G3874" s="116"/>
    </row>
    <row r="3875" spans="1:7" x14ac:dyDescent="0.2">
      <c r="A3875" s="116">
        <f>IF(ISNUMBER(Tabela2[[#This Row],[CT-e/NFS]])=TRUE,(IF(B3875&gt;30000,4,IF(B3875&lt;1000,"ND",0))),"-")</f>
        <v>4</v>
      </c>
      <c r="B3875" s="116">
        <v>48173</v>
      </c>
      <c r="C3875" s="117">
        <v>45495</v>
      </c>
      <c r="D3875" s="116">
        <v>124.33</v>
      </c>
      <c r="E3875" s="117">
        <v>45503</v>
      </c>
      <c r="F3875" s="116">
        <f>COUNTIFS($A$3:A12125,A3875,$B$3:B12125,B3875)</f>
        <v>1</v>
      </c>
      <c r="G3875" s="116"/>
    </row>
    <row r="3876" spans="1:7" x14ac:dyDescent="0.2">
      <c r="A3876" s="116">
        <f>IF(ISNUMBER(Tabela2[[#This Row],[CT-e/NFS]])=TRUE,(IF(B3876&gt;30000,4,IF(B3876&lt;1000,"ND",0))),"-")</f>
        <v>4</v>
      </c>
      <c r="B3876" s="116">
        <v>48185</v>
      </c>
      <c r="C3876" s="117">
        <v>45495</v>
      </c>
      <c r="D3876" s="116">
        <v>61.76</v>
      </c>
      <c r="E3876" s="117">
        <v>45503</v>
      </c>
      <c r="F3876" s="116">
        <f>COUNTIFS($A$3:A12126,A3876,$B$3:B12126,B3876)</f>
        <v>1</v>
      </c>
      <c r="G3876" s="116"/>
    </row>
    <row r="3877" spans="1:7" x14ac:dyDescent="0.2">
      <c r="A3877" s="116">
        <f>IF(ISNUMBER(Tabela2[[#This Row],[CT-e/NFS]])=TRUE,(IF(B3877&gt;30000,4,IF(B3877&lt;1000,"ND",0))),"-")</f>
        <v>4</v>
      </c>
      <c r="B3877" s="116">
        <v>48186</v>
      </c>
      <c r="C3877" s="117">
        <v>45495</v>
      </c>
      <c r="D3877" s="116">
        <v>111.25</v>
      </c>
      <c r="E3877" s="117">
        <v>45503</v>
      </c>
      <c r="F3877" s="116">
        <f>COUNTIFS($A$3:A12127,A3877,$B$3:B12127,B3877)</f>
        <v>1</v>
      </c>
      <c r="G3877" s="116"/>
    </row>
    <row r="3878" spans="1:7" x14ac:dyDescent="0.2">
      <c r="A3878" s="116">
        <f>IF(ISNUMBER(Tabela2[[#This Row],[CT-e/NFS]])=TRUE,(IF(B3878&gt;30000,4,IF(B3878&lt;1000,"ND",0))),"-")</f>
        <v>4</v>
      </c>
      <c r="B3878" s="116">
        <v>48171</v>
      </c>
      <c r="C3878" s="117">
        <v>45495</v>
      </c>
      <c r="D3878" s="116">
        <v>124.28</v>
      </c>
      <c r="E3878" s="117">
        <v>45503</v>
      </c>
      <c r="F3878" s="116">
        <f>COUNTIFS($A$3:A12128,A3878,$B$3:B12128,B3878)</f>
        <v>1</v>
      </c>
      <c r="G3878" s="116"/>
    </row>
    <row r="3879" spans="1:7" x14ac:dyDescent="0.2">
      <c r="A3879" s="116">
        <f>IF(ISNUMBER(Tabela2[[#This Row],[CT-e/NFS]])=TRUE,(IF(B3879&gt;30000,4,IF(B3879&lt;1000,"ND",0))),"-")</f>
        <v>4</v>
      </c>
      <c r="B3879" s="116">
        <v>48164</v>
      </c>
      <c r="C3879" s="117">
        <v>45495</v>
      </c>
      <c r="D3879" s="116">
        <v>307.56</v>
      </c>
      <c r="E3879" s="117">
        <v>45503</v>
      </c>
      <c r="F3879" s="116">
        <f>COUNTIFS($A$3:A12129,A3879,$B$3:B12129,B3879)</f>
        <v>1</v>
      </c>
      <c r="G3879" s="116"/>
    </row>
    <row r="3880" spans="1:7" x14ac:dyDescent="0.2">
      <c r="A3880" s="116">
        <f>IF(ISNUMBER(Tabela2[[#This Row],[CT-e/NFS]])=TRUE,(IF(B3880&gt;30000,4,IF(B3880&lt;1000,"ND",0))),"-")</f>
        <v>4</v>
      </c>
      <c r="B3880" s="116">
        <v>48168</v>
      </c>
      <c r="C3880" s="117">
        <v>45495</v>
      </c>
      <c r="D3880" s="116">
        <v>544.16</v>
      </c>
      <c r="E3880" s="117">
        <v>45503</v>
      </c>
      <c r="F3880" s="116">
        <f>COUNTIFS($A$3:A12130,A3880,$B$3:B12130,B3880)</f>
        <v>1</v>
      </c>
      <c r="G3880" s="116"/>
    </row>
    <row r="3881" spans="1:7" x14ac:dyDescent="0.2">
      <c r="A3881" s="116">
        <f>IF(ISNUMBER(Tabela2[[#This Row],[CT-e/NFS]])=TRUE,(IF(B3881&gt;30000,4,IF(B3881&lt;1000,"ND",0))),"-")</f>
        <v>4</v>
      </c>
      <c r="B3881" s="116">
        <v>48192</v>
      </c>
      <c r="C3881" s="117">
        <v>45495</v>
      </c>
      <c r="D3881" s="116">
        <v>62.26</v>
      </c>
      <c r="E3881" s="117">
        <v>45503</v>
      </c>
      <c r="F3881" s="116">
        <f>COUNTIFS($A$3:A12131,A3881,$B$3:B12131,B3881)</f>
        <v>1</v>
      </c>
      <c r="G3881" s="116"/>
    </row>
    <row r="3882" spans="1:7" x14ac:dyDescent="0.2">
      <c r="A3882" s="116">
        <f>IF(ISNUMBER(Tabela2[[#This Row],[CT-e/NFS]])=TRUE,(IF(B3882&gt;30000,4,IF(B3882&lt;1000,"ND",0))),"-")</f>
        <v>4</v>
      </c>
      <c r="B3882" s="116">
        <v>48165</v>
      </c>
      <c r="C3882" s="117">
        <v>45495</v>
      </c>
      <c r="D3882" s="116">
        <v>572.85</v>
      </c>
      <c r="E3882" s="117">
        <v>45503</v>
      </c>
      <c r="F3882" s="116">
        <f>COUNTIFS($A$3:A12132,A3882,$B$3:B12132,B3882)</f>
        <v>1</v>
      </c>
      <c r="G3882" s="116"/>
    </row>
    <row r="3883" spans="1:7" x14ac:dyDescent="0.2">
      <c r="A3883" s="116">
        <f>IF(ISNUMBER(Tabela2[[#This Row],[CT-e/NFS]])=TRUE,(IF(B3883&gt;30000,4,IF(B3883&lt;1000,"ND",0))),"-")</f>
        <v>4</v>
      </c>
      <c r="B3883" s="116">
        <v>48166</v>
      </c>
      <c r="C3883" s="117">
        <v>45495</v>
      </c>
      <c r="D3883" s="116">
        <v>877.89</v>
      </c>
      <c r="E3883" s="117">
        <v>45503</v>
      </c>
      <c r="F3883" s="116">
        <f>COUNTIFS($A$3:A12133,A3883,$B$3:B12133,B3883)</f>
        <v>1</v>
      </c>
      <c r="G3883" s="116"/>
    </row>
    <row r="3884" spans="1:7" x14ac:dyDescent="0.2">
      <c r="A3884" s="116">
        <f>IF(ISNUMBER(Tabela2[[#This Row],[CT-e/NFS]])=TRUE,(IF(B3884&gt;30000,4,IF(B3884&lt;1000,"ND",0))),"-")</f>
        <v>4</v>
      </c>
      <c r="B3884" s="116">
        <v>48167</v>
      </c>
      <c r="C3884" s="117">
        <v>45495</v>
      </c>
      <c r="D3884" s="116">
        <v>593.57000000000005</v>
      </c>
      <c r="E3884" s="117">
        <v>45503</v>
      </c>
      <c r="F3884" s="116">
        <f>COUNTIFS($A$3:A12134,A3884,$B$3:B12134,B3884)</f>
        <v>1</v>
      </c>
      <c r="G3884" s="116"/>
    </row>
    <row r="3885" spans="1:7" x14ac:dyDescent="0.2">
      <c r="A3885" s="116">
        <f>IF(ISNUMBER(Tabela2[[#This Row],[CT-e/NFS]])=TRUE,(IF(B3885&gt;30000,4,IF(B3885&lt;1000,"ND",0))),"-")</f>
        <v>4</v>
      </c>
      <c r="B3885" s="116">
        <v>48191</v>
      </c>
      <c r="C3885" s="117">
        <v>45495</v>
      </c>
      <c r="D3885" s="116">
        <v>111.78</v>
      </c>
      <c r="E3885" s="117">
        <v>45503</v>
      </c>
      <c r="F3885" s="116">
        <f>COUNTIFS($A$3:A12135,A3885,$B$3:B12135,B3885)</f>
        <v>1</v>
      </c>
      <c r="G3885" s="116"/>
    </row>
    <row r="3886" spans="1:7" x14ac:dyDescent="0.2">
      <c r="A3886" s="116">
        <f>IF(ISNUMBER(Tabela2[[#This Row],[CT-e/NFS]])=TRUE,(IF(B3886&gt;30000,4,IF(B3886&lt;1000,"ND",0))),"-")</f>
        <v>4</v>
      </c>
      <c r="B3886" s="116">
        <v>48177</v>
      </c>
      <c r="C3886" s="117">
        <v>45495</v>
      </c>
      <c r="D3886" s="116">
        <v>209.28</v>
      </c>
      <c r="E3886" s="117">
        <v>45503</v>
      </c>
      <c r="F3886" s="116">
        <f>COUNTIFS($A$3:A12136,A3886,$B$3:B12136,B3886)</f>
        <v>1</v>
      </c>
      <c r="G3886" s="116"/>
    </row>
    <row r="3887" spans="1:7" x14ac:dyDescent="0.2">
      <c r="A3887" s="116">
        <f>IF(ISNUMBER(Tabela2[[#This Row],[CT-e/NFS]])=TRUE,(IF(B3887&gt;30000,4,IF(B3887&lt;1000,"ND",0))),"-")</f>
        <v>4</v>
      </c>
      <c r="B3887" s="116">
        <v>48190</v>
      </c>
      <c r="C3887" s="117">
        <v>45495</v>
      </c>
      <c r="D3887" s="116">
        <v>62.02</v>
      </c>
      <c r="E3887" s="117">
        <v>45503</v>
      </c>
      <c r="F3887" s="116">
        <f>COUNTIFS($A$3:A12137,A3887,$B$3:B12137,B3887)</f>
        <v>1</v>
      </c>
      <c r="G3887" s="116"/>
    </row>
    <row r="3888" spans="1:7" x14ac:dyDescent="0.2">
      <c r="A3888" s="116">
        <f>IF(ISNUMBER(Tabela2[[#This Row],[CT-e/NFS]])=TRUE,(IF(B3888&gt;30000,4,IF(B3888&lt;1000,"ND",0))),"-")</f>
        <v>4</v>
      </c>
      <c r="B3888" s="116">
        <v>48174</v>
      </c>
      <c r="C3888" s="117">
        <v>45495</v>
      </c>
      <c r="D3888" s="116">
        <v>822.16</v>
      </c>
      <c r="E3888" s="117">
        <v>45503</v>
      </c>
      <c r="F3888" s="116">
        <f>COUNTIFS($A$3:A12138,A3888,$B$3:B12138,B3888)</f>
        <v>1</v>
      </c>
      <c r="G3888" s="116"/>
    </row>
    <row r="3889" spans="1:7" x14ac:dyDescent="0.2">
      <c r="A3889" s="116">
        <f>IF(ISNUMBER(Tabela2[[#This Row],[CT-e/NFS]])=TRUE,(IF(B3889&gt;30000,4,IF(B3889&lt;1000,"ND",0))),"-")</f>
        <v>4</v>
      </c>
      <c r="B3889" s="116">
        <v>48183</v>
      </c>
      <c r="C3889" s="117">
        <v>45495</v>
      </c>
      <c r="D3889" s="116">
        <v>191.86</v>
      </c>
      <c r="E3889" s="117">
        <v>45503</v>
      </c>
      <c r="F3889" s="116">
        <f>COUNTIFS($A$3:A12139,A3889,$B$3:B12139,B3889)</f>
        <v>1</v>
      </c>
      <c r="G3889" s="116"/>
    </row>
    <row r="3890" spans="1:7" x14ac:dyDescent="0.2">
      <c r="A3890" s="116">
        <f>IF(ISNUMBER(Tabela2[[#This Row],[CT-e/NFS]])=TRUE,(IF(B3890&gt;30000,4,IF(B3890&lt;1000,"ND",0))),"-")</f>
        <v>4</v>
      </c>
      <c r="B3890" s="116">
        <v>48180</v>
      </c>
      <c r="C3890" s="117">
        <v>45495</v>
      </c>
      <c r="D3890" s="116">
        <v>124.38</v>
      </c>
      <c r="E3890" s="117">
        <v>45503</v>
      </c>
      <c r="F3890" s="116">
        <f>COUNTIFS($A$3:A12140,A3890,$B$3:B12140,B3890)</f>
        <v>1</v>
      </c>
      <c r="G3890" s="116"/>
    </row>
    <row r="3891" spans="1:7" x14ac:dyDescent="0.2">
      <c r="A3891" s="116">
        <f>IF(ISNUMBER(Tabela2[[#This Row],[CT-e/NFS]])=TRUE,(IF(B3891&gt;30000,4,IF(B3891&lt;1000,"ND",0))),"-")</f>
        <v>4</v>
      </c>
      <c r="B3891" s="116">
        <v>48187</v>
      </c>
      <c r="C3891" s="117">
        <v>45495</v>
      </c>
      <c r="D3891" s="116">
        <v>119.42</v>
      </c>
      <c r="E3891" s="117">
        <v>45503</v>
      </c>
      <c r="F3891" s="116">
        <f>COUNTIFS($A$3:A12141,A3891,$B$3:B12141,B3891)</f>
        <v>1</v>
      </c>
      <c r="G3891" s="116"/>
    </row>
    <row r="3892" spans="1:7" x14ac:dyDescent="0.2">
      <c r="A3892" s="116">
        <f>IF(ISNUMBER(Tabela2[[#This Row],[CT-e/NFS]])=TRUE,(IF(B3892&gt;30000,4,IF(B3892&lt;1000,"ND",0))),"-")</f>
        <v>4</v>
      </c>
      <c r="B3892" s="116">
        <v>48188</v>
      </c>
      <c r="C3892" s="117">
        <v>45495</v>
      </c>
      <c r="D3892" s="116">
        <v>214.99</v>
      </c>
      <c r="E3892" s="117">
        <v>45503</v>
      </c>
      <c r="F3892" s="116">
        <f>COUNTIFS($A$3:A12142,A3892,$B$3:B12142,B3892)</f>
        <v>1</v>
      </c>
      <c r="G3892" s="116"/>
    </row>
    <row r="3893" spans="1:7" x14ac:dyDescent="0.2">
      <c r="A3893" s="116">
        <f>IF(ISNUMBER(Tabela2[[#This Row],[CT-e/NFS]])=TRUE,(IF(B3893&gt;30000,4,IF(B3893&lt;1000,"ND",0))),"-")</f>
        <v>4</v>
      </c>
      <c r="B3893" s="116">
        <v>48182</v>
      </c>
      <c r="C3893" s="117">
        <v>45495</v>
      </c>
      <c r="D3893" s="116">
        <v>122.92</v>
      </c>
      <c r="E3893" s="117">
        <v>45503</v>
      </c>
      <c r="F3893" s="116">
        <f>COUNTIFS($A$3:A12143,A3893,$B$3:B12143,B3893)</f>
        <v>1</v>
      </c>
      <c r="G3893" s="116"/>
    </row>
    <row r="3894" spans="1:7" x14ac:dyDescent="0.2">
      <c r="A3894" s="116">
        <f>IF(ISNUMBER(Tabela2[[#This Row],[CT-e/NFS]])=TRUE,(IF(B3894&gt;30000,4,IF(B3894&lt;1000,"ND",0))),"-")</f>
        <v>4</v>
      </c>
      <c r="B3894" s="116">
        <v>48184</v>
      </c>
      <c r="C3894" s="117">
        <v>45495</v>
      </c>
      <c r="D3894" s="116">
        <v>139.27000000000001</v>
      </c>
      <c r="E3894" s="117">
        <v>45503</v>
      </c>
      <c r="F3894" s="116">
        <f>COUNTIFS($A$3:A12144,A3894,$B$3:B12144,B3894)</f>
        <v>1</v>
      </c>
      <c r="G3894" s="116"/>
    </row>
    <row r="3895" spans="1:7" x14ac:dyDescent="0.2">
      <c r="A3895" s="116">
        <f>IF(ISNUMBER(Tabela2[[#This Row],[CT-e/NFS]])=TRUE,(IF(B3895&gt;30000,4,IF(B3895&lt;1000,"ND",0))),"-")</f>
        <v>4</v>
      </c>
      <c r="B3895" s="116">
        <v>48196</v>
      </c>
      <c r="C3895" s="117">
        <v>45495</v>
      </c>
      <c r="D3895" s="116">
        <v>462.15</v>
      </c>
      <c r="E3895" s="117">
        <v>45503</v>
      </c>
      <c r="F3895" s="116">
        <f>COUNTIFS($A$3:A12145,A3895,$B$3:B12145,B3895)</f>
        <v>1</v>
      </c>
      <c r="G3895" s="116"/>
    </row>
    <row r="3896" spans="1:7" x14ac:dyDescent="0.2">
      <c r="A3896" s="116">
        <f>IF(ISNUMBER(Tabela2[[#This Row],[CT-e/NFS]])=TRUE,(IF(B3896&gt;30000,4,IF(B3896&lt;1000,"ND",0))),"-")</f>
        <v>4</v>
      </c>
      <c r="B3896" s="116">
        <v>48181</v>
      </c>
      <c r="C3896" s="117">
        <v>45495</v>
      </c>
      <c r="D3896" s="116">
        <v>124.38</v>
      </c>
      <c r="E3896" s="117">
        <v>45503</v>
      </c>
      <c r="F3896" s="116">
        <f>COUNTIFS($A$3:A12146,A3896,$B$3:B12146,B3896)</f>
        <v>1</v>
      </c>
      <c r="G3896" s="116"/>
    </row>
    <row r="3897" spans="1:7" x14ac:dyDescent="0.2">
      <c r="A3897" s="116">
        <f>IF(ISNUMBER(Tabela2[[#This Row],[CT-e/NFS]])=TRUE,(IF(B3897&gt;30000,4,IF(B3897&lt;1000,"ND",0))),"-")</f>
        <v>0</v>
      </c>
      <c r="B3897" s="116">
        <v>21838</v>
      </c>
      <c r="C3897" s="117">
        <v>45495</v>
      </c>
      <c r="D3897" s="116">
        <v>76.81</v>
      </c>
      <c r="E3897" s="117">
        <v>45503</v>
      </c>
      <c r="F3897" s="116">
        <f>COUNTIFS($A$3:A12147,A3897,$B$3:B12147,B3897)</f>
        <v>1</v>
      </c>
      <c r="G3897" s="116"/>
    </row>
    <row r="3898" spans="1:7" x14ac:dyDescent="0.2">
      <c r="A3898" s="116">
        <f>IF(ISNUMBER(Tabela2[[#This Row],[CT-e/NFS]])=TRUE,(IF(B3898&gt;30000,4,IF(B3898&lt;1000,"ND",0))),"-")</f>
        <v>0</v>
      </c>
      <c r="B3898" s="116">
        <v>21847</v>
      </c>
      <c r="C3898" s="117">
        <v>45495</v>
      </c>
      <c r="D3898" s="116">
        <v>75.91</v>
      </c>
      <c r="E3898" s="117">
        <v>45503</v>
      </c>
      <c r="F3898" s="116">
        <f>COUNTIFS($A$3:A12148,A3898,$B$3:B12148,B3898)</f>
        <v>1</v>
      </c>
      <c r="G3898" s="116"/>
    </row>
    <row r="3899" spans="1:7" x14ac:dyDescent="0.2">
      <c r="A3899" s="116">
        <f>IF(ISNUMBER(Tabela2[[#This Row],[CT-e/NFS]])=TRUE,(IF(B3899&gt;30000,4,IF(B3899&lt;1000,"ND",0))),"-")</f>
        <v>0</v>
      </c>
      <c r="B3899" s="116">
        <v>21846</v>
      </c>
      <c r="C3899" s="117">
        <v>45495</v>
      </c>
      <c r="D3899" s="116">
        <v>76.28</v>
      </c>
      <c r="E3899" s="117">
        <v>45503</v>
      </c>
      <c r="F3899" s="116">
        <f>COUNTIFS($A$3:A12149,A3899,$B$3:B12149,B3899)</f>
        <v>1</v>
      </c>
      <c r="G3899" s="116"/>
    </row>
    <row r="3900" spans="1:7" x14ac:dyDescent="0.2">
      <c r="A3900" s="116">
        <f>IF(ISNUMBER(Tabela2[[#This Row],[CT-e/NFS]])=TRUE,(IF(B3900&gt;30000,4,IF(B3900&lt;1000,"ND",0))),"-")</f>
        <v>0</v>
      </c>
      <c r="B3900" s="116">
        <v>21844</v>
      </c>
      <c r="C3900" s="117">
        <v>45495</v>
      </c>
      <c r="D3900" s="116">
        <v>102.58</v>
      </c>
      <c r="E3900" s="117">
        <v>45503</v>
      </c>
      <c r="F3900" s="116">
        <f>COUNTIFS($A$3:A12150,A3900,$B$3:B12150,B3900)</f>
        <v>1</v>
      </c>
      <c r="G3900" s="116"/>
    </row>
    <row r="3901" spans="1:7" x14ac:dyDescent="0.2">
      <c r="A3901" s="116">
        <f>IF(ISNUMBER(Tabela2[[#This Row],[CT-e/NFS]])=TRUE,(IF(B3901&gt;30000,4,IF(B3901&lt;1000,"ND",0))),"-")</f>
        <v>0</v>
      </c>
      <c r="B3901" s="116">
        <v>21843</v>
      </c>
      <c r="C3901" s="117">
        <v>45495</v>
      </c>
      <c r="D3901" s="116">
        <v>102.45</v>
      </c>
      <c r="E3901" s="117">
        <v>45503</v>
      </c>
      <c r="F3901" s="116">
        <f>COUNTIFS($A$3:A12151,A3901,$B$3:B12151,B3901)</f>
        <v>1</v>
      </c>
      <c r="G3901" s="116"/>
    </row>
    <row r="3902" spans="1:7" x14ac:dyDescent="0.2">
      <c r="A3902" s="116">
        <f>IF(ISNUMBER(Tabela2[[#This Row],[CT-e/NFS]])=TRUE,(IF(B3902&gt;30000,4,IF(B3902&lt;1000,"ND",0))),"-")</f>
        <v>0</v>
      </c>
      <c r="B3902" s="116">
        <v>21845</v>
      </c>
      <c r="C3902" s="117">
        <v>45495</v>
      </c>
      <c r="D3902" s="116">
        <v>168.12</v>
      </c>
      <c r="E3902" s="117">
        <v>45503</v>
      </c>
      <c r="F3902" s="116">
        <f>COUNTIFS($A$3:A12152,A3902,$B$3:B12152,B3902)</f>
        <v>1</v>
      </c>
      <c r="G3902" s="116"/>
    </row>
    <row r="3903" spans="1:7" x14ac:dyDescent="0.2">
      <c r="A3903" s="116">
        <f>IF(ISNUMBER(Tabela2[[#This Row],[CT-e/NFS]])=TRUE,(IF(B3903&gt;30000,4,IF(B3903&lt;1000,"ND",0))),"-")</f>
        <v>0</v>
      </c>
      <c r="B3903" s="116">
        <v>21842</v>
      </c>
      <c r="C3903" s="117">
        <v>45495</v>
      </c>
      <c r="D3903" s="116">
        <v>292.86</v>
      </c>
      <c r="E3903" s="117">
        <v>45503</v>
      </c>
      <c r="F3903" s="116">
        <f>COUNTIFS($A$3:A12153,A3903,$B$3:B12153,B3903)</f>
        <v>1</v>
      </c>
      <c r="G3903" s="116"/>
    </row>
    <row r="3904" spans="1:7" x14ac:dyDescent="0.2">
      <c r="A3904" s="116">
        <f>IF(ISNUMBER(Tabela2[[#This Row],[CT-e/NFS]])=TRUE,(IF(B3904&gt;30000,4,IF(B3904&lt;1000,"ND",0))),"-")</f>
        <v>0</v>
      </c>
      <c r="B3904" s="116">
        <v>21840</v>
      </c>
      <c r="C3904" s="117">
        <v>45495</v>
      </c>
      <c r="D3904" s="116">
        <v>75.69</v>
      </c>
      <c r="E3904" s="117">
        <v>45503</v>
      </c>
      <c r="F3904" s="116">
        <f>COUNTIFS($A$3:A12154,A3904,$B$3:B12154,B3904)</f>
        <v>1</v>
      </c>
      <c r="G3904" s="116"/>
    </row>
    <row r="3905" spans="1:7" x14ac:dyDescent="0.2">
      <c r="A3905" s="116">
        <f>IF(ISNUMBER(Tabela2[[#This Row],[CT-e/NFS]])=TRUE,(IF(B3905&gt;30000,4,IF(B3905&lt;1000,"ND",0))),"-")</f>
        <v>4</v>
      </c>
      <c r="B3905" s="116">
        <v>48169</v>
      </c>
      <c r="C3905" s="117">
        <v>45495</v>
      </c>
      <c r="D3905" s="116">
        <v>123.99</v>
      </c>
      <c r="E3905" s="117">
        <v>45503</v>
      </c>
      <c r="F3905" s="116">
        <f>COUNTIFS($A$3:A12155,A3905,$B$3:B12155,B3905)</f>
        <v>1</v>
      </c>
      <c r="G3905" s="116"/>
    </row>
    <row r="3906" spans="1:7" x14ac:dyDescent="0.2">
      <c r="A3906" s="116">
        <f>IF(ISNUMBER(Tabela2[[#This Row],[CT-e/NFS]])=TRUE,(IF(B3906&gt;30000,4,IF(B3906&lt;1000,"ND",0))),"-")</f>
        <v>4</v>
      </c>
      <c r="B3906" s="116">
        <v>48200</v>
      </c>
      <c r="C3906" s="117">
        <v>45495</v>
      </c>
      <c r="D3906" s="116">
        <v>1086.24</v>
      </c>
      <c r="E3906" s="117">
        <v>45503</v>
      </c>
      <c r="F3906" s="116">
        <f>COUNTIFS($A$3:A12156,A3906,$B$3:B12156,B3906)</f>
        <v>1</v>
      </c>
      <c r="G3906" s="116"/>
    </row>
    <row r="3907" spans="1:7" x14ac:dyDescent="0.2">
      <c r="A3907" s="116">
        <f>IF(ISNUMBER(Tabela2[[#This Row],[CT-e/NFS]])=TRUE,(IF(B3907&gt;30000,4,IF(B3907&lt;1000,"ND",0))),"-")</f>
        <v>4</v>
      </c>
      <c r="B3907" s="116">
        <v>48194</v>
      </c>
      <c r="C3907" s="117">
        <v>45495</v>
      </c>
      <c r="D3907" s="116">
        <v>119.41</v>
      </c>
      <c r="E3907" s="117">
        <v>45503</v>
      </c>
      <c r="F3907" s="116">
        <f>COUNTIFS($A$3:A12157,A3907,$B$3:B12157,B3907)</f>
        <v>1</v>
      </c>
      <c r="G3907" s="116"/>
    </row>
    <row r="3908" spans="1:7" x14ac:dyDescent="0.2">
      <c r="A3908" s="116">
        <f>IF(ISNUMBER(Tabela2[[#This Row],[CT-e/NFS]])=TRUE,(IF(B3908&gt;30000,4,IF(B3908&lt;1000,"ND",0))),"-")</f>
        <v>0</v>
      </c>
      <c r="B3908" s="116">
        <v>21850</v>
      </c>
      <c r="C3908" s="117">
        <v>45495</v>
      </c>
      <c r="D3908" s="116">
        <v>1136.99</v>
      </c>
      <c r="E3908" s="117">
        <v>45503</v>
      </c>
      <c r="F3908" s="116">
        <f>COUNTIFS($A$3:A12158,A3908,$B$3:B12158,B3908)</f>
        <v>1</v>
      </c>
      <c r="G3908" s="116"/>
    </row>
    <row r="3909" spans="1:7" x14ac:dyDescent="0.2">
      <c r="A3909" s="116">
        <f>IF(ISNUMBER(Tabela2[[#This Row],[CT-e/NFS]])=TRUE,(IF(B3909&gt;30000,4,IF(B3909&lt;1000,"ND",0))),"-")</f>
        <v>0</v>
      </c>
      <c r="B3909" s="116">
        <v>21856</v>
      </c>
      <c r="C3909" s="117">
        <v>45495</v>
      </c>
      <c r="D3909" s="116">
        <v>348.37</v>
      </c>
      <c r="E3909" s="117">
        <v>45503</v>
      </c>
      <c r="F3909" s="116">
        <f>COUNTIFS($A$3:A12159,A3909,$B$3:B12159,B3909)</f>
        <v>1</v>
      </c>
      <c r="G3909" s="116"/>
    </row>
    <row r="3910" spans="1:7" x14ac:dyDescent="0.2">
      <c r="A3910" s="116">
        <f>IF(ISNUMBER(Tabela2[[#This Row],[CT-e/NFS]])=TRUE,(IF(B3910&gt;30000,4,IF(B3910&lt;1000,"ND",0))),"-")</f>
        <v>0</v>
      </c>
      <c r="B3910" s="116">
        <v>21854</v>
      </c>
      <c r="C3910" s="117">
        <v>45495</v>
      </c>
      <c r="D3910" s="116">
        <v>117.12</v>
      </c>
      <c r="E3910" s="117">
        <v>45503</v>
      </c>
      <c r="F3910" s="116">
        <f>COUNTIFS($A$3:A12160,A3910,$B$3:B12160,B3910)</f>
        <v>1</v>
      </c>
      <c r="G3910" s="116"/>
    </row>
    <row r="3911" spans="1:7" x14ac:dyDescent="0.2">
      <c r="A3911" s="116">
        <f>IF(ISNUMBER(Tabela2[[#This Row],[CT-e/NFS]])=TRUE,(IF(B3911&gt;30000,4,IF(B3911&lt;1000,"ND",0))),"-")</f>
        <v>4</v>
      </c>
      <c r="B3911" s="116">
        <v>48201</v>
      </c>
      <c r="C3911" s="117">
        <v>45495</v>
      </c>
      <c r="D3911" s="116">
        <v>122.93</v>
      </c>
      <c r="E3911" s="117">
        <v>45503</v>
      </c>
      <c r="F3911" s="116">
        <f>COUNTIFS($A$3:A12161,A3911,$B$3:B12161,B3911)</f>
        <v>1</v>
      </c>
      <c r="G3911" s="116"/>
    </row>
    <row r="3912" spans="1:7" x14ac:dyDescent="0.2">
      <c r="A3912" s="116">
        <f>IF(ISNUMBER(Tabela2[[#This Row],[CT-e/NFS]])=TRUE,(IF(B3912&gt;30000,4,IF(B3912&lt;1000,"ND",0))),"-")</f>
        <v>4</v>
      </c>
      <c r="B3912" s="116">
        <v>48204</v>
      </c>
      <c r="C3912" s="117">
        <v>45495</v>
      </c>
      <c r="D3912" s="116">
        <v>241.26</v>
      </c>
      <c r="E3912" s="117">
        <v>45503</v>
      </c>
      <c r="F3912" s="116">
        <f>COUNTIFS($A$3:A12162,A3912,$B$3:B12162,B3912)</f>
        <v>1</v>
      </c>
      <c r="G3912" s="116"/>
    </row>
    <row r="3913" spans="1:7" x14ac:dyDescent="0.2">
      <c r="A3913" s="116">
        <f>IF(ISNUMBER(Tabela2[[#This Row],[CT-e/NFS]])=TRUE,(IF(B3913&gt;30000,4,IF(B3913&lt;1000,"ND",0))),"-")</f>
        <v>4</v>
      </c>
      <c r="B3913" s="116">
        <v>48118</v>
      </c>
      <c r="C3913" s="117">
        <v>45495</v>
      </c>
      <c r="D3913" s="116">
        <v>832.48</v>
      </c>
      <c r="E3913" s="117">
        <v>45503</v>
      </c>
      <c r="F3913" s="116">
        <f>COUNTIFS($A$3:A12163,A3913,$B$3:B12163,B3913)</f>
        <v>1</v>
      </c>
      <c r="G3913" s="116"/>
    </row>
    <row r="3914" spans="1:7" x14ac:dyDescent="0.2">
      <c r="A3914" s="116">
        <f>IF(ISNUMBER(Tabela2[[#This Row],[CT-e/NFS]])=TRUE,(IF(B3914&gt;30000,4,IF(B3914&lt;1000,"ND",0))),"-")</f>
        <v>4</v>
      </c>
      <c r="B3914" s="116">
        <v>48208</v>
      </c>
      <c r="C3914" s="117">
        <v>45495</v>
      </c>
      <c r="D3914" s="116">
        <v>272.13</v>
      </c>
      <c r="E3914" s="117">
        <v>45503</v>
      </c>
      <c r="F3914" s="116">
        <f>COUNTIFS($A$3:A12164,A3914,$B$3:B12164,B3914)</f>
        <v>1</v>
      </c>
      <c r="G3914" s="116"/>
    </row>
    <row r="3915" spans="1:7" x14ac:dyDescent="0.2">
      <c r="A3915" s="116">
        <f>IF(ISNUMBER(Tabela2[[#This Row],[CT-e/NFS]])=TRUE,(IF(B3915&gt;30000,4,IF(B3915&lt;1000,"ND",0))),"-")</f>
        <v>4</v>
      </c>
      <c r="B3915" s="116">
        <v>48203</v>
      </c>
      <c r="C3915" s="117">
        <v>45495</v>
      </c>
      <c r="D3915" s="116">
        <v>239.31</v>
      </c>
      <c r="E3915" s="117">
        <v>45503</v>
      </c>
      <c r="F3915" s="116">
        <f>COUNTIFS($A$3:A12165,A3915,$B$3:B12165,B3915)</f>
        <v>1</v>
      </c>
      <c r="G3915" s="116"/>
    </row>
    <row r="3916" spans="1:7" x14ac:dyDescent="0.2">
      <c r="A3916" s="116">
        <f>IF(ISNUMBER(Tabela2[[#This Row],[CT-e/NFS]])=TRUE,(IF(B3916&gt;30000,4,IF(B3916&lt;1000,"ND",0))),"-")</f>
        <v>4</v>
      </c>
      <c r="B3916" s="116">
        <v>48207</v>
      </c>
      <c r="C3916" s="117">
        <v>45495</v>
      </c>
      <c r="D3916" s="116">
        <v>459.35</v>
      </c>
      <c r="E3916" s="117">
        <v>45503</v>
      </c>
      <c r="F3916" s="116">
        <f>COUNTIFS($A$3:A12166,A3916,$B$3:B12166,B3916)</f>
        <v>1</v>
      </c>
      <c r="G3916" s="116"/>
    </row>
    <row r="3917" spans="1:7" x14ac:dyDescent="0.2">
      <c r="A3917" s="116">
        <f>IF(ISNUMBER(Tabela2[[#This Row],[CT-e/NFS]])=TRUE,(IF(B3917&gt;30000,4,IF(B3917&lt;1000,"ND",0))),"-")</f>
        <v>4</v>
      </c>
      <c r="B3917" s="116">
        <v>48210</v>
      </c>
      <c r="C3917" s="117">
        <v>45495</v>
      </c>
      <c r="D3917" s="116">
        <v>208.09</v>
      </c>
      <c r="E3917" s="117">
        <v>45503</v>
      </c>
      <c r="F3917" s="116">
        <f>COUNTIFS($A$3:A12167,A3917,$B$3:B12167,B3917)</f>
        <v>1</v>
      </c>
      <c r="G3917" s="116"/>
    </row>
    <row r="3918" spans="1:7" x14ac:dyDescent="0.2">
      <c r="A3918" s="116">
        <f>IF(ISNUMBER(Tabela2[[#This Row],[CT-e/NFS]])=TRUE,(IF(B3918&gt;30000,4,IF(B3918&lt;1000,"ND",0))),"-")</f>
        <v>4</v>
      </c>
      <c r="B3918" s="116">
        <v>48209</v>
      </c>
      <c r="C3918" s="117">
        <v>45495</v>
      </c>
      <c r="D3918" s="116">
        <v>278.64999999999998</v>
      </c>
      <c r="E3918" s="117">
        <v>45503</v>
      </c>
      <c r="F3918" s="116">
        <f>COUNTIFS($A$3:A12168,A3918,$B$3:B12168,B3918)</f>
        <v>1</v>
      </c>
      <c r="G3918" s="116"/>
    </row>
    <row r="3919" spans="1:7" x14ac:dyDescent="0.2">
      <c r="A3919" s="116">
        <f>IF(ISNUMBER(Tabela2[[#This Row],[CT-e/NFS]])=TRUE,(IF(B3919&gt;30000,4,IF(B3919&lt;1000,"ND",0))),"-")</f>
        <v>4</v>
      </c>
      <c r="B3919" s="116">
        <v>48206</v>
      </c>
      <c r="C3919" s="117">
        <v>45495</v>
      </c>
      <c r="D3919" s="116">
        <v>122.92</v>
      </c>
      <c r="E3919" s="117">
        <v>45503</v>
      </c>
      <c r="F3919" s="116">
        <f>COUNTIFS($A$3:A12169,A3919,$B$3:B12169,B3919)</f>
        <v>1</v>
      </c>
      <c r="G3919" s="116"/>
    </row>
    <row r="3920" spans="1:7" x14ac:dyDescent="0.2">
      <c r="A3920" s="116">
        <f>IF(ISNUMBER(Tabela2[[#This Row],[CT-e/NFS]])=TRUE,(IF(B3920&gt;30000,4,IF(B3920&lt;1000,"ND",0))),"-")</f>
        <v>4</v>
      </c>
      <c r="B3920" s="116">
        <v>48213</v>
      </c>
      <c r="C3920" s="117">
        <v>45495</v>
      </c>
      <c r="D3920" s="116">
        <v>112.1</v>
      </c>
      <c r="E3920" s="117">
        <v>45503</v>
      </c>
      <c r="F3920" s="116">
        <f>COUNTIFS($A$3:A12170,A3920,$B$3:B12170,B3920)</f>
        <v>1</v>
      </c>
      <c r="G3920" s="116"/>
    </row>
    <row r="3921" spans="1:7" x14ac:dyDescent="0.2">
      <c r="A3921" s="116">
        <f>IF(ISNUMBER(Tabela2[[#This Row],[CT-e/NFS]])=TRUE,(IF(B3921&gt;30000,4,IF(B3921&lt;1000,"ND",0))),"-")</f>
        <v>4</v>
      </c>
      <c r="B3921" s="116">
        <v>48202</v>
      </c>
      <c r="C3921" s="117">
        <v>45495</v>
      </c>
      <c r="D3921" s="116">
        <v>241.22</v>
      </c>
      <c r="E3921" s="117">
        <v>45503</v>
      </c>
      <c r="F3921" s="116">
        <f>COUNTIFS($A$3:A12171,A3921,$B$3:B12171,B3921)</f>
        <v>1</v>
      </c>
      <c r="G3921" s="116"/>
    </row>
    <row r="3922" spans="1:7" x14ac:dyDescent="0.2">
      <c r="A3922" s="116">
        <f>IF(ISNUMBER(Tabela2[[#This Row],[CT-e/NFS]])=TRUE,(IF(B3922&gt;30000,4,IF(B3922&lt;1000,"ND",0))),"-")</f>
        <v>4</v>
      </c>
      <c r="B3922" s="116">
        <v>48212</v>
      </c>
      <c r="C3922" s="117">
        <v>45495</v>
      </c>
      <c r="D3922" s="116">
        <v>62.18</v>
      </c>
      <c r="E3922" s="117">
        <v>45503</v>
      </c>
      <c r="F3922" s="116">
        <f>COUNTIFS($A$3:A12172,A3922,$B$3:B12172,B3922)</f>
        <v>1</v>
      </c>
      <c r="G3922" s="116"/>
    </row>
    <row r="3923" spans="1:7" x14ac:dyDescent="0.2">
      <c r="A3923" s="116">
        <f>IF(ISNUMBER(Tabela2[[#This Row],[CT-e/NFS]])=TRUE,(IF(B3923&gt;30000,4,IF(B3923&lt;1000,"ND",0))),"-")</f>
        <v>4</v>
      </c>
      <c r="B3923" s="116">
        <v>48211</v>
      </c>
      <c r="C3923" s="117">
        <v>45495</v>
      </c>
      <c r="D3923" s="116">
        <v>238.82</v>
      </c>
      <c r="E3923" s="117">
        <v>45503</v>
      </c>
      <c r="F3923" s="116">
        <f>COUNTIFS($A$3:A12173,A3923,$B$3:B12173,B3923)</f>
        <v>1</v>
      </c>
      <c r="G3923" s="116"/>
    </row>
    <row r="3924" spans="1:7" x14ac:dyDescent="0.2">
      <c r="A3924" s="116">
        <f>IF(ISNUMBER(Tabela2[[#This Row],[CT-e/NFS]])=TRUE,(IF(B3924&gt;30000,4,IF(B3924&lt;1000,"ND",0))),"-")</f>
        <v>4</v>
      </c>
      <c r="B3924" s="116">
        <v>48205</v>
      </c>
      <c r="C3924" s="117">
        <v>45495</v>
      </c>
      <c r="D3924" s="116">
        <v>124.48</v>
      </c>
      <c r="E3924" s="117">
        <v>45503</v>
      </c>
      <c r="F3924" s="116">
        <f>COUNTIFS($A$3:A12174,A3924,$B$3:B12174,B3924)</f>
        <v>1</v>
      </c>
      <c r="G3924" s="116"/>
    </row>
    <row r="3925" spans="1:7" x14ac:dyDescent="0.2">
      <c r="A3925" s="116">
        <f>IF(ISNUMBER(Tabela2[[#This Row],[CT-e/NFS]])=TRUE,(IF(B3925&gt;30000,4,IF(B3925&lt;1000,"ND",0))),"-")</f>
        <v>4</v>
      </c>
      <c r="B3925" s="116">
        <v>48178</v>
      </c>
      <c r="C3925" s="117">
        <v>45495</v>
      </c>
      <c r="D3925" s="116">
        <v>256.18</v>
      </c>
      <c r="E3925" s="117">
        <v>45503</v>
      </c>
      <c r="F3925" s="116">
        <f>COUNTIFS($A$3:A12175,A3925,$B$3:B12175,B3925)</f>
        <v>1</v>
      </c>
      <c r="G3925" s="116"/>
    </row>
    <row r="3926" spans="1:7" x14ac:dyDescent="0.2">
      <c r="A3926" s="116">
        <f>IF(ISNUMBER(Tabela2[[#This Row],[CT-e/NFS]])=TRUE,(IF(B3926&gt;30000,4,IF(B3926&lt;1000,"ND",0))),"-")</f>
        <v>4</v>
      </c>
      <c r="B3926" s="116">
        <v>48215</v>
      </c>
      <c r="C3926" s="117">
        <v>45495</v>
      </c>
      <c r="D3926" s="116">
        <v>751.83</v>
      </c>
      <c r="E3926" s="117">
        <v>45503</v>
      </c>
      <c r="F3926" s="116">
        <f>COUNTIFS($A$3:A12176,A3926,$B$3:B12176,B3926)</f>
        <v>1</v>
      </c>
      <c r="G3926" s="116"/>
    </row>
    <row r="3927" spans="1:7" x14ac:dyDescent="0.2">
      <c r="A3927" s="116">
        <f>IF(ISNUMBER(Tabela2[[#This Row],[CT-e/NFS]])=TRUE,(IF(B3927&gt;30000,4,IF(B3927&lt;1000,"ND",0))),"-")</f>
        <v>4</v>
      </c>
      <c r="B3927" s="116">
        <v>48125</v>
      </c>
      <c r="C3927" s="117">
        <v>45495</v>
      </c>
      <c r="D3927" s="116">
        <v>113.59</v>
      </c>
      <c r="E3927" s="117">
        <v>45503</v>
      </c>
      <c r="F3927" s="116">
        <f>COUNTIFS($A$3:A12177,A3927,$B$3:B12177,B3927)</f>
        <v>1</v>
      </c>
      <c r="G3927" s="116"/>
    </row>
    <row r="3928" spans="1:7" x14ac:dyDescent="0.2">
      <c r="A3928" s="116">
        <f>IF(ISNUMBER(Tabela2[[#This Row],[CT-e/NFS]])=TRUE,(IF(B3928&gt;30000,4,IF(B3928&lt;1000,"ND",0))),"-")</f>
        <v>4</v>
      </c>
      <c r="B3928" s="116">
        <v>48214</v>
      </c>
      <c r="C3928" s="117">
        <v>45495</v>
      </c>
      <c r="D3928" s="116">
        <v>416.24</v>
      </c>
      <c r="E3928" s="117">
        <v>45503</v>
      </c>
      <c r="F3928" s="116">
        <f>COUNTIFS($A$3:A12178,A3928,$B$3:B12178,B3928)</f>
        <v>1</v>
      </c>
      <c r="G3928" s="116"/>
    </row>
    <row r="3929" spans="1:7" x14ac:dyDescent="0.2">
      <c r="A3929" s="116">
        <f>IF(ISNUMBER(Tabela2[[#This Row],[CT-e/NFS]])=TRUE,(IF(B3929&gt;30000,4,IF(B3929&lt;1000,"ND",0))),"-")</f>
        <v>4</v>
      </c>
      <c r="B3929" s="116">
        <v>48198</v>
      </c>
      <c r="C3929" s="117">
        <v>45495</v>
      </c>
      <c r="D3929" s="116">
        <v>818.48</v>
      </c>
      <c r="E3929" s="117">
        <v>45503</v>
      </c>
      <c r="F3929" s="116">
        <f>COUNTIFS($A$3:A12179,A3929,$B$3:B12179,B3929)</f>
        <v>1</v>
      </c>
      <c r="G3929" s="116"/>
    </row>
    <row r="3930" spans="1:7" x14ac:dyDescent="0.2">
      <c r="A3930" s="116">
        <f>IF(ISNUMBER(Tabela2[[#This Row],[CT-e/NFS]])=TRUE,(IF(B3930&gt;30000,4,IF(B3930&lt;1000,"ND",0))),"-")</f>
        <v>4</v>
      </c>
      <c r="B3930" s="116">
        <v>48195</v>
      </c>
      <c r="C3930" s="117">
        <v>45495</v>
      </c>
      <c r="D3930" s="116">
        <v>461.83</v>
      </c>
      <c r="E3930" s="117">
        <v>45503</v>
      </c>
      <c r="F3930" s="116">
        <f>COUNTIFS($A$3:A12180,A3930,$B$3:B12180,B3930)</f>
        <v>1</v>
      </c>
      <c r="G3930" s="116"/>
    </row>
    <row r="3931" spans="1:7" x14ac:dyDescent="0.2">
      <c r="A3931" s="116">
        <f>IF(ISNUMBER(Tabela2[[#This Row],[CT-e/NFS]])=TRUE,(IF(B3931&gt;30000,4,IF(B3931&lt;1000,"ND",0))),"-")</f>
        <v>4</v>
      </c>
      <c r="B3931" s="116">
        <v>48225</v>
      </c>
      <c r="C3931" s="117">
        <v>45495</v>
      </c>
      <c r="D3931" s="116">
        <v>284.24</v>
      </c>
      <c r="E3931" s="117">
        <v>45503</v>
      </c>
      <c r="F3931" s="116">
        <f>COUNTIFS($A$3:A12181,A3931,$B$3:B12181,B3931)</f>
        <v>1</v>
      </c>
      <c r="G3931" s="116"/>
    </row>
    <row r="3932" spans="1:7" x14ac:dyDescent="0.2">
      <c r="A3932" s="116">
        <f>IF(ISNUMBER(Tabela2[[#This Row],[CT-e/NFS]])=TRUE,(IF(B3932&gt;30000,4,IF(B3932&lt;1000,"ND",0))),"-")</f>
        <v>4</v>
      </c>
      <c r="B3932" s="116">
        <v>48222</v>
      </c>
      <c r="C3932" s="117">
        <v>45495</v>
      </c>
      <c r="D3932" s="116">
        <v>125.03</v>
      </c>
      <c r="E3932" s="117">
        <v>45503</v>
      </c>
      <c r="F3932" s="116">
        <f>COUNTIFS($A$3:A12182,A3932,$B$3:B12182,B3932)</f>
        <v>1</v>
      </c>
      <c r="G3932" s="116"/>
    </row>
    <row r="3933" spans="1:7" x14ac:dyDescent="0.2">
      <c r="A3933" s="116">
        <f>IF(ISNUMBER(Tabela2[[#This Row],[CT-e/NFS]])=TRUE,(IF(B3933&gt;30000,4,IF(B3933&lt;1000,"ND",0))),"-")</f>
        <v>4</v>
      </c>
      <c r="B3933" s="116">
        <v>48226</v>
      </c>
      <c r="C3933" s="117">
        <v>45495</v>
      </c>
      <c r="D3933" s="116">
        <v>165.85</v>
      </c>
      <c r="E3933" s="117">
        <v>45503</v>
      </c>
      <c r="F3933" s="116">
        <f>COUNTIFS($A$3:A12183,A3933,$B$3:B12183,B3933)</f>
        <v>1</v>
      </c>
      <c r="G3933" s="116"/>
    </row>
    <row r="3934" spans="1:7" x14ac:dyDescent="0.2">
      <c r="A3934" s="116">
        <f>IF(ISNUMBER(Tabela2[[#This Row],[CT-e/NFS]])=TRUE,(IF(B3934&gt;30000,4,IF(B3934&lt;1000,"ND",0))),"-")</f>
        <v>4</v>
      </c>
      <c r="B3934" s="116">
        <v>48223</v>
      </c>
      <c r="C3934" s="117">
        <v>45495</v>
      </c>
      <c r="D3934" s="116">
        <v>146.57</v>
      </c>
      <c r="E3934" s="117">
        <v>45503</v>
      </c>
      <c r="F3934" s="116">
        <f>COUNTIFS($A$3:A12184,A3934,$B$3:B12184,B3934)</f>
        <v>1</v>
      </c>
      <c r="G3934" s="116"/>
    </row>
    <row r="3935" spans="1:7" x14ac:dyDescent="0.2">
      <c r="A3935" s="116">
        <f>IF(ISNUMBER(Tabela2[[#This Row],[CT-e/NFS]])=TRUE,(IF(B3935&gt;30000,4,IF(B3935&lt;1000,"ND",0))),"-")</f>
        <v>4</v>
      </c>
      <c r="B3935" s="116">
        <v>48220</v>
      </c>
      <c r="C3935" s="117">
        <v>45495</v>
      </c>
      <c r="D3935" s="116">
        <v>263.8</v>
      </c>
      <c r="E3935" s="117">
        <v>45503</v>
      </c>
      <c r="F3935" s="116">
        <f>COUNTIFS($A$3:A12185,A3935,$B$3:B12185,B3935)</f>
        <v>1</v>
      </c>
      <c r="G3935" s="116"/>
    </row>
    <row r="3936" spans="1:7" x14ac:dyDescent="0.2">
      <c r="A3936" s="116">
        <f>IF(ISNUMBER(Tabela2[[#This Row],[CT-e/NFS]])=TRUE,(IF(B3936&gt;30000,4,IF(B3936&lt;1000,"ND",0))),"-")</f>
        <v>4</v>
      </c>
      <c r="B3936" s="116">
        <v>48224</v>
      </c>
      <c r="C3936" s="117">
        <v>45495</v>
      </c>
      <c r="D3936" s="116">
        <v>255.31</v>
      </c>
      <c r="E3936" s="117">
        <v>45503</v>
      </c>
      <c r="F3936" s="116">
        <f>COUNTIFS($A$3:A12186,A3936,$B$3:B12186,B3936)</f>
        <v>1</v>
      </c>
      <c r="G3936" s="116"/>
    </row>
    <row r="3937" spans="1:7" x14ac:dyDescent="0.2">
      <c r="A3937" s="116">
        <f>IF(ISNUMBER(Tabela2[[#This Row],[CT-e/NFS]])=TRUE,(IF(B3937&gt;30000,4,IF(B3937&lt;1000,"ND",0))),"-")</f>
        <v>4</v>
      </c>
      <c r="B3937" s="116">
        <v>48219</v>
      </c>
      <c r="C3937" s="117">
        <v>45495</v>
      </c>
      <c r="D3937" s="116">
        <v>240.64</v>
      </c>
      <c r="E3937" s="117">
        <v>45503</v>
      </c>
      <c r="F3937" s="116">
        <f>COUNTIFS($A$3:A12187,A3937,$B$3:B12187,B3937)</f>
        <v>1</v>
      </c>
      <c r="G3937" s="116"/>
    </row>
    <row r="3938" spans="1:7" x14ac:dyDescent="0.2">
      <c r="A3938" s="116">
        <f>IF(ISNUMBER(Tabela2[[#This Row],[CT-e/NFS]])=TRUE,(IF(B3938&gt;30000,4,IF(B3938&lt;1000,"ND",0))),"-")</f>
        <v>4</v>
      </c>
      <c r="B3938" s="116">
        <v>48218</v>
      </c>
      <c r="C3938" s="117">
        <v>45495</v>
      </c>
      <c r="D3938" s="116">
        <v>124.2</v>
      </c>
      <c r="E3938" s="117">
        <v>45503</v>
      </c>
      <c r="F3938" s="116">
        <f>COUNTIFS($A$3:A12188,A3938,$B$3:B12188,B3938)</f>
        <v>1</v>
      </c>
      <c r="G3938" s="116"/>
    </row>
    <row r="3939" spans="1:7" x14ac:dyDescent="0.2">
      <c r="A3939" s="116">
        <f>IF(ISNUMBER(Tabela2[[#This Row],[CT-e/NFS]])=TRUE,(IF(B3939&gt;30000,4,IF(B3939&lt;1000,"ND",0))),"-")</f>
        <v>4</v>
      </c>
      <c r="B3939" s="116">
        <v>48221</v>
      </c>
      <c r="C3939" s="117">
        <v>45495</v>
      </c>
      <c r="D3939" s="116">
        <v>122.89</v>
      </c>
      <c r="E3939" s="117">
        <v>45503</v>
      </c>
      <c r="F3939" s="116">
        <f>COUNTIFS($A$3:A12189,A3939,$B$3:B12189,B3939)</f>
        <v>1</v>
      </c>
      <c r="G3939" s="116"/>
    </row>
    <row r="3940" spans="1:7" x14ac:dyDescent="0.2">
      <c r="A3940" s="116">
        <f>IF(ISNUMBER(Tabela2[[#This Row],[CT-e/NFS]])=TRUE,(IF(B3940&gt;30000,4,IF(B3940&lt;1000,"ND",0))),"-")</f>
        <v>4</v>
      </c>
      <c r="B3940" s="116">
        <v>48217</v>
      </c>
      <c r="C3940" s="117">
        <v>45495</v>
      </c>
      <c r="D3940" s="116">
        <v>86.76</v>
      </c>
      <c r="E3940" s="117">
        <v>45503</v>
      </c>
      <c r="F3940" s="116">
        <f>COUNTIFS($A$3:A12190,A3940,$B$3:B12190,B3940)</f>
        <v>1</v>
      </c>
      <c r="G3940" s="116"/>
    </row>
    <row r="3941" spans="1:7" x14ac:dyDescent="0.2">
      <c r="A3941" s="116">
        <f>IF(ISNUMBER(Tabela2[[#This Row],[CT-e/NFS]])=TRUE,(IF(B3941&gt;30000,4,IF(B3941&lt;1000,"ND",0))),"-")</f>
        <v>4</v>
      </c>
      <c r="B3941" s="116">
        <v>48227</v>
      </c>
      <c r="C3941" s="117">
        <v>45495</v>
      </c>
      <c r="D3941" s="116">
        <v>122.74</v>
      </c>
      <c r="E3941" s="117">
        <v>45503</v>
      </c>
      <c r="F3941" s="116">
        <f>COUNTIFS($A$3:A12191,A3941,$B$3:B12191,B3941)</f>
        <v>1</v>
      </c>
      <c r="G3941" s="116"/>
    </row>
    <row r="3942" spans="1:7" x14ac:dyDescent="0.2">
      <c r="A3942" s="116">
        <f>IF(ISNUMBER(Tabela2[[#This Row],[CT-e/NFS]])=TRUE,(IF(B3942&gt;30000,4,IF(B3942&lt;1000,"ND",0))),"-")</f>
        <v>4</v>
      </c>
      <c r="B3942" s="116">
        <v>48228</v>
      </c>
      <c r="C3942" s="117">
        <v>45495</v>
      </c>
      <c r="D3942" s="116">
        <v>123.03</v>
      </c>
      <c r="E3942" s="117">
        <v>45503</v>
      </c>
      <c r="F3942" s="116">
        <f>COUNTIFS($A$3:A12192,A3942,$B$3:B12192,B3942)</f>
        <v>1</v>
      </c>
      <c r="G3942" s="116"/>
    </row>
    <row r="3943" spans="1:7" x14ac:dyDescent="0.2">
      <c r="A3943" s="116">
        <f>IF(ISNUMBER(Tabela2[[#This Row],[CT-e/NFS]])=TRUE,(IF(B3943&gt;30000,4,IF(B3943&lt;1000,"ND",0))),"-")</f>
        <v>0</v>
      </c>
      <c r="B3943" s="116">
        <v>21826</v>
      </c>
      <c r="C3943" s="117">
        <v>45495</v>
      </c>
      <c r="D3943" s="116">
        <v>38.700000000000003</v>
      </c>
      <c r="E3943" s="117">
        <v>45503</v>
      </c>
      <c r="F3943" s="116">
        <f>COUNTIFS($A$3:A12193,A3943,$B$3:B12193,B3943)</f>
        <v>1</v>
      </c>
      <c r="G3943" s="116"/>
    </row>
    <row r="3944" spans="1:7" x14ac:dyDescent="0.2">
      <c r="A3944" s="116">
        <f>IF(ISNUMBER(Tabela2[[#This Row],[CT-e/NFS]])=TRUE,(IF(B3944&gt;30000,4,IF(B3944&lt;1000,"ND",0))),"-")</f>
        <v>0</v>
      </c>
      <c r="B3944" s="116">
        <v>21829</v>
      </c>
      <c r="C3944" s="117">
        <v>45495</v>
      </c>
      <c r="D3944" s="116">
        <v>69.7</v>
      </c>
      <c r="E3944" s="117">
        <v>45503</v>
      </c>
      <c r="F3944" s="116">
        <f>COUNTIFS($A$3:A12194,A3944,$B$3:B12194,B3944)</f>
        <v>1</v>
      </c>
      <c r="G3944" s="116"/>
    </row>
    <row r="3945" spans="1:7" x14ac:dyDescent="0.2">
      <c r="A3945" s="116">
        <f>IF(ISNUMBER(Tabela2[[#This Row],[CT-e/NFS]])=TRUE,(IF(B3945&gt;30000,4,IF(B3945&lt;1000,"ND",0))),"-")</f>
        <v>4</v>
      </c>
      <c r="B3945" s="116">
        <v>48229</v>
      </c>
      <c r="C3945" s="117">
        <v>45495</v>
      </c>
      <c r="D3945" s="116">
        <v>62.1</v>
      </c>
      <c r="E3945" s="117">
        <v>45503</v>
      </c>
      <c r="F3945" s="116">
        <f>COUNTIFS($A$3:A12195,A3945,$B$3:B12195,B3945)</f>
        <v>1</v>
      </c>
      <c r="G3945" s="116"/>
    </row>
    <row r="3946" spans="1:7" x14ac:dyDescent="0.2">
      <c r="A3946" s="116">
        <f>IF(ISNUMBER(Tabela2[[#This Row],[CT-e/NFS]])=TRUE,(IF(B3946&gt;30000,4,IF(B3946&lt;1000,"ND",0))),"-")</f>
        <v>0</v>
      </c>
      <c r="B3946" s="116">
        <v>21861</v>
      </c>
      <c r="C3946" s="117">
        <v>45495</v>
      </c>
      <c r="D3946" s="116">
        <v>77.19</v>
      </c>
      <c r="E3946" s="117">
        <v>45503</v>
      </c>
      <c r="F3946" s="116">
        <f>COUNTIFS($A$3:A12196,A3946,$B$3:B12196,B3946)</f>
        <v>1</v>
      </c>
      <c r="G3946" s="116"/>
    </row>
    <row r="3947" spans="1:7" x14ac:dyDescent="0.2">
      <c r="A3947" s="116">
        <f>IF(ISNUMBER(Tabela2[[#This Row],[CT-e/NFS]])=TRUE,(IF(B3947&gt;30000,4,IF(B3947&lt;1000,"ND",0))),"-")</f>
        <v>0</v>
      </c>
      <c r="B3947" s="116">
        <v>21860</v>
      </c>
      <c r="C3947" s="117">
        <v>45495</v>
      </c>
      <c r="D3947" s="116">
        <v>77.260000000000005</v>
      </c>
      <c r="E3947" s="117">
        <v>45503</v>
      </c>
      <c r="F3947" s="116">
        <f>COUNTIFS($A$3:A12197,A3947,$B$3:B12197,B3947)</f>
        <v>1</v>
      </c>
      <c r="G3947" s="116"/>
    </row>
    <row r="3948" spans="1:7" x14ac:dyDescent="0.2">
      <c r="A3948" s="116">
        <f>IF(ISNUMBER(Tabela2[[#This Row],[CT-e/NFS]])=TRUE,(IF(B3948&gt;30000,4,IF(B3948&lt;1000,"ND",0))),"-")</f>
        <v>0</v>
      </c>
      <c r="B3948" s="116">
        <v>21862</v>
      </c>
      <c r="C3948" s="117">
        <v>45495</v>
      </c>
      <c r="D3948" s="116">
        <v>530.6</v>
      </c>
      <c r="E3948" s="117">
        <v>45503</v>
      </c>
      <c r="F3948" s="116">
        <f>COUNTIFS($A$3:A12198,A3948,$B$3:B12198,B3948)</f>
        <v>1</v>
      </c>
      <c r="G3948" s="116"/>
    </row>
    <row r="3949" spans="1:7" x14ac:dyDescent="0.2">
      <c r="A3949" s="116">
        <f>IF(ISNUMBER(Tabela2[[#This Row],[CT-e/NFS]])=TRUE,(IF(B3949&gt;30000,4,IF(B3949&lt;1000,"ND",0))),"-")</f>
        <v>0</v>
      </c>
      <c r="B3949" s="116">
        <v>21841</v>
      </c>
      <c r="C3949" s="117">
        <v>45495</v>
      </c>
      <c r="D3949" s="116">
        <v>85.71</v>
      </c>
      <c r="E3949" s="117">
        <v>45503</v>
      </c>
      <c r="F3949" s="116">
        <f>COUNTIFS($A$3:A12199,A3949,$B$3:B12199,B3949)</f>
        <v>1</v>
      </c>
      <c r="G3949" s="116"/>
    </row>
    <row r="3950" spans="1:7" x14ac:dyDescent="0.2">
      <c r="A3950" s="116">
        <f>IF(ISNUMBER(Tabela2[[#This Row],[CT-e/NFS]])=TRUE,(IF(B3950&gt;30000,4,IF(B3950&lt;1000,"ND",0))),"-")</f>
        <v>0</v>
      </c>
      <c r="B3950" s="116">
        <v>21848</v>
      </c>
      <c r="C3950" s="117">
        <v>45495</v>
      </c>
      <c r="D3950" s="116">
        <v>154.76</v>
      </c>
      <c r="E3950" s="117">
        <v>45503</v>
      </c>
      <c r="F3950" s="116">
        <f>COUNTIFS($A$3:A12200,A3950,$B$3:B12200,B3950)</f>
        <v>1</v>
      </c>
      <c r="G3950" s="116"/>
    </row>
    <row r="3951" spans="1:7" x14ac:dyDescent="0.2">
      <c r="A3951" s="116">
        <f>IF(ISNUMBER(Tabela2[[#This Row],[CT-e/NFS]])=TRUE,(IF(B3951&gt;30000,4,IF(B3951&lt;1000,"ND",0))),"-")</f>
        <v>0</v>
      </c>
      <c r="B3951" s="116">
        <v>21851</v>
      </c>
      <c r="C3951" s="117">
        <v>45495</v>
      </c>
      <c r="D3951" s="116">
        <v>69.25</v>
      </c>
      <c r="E3951" s="117">
        <v>45503</v>
      </c>
      <c r="F3951" s="116">
        <f>COUNTIFS($A$3:A12201,A3951,$B$3:B12201,B3951)</f>
        <v>1</v>
      </c>
      <c r="G3951" s="116"/>
    </row>
    <row r="3952" spans="1:7" x14ac:dyDescent="0.2">
      <c r="A3952" s="116">
        <f>IF(ISNUMBER(Tabela2[[#This Row],[CT-e/NFS]])=TRUE,(IF(B3952&gt;30000,4,IF(B3952&lt;1000,"ND",0))),"-")</f>
        <v>0</v>
      </c>
      <c r="B3952" s="116">
        <v>21852</v>
      </c>
      <c r="C3952" s="117">
        <v>45495</v>
      </c>
      <c r="D3952" s="116">
        <v>38.4</v>
      </c>
      <c r="E3952" s="117">
        <v>45503</v>
      </c>
      <c r="F3952" s="116">
        <f>COUNTIFS($A$3:A12202,A3952,$B$3:B12202,B3952)</f>
        <v>1</v>
      </c>
      <c r="G3952" s="116"/>
    </row>
    <row r="3953" spans="1:7" x14ac:dyDescent="0.2">
      <c r="A3953" s="116">
        <f>IF(ISNUMBER(Tabela2[[#This Row],[CT-e/NFS]])=TRUE,(IF(B3953&gt;30000,4,IF(B3953&lt;1000,"ND",0))),"-")</f>
        <v>0</v>
      </c>
      <c r="B3953" s="116">
        <v>21814</v>
      </c>
      <c r="C3953" s="117">
        <v>45495</v>
      </c>
      <c r="D3953" s="116">
        <v>37.9</v>
      </c>
      <c r="E3953" s="117">
        <v>45503</v>
      </c>
      <c r="F3953" s="116">
        <f>COUNTIFS($A$3:A12203,A3953,$B$3:B12203,B3953)</f>
        <v>1</v>
      </c>
      <c r="G3953" s="116"/>
    </row>
    <row r="3954" spans="1:7" x14ac:dyDescent="0.2">
      <c r="A3954" s="116">
        <f>IF(ISNUMBER(Tabela2[[#This Row],[CT-e/NFS]])=TRUE,(IF(B3954&gt;30000,4,IF(B3954&lt;1000,"ND",0))),"-")</f>
        <v>0</v>
      </c>
      <c r="B3954" s="116">
        <v>21813</v>
      </c>
      <c r="C3954" s="117">
        <v>45495</v>
      </c>
      <c r="D3954" s="116">
        <v>68.239999999999995</v>
      </c>
      <c r="E3954" s="117">
        <v>45503</v>
      </c>
      <c r="F3954" s="116">
        <f>COUNTIFS($A$3:A12204,A3954,$B$3:B12204,B3954)</f>
        <v>1</v>
      </c>
      <c r="G3954" s="116"/>
    </row>
    <row r="3955" spans="1:7" x14ac:dyDescent="0.2">
      <c r="A3955" s="116">
        <f>IF(ISNUMBER(Tabela2[[#This Row],[CT-e/NFS]])=TRUE,(IF(B3955&gt;30000,4,IF(B3955&lt;1000,"ND",0))),"-")</f>
        <v>0</v>
      </c>
      <c r="B3955" s="116">
        <v>21839</v>
      </c>
      <c r="C3955" s="117">
        <v>45495</v>
      </c>
      <c r="D3955" s="116">
        <v>515.41</v>
      </c>
      <c r="E3955" s="117">
        <v>45503</v>
      </c>
      <c r="F3955" s="116">
        <f>COUNTIFS($A$3:A12205,A3955,$B$3:B12205,B3955)</f>
        <v>1</v>
      </c>
      <c r="G3955" s="116"/>
    </row>
    <row r="3956" spans="1:7" x14ac:dyDescent="0.2">
      <c r="A3956" s="116">
        <f>IF(ISNUMBER(Tabela2[[#This Row],[CT-e/NFS]])=TRUE,(IF(B3956&gt;30000,4,IF(B3956&lt;1000,"ND",0))),"-")</f>
        <v>0</v>
      </c>
      <c r="B3956" s="116">
        <v>21853</v>
      </c>
      <c r="C3956" s="117">
        <v>45495</v>
      </c>
      <c r="D3956" s="116">
        <v>68.13</v>
      </c>
      <c r="E3956" s="117">
        <v>45503</v>
      </c>
      <c r="F3956" s="116">
        <f>COUNTIFS($A$3:A12206,A3956,$B$3:B12206,B3956)</f>
        <v>1</v>
      </c>
      <c r="G3956" s="116"/>
    </row>
    <row r="3957" spans="1:7" x14ac:dyDescent="0.2">
      <c r="A3957" s="116">
        <f>IF(ISNUMBER(Tabela2[[#This Row],[CT-e/NFS]])=TRUE,(IF(B3957&gt;30000,4,IF(B3957&lt;1000,"ND",0))),"-")</f>
        <v>0</v>
      </c>
      <c r="B3957" s="116">
        <v>21855</v>
      </c>
      <c r="C3957" s="117">
        <v>45495</v>
      </c>
      <c r="D3957" s="116">
        <v>37.840000000000003</v>
      </c>
      <c r="E3957" s="117">
        <v>45503</v>
      </c>
      <c r="F3957" s="116">
        <f>COUNTIFS($A$3:A12207,A3957,$B$3:B12207,B3957)</f>
        <v>1</v>
      </c>
      <c r="G3957" s="116"/>
    </row>
    <row r="3958" spans="1:7" x14ac:dyDescent="0.2">
      <c r="A3958" s="116">
        <f>IF(ISNUMBER(Tabela2[[#This Row],[CT-e/NFS]])=TRUE,(IF(B3958&gt;30000,4,IF(B3958&lt;1000,"ND",0))),"-")</f>
        <v>0</v>
      </c>
      <c r="B3958" s="116">
        <v>21828</v>
      </c>
      <c r="C3958" s="117">
        <v>45495</v>
      </c>
      <c r="D3958" s="116">
        <v>597.04</v>
      </c>
      <c r="E3958" s="117">
        <v>45503</v>
      </c>
      <c r="F3958" s="116">
        <f>COUNTIFS($A$3:A12208,A3958,$B$3:B12208,B3958)</f>
        <v>1</v>
      </c>
      <c r="G3958" s="116"/>
    </row>
    <row r="3959" spans="1:7" x14ac:dyDescent="0.2">
      <c r="A3959" s="116">
        <f>IF(ISNUMBER(Tabela2[[#This Row],[CT-e/NFS]])=TRUE,(IF(B3959&gt;30000,4,IF(B3959&lt;1000,"ND",0))),"-")</f>
        <v>4</v>
      </c>
      <c r="B3959" s="116">
        <v>48102</v>
      </c>
      <c r="C3959" s="117">
        <v>45495</v>
      </c>
      <c r="D3959" s="116">
        <v>416.44</v>
      </c>
      <c r="E3959" s="117">
        <v>45503</v>
      </c>
      <c r="F3959" s="116">
        <f>COUNTIFS($A$3:A12209,A3959,$B$3:B12209,B3959)</f>
        <v>1</v>
      </c>
      <c r="G3959" s="116"/>
    </row>
    <row r="3960" spans="1:7" x14ac:dyDescent="0.2">
      <c r="A3960" s="116">
        <f>IF(ISNUMBER(Tabela2[[#This Row],[CT-e/NFS]])=TRUE,(IF(B3960&gt;30000,4,IF(B3960&lt;1000,"ND",0))),"-")</f>
        <v>4</v>
      </c>
      <c r="B3960" s="116">
        <v>48158</v>
      </c>
      <c r="C3960" s="117">
        <v>45495</v>
      </c>
      <c r="D3960" s="116">
        <v>416.44</v>
      </c>
      <c r="E3960" s="117">
        <v>45503</v>
      </c>
      <c r="F3960" s="116">
        <f>COUNTIFS($A$3:A12210,A3960,$B$3:B12210,B3960)</f>
        <v>1</v>
      </c>
      <c r="G3960" s="116"/>
    </row>
    <row r="3961" spans="1:7" x14ac:dyDescent="0.2">
      <c r="A3961" s="116">
        <f>IF(ISNUMBER(Tabela2[[#This Row],[CT-e/NFS]])=TRUE,(IF(B3961&gt;30000,4,IF(B3961&lt;1000,"ND",0))),"-")</f>
        <v>4</v>
      </c>
      <c r="B3961" s="116">
        <v>48130</v>
      </c>
      <c r="C3961" s="117">
        <v>45495</v>
      </c>
      <c r="D3961" s="116">
        <v>367.31</v>
      </c>
      <c r="E3961" s="117">
        <v>45503</v>
      </c>
      <c r="F3961" s="116">
        <f>COUNTIFS($A$3:A12211,A3961,$B$3:B12211,B3961)</f>
        <v>1</v>
      </c>
      <c r="G3961" s="116"/>
    </row>
    <row r="3962" spans="1:7" x14ac:dyDescent="0.2">
      <c r="A3962" s="116">
        <f>IF(ISNUMBER(Tabela2[[#This Row],[CT-e/NFS]])=TRUE,(IF(B3962&gt;30000,4,IF(B3962&lt;1000,"ND",0))),"-")</f>
        <v>4</v>
      </c>
      <c r="B3962" s="116">
        <v>48127</v>
      </c>
      <c r="C3962" s="117">
        <v>45495</v>
      </c>
      <c r="D3962" s="116">
        <v>408.02</v>
      </c>
      <c r="E3962" s="117">
        <v>45503</v>
      </c>
      <c r="F3962" s="116">
        <f>COUNTIFS($A$3:A12212,A3962,$B$3:B12212,B3962)</f>
        <v>1</v>
      </c>
      <c r="G3962" s="116"/>
    </row>
    <row r="3963" spans="1:7" x14ac:dyDescent="0.2">
      <c r="A3963" s="116" t="str">
        <f>IF(ISNUMBER(Tabela2[[#This Row],[CT-e/NFS]])=TRUE,(IF(B3963&gt;30000,4,IF(B3963&lt;1000,"ND",0))),"-")</f>
        <v>ND</v>
      </c>
      <c r="B3963" s="116">
        <v>225</v>
      </c>
      <c r="C3963" s="117">
        <v>45495</v>
      </c>
      <c r="D3963" s="116">
        <v>669.74</v>
      </c>
      <c r="E3963" s="117">
        <v>45503</v>
      </c>
      <c r="F3963" s="116">
        <f>COUNTIFS($A$3:A12213,A3963,$B$3:B12213,B3963)</f>
        <v>1</v>
      </c>
      <c r="G3963" s="116"/>
    </row>
    <row r="3964" spans="1:7" x14ac:dyDescent="0.2">
      <c r="A3964" s="116">
        <f>IF(ISNUMBER(Tabela2[[#This Row],[CT-e/NFS]])=TRUE,(IF(B3964&gt;30000,4,IF(B3964&lt;1000,"ND",0))),"-")</f>
        <v>4</v>
      </c>
      <c r="B3964" s="116">
        <v>48230</v>
      </c>
      <c r="C3964" s="117">
        <v>45505</v>
      </c>
      <c r="D3964" s="116">
        <v>1137.73</v>
      </c>
      <c r="E3964" s="117">
        <v>45519</v>
      </c>
      <c r="F3964" s="116">
        <f>COUNTIFS($A$3:A12214,A3964,$B$3:B12214,B3964)</f>
        <v>1</v>
      </c>
      <c r="G3964" s="116"/>
    </row>
    <row r="3965" spans="1:7" x14ac:dyDescent="0.2">
      <c r="A3965" s="116">
        <f>IF(ISNUMBER(Tabela2[[#This Row],[CT-e/NFS]])=TRUE,(IF(B3965&gt;30000,4,IF(B3965&lt;1000,"ND",0))),"-")</f>
        <v>4</v>
      </c>
      <c r="B3965" s="116">
        <v>48245</v>
      </c>
      <c r="C3965" s="117">
        <v>45505</v>
      </c>
      <c r="D3965" s="116">
        <v>805.91</v>
      </c>
      <c r="E3965" s="117">
        <v>45519</v>
      </c>
      <c r="F3965" s="116">
        <f>COUNTIFS($A$3:A12215,A3965,$B$3:B12215,B3965)</f>
        <v>1</v>
      </c>
      <c r="G3965" s="116"/>
    </row>
    <row r="3966" spans="1:7" x14ac:dyDescent="0.2">
      <c r="A3966" s="116">
        <f>IF(ISNUMBER(Tabela2[[#This Row],[CT-e/NFS]])=TRUE,(IF(B3966&gt;30000,4,IF(B3966&lt;1000,"ND",0))),"-")</f>
        <v>4</v>
      </c>
      <c r="B3966" s="116">
        <v>48243</v>
      </c>
      <c r="C3966" s="117">
        <v>45505</v>
      </c>
      <c r="D3966" s="116">
        <v>609.98</v>
      </c>
      <c r="E3966" s="117">
        <v>45519</v>
      </c>
      <c r="F3966" s="116">
        <f>COUNTIFS($A$3:A12216,A3966,$B$3:B12216,B3966)</f>
        <v>1</v>
      </c>
      <c r="G3966" s="116"/>
    </row>
    <row r="3967" spans="1:7" x14ac:dyDescent="0.2">
      <c r="A3967" s="116">
        <f>IF(ISNUMBER(Tabela2[[#This Row],[CT-e/NFS]])=TRUE,(IF(B3967&gt;30000,4,IF(B3967&lt;1000,"ND",0))),"-")</f>
        <v>4</v>
      </c>
      <c r="B3967" s="116">
        <v>48234</v>
      </c>
      <c r="C3967" s="117">
        <v>45505</v>
      </c>
      <c r="D3967" s="116">
        <v>124.03</v>
      </c>
      <c r="E3967" s="117">
        <v>45519</v>
      </c>
      <c r="F3967" s="116">
        <f>COUNTIFS($A$3:A12217,A3967,$B$3:B12217,B3967)</f>
        <v>1</v>
      </c>
      <c r="G3967" s="116"/>
    </row>
    <row r="3968" spans="1:7" x14ac:dyDescent="0.2">
      <c r="A3968" s="116">
        <f>IF(ISNUMBER(Tabela2[[#This Row],[CT-e/NFS]])=TRUE,(IF(B3968&gt;30000,4,IF(B3968&lt;1000,"ND",0))),"-")</f>
        <v>4</v>
      </c>
      <c r="B3968" s="116">
        <v>48235</v>
      </c>
      <c r="C3968" s="117">
        <v>45505</v>
      </c>
      <c r="D3968" s="116">
        <v>131.9</v>
      </c>
      <c r="E3968" s="117">
        <v>45519</v>
      </c>
      <c r="F3968" s="116">
        <f>COUNTIFS($A$3:A12218,A3968,$B$3:B12218,B3968)</f>
        <v>1</v>
      </c>
      <c r="G3968" s="116"/>
    </row>
    <row r="3969" spans="1:7" x14ac:dyDescent="0.2">
      <c r="A3969" s="116">
        <f>IF(ISNUMBER(Tabela2[[#This Row],[CT-e/NFS]])=TRUE,(IF(B3969&gt;30000,4,IF(B3969&lt;1000,"ND",0))),"-")</f>
        <v>4</v>
      </c>
      <c r="B3969" s="116">
        <v>48236</v>
      </c>
      <c r="C3969" s="117">
        <v>45505</v>
      </c>
      <c r="D3969" s="116">
        <v>123.92</v>
      </c>
      <c r="E3969" s="117">
        <v>45519</v>
      </c>
      <c r="F3969" s="116">
        <f>COUNTIFS($A$3:A12219,A3969,$B$3:B12219,B3969)</f>
        <v>1</v>
      </c>
      <c r="G3969" s="116"/>
    </row>
    <row r="3970" spans="1:7" x14ac:dyDescent="0.2">
      <c r="A3970" s="116">
        <f>IF(ISNUMBER(Tabela2[[#This Row],[CT-e/NFS]])=TRUE,(IF(B3970&gt;30000,4,IF(B3970&lt;1000,"ND",0))),"-")</f>
        <v>4</v>
      </c>
      <c r="B3970" s="116">
        <v>48233</v>
      </c>
      <c r="C3970" s="117">
        <v>45505</v>
      </c>
      <c r="D3970" s="116">
        <v>125.56</v>
      </c>
      <c r="E3970" s="117">
        <v>45519</v>
      </c>
      <c r="F3970" s="116">
        <f>COUNTIFS($A$3:A12220,A3970,$B$3:B12220,B3970)</f>
        <v>1</v>
      </c>
      <c r="G3970" s="116"/>
    </row>
    <row r="3971" spans="1:7" x14ac:dyDescent="0.2">
      <c r="A3971" s="116">
        <f>IF(ISNUMBER(Tabela2[[#This Row],[CT-e/NFS]])=TRUE,(IF(B3971&gt;30000,4,IF(B3971&lt;1000,"ND",0))),"-")</f>
        <v>4</v>
      </c>
      <c r="B3971" s="116">
        <v>48237</v>
      </c>
      <c r="C3971" s="117">
        <v>45505</v>
      </c>
      <c r="D3971" s="116">
        <v>123.89</v>
      </c>
      <c r="E3971" s="117">
        <v>45519</v>
      </c>
      <c r="F3971" s="116">
        <f>COUNTIFS($A$3:A12221,A3971,$B$3:B12221,B3971)</f>
        <v>1</v>
      </c>
      <c r="G3971" s="116"/>
    </row>
    <row r="3972" spans="1:7" x14ac:dyDescent="0.2">
      <c r="A3972" s="116">
        <f>IF(ISNUMBER(Tabela2[[#This Row],[CT-e/NFS]])=TRUE,(IF(B3972&gt;30000,4,IF(B3972&lt;1000,"ND",0))),"-")</f>
        <v>4</v>
      </c>
      <c r="B3972" s="116">
        <v>48238</v>
      </c>
      <c r="C3972" s="117">
        <v>45505</v>
      </c>
      <c r="D3972" s="116">
        <v>1139.3599999999999</v>
      </c>
      <c r="E3972" s="117">
        <v>45519</v>
      </c>
      <c r="F3972" s="116">
        <f>COUNTIFS($A$3:A12222,A3972,$B$3:B12222,B3972)</f>
        <v>1</v>
      </c>
      <c r="G3972" s="116"/>
    </row>
    <row r="3973" spans="1:7" x14ac:dyDescent="0.2">
      <c r="A3973" s="116">
        <f>IF(ISNUMBER(Tabela2[[#This Row],[CT-e/NFS]])=TRUE,(IF(B3973&gt;30000,4,IF(B3973&lt;1000,"ND",0))),"-")</f>
        <v>4</v>
      </c>
      <c r="B3973" s="116">
        <v>48244</v>
      </c>
      <c r="C3973" s="117">
        <v>45505</v>
      </c>
      <c r="D3973" s="116">
        <v>122.92</v>
      </c>
      <c r="E3973" s="117">
        <v>45519</v>
      </c>
      <c r="F3973" s="116">
        <f>COUNTIFS($A$3:A12223,A3973,$B$3:B12223,B3973)</f>
        <v>1</v>
      </c>
      <c r="G3973" s="116"/>
    </row>
    <row r="3974" spans="1:7" x14ac:dyDescent="0.2">
      <c r="A3974" s="116">
        <f>IF(ISNUMBER(Tabela2[[#This Row],[CT-e/NFS]])=TRUE,(IF(B3974&gt;30000,4,IF(B3974&lt;1000,"ND",0))),"-")</f>
        <v>4</v>
      </c>
      <c r="B3974" s="116">
        <v>48241</v>
      </c>
      <c r="C3974" s="117">
        <v>45505</v>
      </c>
      <c r="D3974" s="116">
        <v>213.48</v>
      </c>
      <c r="E3974" s="117">
        <v>45519</v>
      </c>
      <c r="F3974" s="116">
        <f>COUNTIFS($A$3:A12224,A3974,$B$3:B12224,B3974)</f>
        <v>1</v>
      </c>
      <c r="G3974" s="116"/>
    </row>
    <row r="3975" spans="1:7" x14ac:dyDescent="0.2">
      <c r="A3975" s="116">
        <f>IF(ISNUMBER(Tabela2[[#This Row],[CT-e/NFS]])=TRUE,(IF(B3975&gt;30000,4,IF(B3975&lt;1000,"ND",0))),"-")</f>
        <v>4</v>
      </c>
      <c r="B3975" s="116">
        <v>48242</v>
      </c>
      <c r="C3975" s="117">
        <v>45505</v>
      </c>
      <c r="D3975" s="116">
        <v>123.02</v>
      </c>
      <c r="E3975" s="117">
        <v>45519</v>
      </c>
      <c r="F3975" s="116">
        <f>COUNTIFS($A$3:A12225,A3975,$B$3:B12225,B3975)</f>
        <v>1</v>
      </c>
      <c r="G3975" s="116"/>
    </row>
    <row r="3976" spans="1:7" x14ac:dyDescent="0.2">
      <c r="A3976" s="116">
        <f>IF(ISNUMBER(Tabela2[[#This Row],[CT-e/NFS]])=TRUE,(IF(B3976&gt;30000,4,IF(B3976&lt;1000,"ND",0))),"-")</f>
        <v>4</v>
      </c>
      <c r="B3976" s="116">
        <v>48240</v>
      </c>
      <c r="C3976" s="117">
        <v>45505</v>
      </c>
      <c r="D3976" s="116">
        <v>549.78</v>
      </c>
      <c r="E3976" s="117">
        <v>45519</v>
      </c>
      <c r="F3976" s="116">
        <f>COUNTIFS($A$3:A12226,A3976,$B$3:B12226,B3976)</f>
        <v>1</v>
      </c>
      <c r="G3976" s="116"/>
    </row>
    <row r="3977" spans="1:7" x14ac:dyDescent="0.2">
      <c r="A3977" s="116">
        <f>IF(ISNUMBER(Tabela2[[#This Row],[CT-e/NFS]])=TRUE,(IF(B3977&gt;30000,4,IF(B3977&lt;1000,"ND",0))),"-")</f>
        <v>4</v>
      </c>
      <c r="B3977" s="116">
        <v>48239</v>
      </c>
      <c r="C3977" s="117">
        <v>45505</v>
      </c>
      <c r="D3977" s="116">
        <v>123.31</v>
      </c>
      <c r="E3977" s="117">
        <v>45519</v>
      </c>
      <c r="F3977" s="116">
        <f>COUNTIFS($A$3:A12227,A3977,$B$3:B12227,B3977)</f>
        <v>1</v>
      </c>
      <c r="G3977" s="116"/>
    </row>
    <row r="3978" spans="1:7" x14ac:dyDescent="0.2">
      <c r="A3978" s="116">
        <f>IF(ISNUMBER(Tabela2[[#This Row],[CT-e/NFS]])=TRUE,(IF(B3978&gt;30000,4,IF(B3978&lt;1000,"ND",0))),"-")</f>
        <v>4</v>
      </c>
      <c r="B3978" s="116">
        <v>48232</v>
      </c>
      <c r="C3978" s="117">
        <v>45505</v>
      </c>
      <c r="D3978" s="116">
        <v>272.13</v>
      </c>
      <c r="E3978" s="117">
        <v>45519</v>
      </c>
      <c r="F3978" s="116">
        <f>COUNTIFS($A$3:A12228,A3978,$B$3:B12228,B3978)</f>
        <v>1</v>
      </c>
      <c r="G3978" s="116"/>
    </row>
    <row r="3979" spans="1:7" x14ac:dyDescent="0.2">
      <c r="A3979" s="116">
        <f>IF(ISNUMBER(Tabela2[[#This Row],[CT-e/NFS]])=TRUE,(IF(B3979&gt;30000,4,IF(B3979&lt;1000,"ND",0))),"-")</f>
        <v>4</v>
      </c>
      <c r="B3979" s="116">
        <v>48231</v>
      </c>
      <c r="C3979" s="117">
        <v>45505</v>
      </c>
      <c r="D3979" s="116">
        <v>126.24</v>
      </c>
      <c r="E3979" s="117">
        <v>45519</v>
      </c>
      <c r="F3979" s="116">
        <f>COUNTIFS($A$3:A12229,A3979,$B$3:B12229,B3979)</f>
        <v>1</v>
      </c>
      <c r="G3979" s="116"/>
    </row>
    <row r="3980" spans="1:7" x14ac:dyDescent="0.2">
      <c r="A3980" s="116">
        <f>IF(ISNUMBER(Tabela2[[#This Row],[CT-e/NFS]])=TRUE,(IF(B3980&gt;30000,4,IF(B3980&lt;1000,"ND",0))),"-")</f>
        <v>4</v>
      </c>
      <c r="B3980" s="116">
        <v>48249</v>
      </c>
      <c r="C3980" s="117">
        <v>45505</v>
      </c>
      <c r="D3980" s="116">
        <v>384.32</v>
      </c>
      <c r="E3980" s="117">
        <v>45519</v>
      </c>
      <c r="F3980" s="116">
        <f>COUNTIFS($A$3:A12230,A3980,$B$3:B12230,B3980)</f>
        <v>1</v>
      </c>
      <c r="G3980" s="116"/>
    </row>
    <row r="3981" spans="1:7" x14ac:dyDescent="0.2">
      <c r="A3981" s="116">
        <f>IF(ISNUMBER(Tabela2[[#This Row],[CT-e/NFS]])=TRUE,(IF(B3981&gt;30000,4,IF(B3981&lt;1000,"ND",0))),"-")</f>
        <v>0</v>
      </c>
      <c r="B3981" s="116">
        <v>21865</v>
      </c>
      <c r="C3981" s="117">
        <v>45505</v>
      </c>
      <c r="D3981" s="116">
        <v>75.760000000000005</v>
      </c>
      <c r="E3981" s="117">
        <v>45519</v>
      </c>
      <c r="F3981" s="116">
        <f>COUNTIFS($A$3:A12231,A3981,$B$3:B12231,B3981)</f>
        <v>1</v>
      </c>
      <c r="G3981" s="116"/>
    </row>
    <row r="3982" spans="1:7" x14ac:dyDescent="0.2">
      <c r="A3982" s="116">
        <f>IF(ISNUMBER(Tabela2[[#This Row],[CT-e/NFS]])=TRUE,(IF(B3982&gt;30000,4,IF(B3982&lt;1000,"ND",0))),"-")</f>
        <v>0</v>
      </c>
      <c r="B3982" s="116">
        <v>21866</v>
      </c>
      <c r="C3982" s="117">
        <v>45505</v>
      </c>
      <c r="D3982" s="116">
        <v>75.8</v>
      </c>
      <c r="E3982" s="117">
        <v>45519</v>
      </c>
      <c r="F3982" s="116">
        <f>COUNTIFS($A$3:A12232,A3982,$B$3:B12232,B3982)</f>
        <v>1</v>
      </c>
      <c r="G3982" s="116"/>
    </row>
    <row r="3983" spans="1:7" x14ac:dyDescent="0.2">
      <c r="A3983" s="116">
        <f>IF(ISNUMBER(Tabela2[[#This Row],[CT-e/NFS]])=TRUE,(IF(B3983&gt;30000,4,IF(B3983&lt;1000,"ND",0))),"-")</f>
        <v>0</v>
      </c>
      <c r="B3983" s="116">
        <v>21867</v>
      </c>
      <c r="C3983" s="117">
        <v>45505</v>
      </c>
      <c r="D3983" s="116">
        <v>348.37</v>
      </c>
      <c r="E3983" s="117">
        <v>45519</v>
      </c>
      <c r="F3983" s="116">
        <f>COUNTIFS($A$3:A12233,A3983,$B$3:B12233,B3983)</f>
        <v>1</v>
      </c>
      <c r="G3983" s="116"/>
    </row>
    <row r="3984" spans="1:7" x14ac:dyDescent="0.2">
      <c r="A3984" s="116">
        <f>IF(ISNUMBER(Tabela2[[#This Row],[CT-e/NFS]])=TRUE,(IF(B3984&gt;30000,4,IF(B3984&lt;1000,"ND",0))),"-")</f>
        <v>4</v>
      </c>
      <c r="B3984" s="116">
        <v>48251</v>
      </c>
      <c r="C3984" s="117">
        <v>45505</v>
      </c>
      <c r="D3984" s="116">
        <v>1137.73</v>
      </c>
      <c r="E3984" s="117">
        <v>45519</v>
      </c>
      <c r="F3984" s="116">
        <f>COUNTIFS($A$3:A12234,A3984,$B$3:B12234,B3984)</f>
        <v>1</v>
      </c>
      <c r="G3984" s="116"/>
    </row>
    <row r="3985" spans="1:7" x14ac:dyDescent="0.2">
      <c r="A3985" s="116">
        <f>IF(ISNUMBER(Tabela2[[#This Row],[CT-e/NFS]])=TRUE,(IF(B3985&gt;30000,4,IF(B3985&lt;1000,"ND",0))),"-")</f>
        <v>4</v>
      </c>
      <c r="B3985" s="116">
        <v>48266</v>
      </c>
      <c r="C3985" s="117">
        <v>45505</v>
      </c>
      <c r="D3985" s="116">
        <v>125.16</v>
      </c>
      <c r="E3985" s="117">
        <v>45519</v>
      </c>
      <c r="F3985" s="116">
        <f>COUNTIFS($A$3:A12235,A3985,$B$3:B12235,B3985)</f>
        <v>1</v>
      </c>
      <c r="G3985" s="116"/>
    </row>
    <row r="3986" spans="1:7" x14ac:dyDescent="0.2">
      <c r="A3986" s="116">
        <f>IF(ISNUMBER(Tabela2[[#This Row],[CT-e/NFS]])=TRUE,(IF(B3986&gt;30000,4,IF(B3986&lt;1000,"ND",0))),"-")</f>
        <v>4</v>
      </c>
      <c r="B3986" s="116">
        <v>48263</v>
      </c>
      <c r="C3986" s="117">
        <v>45505</v>
      </c>
      <c r="D3986" s="116">
        <v>225.23</v>
      </c>
      <c r="E3986" s="117">
        <v>45519</v>
      </c>
      <c r="F3986" s="116">
        <f>COUNTIFS($A$3:A12236,A3986,$B$3:B12236,B3986)</f>
        <v>1</v>
      </c>
      <c r="G3986" s="116"/>
    </row>
    <row r="3987" spans="1:7" x14ac:dyDescent="0.2">
      <c r="A3987" s="116">
        <f>IF(ISNUMBER(Tabela2[[#This Row],[CT-e/NFS]])=TRUE,(IF(B3987&gt;30000,4,IF(B3987&lt;1000,"ND",0))),"-")</f>
        <v>4</v>
      </c>
      <c r="B3987" s="116">
        <v>48264</v>
      </c>
      <c r="C3987" s="117">
        <v>45505</v>
      </c>
      <c r="D3987" s="116">
        <v>126.66</v>
      </c>
      <c r="E3987" s="117">
        <v>45519</v>
      </c>
      <c r="F3987" s="116">
        <f>COUNTIFS($A$3:A12237,A3987,$B$3:B12237,B3987)</f>
        <v>1</v>
      </c>
      <c r="G3987" s="116"/>
    </row>
    <row r="3988" spans="1:7" x14ac:dyDescent="0.2">
      <c r="A3988" s="116">
        <f>IF(ISNUMBER(Tabela2[[#This Row],[CT-e/NFS]])=TRUE,(IF(B3988&gt;30000,4,IF(B3988&lt;1000,"ND",0))),"-")</f>
        <v>4</v>
      </c>
      <c r="B3988" s="116">
        <v>48259</v>
      </c>
      <c r="C3988" s="117">
        <v>45505</v>
      </c>
      <c r="D3988" s="116">
        <v>122.97</v>
      </c>
      <c r="E3988" s="117">
        <v>45519</v>
      </c>
      <c r="F3988" s="116">
        <f>COUNTIFS($A$3:A12238,A3988,$B$3:B12238,B3988)</f>
        <v>1</v>
      </c>
      <c r="G3988" s="116"/>
    </row>
    <row r="3989" spans="1:7" x14ac:dyDescent="0.2">
      <c r="A3989" s="116">
        <f>IF(ISNUMBER(Tabela2[[#This Row],[CT-e/NFS]])=TRUE,(IF(B3989&gt;30000,4,IF(B3989&lt;1000,"ND",0))),"-")</f>
        <v>4</v>
      </c>
      <c r="B3989" s="116">
        <v>48258</v>
      </c>
      <c r="C3989" s="117">
        <v>45505</v>
      </c>
      <c r="D3989" s="116">
        <v>186.05</v>
      </c>
      <c r="E3989" s="117">
        <v>45519</v>
      </c>
      <c r="F3989" s="116">
        <f>COUNTIFS($A$3:A12239,A3989,$B$3:B12239,B3989)</f>
        <v>1</v>
      </c>
      <c r="G3989" s="116"/>
    </row>
    <row r="3990" spans="1:7" x14ac:dyDescent="0.2">
      <c r="A3990" s="116">
        <f>IF(ISNUMBER(Tabela2[[#This Row],[CT-e/NFS]])=TRUE,(IF(B3990&gt;30000,4,IF(B3990&lt;1000,"ND",0))),"-")</f>
        <v>4</v>
      </c>
      <c r="B3990" s="116">
        <v>48257</v>
      </c>
      <c r="C3990" s="117">
        <v>45505</v>
      </c>
      <c r="D3990" s="116">
        <v>124.24</v>
      </c>
      <c r="E3990" s="117">
        <v>45519</v>
      </c>
      <c r="F3990" s="116">
        <f>COUNTIFS($A$3:A12240,A3990,$B$3:B12240,B3990)</f>
        <v>1</v>
      </c>
      <c r="G3990" s="116"/>
    </row>
    <row r="3991" spans="1:7" x14ac:dyDescent="0.2">
      <c r="A3991" s="116">
        <f>IF(ISNUMBER(Tabela2[[#This Row],[CT-e/NFS]])=TRUE,(IF(B3991&gt;30000,4,IF(B3991&lt;1000,"ND",0))),"-")</f>
        <v>4</v>
      </c>
      <c r="B3991" s="116">
        <v>48252</v>
      </c>
      <c r="C3991" s="117">
        <v>45505</v>
      </c>
      <c r="D3991" s="116">
        <v>126.58</v>
      </c>
      <c r="E3991" s="117">
        <v>45519</v>
      </c>
      <c r="F3991" s="116">
        <f>COUNTIFS($A$3:A12241,A3991,$B$3:B12241,B3991)</f>
        <v>1</v>
      </c>
      <c r="G3991" s="116"/>
    </row>
    <row r="3992" spans="1:7" x14ac:dyDescent="0.2">
      <c r="A3992" s="116">
        <f>IF(ISNUMBER(Tabela2[[#This Row],[CT-e/NFS]])=TRUE,(IF(B3992&gt;30000,4,IF(B3992&lt;1000,"ND",0))),"-")</f>
        <v>4</v>
      </c>
      <c r="B3992" s="116">
        <v>48253</v>
      </c>
      <c r="C3992" s="117">
        <v>45505</v>
      </c>
      <c r="D3992" s="116">
        <v>124.03</v>
      </c>
      <c r="E3992" s="117">
        <v>45519</v>
      </c>
      <c r="F3992" s="116">
        <f>COUNTIFS($A$3:A12242,A3992,$B$3:B12242,B3992)</f>
        <v>1</v>
      </c>
      <c r="G3992" s="116"/>
    </row>
    <row r="3993" spans="1:7" x14ac:dyDescent="0.2">
      <c r="A3993" s="116">
        <f>IF(ISNUMBER(Tabela2[[#This Row],[CT-e/NFS]])=TRUE,(IF(B3993&gt;30000,4,IF(B3993&lt;1000,"ND",0))),"-")</f>
        <v>4</v>
      </c>
      <c r="B3993" s="116">
        <v>48255</v>
      </c>
      <c r="C3993" s="117">
        <v>45505</v>
      </c>
      <c r="D3993" s="116">
        <v>123.92</v>
      </c>
      <c r="E3993" s="117">
        <v>45519</v>
      </c>
      <c r="F3993" s="116">
        <f>COUNTIFS($A$3:A12243,A3993,$B$3:B12243,B3993)</f>
        <v>1</v>
      </c>
      <c r="G3993" s="116"/>
    </row>
    <row r="3994" spans="1:7" x14ac:dyDescent="0.2">
      <c r="A3994" s="116">
        <f>IF(ISNUMBER(Tabela2[[#This Row],[CT-e/NFS]])=TRUE,(IF(B3994&gt;30000,4,IF(B3994&lt;1000,"ND",0))),"-")</f>
        <v>4</v>
      </c>
      <c r="B3994" s="116">
        <v>48273</v>
      </c>
      <c r="C3994" s="117">
        <v>45505</v>
      </c>
      <c r="D3994" s="116">
        <v>62.77</v>
      </c>
      <c r="E3994" s="117">
        <v>45519</v>
      </c>
      <c r="F3994" s="116">
        <f>COUNTIFS($A$3:A12244,A3994,$B$3:B12244,B3994)</f>
        <v>1</v>
      </c>
      <c r="G3994" s="116"/>
    </row>
    <row r="3995" spans="1:7" x14ac:dyDescent="0.2">
      <c r="A3995" s="116">
        <f>IF(ISNUMBER(Tabela2[[#This Row],[CT-e/NFS]])=TRUE,(IF(B3995&gt;30000,4,IF(B3995&lt;1000,"ND",0))),"-")</f>
        <v>4</v>
      </c>
      <c r="B3995" s="116">
        <v>48260</v>
      </c>
      <c r="C3995" s="117">
        <v>45505</v>
      </c>
      <c r="D3995" s="116">
        <v>242.19</v>
      </c>
      <c r="E3995" s="117">
        <v>45519</v>
      </c>
      <c r="F3995" s="116">
        <f>COUNTIFS($A$3:A12245,A3995,$B$3:B12245,B3995)</f>
        <v>1</v>
      </c>
      <c r="G3995" s="116"/>
    </row>
    <row r="3996" spans="1:7" x14ac:dyDescent="0.2">
      <c r="A3996" s="116">
        <f>IF(ISNUMBER(Tabela2[[#This Row],[CT-e/NFS]])=TRUE,(IF(B3996&gt;30000,4,IF(B3996&lt;1000,"ND",0))),"-")</f>
        <v>4</v>
      </c>
      <c r="B3996" s="116">
        <v>48256</v>
      </c>
      <c r="C3996" s="117">
        <v>45505</v>
      </c>
      <c r="D3996" s="116">
        <v>125.56</v>
      </c>
      <c r="E3996" s="117">
        <v>45519</v>
      </c>
      <c r="F3996" s="116">
        <f>COUNTIFS($A$3:A12246,A3996,$B$3:B12246,B3996)</f>
        <v>1</v>
      </c>
      <c r="G3996" s="116"/>
    </row>
    <row r="3997" spans="1:7" x14ac:dyDescent="0.2">
      <c r="A3997" s="116">
        <f>IF(ISNUMBER(Tabela2[[#This Row],[CT-e/NFS]])=TRUE,(IF(B3997&gt;30000,4,IF(B3997&lt;1000,"ND",0))),"-")</f>
        <v>4</v>
      </c>
      <c r="B3997" s="116">
        <v>48254</v>
      </c>
      <c r="C3997" s="117">
        <v>45505</v>
      </c>
      <c r="D3997" s="116">
        <v>126.35</v>
      </c>
      <c r="E3997" s="117">
        <v>45519</v>
      </c>
      <c r="F3997" s="116">
        <f>COUNTIFS($A$3:A12247,A3997,$B$3:B12247,B3997)</f>
        <v>1</v>
      </c>
      <c r="G3997" s="116"/>
    </row>
    <row r="3998" spans="1:7" x14ac:dyDescent="0.2">
      <c r="A3998" s="116">
        <f>IF(ISNUMBER(Tabela2[[#This Row],[CT-e/NFS]])=TRUE,(IF(B3998&gt;30000,4,IF(B3998&lt;1000,"ND",0))),"-")</f>
        <v>4</v>
      </c>
      <c r="B3998" s="116">
        <v>48274</v>
      </c>
      <c r="C3998" s="117">
        <v>45505</v>
      </c>
      <c r="D3998" s="116">
        <v>111.78</v>
      </c>
      <c r="E3998" s="117">
        <v>45519</v>
      </c>
      <c r="F3998" s="116">
        <f>COUNTIFS($A$3:A12248,A3998,$B$3:B12248,B3998)</f>
        <v>1</v>
      </c>
      <c r="G3998" s="116"/>
    </row>
    <row r="3999" spans="1:7" x14ac:dyDescent="0.2">
      <c r="A3999" s="116">
        <f>IF(ISNUMBER(Tabela2[[#This Row],[CT-e/NFS]])=TRUE,(IF(B3999&gt;30000,4,IF(B3999&lt;1000,"ND",0))),"-")</f>
        <v>4</v>
      </c>
      <c r="B3999" s="116">
        <v>48267</v>
      </c>
      <c r="C3999" s="117">
        <v>45505</v>
      </c>
      <c r="D3999" s="116">
        <v>123.9</v>
      </c>
      <c r="E3999" s="117">
        <v>45519</v>
      </c>
      <c r="F3999" s="116">
        <f>COUNTIFS($A$3:A12249,A3999,$B$3:B12249,B3999)</f>
        <v>1</v>
      </c>
      <c r="G3999" s="116"/>
    </row>
    <row r="4000" spans="1:7" x14ac:dyDescent="0.2">
      <c r="A4000" s="116">
        <f>IF(ISNUMBER(Tabela2[[#This Row],[CT-e/NFS]])=TRUE,(IF(B4000&gt;30000,4,IF(B4000&lt;1000,"ND",0))),"-")</f>
        <v>4</v>
      </c>
      <c r="B4000" s="116">
        <v>48272</v>
      </c>
      <c r="C4000" s="117">
        <v>45505</v>
      </c>
      <c r="D4000" s="116">
        <v>62.1</v>
      </c>
      <c r="E4000" s="117">
        <v>45519</v>
      </c>
      <c r="F4000" s="116">
        <f>COUNTIFS($A$3:A12250,A4000,$B$3:B12250,B4000)</f>
        <v>1</v>
      </c>
      <c r="G4000" s="116"/>
    </row>
    <row r="4001" spans="1:7" x14ac:dyDescent="0.2">
      <c r="A4001" s="116">
        <f>IF(ISNUMBER(Tabela2[[#This Row],[CT-e/NFS]])=TRUE,(IF(B4001&gt;30000,4,IF(B4001&lt;1000,"ND",0))),"-")</f>
        <v>4</v>
      </c>
      <c r="B4001" s="116">
        <v>48271</v>
      </c>
      <c r="C4001" s="117">
        <v>45505</v>
      </c>
      <c r="D4001" s="116">
        <v>445.85</v>
      </c>
      <c r="E4001" s="117">
        <v>45519</v>
      </c>
      <c r="F4001" s="116">
        <f>COUNTIFS($A$3:A12251,A4001,$B$3:B12251,B4001)</f>
        <v>1</v>
      </c>
      <c r="G4001" s="116"/>
    </row>
    <row r="4002" spans="1:7" x14ac:dyDescent="0.2">
      <c r="A4002" s="116">
        <f>IF(ISNUMBER(Tabela2[[#This Row],[CT-e/NFS]])=TRUE,(IF(B4002&gt;30000,4,IF(B4002&lt;1000,"ND",0))),"-")</f>
        <v>4</v>
      </c>
      <c r="B4002" s="116">
        <v>48275</v>
      </c>
      <c r="C4002" s="117">
        <v>45505</v>
      </c>
      <c r="D4002" s="116">
        <v>113.28</v>
      </c>
      <c r="E4002" s="117">
        <v>45519</v>
      </c>
      <c r="F4002" s="116">
        <f>COUNTIFS($A$3:A12252,A4002,$B$3:B12252,B4002)</f>
        <v>1</v>
      </c>
      <c r="G4002" s="116"/>
    </row>
    <row r="4003" spans="1:7" x14ac:dyDescent="0.2">
      <c r="A4003" s="116">
        <f>IF(ISNUMBER(Tabela2[[#This Row],[CT-e/NFS]])=TRUE,(IF(B4003&gt;30000,4,IF(B4003&lt;1000,"ND",0))),"-")</f>
        <v>4</v>
      </c>
      <c r="B4003" s="116">
        <v>48270</v>
      </c>
      <c r="C4003" s="117">
        <v>45505</v>
      </c>
      <c r="D4003" s="116">
        <v>124.15</v>
      </c>
      <c r="E4003" s="117">
        <v>45519</v>
      </c>
      <c r="F4003" s="116">
        <f>COUNTIFS($A$3:A12253,A4003,$B$3:B12253,B4003)</f>
        <v>1</v>
      </c>
      <c r="G4003" s="116"/>
    </row>
    <row r="4004" spans="1:7" x14ac:dyDescent="0.2">
      <c r="A4004" s="116">
        <f>IF(ISNUMBER(Tabela2[[#This Row],[CT-e/NFS]])=TRUE,(IF(B4004&gt;30000,4,IF(B4004&lt;1000,"ND",0))),"-")</f>
        <v>4</v>
      </c>
      <c r="B4004" s="116">
        <v>48268</v>
      </c>
      <c r="C4004" s="117">
        <v>45505</v>
      </c>
      <c r="D4004" s="116">
        <v>123.9</v>
      </c>
      <c r="E4004" s="117">
        <v>45519</v>
      </c>
      <c r="F4004" s="116">
        <f>COUNTIFS($A$3:A12254,A4004,$B$3:B12254,B4004)</f>
        <v>1</v>
      </c>
      <c r="G4004" s="116"/>
    </row>
    <row r="4005" spans="1:7" x14ac:dyDescent="0.2">
      <c r="A4005" s="116">
        <f>IF(ISNUMBER(Tabela2[[#This Row],[CT-e/NFS]])=TRUE,(IF(B4005&gt;30000,4,IF(B4005&lt;1000,"ND",0))),"-")</f>
        <v>4</v>
      </c>
      <c r="B4005" s="116">
        <v>48262</v>
      </c>
      <c r="C4005" s="117">
        <v>45505</v>
      </c>
      <c r="D4005" s="116">
        <v>124.66</v>
      </c>
      <c r="E4005" s="117">
        <v>45519</v>
      </c>
      <c r="F4005" s="116">
        <f>COUNTIFS($A$3:A12255,A4005,$B$3:B12255,B4005)</f>
        <v>1</v>
      </c>
      <c r="G4005" s="116"/>
    </row>
    <row r="4006" spans="1:7" x14ac:dyDescent="0.2">
      <c r="A4006" s="116">
        <f>IF(ISNUMBER(Tabela2[[#This Row],[CT-e/NFS]])=TRUE,(IF(B4006&gt;30000,4,IF(B4006&lt;1000,"ND",0))),"-")</f>
        <v>4</v>
      </c>
      <c r="B4006" s="116">
        <v>48269</v>
      </c>
      <c r="C4006" s="117">
        <v>45505</v>
      </c>
      <c r="D4006" s="116">
        <v>124.03</v>
      </c>
      <c r="E4006" s="117">
        <v>45519</v>
      </c>
      <c r="F4006" s="116">
        <f>COUNTIFS($A$3:A12256,A4006,$B$3:B12256,B4006)</f>
        <v>1</v>
      </c>
      <c r="G4006" s="116"/>
    </row>
    <row r="4007" spans="1:7" x14ac:dyDescent="0.2">
      <c r="A4007" s="116">
        <f>IF(ISNUMBER(Tabela2[[#This Row],[CT-e/NFS]])=TRUE,(IF(B4007&gt;30000,4,IF(B4007&lt;1000,"ND",0))),"-")</f>
        <v>4</v>
      </c>
      <c r="B4007" s="116">
        <v>48261</v>
      </c>
      <c r="C4007" s="117">
        <v>45505</v>
      </c>
      <c r="D4007" s="116">
        <v>124.73</v>
      </c>
      <c r="E4007" s="117">
        <v>45519</v>
      </c>
      <c r="F4007" s="116">
        <f>COUNTIFS($A$3:A12257,A4007,$B$3:B12257,B4007)</f>
        <v>1</v>
      </c>
      <c r="G4007" s="116"/>
    </row>
    <row r="4008" spans="1:7" x14ac:dyDescent="0.2">
      <c r="A4008" s="116">
        <f>IF(ISNUMBER(Tabela2[[#This Row],[CT-e/NFS]])=TRUE,(IF(B4008&gt;30000,4,IF(B4008&lt;1000,"ND",0))),"-")</f>
        <v>4</v>
      </c>
      <c r="B4008" s="116">
        <v>48276</v>
      </c>
      <c r="C4008" s="117">
        <v>45505</v>
      </c>
      <c r="D4008" s="116">
        <v>995.85</v>
      </c>
      <c r="E4008" s="117">
        <v>45519</v>
      </c>
      <c r="F4008" s="116">
        <f>COUNTIFS($A$3:A12258,A4008,$B$3:B12258,B4008)</f>
        <v>1</v>
      </c>
      <c r="G4008" s="116"/>
    </row>
    <row r="4009" spans="1:7" x14ac:dyDescent="0.2">
      <c r="A4009" s="116">
        <f>IF(ISNUMBER(Tabela2[[#This Row],[CT-e/NFS]])=TRUE,(IF(B4009&gt;30000,4,IF(B4009&lt;1000,"ND",0))),"-")</f>
        <v>0</v>
      </c>
      <c r="B4009" s="116">
        <v>21875</v>
      </c>
      <c r="C4009" s="117">
        <v>45505</v>
      </c>
      <c r="D4009" s="116">
        <v>77.680000000000007</v>
      </c>
      <c r="E4009" s="117">
        <v>45519</v>
      </c>
      <c r="F4009" s="116">
        <f>COUNTIFS($A$3:A12259,A4009,$B$3:B12259,B4009)</f>
        <v>1</v>
      </c>
      <c r="G4009" s="116"/>
    </row>
    <row r="4010" spans="1:7" x14ac:dyDescent="0.2">
      <c r="A4010" s="116">
        <f>IF(ISNUMBER(Tabela2[[#This Row],[CT-e/NFS]])=TRUE,(IF(B4010&gt;30000,4,IF(B4010&lt;1000,"ND",0))),"-")</f>
        <v>0</v>
      </c>
      <c r="B4010" s="116">
        <v>21874</v>
      </c>
      <c r="C4010" s="117">
        <v>45505</v>
      </c>
      <c r="D4010" s="116">
        <v>76.36</v>
      </c>
      <c r="E4010" s="117">
        <v>45519</v>
      </c>
      <c r="F4010" s="116">
        <f>COUNTIFS($A$3:A12260,A4010,$B$3:B12260,B4010)</f>
        <v>1</v>
      </c>
      <c r="G4010" s="116"/>
    </row>
    <row r="4011" spans="1:7" x14ac:dyDescent="0.2">
      <c r="A4011" s="116">
        <f>IF(ISNUMBER(Tabela2[[#This Row],[CT-e/NFS]])=TRUE,(IF(B4011&gt;30000,4,IF(B4011&lt;1000,"ND",0))),"-")</f>
        <v>0</v>
      </c>
      <c r="B4011" s="116">
        <v>21873</v>
      </c>
      <c r="C4011" s="117">
        <v>45505</v>
      </c>
      <c r="D4011" s="116">
        <v>76.23</v>
      </c>
      <c r="E4011" s="117">
        <v>45519</v>
      </c>
      <c r="F4011" s="116">
        <f>COUNTIFS($A$3:A12261,A4011,$B$3:B12261,B4011)</f>
        <v>1</v>
      </c>
      <c r="G4011" s="116"/>
    </row>
    <row r="4012" spans="1:7" x14ac:dyDescent="0.2">
      <c r="A4012" s="116">
        <f>IF(ISNUMBER(Tabela2[[#This Row],[CT-e/NFS]])=TRUE,(IF(B4012&gt;30000,4,IF(B4012&lt;1000,"ND",0))),"-")</f>
        <v>4</v>
      </c>
      <c r="B4012" s="116">
        <v>48280</v>
      </c>
      <c r="C4012" s="117">
        <v>45505</v>
      </c>
      <c r="D4012" s="116">
        <v>591.72</v>
      </c>
      <c r="E4012" s="117">
        <v>45519</v>
      </c>
      <c r="F4012" s="116">
        <f>COUNTIFS($A$3:A12262,A4012,$B$3:B12262,B4012)</f>
        <v>1</v>
      </c>
      <c r="G4012" s="116"/>
    </row>
    <row r="4013" spans="1:7" x14ac:dyDescent="0.2">
      <c r="A4013" s="116">
        <f>IF(ISNUMBER(Tabela2[[#This Row],[CT-e/NFS]])=TRUE,(IF(B4013&gt;30000,4,IF(B4013&lt;1000,"ND",0))),"-")</f>
        <v>4</v>
      </c>
      <c r="B4013" s="116">
        <v>48279</v>
      </c>
      <c r="C4013" s="117">
        <v>45505</v>
      </c>
      <c r="D4013" s="116">
        <v>785.6</v>
      </c>
      <c r="E4013" s="117">
        <v>45519</v>
      </c>
      <c r="F4013" s="116">
        <f>COUNTIFS($A$3:A12263,A4013,$B$3:B12263,B4013)</f>
        <v>1</v>
      </c>
      <c r="G4013" s="116"/>
    </row>
    <row r="4014" spans="1:7" x14ac:dyDescent="0.2">
      <c r="A4014" s="116">
        <f>IF(ISNUMBER(Tabela2[[#This Row],[CT-e/NFS]])=TRUE,(IF(B4014&gt;30000,4,IF(B4014&lt;1000,"ND",0))),"-")</f>
        <v>4</v>
      </c>
      <c r="B4014" s="116">
        <v>48278</v>
      </c>
      <c r="C4014" s="117">
        <v>45505</v>
      </c>
      <c r="D4014" s="116">
        <v>181.47</v>
      </c>
      <c r="E4014" s="117">
        <v>45519</v>
      </c>
      <c r="F4014" s="116">
        <f>COUNTIFS($A$3:A12264,A4014,$B$3:B12264,B4014)</f>
        <v>1</v>
      </c>
      <c r="G4014" s="116"/>
    </row>
    <row r="4015" spans="1:7" x14ac:dyDescent="0.2">
      <c r="A4015" s="116">
        <f>IF(ISNUMBER(Tabela2[[#This Row],[CT-e/NFS]])=TRUE,(IF(B4015&gt;30000,4,IF(B4015&lt;1000,"ND",0))),"-")</f>
        <v>4</v>
      </c>
      <c r="B4015" s="116">
        <v>48281</v>
      </c>
      <c r="C4015" s="117">
        <v>45505</v>
      </c>
      <c r="D4015" s="116">
        <v>1137.73</v>
      </c>
      <c r="E4015" s="117">
        <v>45519</v>
      </c>
      <c r="F4015" s="116">
        <f>COUNTIFS($A$3:A12265,A4015,$B$3:B12265,B4015)</f>
        <v>1</v>
      </c>
      <c r="G4015" s="116"/>
    </row>
    <row r="4016" spans="1:7" x14ac:dyDescent="0.2">
      <c r="A4016" s="116">
        <f>IF(ISNUMBER(Tabela2[[#This Row],[CT-e/NFS]])=TRUE,(IF(B4016&gt;30000,4,IF(B4016&lt;1000,"ND",0))),"-")</f>
        <v>4</v>
      </c>
      <c r="B4016" s="116">
        <v>48282</v>
      </c>
      <c r="C4016" s="117">
        <v>45505</v>
      </c>
      <c r="D4016" s="116">
        <v>527.26</v>
      </c>
      <c r="E4016" s="117">
        <v>45519</v>
      </c>
      <c r="F4016" s="116">
        <f>COUNTIFS($A$3:A12266,A4016,$B$3:B12266,B4016)</f>
        <v>1</v>
      </c>
      <c r="G4016" s="116"/>
    </row>
    <row r="4017" spans="1:7" x14ac:dyDescent="0.2">
      <c r="A4017" s="116">
        <f>IF(ISNUMBER(Tabela2[[#This Row],[CT-e/NFS]])=TRUE,(IF(B4017&gt;30000,4,IF(B4017&lt;1000,"ND",0))),"-")</f>
        <v>4</v>
      </c>
      <c r="B4017" s="116">
        <v>48286</v>
      </c>
      <c r="C4017" s="117">
        <v>45505</v>
      </c>
      <c r="D4017" s="116">
        <v>86.19</v>
      </c>
      <c r="E4017" s="117">
        <v>45519</v>
      </c>
      <c r="F4017" s="116">
        <f>COUNTIFS($A$3:A12267,A4017,$B$3:B12267,B4017)</f>
        <v>1</v>
      </c>
      <c r="G4017" s="116"/>
    </row>
    <row r="4018" spans="1:7" x14ac:dyDescent="0.2">
      <c r="A4018" s="116">
        <f>IF(ISNUMBER(Tabela2[[#This Row],[CT-e/NFS]])=TRUE,(IF(B4018&gt;30000,4,IF(B4018&lt;1000,"ND",0))),"-")</f>
        <v>4</v>
      </c>
      <c r="B4018" s="116">
        <v>48285</v>
      </c>
      <c r="C4018" s="117">
        <v>45505</v>
      </c>
      <c r="D4018" s="116">
        <v>125.56</v>
      </c>
      <c r="E4018" s="117">
        <v>45519</v>
      </c>
      <c r="F4018" s="116">
        <f>COUNTIFS($A$3:A12268,A4018,$B$3:B12268,B4018)</f>
        <v>1</v>
      </c>
      <c r="G4018" s="116"/>
    </row>
    <row r="4019" spans="1:7" x14ac:dyDescent="0.2">
      <c r="A4019" s="116">
        <f>IF(ISNUMBER(Tabela2[[#This Row],[CT-e/NFS]])=TRUE,(IF(B4019&gt;30000,4,IF(B4019&lt;1000,"ND",0))),"-")</f>
        <v>4</v>
      </c>
      <c r="B4019" s="116">
        <v>48288</v>
      </c>
      <c r="C4019" s="117">
        <v>45505</v>
      </c>
      <c r="D4019" s="116">
        <v>123.86</v>
      </c>
      <c r="E4019" s="117">
        <v>45519</v>
      </c>
      <c r="F4019" s="116">
        <f>COUNTIFS($A$3:A12269,A4019,$B$3:B12269,B4019)</f>
        <v>1</v>
      </c>
      <c r="G4019" s="116"/>
    </row>
    <row r="4020" spans="1:7" x14ac:dyDescent="0.2">
      <c r="A4020" s="116">
        <f>IF(ISNUMBER(Tabela2[[#This Row],[CT-e/NFS]])=TRUE,(IF(B4020&gt;30000,4,IF(B4020&lt;1000,"ND",0))),"-")</f>
        <v>4</v>
      </c>
      <c r="B4020" s="116">
        <v>48265</v>
      </c>
      <c r="C4020" s="117">
        <v>45505</v>
      </c>
      <c r="D4020" s="116">
        <v>134.05000000000001</v>
      </c>
      <c r="E4020" s="117">
        <v>45519</v>
      </c>
      <c r="F4020" s="116">
        <f>COUNTIFS($A$3:A12270,A4020,$B$3:B12270,B4020)</f>
        <v>1</v>
      </c>
      <c r="G4020" s="116"/>
    </row>
    <row r="4021" spans="1:7" x14ac:dyDescent="0.2">
      <c r="A4021" s="116">
        <f>IF(ISNUMBER(Tabela2[[#This Row],[CT-e/NFS]])=TRUE,(IF(B4021&gt;30000,4,IF(B4021&lt;1000,"ND",0))),"-")</f>
        <v>4</v>
      </c>
      <c r="B4021" s="116">
        <v>48289</v>
      </c>
      <c r="C4021" s="117">
        <v>45505</v>
      </c>
      <c r="D4021" s="116">
        <v>124.03</v>
      </c>
      <c r="E4021" s="117">
        <v>45519</v>
      </c>
      <c r="F4021" s="116">
        <f>COUNTIFS($A$3:A12271,A4021,$B$3:B12271,B4021)</f>
        <v>1</v>
      </c>
      <c r="G4021" s="116"/>
    </row>
    <row r="4022" spans="1:7" x14ac:dyDescent="0.2">
      <c r="A4022" s="116">
        <f>IF(ISNUMBER(Tabela2[[#This Row],[CT-e/NFS]])=TRUE,(IF(B4022&gt;30000,4,IF(B4022&lt;1000,"ND",0))),"-")</f>
        <v>4</v>
      </c>
      <c r="B4022" s="116">
        <v>48284</v>
      </c>
      <c r="C4022" s="117">
        <v>45505</v>
      </c>
      <c r="D4022" s="116">
        <v>239.08</v>
      </c>
      <c r="E4022" s="117">
        <v>45519</v>
      </c>
      <c r="F4022" s="116">
        <f>COUNTIFS($A$3:A12272,A4022,$B$3:B12272,B4022)</f>
        <v>1</v>
      </c>
      <c r="G4022" s="116"/>
    </row>
    <row r="4023" spans="1:7" x14ac:dyDescent="0.2">
      <c r="A4023" s="116">
        <f>IF(ISNUMBER(Tabela2[[#This Row],[CT-e/NFS]])=TRUE,(IF(B4023&gt;30000,4,IF(B4023&lt;1000,"ND",0))),"-")</f>
        <v>4</v>
      </c>
      <c r="B4023" s="116">
        <v>48290</v>
      </c>
      <c r="C4023" s="117">
        <v>45505</v>
      </c>
      <c r="D4023" s="116">
        <v>732.83</v>
      </c>
      <c r="E4023" s="117">
        <v>45519</v>
      </c>
      <c r="F4023" s="116">
        <f>COUNTIFS($A$3:A12273,A4023,$B$3:B12273,B4023)</f>
        <v>1</v>
      </c>
      <c r="G4023" s="116"/>
    </row>
    <row r="4024" spans="1:7" x14ac:dyDescent="0.2">
      <c r="A4024" s="116">
        <f>IF(ISNUMBER(Tabela2[[#This Row],[CT-e/NFS]])=TRUE,(IF(B4024&gt;30000,4,IF(B4024&lt;1000,"ND",0))),"-")</f>
        <v>4</v>
      </c>
      <c r="B4024" s="116">
        <v>48293</v>
      </c>
      <c r="C4024" s="117">
        <v>45505</v>
      </c>
      <c r="D4024" s="116">
        <v>125.08</v>
      </c>
      <c r="E4024" s="117">
        <v>45519</v>
      </c>
      <c r="F4024" s="116">
        <f>COUNTIFS($A$3:A12274,A4024,$B$3:B12274,B4024)</f>
        <v>1</v>
      </c>
      <c r="G4024" s="116"/>
    </row>
    <row r="4025" spans="1:7" x14ac:dyDescent="0.2">
      <c r="A4025" s="116">
        <f>IF(ISNUMBER(Tabela2[[#This Row],[CT-e/NFS]])=TRUE,(IF(B4025&gt;30000,4,IF(B4025&lt;1000,"ND",0))),"-")</f>
        <v>4</v>
      </c>
      <c r="B4025" s="116">
        <v>48292</v>
      </c>
      <c r="C4025" s="117">
        <v>45505</v>
      </c>
      <c r="D4025" s="116">
        <v>124.66</v>
      </c>
      <c r="E4025" s="117">
        <v>45519</v>
      </c>
      <c r="F4025" s="116">
        <f>COUNTIFS($A$3:A12275,A4025,$B$3:B12275,B4025)</f>
        <v>1</v>
      </c>
      <c r="G4025" s="116"/>
    </row>
    <row r="4026" spans="1:7" x14ac:dyDescent="0.2">
      <c r="A4026" s="116">
        <f>IF(ISNUMBER(Tabela2[[#This Row],[CT-e/NFS]])=TRUE,(IF(B4026&gt;30000,4,IF(B4026&lt;1000,"ND",0))),"-")</f>
        <v>4</v>
      </c>
      <c r="B4026" s="116">
        <v>48283</v>
      </c>
      <c r="C4026" s="117">
        <v>45505</v>
      </c>
      <c r="D4026" s="116">
        <v>454.19</v>
      </c>
      <c r="E4026" s="117">
        <v>45519</v>
      </c>
      <c r="F4026" s="116">
        <f>COUNTIFS($A$3:A12276,A4026,$B$3:B12276,B4026)</f>
        <v>1</v>
      </c>
      <c r="G4026" s="116"/>
    </row>
    <row r="4027" spans="1:7" x14ac:dyDescent="0.2">
      <c r="A4027" s="116">
        <f>IF(ISNUMBER(Tabela2[[#This Row],[CT-e/NFS]])=TRUE,(IF(B4027&gt;30000,4,IF(B4027&lt;1000,"ND",0))),"-")</f>
        <v>4</v>
      </c>
      <c r="B4027" s="116">
        <v>48294</v>
      </c>
      <c r="C4027" s="117">
        <v>45505</v>
      </c>
      <c r="D4027" s="116">
        <v>1048.6300000000001</v>
      </c>
      <c r="E4027" s="117">
        <v>45519</v>
      </c>
      <c r="F4027" s="116">
        <f>COUNTIFS($A$3:A12277,A4027,$B$3:B12277,B4027)</f>
        <v>1</v>
      </c>
      <c r="G4027" s="116"/>
    </row>
    <row r="4028" spans="1:7" x14ac:dyDescent="0.2">
      <c r="A4028" s="116">
        <f>IF(ISNUMBER(Tabela2[[#This Row],[CT-e/NFS]])=TRUE,(IF(B4028&gt;30000,4,IF(B4028&lt;1000,"ND",0))),"-")</f>
        <v>4</v>
      </c>
      <c r="B4028" s="116">
        <v>48291</v>
      </c>
      <c r="C4028" s="117">
        <v>45505</v>
      </c>
      <c r="D4028" s="116">
        <v>124.49</v>
      </c>
      <c r="E4028" s="117">
        <v>45519</v>
      </c>
      <c r="F4028" s="116">
        <f>COUNTIFS($A$3:A12278,A4028,$B$3:B12278,B4028)</f>
        <v>1</v>
      </c>
      <c r="G4028" s="116"/>
    </row>
    <row r="4029" spans="1:7" x14ac:dyDescent="0.2">
      <c r="A4029" s="116">
        <f>IF(ISNUMBER(Tabela2[[#This Row],[CT-e/NFS]])=TRUE,(IF(B4029&gt;30000,4,IF(B4029&lt;1000,"ND",0))),"-")</f>
        <v>4</v>
      </c>
      <c r="B4029" s="116">
        <v>48296</v>
      </c>
      <c r="C4029" s="117">
        <v>45505</v>
      </c>
      <c r="D4029" s="116">
        <v>123.02</v>
      </c>
      <c r="E4029" s="117">
        <v>45519</v>
      </c>
      <c r="F4029" s="116">
        <f>COUNTIFS($A$3:A12279,A4029,$B$3:B12279,B4029)</f>
        <v>1</v>
      </c>
      <c r="G4029" s="116"/>
    </row>
    <row r="4030" spans="1:7" x14ac:dyDescent="0.2">
      <c r="A4030" s="116">
        <f>IF(ISNUMBER(Tabela2[[#This Row],[CT-e/NFS]])=TRUE,(IF(B4030&gt;30000,4,IF(B4030&lt;1000,"ND",0))),"-")</f>
        <v>4</v>
      </c>
      <c r="B4030" s="116">
        <v>48297</v>
      </c>
      <c r="C4030" s="117">
        <v>45505</v>
      </c>
      <c r="D4030" s="116">
        <v>241.03</v>
      </c>
      <c r="E4030" s="117">
        <v>45519</v>
      </c>
      <c r="F4030" s="116">
        <f>COUNTIFS($A$3:A12280,A4030,$B$3:B12280,B4030)</f>
        <v>1</v>
      </c>
      <c r="G4030" s="116"/>
    </row>
    <row r="4031" spans="1:7" x14ac:dyDescent="0.2">
      <c r="A4031" s="116">
        <f>IF(ISNUMBER(Tabela2[[#This Row],[CT-e/NFS]])=TRUE,(IF(B4031&gt;30000,4,IF(B4031&lt;1000,"ND",0))),"-")</f>
        <v>4</v>
      </c>
      <c r="B4031" s="116">
        <v>48298</v>
      </c>
      <c r="C4031" s="117">
        <v>45505</v>
      </c>
      <c r="D4031" s="116">
        <v>293.38</v>
      </c>
      <c r="E4031" s="117">
        <v>45519</v>
      </c>
      <c r="F4031" s="116">
        <f>COUNTIFS($A$3:A12281,A4031,$B$3:B12281,B4031)</f>
        <v>1</v>
      </c>
      <c r="G4031" s="116"/>
    </row>
    <row r="4032" spans="1:7" x14ac:dyDescent="0.2">
      <c r="A4032" s="116">
        <f>IF(ISNUMBER(Tabela2[[#This Row],[CT-e/NFS]])=TRUE,(IF(B4032&gt;30000,4,IF(B4032&lt;1000,"ND",0))),"-")</f>
        <v>4</v>
      </c>
      <c r="B4032" s="116">
        <v>48295</v>
      </c>
      <c r="C4032" s="117">
        <v>45505</v>
      </c>
      <c r="D4032" s="116">
        <v>125.56</v>
      </c>
      <c r="E4032" s="117">
        <v>45519</v>
      </c>
      <c r="F4032" s="116">
        <f>COUNTIFS($A$3:A12282,A4032,$B$3:B12282,B4032)</f>
        <v>1</v>
      </c>
      <c r="G4032" s="116"/>
    </row>
    <row r="4033" spans="1:7" x14ac:dyDescent="0.2">
      <c r="A4033" s="116">
        <f>IF(ISNUMBER(Tabela2[[#This Row],[CT-e/NFS]])=TRUE,(IF(B4033&gt;30000,4,IF(B4033&lt;1000,"ND",0))),"-")</f>
        <v>0</v>
      </c>
      <c r="B4033" s="116">
        <v>21878</v>
      </c>
      <c r="C4033" s="117">
        <v>45505</v>
      </c>
      <c r="D4033" s="116">
        <v>338.2</v>
      </c>
      <c r="E4033" s="117">
        <v>45519</v>
      </c>
      <c r="F4033" s="116">
        <f>COUNTIFS($A$3:A12283,A4033,$B$3:B12283,B4033)</f>
        <v>1</v>
      </c>
      <c r="G4033" s="116"/>
    </row>
    <row r="4034" spans="1:7" x14ac:dyDescent="0.2">
      <c r="A4034" s="116">
        <f>IF(ISNUMBER(Tabela2[[#This Row],[CT-e/NFS]])=TRUE,(IF(B4034&gt;30000,4,IF(B4034&lt;1000,"ND",0))),"-")</f>
        <v>0</v>
      </c>
      <c r="B4034" s="116">
        <v>21879</v>
      </c>
      <c r="C4034" s="117">
        <v>45505</v>
      </c>
      <c r="D4034" s="116">
        <v>75.92</v>
      </c>
      <c r="E4034" s="117">
        <v>45519</v>
      </c>
      <c r="F4034" s="116">
        <f>COUNTIFS($A$3:A12284,A4034,$B$3:B12284,B4034)</f>
        <v>1</v>
      </c>
      <c r="G4034" s="116"/>
    </row>
    <row r="4035" spans="1:7" x14ac:dyDescent="0.2">
      <c r="A4035" s="116">
        <f>IF(ISNUMBER(Tabela2[[#This Row],[CT-e/NFS]])=TRUE,(IF(B4035&gt;30000,4,IF(B4035&lt;1000,"ND",0))),"-")</f>
        <v>0</v>
      </c>
      <c r="B4035" s="116">
        <v>21880</v>
      </c>
      <c r="C4035" s="117">
        <v>45505</v>
      </c>
      <c r="D4035" s="116">
        <v>76.28</v>
      </c>
      <c r="E4035" s="117">
        <v>45519</v>
      </c>
      <c r="F4035" s="116">
        <f>COUNTIFS($A$3:A12285,A4035,$B$3:B12285,B4035)</f>
        <v>1</v>
      </c>
      <c r="G4035" s="116"/>
    </row>
    <row r="4036" spans="1:7" x14ac:dyDescent="0.2">
      <c r="A4036" s="116">
        <f>IF(ISNUMBER(Tabela2[[#This Row],[CT-e/NFS]])=TRUE,(IF(B4036&gt;30000,4,IF(B4036&lt;1000,"ND",0))),"-")</f>
        <v>0</v>
      </c>
      <c r="B4036" s="116">
        <v>21881</v>
      </c>
      <c r="C4036" s="117">
        <v>45505</v>
      </c>
      <c r="D4036" s="116">
        <v>153.99</v>
      </c>
      <c r="E4036" s="117">
        <v>45519</v>
      </c>
      <c r="F4036" s="116">
        <f>COUNTIFS($A$3:A12286,A4036,$B$3:B12286,B4036)</f>
        <v>1</v>
      </c>
      <c r="G4036" s="116"/>
    </row>
    <row r="4037" spans="1:7" x14ac:dyDescent="0.2">
      <c r="A4037" s="116">
        <f>IF(ISNUMBER(Tabela2[[#This Row],[CT-e/NFS]])=TRUE,(IF(B4037&gt;30000,4,IF(B4037&lt;1000,"ND",0))),"-")</f>
        <v>0</v>
      </c>
      <c r="B4037" s="116">
        <v>21882</v>
      </c>
      <c r="C4037" s="117">
        <v>45505</v>
      </c>
      <c r="D4037" s="116">
        <v>365.64</v>
      </c>
      <c r="E4037" s="117">
        <v>45519</v>
      </c>
      <c r="F4037" s="116">
        <f>COUNTIFS($A$3:A12287,A4037,$B$3:B12287,B4037)</f>
        <v>1</v>
      </c>
      <c r="G4037" s="116"/>
    </row>
    <row r="4038" spans="1:7" x14ac:dyDescent="0.2">
      <c r="A4038" s="116">
        <f>IF(ISNUMBER(Tabela2[[#This Row],[CT-e/NFS]])=TRUE,(IF(B4038&gt;30000,4,IF(B4038&lt;1000,"ND",0))),"-")</f>
        <v>4</v>
      </c>
      <c r="B4038" s="116">
        <v>48302</v>
      </c>
      <c r="C4038" s="117">
        <v>45505</v>
      </c>
      <c r="D4038" s="116">
        <v>609.98</v>
      </c>
      <c r="E4038" s="117">
        <v>45519</v>
      </c>
      <c r="F4038" s="116">
        <f>COUNTIFS($A$3:A12288,A4038,$B$3:B12288,B4038)</f>
        <v>1</v>
      </c>
      <c r="G4038" s="116"/>
    </row>
    <row r="4039" spans="1:7" x14ac:dyDescent="0.2">
      <c r="A4039" s="116">
        <f>IF(ISNUMBER(Tabela2[[#This Row],[CT-e/NFS]])=TRUE,(IF(B4039&gt;30000,4,IF(B4039&lt;1000,"ND",0))),"-")</f>
        <v>4</v>
      </c>
      <c r="B4039" s="116">
        <v>48248</v>
      </c>
      <c r="C4039" s="117">
        <v>45505</v>
      </c>
      <c r="D4039" s="116">
        <v>2906.31</v>
      </c>
      <c r="E4039" s="117">
        <v>45519</v>
      </c>
      <c r="F4039" s="116">
        <f>COUNTIFS($A$3:A12289,A4039,$B$3:B12289,B4039)</f>
        <v>1</v>
      </c>
      <c r="G4039" s="116"/>
    </row>
    <row r="4040" spans="1:7" x14ac:dyDescent="0.2">
      <c r="A4040" s="116">
        <f>IF(ISNUMBER(Tabela2[[#This Row],[CT-e/NFS]])=TRUE,(IF(B4040&gt;30000,4,IF(B4040&lt;1000,"ND",0))),"-")</f>
        <v>4</v>
      </c>
      <c r="B4040" s="116">
        <v>48301</v>
      </c>
      <c r="C4040" s="117">
        <v>45505</v>
      </c>
      <c r="D4040" s="116">
        <v>396.45</v>
      </c>
      <c r="E4040" s="117">
        <v>45519</v>
      </c>
      <c r="F4040" s="116">
        <f>COUNTIFS($A$3:A12290,A4040,$B$3:B12290,B4040)</f>
        <v>1</v>
      </c>
      <c r="G4040" s="116"/>
    </row>
    <row r="4041" spans="1:7" x14ac:dyDescent="0.2">
      <c r="A4041" s="116">
        <f>IF(ISNUMBER(Tabela2[[#This Row],[CT-e/NFS]])=TRUE,(IF(B4041&gt;30000,4,IF(B4041&lt;1000,"ND",0))),"-")</f>
        <v>4</v>
      </c>
      <c r="B4041" s="116">
        <v>48307</v>
      </c>
      <c r="C4041" s="117">
        <v>45505</v>
      </c>
      <c r="D4041" s="116">
        <v>123.92</v>
      </c>
      <c r="E4041" s="117">
        <v>45519</v>
      </c>
      <c r="F4041" s="116">
        <f>COUNTIFS($A$3:A12291,A4041,$B$3:B12291,B4041)</f>
        <v>1</v>
      </c>
      <c r="G4041" s="116"/>
    </row>
    <row r="4042" spans="1:7" x14ac:dyDescent="0.2">
      <c r="A4042" s="116">
        <f>IF(ISNUMBER(Tabela2[[#This Row],[CT-e/NFS]])=TRUE,(IF(B4042&gt;30000,4,IF(B4042&lt;1000,"ND",0))),"-")</f>
        <v>4</v>
      </c>
      <c r="B4042" s="116">
        <v>48304</v>
      </c>
      <c r="C4042" s="117">
        <v>45505</v>
      </c>
      <c r="D4042" s="116">
        <v>242.02</v>
      </c>
      <c r="E4042" s="117">
        <v>45519</v>
      </c>
      <c r="F4042" s="116">
        <f>COUNTIFS($A$3:A12292,A4042,$B$3:B12292,B4042)</f>
        <v>1</v>
      </c>
      <c r="G4042" s="116"/>
    </row>
    <row r="4043" spans="1:7" x14ac:dyDescent="0.2">
      <c r="A4043" s="116">
        <f>IF(ISNUMBER(Tabela2[[#This Row],[CT-e/NFS]])=TRUE,(IF(B4043&gt;30000,4,IF(B4043&lt;1000,"ND",0))),"-")</f>
        <v>4</v>
      </c>
      <c r="B4043" s="116">
        <v>48303</v>
      </c>
      <c r="C4043" s="117">
        <v>45505</v>
      </c>
      <c r="D4043" s="116">
        <v>242.32</v>
      </c>
      <c r="E4043" s="117">
        <v>45519</v>
      </c>
      <c r="F4043" s="116">
        <f>COUNTIFS($A$3:A12293,A4043,$B$3:B12293,B4043)</f>
        <v>1</v>
      </c>
      <c r="G4043" s="116"/>
    </row>
    <row r="4044" spans="1:7" x14ac:dyDescent="0.2">
      <c r="A4044" s="116">
        <f>IF(ISNUMBER(Tabela2[[#This Row],[CT-e/NFS]])=TRUE,(IF(B4044&gt;30000,4,IF(B4044&lt;1000,"ND",0))),"-")</f>
        <v>4</v>
      </c>
      <c r="B4044" s="116">
        <v>48306</v>
      </c>
      <c r="C4044" s="117">
        <v>45505</v>
      </c>
      <c r="D4044" s="116">
        <v>126.66</v>
      </c>
      <c r="E4044" s="117">
        <v>45519</v>
      </c>
      <c r="F4044" s="116">
        <f>COUNTIFS($A$3:A12294,A4044,$B$3:B12294,B4044)</f>
        <v>1</v>
      </c>
      <c r="G4044" s="116"/>
    </row>
    <row r="4045" spans="1:7" x14ac:dyDescent="0.2">
      <c r="A4045" s="116">
        <f>IF(ISNUMBER(Tabela2[[#This Row],[CT-e/NFS]])=TRUE,(IF(B4045&gt;30000,4,IF(B4045&lt;1000,"ND",0))),"-")</f>
        <v>4</v>
      </c>
      <c r="B4045" s="116">
        <v>48305</v>
      </c>
      <c r="C4045" s="117">
        <v>45505</v>
      </c>
      <c r="D4045" s="116">
        <v>238.83</v>
      </c>
      <c r="E4045" s="117">
        <v>45519</v>
      </c>
      <c r="F4045" s="116">
        <f>COUNTIFS($A$3:A12295,A4045,$B$3:B12295,B4045)</f>
        <v>1</v>
      </c>
      <c r="G4045" s="116"/>
    </row>
    <row r="4046" spans="1:7" x14ac:dyDescent="0.2">
      <c r="A4046" s="116">
        <f>IF(ISNUMBER(Tabela2[[#This Row],[CT-e/NFS]])=TRUE,(IF(B4046&gt;30000,4,IF(B4046&lt;1000,"ND",0))),"-")</f>
        <v>4</v>
      </c>
      <c r="B4046" s="116">
        <v>48311</v>
      </c>
      <c r="C4046" s="117">
        <v>45505</v>
      </c>
      <c r="D4046" s="116">
        <v>482.95</v>
      </c>
      <c r="E4046" s="117">
        <v>45519</v>
      </c>
      <c r="F4046" s="116">
        <f>COUNTIFS($A$3:A12296,A4046,$B$3:B12296,B4046)</f>
        <v>1</v>
      </c>
      <c r="G4046" s="116"/>
    </row>
    <row r="4047" spans="1:7" x14ac:dyDescent="0.2">
      <c r="A4047" s="116">
        <f>IF(ISNUMBER(Tabela2[[#This Row],[CT-e/NFS]])=TRUE,(IF(B4047&gt;30000,4,IF(B4047&lt;1000,"ND",0))),"-")</f>
        <v>4</v>
      </c>
      <c r="B4047" s="116">
        <v>48312</v>
      </c>
      <c r="C4047" s="117">
        <v>45505</v>
      </c>
      <c r="D4047" s="116">
        <v>654.77</v>
      </c>
      <c r="E4047" s="117">
        <v>45519</v>
      </c>
      <c r="F4047" s="116">
        <f>COUNTIFS($A$3:A12297,A4047,$B$3:B12297,B4047)</f>
        <v>1</v>
      </c>
      <c r="G4047" s="116"/>
    </row>
    <row r="4048" spans="1:7" x14ac:dyDescent="0.2">
      <c r="A4048" s="116">
        <f>IF(ISNUMBER(Tabela2[[#This Row],[CT-e/NFS]])=TRUE,(IF(B4048&gt;30000,4,IF(B4048&lt;1000,"ND",0))),"-")</f>
        <v>4</v>
      </c>
      <c r="B4048" s="116">
        <v>48308</v>
      </c>
      <c r="C4048" s="117">
        <v>45505</v>
      </c>
      <c r="D4048" s="116">
        <v>126.19</v>
      </c>
      <c r="E4048" s="117">
        <v>45519</v>
      </c>
      <c r="F4048" s="116">
        <f>COUNTIFS($A$3:A12298,A4048,$B$3:B12298,B4048)</f>
        <v>1</v>
      </c>
      <c r="G4048" s="116"/>
    </row>
    <row r="4049" spans="1:7" x14ac:dyDescent="0.2">
      <c r="A4049" s="116">
        <f>IF(ISNUMBER(Tabela2[[#This Row],[CT-e/NFS]])=TRUE,(IF(B4049&gt;30000,4,IF(B4049&lt;1000,"ND",0))),"-")</f>
        <v>4</v>
      </c>
      <c r="B4049" s="116">
        <v>48322</v>
      </c>
      <c r="C4049" s="117">
        <v>45505</v>
      </c>
      <c r="D4049" s="116">
        <v>62.78</v>
      </c>
      <c r="E4049" s="117">
        <v>45519</v>
      </c>
      <c r="F4049" s="116">
        <f>COUNTIFS($A$3:A12299,A4049,$B$3:B12299,B4049)</f>
        <v>1</v>
      </c>
      <c r="G4049" s="116"/>
    </row>
    <row r="4050" spans="1:7" x14ac:dyDescent="0.2">
      <c r="A4050" s="116">
        <f>IF(ISNUMBER(Tabela2[[#This Row],[CT-e/NFS]])=TRUE,(IF(B4050&gt;30000,4,IF(B4050&lt;1000,"ND",0))),"-")</f>
        <v>4</v>
      </c>
      <c r="B4050" s="116">
        <v>48323</v>
      </c>
      <c r="C4050" s="117">
        <v>45505</v>
      </c>
      <c r="D4050" s="116">
        <v>113</v>
      </c>
      <c r="E4050" s="117">
        <v>45519</v>
      </c>
      <c r="F4050" s="116">
        <f>COUNTIFS($A$3:A12300,A4050,$B$3:B12300,B4050)</f>
        <v>1</v>
      </c>
      <c r="G4050" s="116"/>
    </row>
    <row r="4051" spans="1:7" x14ac:dyDescent="0.2">
      <c r="A4051" s="116">
        <f>IF(ISNUMBER(Tabela2[[#This Row],[CT-e/NFS]])=TRUE,(IF(B4051&gt;30000,4,IF(B4051&lt;1000,"ND",0))),"-")</f>
        <v>4</v>
      </c>
      <c r="B4051" s="116">
        <v>48309</v>
      </c>
      <c r="C4051" s="117">
        <v>45505</v>
      </c>
      <c r="D4051" s="116">
        <v>282.44</v>
      </c>
      <c r="E4051" s="117">
        <v>45519</v>
      </c>
      <c r="F4051" s="116">
        <f>COUNTIFS($A$3:A12301,A4051,$B$3:B12301,B4051)</f>
        <v>1</v>
      </c>
      <c r="G4051" s="116"/>
    </row>
    <row r="4052" spans="1:7" x14ac:dyDescent="0.2">
      <c r="A4052" s="116">
        <f>IF(ISNUMBER(Tabela2[[#This Row],[CT-e/NFS]])=TRUE,(IF(B4052&gt;30000,4,IF(B4052&lt;1000,"ND",0))),"-")</f>
        <v>4</v>
      </c>
      <c r="B4052" s="116">
        <v>48317</v>
      </c>
      <c r="C4052" s="117">
        <v>45505</v>
      </c>
      <c r="D4052" s="116">
        <v>269.19</v>
      </c>
      <c r="E4052" s="117">
        <v>45519</v>
      </c>
      <c r="F4052" s="116">
        <f>COUNTIFS($A$3:A12302,A4052,$B$3:B12302,B4052)</f>
        <v>1</v>
      </c>
      <c r="G4052" s="116"/>
    </row>
    <row r="4053" spans="1:7" x14ac:dyDescent="0.2">
      <c r="A4053" s="116">
        <f>IF(ISNUMBER(Tabela2[[#This Row],[CT-e/NFS]])=TRUE,(IF(B4053&gt;30000,4,IF(B4053&lt;1000,"ND",0))),"-")</f>
        <v>4</v>
      </c>
      <c r="B4053" s="116">
        <v>48324</v>
      </c>
      <c r="C4053" s="117">
        <v>45505</v>
      </c>
      <c r="D4053" s="116">
        <v>238.73</v>
      </c>
      <c r="E4053" s="117">
        <v>45519</v>
      </c>
      <c r="F4053" s="116">
        <f>COUNTIFS($A$3:A12303,A4053,$B$3:B12303,B4053)</f>
        <v>1</v>
      </c>
      <c r="G4053" s="116"/>
    </row>
    <row r="4054" spans="1:7" x14ac:dyDescent="0.2">
      <c r="A4054" s="116">
        <f>IF(ISNUMBER(Tabela2[[#This Row],[CT-e/NFS]])=TRUE,(IF(B4054&gt;30000,4,IF(B4054&lt;1000,"ND",0))),"-")</f>
        <v>4</v>
      </c>
      <c r="B4054" s="116">
        <v>48316</v>
      </c>
      <c r="C4054" s="117">
        <v>45505</v>
      </c>
      <c r="D4054" s="116">
        <v>240.24</v>
      </c>
      <c r="E4054" s="117">
        <v>45519</v>
      </c>
      <c r="F4054" s="116">
        <f>COUNTIFS($A$3:A12304,A4054,$B$3:B12304,B4054)</f>
        <v>1</v>
      </c>
      <c r="G4054" s="116"/>
    </row>
    <row r="4055" spans="1:7" x14ac:dyDescent="0.2">
      <c r="A4055" s="116">
        <f>IF(ISNUMBER(Tabela2[[#This Row],[CT-e/NFS]])=TRUE,(IF(B4055&gt;30000,4,IF(B4055&lt;1000,"ND",0))),"-")</f>
        <v>4</v>
      </c>
      <c r="B4055" s="116">
        <v>48320</v>
      </c>
      <c r="C4055" s="117">
        <v>45505</v>
      </c>
      <c r="D4055" s="116">
        <v>126.32</v>
      </c>
      <c r="E4055" s="117">
        <v>45519</v>
      </c>
      <c r="F4055" s="116">
        <f>COUNTIFS($A$3:A12305,A4055,$B$3:B12305,B4055)</f>
        <v>1</v>
      </c>
      <c r="G4055" s="116"/>
    </row>
    <row r="4056" spans="1:7" x14ac:dyDescent="0.2">
      <c r="A4056" s="116">
        <f>IF(ISNUMBER(Tabela2[[#This Row],[CT-e/NFS]])=TRUE,(IF(B4056&gt;30000,4,IF(B4056&lt;1000,"ND",0))),"-")</f>
        <v>0</v>
      </c>
      <c r="B4056" s="116">
        <v>21884</v>
      </c>
      <c r="C4056" s="117">
        <v>45505</v>
      </c>
      <c r="D4056" s="116">
        <v>75.62</v>
      </c>
      <c r="E4056" s="117">
        <v>45519</v>
      </c>
      <c r="F4056" s="116">
        <f>COUNTIFS($A$3:A12306,A4056,$B$3:B12306,B4056)</f>
        <v>1</v>
      </c>
      <c r="G4056" s="116"/>
    </row>
    <row r="4057" spans="1:7" x14ac:dyDescent="0.2">
      <c r="A4057" s="116">
        <f>IF(ISNUMBER(Tabela2[[#This Row],[CT-e/NFS]])=TRUE,(IF(B4057&gt;30000,4,IF(B4057&lt;1000,"ND",0))),"-")</f>
        <v>0</v>
      </c>
      <c r="B4057" s="116">
        <v>21886</v>
      </c>
      <c r="C4057" s="117">
        <v>45505</v>
      </c>
      <c r="D4057" s="116">
        <v>75.92</v>
      </c>
      <c r="E4057" s="117">
        <v>45519</v>
      </c>
      <c r="F4057" s="116">
        <f>COUNTIFS($A$3:A12307,A4057,$B$3:B12307,B4057)</f>
        <v>1</v>
      </c>
      <c r="G4057" s="116"/>
    </row>
    <row r="4058" spans="1:7" x14ac:dyDescent="0.2">
      <c r="A4058" s="116">
        <f>IF(ISNUMBER(Tabela2[[#This Row],[CT-e/NFS]])=TRUE,(IF(B4058&gt;30000,4,IF(B4058&lt;1000,"ND",0))),"-")</f>
        <v>4</v>
      </c>
      <c r="B4058" s="116">
        <v>48299</v>
      </c>
      <c r="C4058" s="117">
        <v>45505</v>
      </c>
      <c r="D4058" s="116">
        <v>135.6</v>
      </c>
      <c r="E4058" s="117">
        <v>45519</v>
      </c>
      <c r="F4058" s="116">
        <f>COUNTIFS($A$3:A12308,A4058,$B$3:B12308,B4058)</f>
        <v>1</v>
      </c>
      <c r="G4058" s="116"/>
    </row>
    <row r="4059" spans="1:7" x14ac:dyDescent="0.2">
      <c r="A4059" s="116">
        <f>IF(ISNUMBER(Tabela2[[#This Row],[CT-e/NFS]])=TRUE,(IF(B4059&gt;30000,4,IF(B4059&lt;1000,"ND",0))),"-")</f>
        <v>4</v>
      </c>
      <c r="B4059" s="116">
        <v>48300</v>
      </c>
      <c r="C4059" s="117">
        <v>45505</v>
      </c>
      <c r="D4059" s="116">
        <v>247.34</v>
      </c>
      <c r="E4059" s="117">
        <v>45519</v>
      </c>
      <c r="F4059" s="116">
        <f>COUNTIFS($A$3:A12309,A4059,$B$3:B12309,B4059)</f>
        <v>1</v>
      </c>
      <c r="G4059" s="116"/>
    </row>
    <row r="4060" spans="1:7" x14ac:dyDescent="0.2">
      <c r="A4060" s="116">
        <f>IF(ISNUMBER(Tabela2[[#This Row],[CT-e/NFS]])=TRUE,(IF(B4060&gt;30000,4,IF(B4060&lt;1000,"ND",0))),"-")</f>
        <v>4</v>
      </c>
      <c r="B4060" s="116">
        <v>48313</v>
      </c>
      <c r="C4060" s="117">
        <v>45505</v>
      </c>
      <c r="D4060" s="116">
        <v>126.26</v>
      </c>
      <c r="E4060" s="117">
        <v>45519</v>
      </c>
      <c r="F4060" s="116">
        <f>COUNTIFS($A$3:A12310,A4060,$B$3:B12310,B4060)</f>
        <v>1</v>
      </c>
      <c r="G4060" s="116"/>
    </row>
    <row r="4061" spans="1:7" x14ac:dyDescent="0.2">
      <c r="A4061" s="116">
        <f>IF(ISNUMBER(Tabela2[[#This Row],[CT-e/NFS]])=TRUE,(IF(B4061&gt;30000,4,IF(B4061&lt;1000,"ND",0))),"-")</f>
        <v>4</v>
      </c>
      <c r="B4061" s="116">
        <v>48314</v>
      </c>
      <c r="C4061" s="117">
        <v>45505</v>
      </c>
      <c r="D4061" s="116">
        <v>206.92</v>
      </c>
      <c r="E4061" s="117">
        <v>45519</v>
      </c>
      <c r="F4061" s="116">
        <f>COUNTIFS($A$3:A12311,A4061,$B$3:B12311,B4061)</f>
        <v>1</v>
      </c>
      <c r="G4061" s="116"/>
    </row>
    <row r="4062" spans="1:7" x14ac:dyDescent="0.2">
      <c r="A4062" s="116">
        <f>IF(ISNUMBER(Tabela2[[#This Row],[CT-e/NFS]])=TRUE,(IF(B4062&gt;30000,4,IF(B4062&lt;1000,"ND",0))),"-")</f>
        <v>4</v>
      </c>
      <c r="B4062" s="116">
        <v>48321</v>
      </c>
      <c r="C4062" s="117">
        <v>45505</v>
      </c>
      <c r="D4062" s="116">
        <v>1676.1</v>
      </c>
      <c r="E4062" s="117">
        <v>45519</v>
      </c>
      <c r="F4062" s="116">
        <f>COUNTIFS($A$3:A12312,A4062,$B$3:B12312,B4062)</f>
        <v>1</v>
      </c>
      <c r="G4062" s="116"/>
    </row>
    <row r="4063" spans="1:7" x14ac:dyDescent="0.2">
      <c r="A4063" s="116">
        <f>IF(ISNUMBER(Tabela2[[#This Row],[CT-e/NFS]])=TRUE,(IF(B4063&gt;30000,4,IF(B4063&lt;1000,"ND",0))),"-")</f>
        <v>4</v>
      </c>
      <c r="B4063" s="116">
        <v>48315</v>
      </c>
      <c r="C4063" s="117">
        <v>45505</v>
      </c>
      <c r="D4063" s="116">
        <v>123.94</v>
      </c>
      <c r="E4063" s="117">
        <v>45519</v>
      </c>
      <c r="F4063" s="116">
        <f>COUNTIFS($A$3:A12313,A4063,$B$3:B12313,B4063)</f>
        <v>1</v>
      </c>
      <c r="G4063" s="116"/>
    </row>
    <row r="4064" spans="1:7" x14ac:dyDescent="0.2">
      <c r="A4064" s="116">
        <f>IF(ISNUMBER(Tabela2[[#This Row],[CT-e/NFS]])=TRUE,(IF(B4064&gt;30000,4,IF(B4064&lt;1000,"ND",0))),"-")</f>
        <v>4</v>
      </c>
      <c r="B4064" s="116">
        <v>48310</v>
      </c>
      <c r="C4064" s="117">
        <v>45505</v>
      </c>
      <c r="D4064" s="116">
        <v>702.1</v>
      </c>
      <c r="E4064" s="117">
        <v>45519</v>
      </c>
      <c r="F4064" s="116">
        <f>COUNTIFS($A$3:A12314,A4064,$B$3:B12314,B4064)</f>
        <v>1</v>
      </c>
      <c r="G4064" s="116"/>
    </row>
    <row r="4065" spans="1:7" x14ac:dyDescent="0.2">
      <c r="A4065" s="116">
        <f>IF(ISNUMBER(Tabela2[[#This Row],[CT-e/NFS]])=TRUE,(IF(B4065&gt;30000,4,IF(B4065&lt;1000,"ND",0))),"-")</f>
        <v>4</v>
      </c>
      <c r="B4065" s="116">
        <v>48318</v>
      </c>
      <c r="C4065" s="117">
        <v>45505</v>
      </c>
      <c r="D4065" s="116">
        <v>124.16</v>
      </c>
      <c r="E4065" s="117">
        <v>45519</v>
      </c>
      <c r="F4065" s="116">
        <f>COUNTIFS($A$3:A12315,A4065,$B$3:B12315,B4065)</f>
        <v>1</v>
      </c>
      <c r="G4065" s="116"/>
    </row>
    <row r="4066" spans="1:7" x14ac:dyDescent="0.2">
      <c r="A4066" s="116">
        <f>IF(ISNUMBER(Tabela2[[#This Row],[CT-e/NFS]])=TRUE,(IF(B4066&gt;30000,4,IF(B4066&lt;1000,"ND",0))),"-")</f>
        <v>4</v>
      </c>
      <c r="B4066" s="116">
        <v>48325</v>
      </c>
      <c r="C4066" s="117">
        <v>45505</v>
      </c>
      <c r="D4066" s="116">
        <v>702.73</v>
      </c>
      <c r="E4066" s="117">
        <v>45519</v>
      </c>
      <c r="F4066" s="116">
        <f>COUNTIFS($A$3:A12316,A4066,$B$3:B12316,B4066)</f>
        <v>1</v>
      </c>
      <c r="G4066" s="116"/>
    </row>
    <row r="4067" spans="1:7" x14ac:dyDescent="0.2">
      <c r="A4067" s="116">
        <f>IF(ISNUMBER(Tabela2[[#This Row],[CT-e/NFS]])=TRUE,(IF(B4067&gt;30000,4,IF(B4067&lt;1000,"ND",0))),"-")</f>
        <v>4</v>
      </c>
      <c r="B4067" s="116">
        <v>48319</v>
      </c>
      <c r="C4067" s="117">
        <v>45505</v>
      </c>
      <c r="D4067" s="116">
        <v>1102.27</v>
      </c>
      <c r="E4067" s="117">
        <v>45519</v>
      </c>
      <c r="F4067" s="116">
        <f>COUNTIFS($A$3:A12317,A4067,$B$3:B12317,B4067)</f>
        <v>1</v>
      </c>
      <c r="G4067" s="116"/>
    </row>
    <row r="4068" spans="1:7" x14ac:dyDescent="0.2">
      <c r="A4068" s="116">
        <f>IF(ISNUMBER(Tabela2[[#This Row],[CT-e/NFS]])=TRUE,(IF(B4068&gt;30000,4,IF(B4068&lt;1000,"ND",0))),"-")</f>
        <v>4</v>
      </c>
      <c r="B4068" s="116">
        <v>48329</v>
      </c>
      <c r="C4068" s="117">
        <v>45505</v>
      </c>
      <c r="D4068" s="116">
        <v>445.48</v>
      </c>
      <c r="E4068" s="117">
        <v>45519</v>
      </c>
      <c r="F4068" s="116">
        <f>COUNTIFS($A$3:A12318,A4068,$B$3:B12318,B4068)</f>
        <v>1</v>
      </c>
      <c r="G4068" s="116"/>
    </row>
    <row r="4069" spans="1:7" x14ac:dyDescent="0.2">
      <c r="A4069" s="116">
        <f>IF(ISNUMBER(Tabela2[[#This Row],[CT-e/NFS]])=TRUE,(IF(B4069&gt;30000,4,IF(B4069&lt;1000,"ND",0))),"-")</f>
        <v>4</v>
      </c>
      <c r="B4069" s="116">
        <v>48340</v>
      </c>
      <c r="C4069" s="117">
        <v>45505</v>
      </c>
      <c r="D4069" s="116">
        <v>880.26</v>
      </c>
      <c r="E4069" s="117">
        <v>45519</v>
      </c>
      <c r="F4069" s="116">
        <f>COUNTIFS($A$3:A12319,A4069,$B$3:B12319,B4069)</f>
        <v>1</v>
      </c>
      <c r="G4069" s="116"/>
    </row>
    <row r="4070" spans="1:7" x14ac:dyDescent="0.2">
      <c r="A4070" s="116">
        <f>IF(ISNUMBER(Tabela2[[#This Row],[CT-e/NFS]])=TRUE,(IF(B4070&gt;30000,4,IF(B4070&lt;1000,"ND",0))),"-")</f>
        <v>4</v>
      </c>
      <c r="B4070" s="116">
        <v>48330</v>
      </c>
      <c r="C4070" s="117">
        <v>45505</v>
      </c>
      <c r="D4070" s="116">
        <v>432.56</v>
      </c>
      <c r="E4070" s="117">
        <v>45519</v>
      </c>
      <c r="F4070" s="116">
        <f>COUNTIFS($A$3:A12320,A4070,$B$3:B12320,B4070)</f>
        <v>1</v>
      </c>
      <c r="G4070" s="116"/>
    </row>
    <row r="4071" spans="1:7" x14ac:dyDescent="0.2">
      <c r="A4071" s="116">
        <f>IF(ISNUMBER(Tabela2[[#This Row],[CT-e/NFS]])=TRUE,(IF(B4071&gt;30000,4,IF(B4071&lt;1000,"ND",0))),"-")</f>
        <v>4</v>
      </c>
      <c r="B4071" s="116">
        <v>48339</v>
      </c>
      <c r="C4071" s="117">
        <v>45505</v>
      </c>
      <c r="D4071" s="116">
        <v>396.44</v>
      </c>
      <c r="E4071" s="117">
        <v>45519</v>
      </c>
      <c r="F4071" s="116">
        <f>COUNTIFS($A$3:A12321,A4071,$B$3:B12321,B4071)</f>
        <v>1</v>
      </c>
      <c r="G4071" s="116"/>
    </row>
    <row r="4072" spans="1:7" x14ac:dyDescent="0.2">
      <c r="A4072" s="116">
        <f>IF(ISNUMBER(Tabela2[[#This Row],[CT-e/NFS]])=TRUE,(IF(B4072&gt;30000,4,IF(B4072&lt;1000,"ND",0))),"-")</f>
        <v>4</v>
      </c>
      <c r="B4072" s="116">
        <v>48338</v>
      </c>
      <c r="C4072" s="117">
        <v>45505</v>
      </c>
      <c r="D4072" s="116">
        <v>238.68</v>
      </c>
      <c r="E4072" s="117">
        <v>45519</v>
      </c>
      <c r="F4072" s="116">
        <f>COUNTIFS($A$3:A12322,A4072,$B$3:B12322,B4072)</f>
        <v>1</v>
      </c>
      <c r="G4072" s="116"/>
    </row>
    <row r="4073" spans="1:7" x14ac:dyDescent="0.2">
      <c r="A4073" s="116">
        <f>IF(ISNUMBER(Tabela2[[#This Row],[CT-e/NFS]])=TRUE,(IF(B4073&gt;30000,4,IF(B4073&lt;1000,"ND",0))),"-")</f>
        <v>4</v>
      </c>
      <c r="B4073" s="116">
        <v>48337</v>
      </c>
      <c r="C4073" s="117">
        <v>45505</v>
      </c>
      <c r="D4073" s="116">
        <v>125.36</v>
      </c>
      <c r="E4073" s="117">
        <v>45519</v>
      </c>
      <c r="F4073" s="116">
        <f>COUNTIFS($A$3:A12323,A4073,$B$3:B12323,B4073)</f>
        <v>1</v>
      </c>
      <c r="G4073" s="116"/>
    </row>
    <row r="4074" spans="1:7" x14ac:dyDescent="0.2">
      <c r="A4074" s="116">
        <f>IF(ISNUMBER(Tabela2[[#This Row],[CT-e/NFS]])=TRUE,(IF(B4074&gt;30000,4,IF(B4074&lt;1000,"ND",0))),"-")</f>
        <v>4</v>
      </c>
      <c r="B4074" s="116">
        <v>48336</v>
      </c>
      <c r="C4074" s="117">
        <v>45505</v>
      </c>
      <c r="D4074" s="116">
        <v>124.32</v>
      </c>
      <c r="E4074" s="117">
        <v>45519</v>
      </c>
      <c r="F4074" s="116">
        <f>COUNTIFS($A$3:A12324,A4074,$B$3:B12324,B4074)</f>
        <v>1</v>
      </c>
      <c r="G4074" s="116"/>
    </row>
    <row r="4075" spans="1:7" x14ac:dyDescent="0.2">
      <c r="A4075" s="116">
        <f>IF(ISNUMBER(Tabela2[[#This Row],[CT-e/NFS]])=TRUE,(IF(B4075&gt;30000,4,IF(B4075&lt;1000,"ND",0))),"-")</f>
        <v>4</v>
      </c>
      <c r="B4075" s="116">
        <v>48335</v>
      </c>
      <c r="C4075" s="117">
        <v>45505</v>
      </c>
      <c r="D4075" s="116">
        <v>122.92</v>
      </c>
      <c r="E4075" s="117">
        <v>45519</v>
      </c>
      <c r="F4075" s="116">
        <f>COUNTIFS($A$3:A12325,A4075,$B$3:B12325,B4075)</f>
        <v>1</v>
      </c>
      <c r="G4075" s="116"/>
    </row>
    <row r="4076" spans="1:7" x14ac:dyDescent="0.2">
      <c r="A4076" s="116">
        <f>IF(ISNUMBER(Tabela2[[#This Row],[CT-e/NFS]])=TRUE,(IF(B4076&gt;30000,4,IF(B4076&lt;1000,"ND",0))),"-")</f>
        <v>4</v>
      </c>
      <c r="B4076" s="116">
        <v>48334</v>
      </c>
      <c r="C4076" s="117">
        <v>45505</v>
      </c>
      <c r="D4076" s="116">
        <v>123.51</v>
      </c>
      <c r="E4076" s="117">
        <v>45519</v>
      </c>
      <c r="F4076" s="116">
        <f>COUNTIFS($A$3:A12326,A4076,$B$3:B12326,B4076)</f>
        <v>1</v>
      </c>
      <c r="G4076" s="116"/>
    </row>
    <row r="4077" spans="1:7" x14ac:dyDescent="0.2">
      <c r="A4077" s="116">
        <f>IF(ISNUMBER(Tabela2[[#This Row],[CT-e/NFS]])=TRUE,(IF(B4077&gt;30000,4,IF(B4077&lt;1000,"ND",0))),"-")</f>
        <v>4</v>
      </c>
      <c r="B4077" s="116">
        <v>48332</v>
      </c>
      <c r="C4077" s="117">
        <v>45505</v>
      </c>
      <c r="D4077" s="116">
        <v>122.77</v>
      </c>
      <c r="E4077" s="117">
        <v>45519</v>
      </c>
      <c r="F4077" s="116">
        <f>COUNTIFS($A$3:A12327,A4077,$B$3:B12327,B4077)</f>
        <v>1</v>
      </c>
      <c r="G4077" s="116"/>
    </row>
    <row r="4078" spans="1:7" x14ac:dyDescent="0.2">
      <c r="A4078" s="116">
        <f>IF(ISNUMBER(Tabela2[[#This Row],[CT-e/NFS]])=TRUE,(IF(B4078&gt;30000,4,IF(B4078&lt;1000,"ND",0))),"-")</f>
        <v>4</v>
      </c>
      <c r="B4078" s="116">
        <v>48333</v>
      </c>
      <c r="C4078" s="117">
        <v>45505</v>
      </c>
      <c r="D4078" s="116">
        <v>123.92</v>
      </c>
      <c r="E4078" s="117">
        <v>45519</v>
      </c>
      <c r="F4078" s="116">
        <f>COUNTIFS($A$3:A12328,A4078,$B$3:B12328,B4078)</f>
        <v>1</v>
      </c>
      <c r="G4078" s="116"/>
    </row>
    <row r="4079" spans="1:7" x14ac:dyDescent="0.2">
      <c r="A4079" s="116">
        <f>IF(ISNUMBER(Tabela2[[#This Row],[CT-e/NFS]])=TRUE,(IF(B4079&gt;30000,4,IF(B4079&lt;1000,"ND",0))),"-")</f>
        <v>4</v>
      </c>
      <c r="B4079" s="116">
        <v>48331</v>
      </c>
      <c r="C4079" s="117">
        <v>45505</v>
      </c>
      <c r="D4079" s="116">
        <v>136.01</v>
      </c>
      <c r="E4079" s="117">
        <v>45519</v>
      </c>
      <c r="F4079" s="116">
        <f>COUNTIFS($A$3:A12329,A4079,$B$3:B12329,B4079)</f>
        <v>1</v>
      </c>
      <c r="G4079" s="116"/>
    </row>
    <row r="4080" spans="1:7" x14ac:dyDescent="0.2">
      <c r="A4080" s="116">
        <f>IF(ISNUMBER(Tabela2[[#This Row],[CT-e/NFS]])=TRUE,(IF(B4080&gt;30000,4,IF(B4080&lt;1000,"ND",0))),"-")</f>
        <v>4</v>
      </c>
      <c r="B4080" s="116">
        <v>48343</v>
      </c>
      <c r="C4080" s="117">
        <v>45505</v>
      </c>
      <c r="D4080" s="116">
        <v>1758.3</v>
      </c>
      <c r="E4080" s="117">
        <v>45519</v>
      </c>
      <c r="F4080" s="116">
        <f>COUNTIFS($A$3:A12330,A4080,$B$3:B12330,B4080)</f>
        <v>1</v>
      </c>
      <c r="G4080" s="116"/>
    </row>
    <row r="4081" spans="1:7" x14ac:dyDescent="0.2">
      <c r="A4081" s="116">
        <f>IF(ISNUMBER(Tabela2[[#This Row],[CT-e/NFS]])=TRUE,(IF(B4081&gt;30000,4,IF(B4081&lt;1000,"ND",0))),"-")</f>
        <v>4</v>
      </c>
      <c r="B4081" s="116">
        <v>48342</v>
      </c>
      <c r="C4081" s="117">
        <v>45505</v>
      </c>
      <c r="D4081" s="116">
        <v>702.1</v>
      </c>
      <c r="E4081" s="117">
        <v>45519</v>
      </c>
      <c r="F4081" s="116">
        <f>COUNTIFS($A$3:A12331,A4081,$B$3:B12331,B4081)</f>
        <v>1</v>
      </c>
      <c r="G4081" s="116"/>
    </row>
    <row r="4082" spans="1:7" x14ac:dyDescent="0.2">
      <c r="A4082" s="116">
        <f>IF(ISNUMBER(Tabela2[[#This Row],[CT-e/NFS]])=TRUE,(IF(B4082&gt;30000,4,IF(B4082&lt;1000,"ND",0))),"-")</f>
        <v>4</v>
      </c>
      <c r="B4082" s="116">
        <v>48345</v>
      </c>
      <c r="C4082" s="117">
        <v>45505</v>
      </c>
      <c r="D4082" s="116">
        <v>431.67</v>
      </c>
      <c r="E4082" s="117">
        <v>45519</v>
      </c>
      <c r="F4082" s="116">
        <f>COUNTIFS($A$3:A12332,A4082,$B$3:B12332,B4082)</f>
        <v>1</v>
      </c>
      <c r="G4082" s="116"/>
    </row>
    <row r="4083" spans="1:7" x14ac:dyDescent="0.2">
      <c r="A4083" s="116">
        <f>IF(ISNUMBER(Tabela2[[#This Row],[CT-e/NFS]])=TRUE,(IF(B4083&gt;30000,4,IF(B4083&lt;1000,"ND",0))),"-")</f>
        <v>4</v>
      </c>
      <c r="B4083" s="116">
        <v>48344</v>
      </c>
      <c r="C4083" s="117">
        <v>45505</v>
      </c>
      <c r="D4083" s="116">
        <v>363.6</v>
      </c>
      <c r="E4083" s="117">
        <v>45519</v>
      </c>
      <c r="F4083" s="116">
        <f>COUNTIFS($A$3:A12333,A4083,$B$3:B12333,B4083)</f>
        <v>1</v>
      </c>
      <c r="G4083" s="116"/>
    </row>
    <row r="4084" spans="1:7" x14ac:dyDescent="0.2">
      <c r="A4084" s="116">
        <f>IF(ISNUMBER(Tabela2[[#This Row],[CT-e/NFS]])=TRUE,(IF(B4084&gt;30000,4,IF(B4084&lt;1000,"ND",0))),"-")</f>
        <v>4</v>
      </c>
      <c r="B4084" s="116">
        <v>48354</v>
      </c>
      <c r="C4084" s="117">
        <v>45505</v>
      </c>
      <c r="D4084" s="116">
        <v>342.45</v>
      </c>
      <c r="E4084" s="117">
        <v>45519</v>
      </c>
      <c r="F4084" s="116">
        <f>COUNTIFS($A$3:A12334,A4084,$B$3:B12334,B4084)</f>
        <v>1</v>
      </c>
      <c r="G4084" s="116"/>
    </row>
    <row r="4085" spans="1:7" x14ac:dyDescent="0.2">
      <c r="A4085" s="116">
        <f>IF(ISNUMBER(Tabela2[[#This Row],[CT-e/NFS]])=TRUE,(IF(B4085&gt;30000,4,IF(B4085&lt;1000,"ND",0))),"-")</f>
        <v>4</v>
      </c>
      <c r="B4085" s="116">
        <v>48357</v>
      </c>
      <c r="C4085" s="117">
        <v>45505</v>
      </c>
      <c r="D4085" s="116">
        <v>122.89</v>
      </c>
      <c r="E4085" s="117">
        <v>45519</v>
      </c>
      <c r="F4085" s="116">
        <f>COUNTIFS($A$3:A12335,A4085,$B$3:B12335,B4085)</f>
        <v>1</v>
      </c>
      <c r="G4085" s="116"/>
    </row>
    <row r="4086" spans="1:7" x14ac:dyDescent="0.2">
      <c r="A4086" s="116">
        <f>IF(ISNUMBER(Tabela2[[#This Row],[CT-e/NFS]])=TRUE,(IF(B4086&gt;30000,4,IF(B4086&lt;1000,"ND",0))),"-")</f>
        <v>4</v>
      </c>
      <c r="B4086" s="116">
        <v>48356</v>
      </c>
      <c r="C4086" s="117">
        <v>45505</v>
      </c>
      <c r="D4086" s="116">
        <v>124.32</v>
      </c>
      <c r="E4086" s="117">
        <v>45519</v>
      </c>
      <c r="F4086" s="116">
        <f>COUNTIFS($A$3:A12336,A4086,$B$3:B12336,B4086)</f>
        <v>1</v>
      </c>
      <c r="G4086" s="116"/>
    </row>
    <row r="4087" spans="1:7" x14ac:dyDescent="0.2">
      <c r="A4087" s="116">
        <f>IF(ISNUMBER(Tabela2[[#This Row],[CT-e/NFS]])=TRUE,(IF(B4087&gt;30000,4,IF(B4087&lt;1000,"ND",0))),"-")</f>
        <v>4</v>
      </c>
      <c r="B4087" s="116">
        <v>48362</v>
      </c>
      <c r="C4087" s="117">
        <v>45505</v>
      </c>
      <c r="D4087" s="116">
        <v>123.09</v>
      </c>
      <c r="E4087" s="117">
        <v>45519</v>
      </c>
      <c r="F4087" s="116">
        <f>COUNTIFS($A$3:A12337,A4087,$B$3:B12337,B4087)</f>
        <v>1</v>
      </c>
      <c r="G4087" s="116"/>
    </row>
    <row r="4088" spans="1:7" x14ac:dyDescent="0.2">
      <c r="A4088" s="116">
        <f>IF(ISNUMBER(Tabela2[[#This Row],[CT-e/NFS]])=TRUE,(IF(B4088&gt;30000,4,IF(B4088&lt;1000,"ND",0))),"-")</f>
        <v>4</v>
      </c>
      <c r="B4088" s="116">
        <v>48355</v>
      </c>
      <c r="C4088" s="117">
        <v>45505</v>
      </c>
      <c r="D4088" s="116">
        <v>125.25</v>
      </c>
      <c r="E4088" s="117">
        <v>45519</v>
      </c>
      <c r="F4088" s="116">
        <f>COUNTIFS($A$3:A12338,A4088,$B$3:B12338,B4088)</f>
        <v>1</v>
      </c>
      <c r="G4088" s="116"/>
    </row>
    <row r="4089" spans="1:7" x14ac:dyDescent="0.2">
      <c r="A4089" s="116">
        <f>IF(ISNUMBER(Tabela2[[#This Row],[CT-e/NFS]])=TRUE,(IF(B4089&gt;30000,4,IF(B4089&lt;1000,"ND",0))),"-")</f>
        <v>4</v>
      </c>
      <c r="B4089" s="116">
        <v>48366</v>
      </c>
      <c r="C4089" s="117">
        <v>45505</v>
      </c>
      <c r="D4089" s="116">
        <v>111.65</v>
      </c>
      <c r="E4089" s="117">
        <v>45519</v>
      </c>
      <c r="F4089" s="116">
        <f>COUNTIFS($A$3:A12339,A4089,$B$3:B12339,B4089)</f>
        <v>1</v>
      </c>
      <c r="G4089" s="116"/>
    </row>
    <row r="4090" spans="1:7" x14ac:dyDescent="0.2">
      <c r="A4090" s="116">
        <f>IF(ISNUMBER(Tabela2[[#This Row],[CT-e/NFS]])=TRUE,(IF(B4090&gt;30000,4,IF(B4090&lt;1000,"ND",0))),"-")</f>
        <v>4</v>
      </c>
      <c r="B4090" s="116">
        <v>48365</v>
      </c>
      <c r="C4090" s="117">
        <v>45505</v>
      </c>
      <c r="D4090" s="116">
        <v>61.95</v>
      </c>
      <c r="E4090" s="117">
        <v>45519</v>
      </c>
      <c r="F4090" s="116">
        <f>COUNTIFS($A$3:A12340,A4090,$B$3:B12340,B4090)</f>
        <v>1</v>
      </c>
      <c r="G4090" s="116"/>
    </row>
    <row r="4091" spans="1:7" x14ac:dyDescent="0.2">
      <c r="A4091" s="116">
        <f>IF(ISNUMBER(Tabela2[[#This Row],[CT-e/NFS]])=TRUE,(IF(B4091&gt;30000,4,IF(B4091&lt;1000,"ND",0))),"-")</f>
        <v>4</v>
      </c>
      <c r="B4091" s="116">
        <v>48351</v>
      </c>
      <c r="C4091" s="117">
        <v>45505</v>
      </c>
      <c r="D4091" s="116">
        <v>125.64</v>
      </c>
      <c r="E4091" s="117">
        <v>45519</v>
      </c>
      <c r="F4091" s="116">
        <f>COUNTIFS($A$3:A12341,A4091,$B$3:B12341,B4091)</f>
        <v>1</v>
      </c>
      <c r="G4091" s="116"/>
    </row>
    <row r="4092" spans="1:7" x14ac:dyDescent="0.2">
      <c r="A4092" s="116">
        <f>IF(ISNUMBER(Tabela2[[#This Row],[CT-e/NFS]])=TRUE,(IF(B4092&gt;30000,4,IF(B4092&lt;1000,"ND",0))),"-")</f>
        <v>4</v>
      </c>
      <c r="B4092" s="116">
        <v>48352</v>
      </c>
      <c r="C4092" s="117">
        <v>45505</v>
      </c>
      <c r="D4092" s="116">
        <v>122.93</v>
      </c>
      <c r="E4092" s="117">
        <v>45519</v>
      </c>
      <c r="F4092" s="116">
        <f>COUNTIFS($A$3:A12342,A4092,$B$3:B12342,B4092)</f>
        <v>1</v>
      </c>
      <c r="G4092" s="116"/>
    </row>
    <row r="4093" spans="1:7" x14ac:dyDescent="0.2">
      <c r="A4093" s="116">
        <f>IF(ISNUMBER(Tabela2[[#This Row],[CT-e/NFS]])=TRUE,(IF(B4093&gt;30000,4,IF(B4093&lt;1000,"ND",0))),"-")</f>
        <v>4</v>
      </c>
      <c r="B4093" s="116">
        <v>48350</v>
      </c>
      <c r="C4093" s="117">
        <v>45505</v>
      </c>
      <c r="D4093" s="116">
        <v>125.03</v>
      </c>
      <c r="E4093" s="117">
        <v>45519</v>
      </c>
      <c r="F4093" s="116">
        <f>COUNTIFS($A$3:A12343,A4093,$B$3:B12343,B4093)</f>
        <v>1</v>
      </c>
      <c r="G4093" s="116"/>
    </row>
    <row r="4094" spans="1:7" x14ac:dyDescent="0.2">
      <c r="A4094" s="116">
        <f>IF(ISNUMBER(Tabela2[[#This Row],[CT-e/NFS]])=TRUE,(IF(B4094&gt;30000,4,IF(B4094&lt;1000,"ND",0))),"-")</f>
        <v>4</v>
      </c>
      <c r="B4094" s="116">
        <v>48349</v>
      </c>
      <c r="C4094" s="117">
        <v>45505</v>
      </c>
      <c r="D4094" s="116">
        <v>124.2</v>
      </c>
      <c r="E4094" s="117">
        <v>45519</v>
      </c>
      <c r="F4094" s="116">
        <f>COUNTIFS($A$3:A12344,A4094,$B$3:B12344,B4094)</f>
        <v>1</v>
      </c>
      <c r="G4094" s="116"/>
    </row>
    <row r="4095" spans="1:7" x14ac:dyDescent="0.2">
      <c r="A4095" s="116">
        <f>IF(ISNUMBER(Tabela2[[#This Row],[CT-e/NFS]])=TRUE,(IF(B4095&gt;30000,4,IF(B4095&lt;1000,"ND",0))),"-")</f>
        <v>4</v>
      </c>
      <c r="B4095" s="116">
        <v>48348</v>
      </c>
      <c r="C4095" s="117">
        <v>45505</v>
      </c>
      <c r="D4095" s="116">
        <v>126.02</v>
      </c>
      <c r="E4095" s="117">
        <v>45519</v>
      </c>
      <c r="F4095" s="116">
        <f>COUNTIFS($A$3:A12345,A4095,$B$3:B12345,B4095)</f>
        <v>1</v>
      </c>
      <c r="G4095" s="116"/>
    </row>
    <row r="4096" spans="1:7" x14ac:dyDescent="0.2">
      <c r="A4096" s="116">
        <f>IF(ISNUMBER(Tabela2[[#This Row],[CT-e/NFS]])=TRUE,(IF(B4096&gt;30000,4,IF(B4096&lt;1000,"ND",0))),"-")</f>
        <v>4</v>
      </c>
      <c r="B4096" s="116">
        <v>48347</v>
      </c>
      <c r="C4096" s="117">
        <v>45505</v>
      </c>
      <c r="D4096" s="116">
        <v>125.52</v>
      </c>
      <c r="E4096" s="117">
        <v>45519</v>
      </c>
      <c r="F4096" s="116">
        <f>COUNTIFS($A$3:A12346,A4096,$B$3:B12346,B4096)</f>
        <v>1</v>
      </c>
      <c r="G4096" s="116"/>
    </row>
    <row r="4097" spans="1:7" x14ac:dyDescent="0.2">
      <c r="A4097" s="116">
        <f>IF(ISNUMBER(Tabela2[[#This Row],[CT-e/NFS]])=TRUE,(IF(B4097&gt;30000,4,IF(B4097&lt;1000,"ND",0))),"-")</f>
        <v>4</v>
      </c>
      <c r="B4097" s="116">
        <v>48359</v>
      </c>
      <c r="C4097" s="117">
        <v>45505</v>
      </c>
      <c r="D4097" s="116">
        <v>124.33</v>
      </c>
      <c r="E4097" s="117">
        <v>45519</v>
      </c>
      <c r="F4097" s="116">
        <f>COUNTIFS($A$3:A12347,A4097,$B$3:B12347,B4097)</f>
        <v>1</v>
      </c>
      <c r="G4097" s="116"/>
    </row>
    <row r="4098" spans="1:7" x14ac:dyDescent="0.2">
      <c r="A4098" s="116">
        <f>IF(ISNUMBER(Tabela2[[#This Row],[CT-e/NFS]])=TRUE,(IF(B4098&gt;30000,4,IF(B4098&lt;1000,"ND",0))),"-")</f>
        <v>4</v>
      </c>
      <c r="B4098" s="116">
        <v>48358</v>
      </c>
      <c r="C4098" s="117">
        <v>45505</v>
      </c>
      <c r="D4098" s="116">
        <v>281.52999999999997</v>
      </c>
      <c r="E4098" s="117">
        <v>45519</v>
      </c>
      <c r="F4098" s="116">
        <f>COUNTIFS($A$3:A12348,A4098,$B$3:B12348,B4098)</f>
        <v>1</v>
      </c>
      <c r="G4098" s="116"/>
    </row>
    <row r="4099" spans="1:7" x14ac:dyDescent="0.2">
      <c r="A4099" s="116">
        <f>IF(ISNUMBER(Tabela2[[#This Row],[CT-e/NFS]])=TRUE,(IF(B4099&gt;30000,4,IF(B4099&lt;1000,"ND",0))),"-")</f>
        <v>4</v>
      </c>
      <c r="B4099" s="116">
        <v>48360</v>
      </c>
      <c r="C4099" s="117">
        <v>45505</v>
      </c>
      <c r="D4099" s="116">
        <v>124.2</v>
      </c>
      <c r="E4099" s="117">
        <v>45519</v>
      </c>
      <c r="F4099" s="116">
        <f>COUNTIFS($A$3:A12349,A4099,$B$3:B12349,B4099)</f>
        <v>1</v>
      </c>
      <c r="G4099" s="116"/>
    </row>
    <row r="4100" spans="1:7" x14ac:dyDescent="0.2">
      <c r="A4100" s="116">
        <f>IF(ISNUMBER(Tabela2[[#This Row],[CT-e/NFS]])=TRUE,(IF(B4100&gt;30000,4,IF(B4100&lt;1000,"ND",0))),"-")</f>
        <v>4</v>
      </c>
      <c r="B4100" s="116">
        <v>48361</v>
      </c>
      <c r="C4100" s="117">
        <v>45505</v>
      </c>
      <c r="D4100" s="116">
        <v>370.75</v>
      </c>
      <c r="E4100" s="117">
        <v>45519</v>
      </c>
      <c r="F4100" s="116">
        <f>COUNTIFS($A$3:A12350,A4100,$B$3:B12350,B4100)</f>
        <v>1</v>
      </c>
      <c r="G4100" s="116"/>
    </row>
    <row r="4101" spans="1:7" x14ac:dyDescent="0.2">
      <c r="A4101" s="116">
        <f>IF(ISNUMBER(Tabela2[[#This Row],[CT-e/NFS]])=TRUE,(IF(B4101&gt;30000,4,IF(B4101&lt;1000,"ND",0))),"-")</f>
        <v>4</v>
      </c>
      <c r="B4101" s="116">
        <v>48363</v>
      </c>
      <c r="C4101" s="117">
        <v>45505</v>
      </c>
      <c r="D4101" s="116">
        <v>238.68</v>
      </c>
      <c r="E4101" s="117">
        <v>45519</v>
      </c>
      <c r="F4101" s="116">
        <f>COUNTIFS($A$3:A12351,A4101,$B$3:B12351,B4101)</f>
        <v>1</v>
      </c>
      <c r="G4101" s="116"/>
    </row>
    <row r="4102" spans="1:7" x14ac:dyDescent="0.2">
      <c r="A4102" s="116">
        <f>IF(ISNUMBER(Tabela2[[#This Row],[CT-e/NFS]])=TRUE,(IF(B4102&gt;30000,4,IF(B4102&lt;1000,"ND",0))),"-")</f>
        <v>4</v>
      </c>
      <c r="B4102" s="116">
        <v>48346</v>
      </c>
      <c r="C4102" s="117">
        <v>45505</v>
      </c>
      <c r="D4102" s="116">
        <v>2382.4</v>
      </c>
      <c r="E4102" s="117">
        <v>45519</v>
      </c>
      <c r="F4102" s="116">
        <f>COUNTIFS($A$3:A12352,A4102,$B$3:B12352,B4102)</f>
        <v>1</v>
      </c>
      <c r="G4102" s="116"/>
    </row>
    <row r="4103" spans="1:7" x14ac:dyDescent="0.2">
      <c r="A4103" s="116">
        <f>IF(ISNUMBER(Tabela2[[#This Row],[CT-e/NFS]])=TRUE,(IF(B4103&gt;30000,4,IF(B4103&lt;1000,"ND",0))),"-")</f>
        <v>4</v>
      </c>
      <c r="B4103" s="116">
        <v>48369</v>
      </c>
      <c r="C4103" s="117">
        <v>45505</v>
      </c>
      <c r="D4103" s="116">
        <v>11695.09</v>
      </c>
      <c r="E4103" s="117">
        <v>45519</v>
      </c>
      <c r="F4103" s="116">
        <f>COUNTIFS($A$3:A12353,A4103,$B$3:B12353,B4103)</f>
        <v>1</v>
      </c>
      <c r="G4103" s="116"/>
    </row>
    <row r="4104" spans="1:7" x14ac:dyDescent="0.2">
      <c r="A4104" s="116">
        <f>IF(ISNUMBER(Tabela2[[#This Row],[CT-e/NFS]])=TRUE,(IF(B4104&gt;30000,4,IF(B4104&lt;1000,"ND",0))),"-")</f>
        <v>4</v>
      </c>
      <c r="B4104" s="116">
        <v>48370</v>
      </c>
      <c r="C4104" s="117">
        <v>45505</v>
      </c>
      <c r="D4104" s="116">
        <v>5688.52</v>
      </c>
      <c r="E4104" s="117">
        <v>45519</v>
      </c>
      <c r="F4104" s="116">
        <f>COUNTIFS($A$3:A12354,A4104,$B$3:B12354,B4104)</f>
        <v>1</v>
      </c>
      <c r="G4104" s="116"/>
    </row>
    <row r="4105" spans="1:7" x14ac:dyDescent="0.2">
      <c r="A4105" s="116">
        <f>IF(ISNUMBER(Tabela2[[#This Row],[CT-e/NFS]])=TRUE,(IF(B4105&gt;30000,4,IF(B4105&lt;1000,"ND",0))),"-")</f>
        <v>4</v>
      </c>
      <c r="B4105" s="116">
        <v>48371</v>
      </c>
      <c r="C4105" s="117">
        <v>45505</v>
      </c>
      <c r="D4105" s="116">
        <v>119.34</v>
      </c>
      <c r="E4105" s="117">
        <v>45519</v>
      </c>
      <c r="F4105" s="116">
        <f>COUNTIFS($A$3:A12355,A4105,$B$3:B12355,B4105)</f>
        <v>1</v>
      </c>
      <c r="G4105" s="116"/>
    </row>
    <row r="4106" spans="1:7" x14ac:dyDescent="0.2">
      <c r="A4106" s="116">
        <f>IF(ISNUMBER(Tabela2[[#This Row],[CT-e/NFS]])=TRUE,(IF(B4106&gt;30000,4,IF(B4106&lt;1000,"ND",0))),"-")</f>
        <v>4</v>
      </c>
      <c r="B4106" s="116">
        <v>48372</v>
      </c>
      <c r="C4106" s="117">
        <v>45505</v>
      </c>
      <c r="D4106" s="116">
        <v>214.82</v>
      </c>
      <c r="E4106" s="117">
        <v>45519</v>
      </c>
      <c r="F4106" s="116">
        <f>COUNTIFS($A$3:A12356,A4106,$B$3:B12356,B4106)</f>
        <v>1</v>
      </c>
      <c r="G4106" s="116"/>
    </row>
    <row r="4107" spans="1:7" x14ac:dyDescent="0.2">
      <c r="A4107" s="116">
        <f>IF(ISNUMBER(Tabela2[[#This Row],[CT-e/NFS]])=TRUE,(IF(B4107&gt;30000,4,IF(B4107&lt;1000,"ND",0))),"-")</f>
        <v>4</v>
      </c>
      <c r="B4107" s="116">
        <v>48374</v>
      </c>
      <c r="C4107" s="117">
        <v>45505</v>
      </c>
      <c r="D4107" s="116">
        <v>110.5</v>
      </c>
      <c r="E4107" s="117">
        <v>45519</v>
      </c>
      <c r="F4107" s="116">
        <f>COUNTIFS($A$3:A12357,A4107,$B$3:B12357,B4107)</f>
        <v>1</v>
      </c>
      <c r="G4107" s="116"/>
    </row>
    <row r="4108" spans="1:7" x14ac:dyDescent="0.2">
      <c r="A4108" s="116">
        <f>IF(ISNUMBER(Tabela2[[#This Row],[CT-e/NFS]])=TRUE,(IF(B4108&gt;30000,4,IF(B4108&lt;1000,"ND",0))),"-")</f>
        <v>4</v>
      </c>
      <c r="B4108" s="116">
        <v>48373</v>
      </c>
      <c r="C4108" s="117">
        <v>45505</v>
      </c>
      <c r="D4108" s="116">
        <v>61.39</v>
      </c>
      <c r="E4108" s="117">
        <v>45519</v>
      </c>
      <c r="F4108" s="116">
        <f>COUNTIFS($A$3:A12358,A4108,$B$3:B12358,B4108)</f>
        <v>1</v>
      </c>
      <c r="G4108" s="116"/>
    </row>
    <row r="4109" spans="1:7" x14ac:dyDescent="0.2">
      <c r="A4109" s="116">
        <f>IF(ISNUMBER(Tabela2[[#This Row],[CT-e/NFS]])=TRUE,(IF(B4109&gt;30000,4,IF(B4109&lt;1000,"ND",0))),"-")</f>
        <v>4</v>
      </c>
      <c r="B4109" s="116">
        <v>48375</v>
      </c>
      <c r="C4109" s="117">
        <v>45505</v>
      </c>
      <c r="D4109" s="116">
        <v>609.98</v>
      </c>
      <c r="E4109" s="117">
        <v>45519</v>
      </c>
      <c r="F4109" s="116">
        <f>COUNTIFS($A$3:A12359,A4109,$B$3:B12359,B4109)</f>
        <v>1</v>
      </c>
      <c r="G4109" s="116"/>
    </row>
    <row r="4110" spans="1:7" x14ac:dyDescent="0.2">
      <c r="A4110" s="116">
        <f>IF(ISNUMBER(Tabela2[[#This Row],[CT-e/NFS]])=TRUE,(IF(B4110&gt;30000,4,IF(B4110&lt;1000,"ND",0))),"-")</f>
        <v>4</v>
      </c>
      <c r="B4110" s="116">
        <v>48376</v>
      </c>
      <c r="C4110" s="117">
        <v>45505</v>
      </c>
      <c r="D4110" s="116">
        <v>240.2</v>
      </c>
      <c r="E4110" s="117">
        <v>45519</v>
      </c>
      <c r="F4110" s="116">
        <f>COUNTIFS($A$3:A12360,A4110,$B$3:B12360,B4110)</f>
        <v>1</v>
      </c>
      <c r="G4110" s="116"/>
    </row>
    <row r="4111" spans="1:7" x14ac:dyDescent="0.2">
      <c r="A4111" s="116">
        <f>IF(ISNUMBER(Tabela2[[#This Row],[CT-e/NFS]])=TRUE,(IF(B4111&gt;30000,4,IF(B4111&lt;1000,"ND",0))),"-")</f>
        <v>4</v>
      </c>
      <c r="B4111" s="116">
        <v>48379</v>
      </c>
      <c r="C4111" s="117">
        <v>45505</v>
      </c>
      <c r="D4111" s="116">
        <v>124.68</v>
      </c>
      <c r="E4111" s="117">
        <v>45519</v>
      </c>
      <c r="F4111" s="116">
        <f>COUNTIFS($A$3:A12361,A4111,$B$3:B12361,B4111)</f>
        <v>1</v>
      </c>
      <c r="G4111" s="116"/>
    </row>
    <row r="4112" spans="1:7" x14ac:dyDescent="0.2">
      <c r="A4112" s="116">
        <f>IF(ISNUMBER(Tabela2[[#This Row],[CT-e/NFS]])=TRUE,(IF(B4112&gt;30000,4,IF(B4112&lt;1000,"ND",0))),"-")</f>
        <v>4</v>
      </c>
      <c r="B4112" s="116">
        <v>48341</v>
      </c>
      <c r="C4112" s="117">
        <v>45505</v>
      </c>
      <c r="D4112" s="116">
        <v>408.02</v>
      </c>
      <c r="E4112" s="117">
        <v>45519</v>
      </c>
      <c r="F4112" s="116">
        <f>COUNTIFS($A$3:A12362,A4112,$B$3:B12362,B4112)</f>
        <v>1</v>
      </c>
      <c r="G4112" s="116"/>
    </row>
    <row r="4113" spans="1:7" x14ac:dyDescent="0.2">
      <c r="A4113" s="116">
        <f>IF(ISNUMBER(Tabela2[[#This Row],[CT-e/NFS]])=TRUE,(IF(B4113&gt;30000,4,IF(B4113&lt;1000,"ND",0))),"-")</f>
        <v>4</v>
      </c>
      <c r="B4113" s="116">
        <v>48380</v>
      </c>
      <c r="C4113" s="117">
        <v>45505</v>
      </c>
      <c r="D4113" s="116">
        <v>408.02</v>
      </c>
      <c r="E4113" s="117">
        <v>45519</v>
      </c>
      <c r="F4113" s="116">
        <f>COUNTIFS($A$3:A12363,A4113,$B$3:B12363,B4113)</f>
        <v>1</v>
      </c>
      <c r="G4113" s="116"/>
    </row>
    <row r="4114" spans="1:7" x14ac:dyDescent="0.2">
      <c r="A4114" s="116">
        <f>IF(ISNUMBER(Tabela2[[#This Row],[CT-e/NFS]])=TRUE,(IF(B4114&gt;30000,4,IF(B4114&lt;1000,"ND",0))),"-")</f>
        <v>4</v>
      </c>
      <c r="B4114" s="116">
        <v>48377</v>
      </c>
      <c r="C4114" s="117">
        <v>45505</v>
      </c>
      <c r="D4114" s="116">
        <v>93.01</v>
      </c>
      <c r="E4114" s="117">
        <v>45519</v>
      </c>
      <c r="F4114" s="116">
        <f>COUNTIFS($A$3:A12364,A4114,$B$3:B12364,B4114)</f>
        <v>1</v>
      </c>
      <c r="G4114" s="116"/>
    </row>
    <row r="4115" spans="1:7" x14ac:dyDescent="0.2">
      <c r="A4115" s="116">
        <f>IF(ISNUMBER(Tabela2[[#This Row],[CT-e/NFS]])=TRUE,(IF(B4115&gt;30000,4,IF(B4115&lt;1000,"ND",0))),"-")</f>
        <v>4</v>
      </c>
      <c r="B4115" s="116">
        <v>48383</v>
      </c>
      <c r="C4115" s="117">
        <v>45505</v>
      </c>
      <c r="D4115" s="116">
        <v>1245.6099999999999</v>
      </c>
      <c r="E4115" s="117">
        <v>45519</v>
      </c>
      <c r="F4115" s="116">
        <f>COUNTIFS($A$3:A12365,A4115,$B$3:B12365,B4115)</f>
        <v>1</v>
      </c>
      <c r="G4115" s="116"/>
    </row>
    <row r="4116" spans="1:7" x14ac:dyDescent="0.2">
      <c r="A4116" s="116">
        <f>IF(ISNUMBER(Tabela2[[#This Row],[CT-e/NFS]])=TRUE,(IF(B4116&gt;30000,4,IF(B4116&lt;1000,"ND",0))),"-")</f>
        <v>4</v>
      </c>
      <c r="B4116" s="116">
        <v>48381</v>
      </c>
      <c r="C4116" s="117">
        <v>45505</v>
      </c>
      <c r="D4116" s="116">
        <v>240.24</v>
      </c>
      <c r="E4116" s="117">
        <v>45519</v>
      </c>
      <c r="F4116" s="116">
        <f>COUNTIFS($A$3:A12366,A4116,$B$3:B12366,B4116)</f>
        <v>1</v>
      </c>
      <c r="G4116" s="116"/>
    </row>
    <row r="4117" spans="1:7" x14ac:dyDescent="0.2">
      <c r="A4117" s="116">
        <f>IF(ISNUMBER(Tabela2[[#This Row],[CT-e/NFS]])=TRUE,(IF(B4117&gt;30000,4,IF(B4117&lt;1000,"ND",0))),"-")</f>
        <v>4</v>
      </c>
      <c r="B4117" s="116">
        <v>48382</v>
      </c>
      <c r="C4117" s="117">
        <v>45505</v>
      </c>
      <c r="D4117" s="116">
        <v>798.27</v>
      </c>
      <c r="E4117" s="117">
        <v>45519</v>
      </c>
      <c r="F4117" s="116">
        <f>COUNTIFS($A$3:A12367,A4117,$B$3:B12367,B4117)</f>
        <v>1</v>
      </c>
      <c r="G4117" s="116"/>
    </row>
    <row r="4118" spans="1:7" x14ac:dyDescent="0.2">
      <c r="A4118" s="116">
        <f>IF(ISNUMBER(Tabela2[[#This Row],[CT-e/NFS]])=TRUE,(IF(B4118&gt;30000,4,IF(B4118&lt;1000,"ND",0))),"-")</f>
        <v>4</v>
      </c>
      <c r="B4118" s="116">
        <v>48367</v>
      </c>
      <c r="C4118" s="117">
        <v>45505</v>
      </c>
      <c r="D4118" s="116">
        <v>141.02000000000001</v>
      </c>
      <c r="E4118" s="117">
        <v>45519</v>
      </c>
      <c r="F4118" s="116">
        <f>COUNTIFS($A$3:A12368,A4118,$B$3:B12368,B4118)</f>
        <v>1</v>
      </c>
      <c r="G4118" s="116"/>
    </row>
    <row r="4119" spans="1:7" x14ac:dyDescent="0.2">
      <c r="A4119" s="116">
        <f>IF(ISNUMBER(Tabela2[[#This Row],[CT-e/NFS]])=TRUE,(IF(B4119&gt;30000,4,IF(B4119&lt;1000,"ND",0))),"-")</f>
        <v>4</v>
      </c>
      <c r="B4119" s="116">
        <v>48353</v>
      </c>
      <c r="C4119" s="117">
        <v>45505</v>
      </c>
      <c r="D4119" s="116">
        <v>125.34</v>
      </c>
      <c r="E4119" s="117">
        <v>45519</v>
      </c>
      <c r="F4119" s="116">
        <f>COUNTIFS($A$3:A12369,A4119,$B$3:B12369,B4119)</f>
        <v>1</v>
      </c>
      <c r="G4119" s="116"/>
    </row>
    <row r="4120" spans="1:7" x14ac:dyDescent="0.2">
      <c r="A4120" s="116">
        <f>IF(ISNUMBER(Tabela2[[#This Row],[CT-e/NFS]])=TRUE,(IF(B4120&gt;30000,4,IF(B4120&lt;1000,"ND",0))),"-")</f>
        <v>4</v>
      </c>
      <c r="B4120" s="116">
        <v>48386</v>
      </c>
      <c r="C4120" s="117">
        <v>45505</v>
      </c>
      <c r="D4120" s="116">
        <v>124.32</v>
      </c>
      <c r="E4120" s="117">
        <v>45519</v>
      </c>
      <c r="F4120" s="116">
        <f>COUNTIFS($A$3:A12370,A4120,$B$3:B12370,B4120)</f>
        <v>1</v>
      </c>
      <c r="G4120" s="116"/>
    </row>
    <row r="4121" spans="1:7" x14ac:dyDescent="0.2">
      <c r="A4121" s="116">
        <f>IF(ISNUMBER(Tabela2[[#This Row],[CT-e/NFS]])=TRUE,(IF(B4121&gt;30000,4,IF(B4121&lt;1000,"ND",0))),"-")</f>
        <v>4</v>
      </c>
      <c r="B4121" s="116">
        <v>48385</v>
      </c>
      <c r="C4121" s="117">
        <v>45505</v>
      </c>
      <c r="D4121" s="116">
        <v>124.52</v>
      </c>
      <c r="E4121" s="117">
        <v>45519</v>
      </c>
      <c r="F4121" s="116">
        <f>COUNTIFS($A$3:A12371,A4121,$B$3:B12371,B4121)</f>
        <v>1</v>
      </c>
      <c r="G4121" s="116"/>
    </row>
    <row r="4122" spans="1:7" x14ac:dyDescent="0.2">
      <c r="A4122" s="116">
        <f>IF(ISNUMBER(Tabela2[[#This Row],[CT-e/NFS]])=TRUE,(IF(B4122&gt;30000,4,IF(B4122&lt;1000,"ND",0))),"-")</f>
        <v>4</v>
      </c>
      <c r="B4122" s="116">
        <v>48384</v>
      </c>
      <c r="C4122" s="117">
        <v>45505</v>
      </c>
      <c r="D4122" s="116">
        <v>87.65</v>
      </c>
      <c r="E4122" s="117">
        <v>45519</v>
      </c>
      <c r="F4122" s="116">
        <f>COUNTIFS($A$3:A12372,A4122,$B$3:B12372,B4122)</f>
        <v>1</v>
      </c>
      <c r="G4122" s="116"/>
    </row>
    <row r="4123" spans="1:7" x14ac:dyDescent="0.2">
      <c r="A4123" s="116">
        <f>IF(ISNUMBER(Tabela2[[#This Row],[CT-e/NFS]])=TRUE,(IF(B4123&gt;30000,4,IF(B4123&lt;1000,"ND",0))),"-")</f>
        <v>4</v>
      </c>
      <c r="B4123" s="116">
        <v>48402</v>
      </c>
      <c r="C4123" s="117">
        <v>45505</v>
      </c>
      <c r="D4123" s="116">
        <v>113.25</v>
      </c>
      <c r="E4123" s="117">
        <v>45519</v>
      </c>
      <c r="F4123" s="116">
        <f>COUNTIFS($A$3:A12373,A4123,$B$3:B12373,B4123)</f>
        <v>1</v>
      </c>
      <c r="G4123" s="116"/>
    </row>
    <row r="4124" spans="1:7" x14ac:dyDescent="0.2">
      <c r="A4124" s="116">
        <f>IF(ISNUMBER(Tabela2[[#This Row],[CT-e/NFS]])=TRUE,(IF(B4124&gt;30000,4,IF(B4124&lt;1000,"ND",0))),"-")</f>
        <v>4</v>
      </c>
      <c r="B4124" s="116">
        <v>48401</v>
      </c>
      <c r="C4124" s="117">
        <v>45505</v>
      </c>
      <c r="D4124" s="116">
        <v>62.76</v>
      </c>
      <c r="E4124" s="117">
        <v>45519</v>
      </c>
      <c r="F4124" s="116">
        <f>COUNTIFS($A$3:A12374,A4124,$B$3:B12374,B4124)</f>
        <v>1</v>
      </c>
      <c r="G4124" s="116"/>
    </row>
    <row r="4125" spans="1:7" x14ac:dyDescent="0.2">
      <c r="A4125" s="116">
        <f>IF(ISNUMBER(Tabela2[[#This Row],[CT-e/NFS]])=TRUE,(IF(B4125&gt;30000,4,IF(B4125&lt;1000,"ND",0))),"-")</f>
        <v>4</v>
      </c>
      <c r="B4125" s="116">
        <v>48405</v>
      </c>
      <c r="C4125" s="117">
        <v>45505</v>
      </c>
      <c r="D4125" s="116">
        <v>113.36</v>
      </c>
      <c r="E4125" s="117">
        <v>45519</v>
      </c>
      <c r="F4125" s="116">
        <f>COUNTIFS($A$3:A12375,A4125,$B$3:B12375,B4125)</f>
        <v>1</v>
      </c>
      <c r="G4125" s="116"/>
    </row>
    <row r="4126" spans="1:7" x14ac:dyDescent="0.2">
      <c r="A4126" s="116">
        <f>IF(ISNUMBER(Tabela2[[#This Row],[CT-e/NFS]])=TRUE,(IF(B4126&gt;30000,4,IF(B4126&lt;1000,"ND",0))),"-")</f>
        <v>4</v>
      </c>
      <c r="B4126" s="116">
        <v>48398</v>
      </c>
      <c r="C4126" s="117">
        <v>45505</v>
      </c>
      <c r="D4126" s="116">
        <v>124.45</v>
      </c>
      <c r="E4126" s="117">
        <v>45519</v>
      </c>
      <c r="F4126" s="116">
        <f>COUNTIFS($A$3:A12376,A4126,$B$3:B12376,B4126)</f>
        <v>1</v>
      </c>
      <c r="G4126" s="116"/>
    </row>
    <row r="4127" spans="1:7" x14ac:dyDescent="0.2">
      <c r="A4127" s="116">
        <f>IF(ISNUMBER(Tabela2[[#This Row],[CT-e/NFS]])=TRUE,(IF(B4127&gt;30000,4,IF(B4127&lt;1000,"ND",0))),"-")</f>
        <v>4</v>
      </c>
      <c r="B4127" s="116">
        <v>48395</v>
      </c>
      <c r="C4127" s="117">
        <v>45505</v>
      </c>
      <c r="D4127" s="116">
        <v>406.5</v>
      </c>
      <c r="E4127" s="117">
        <v>45519</v>
      </c>
      <c r="F4127" s="116">
        <f>COUNTIFS($A$3:A12377,A4127,$B$3:B12377,B4127)</f>
        <v>1</v>
      </c>
      <c r="G4127" s="116"/>
    </row>
    <row r="4128" spans="1:7" x14ac:dyDescent="0.2">
      <c r="A4128" s="116">
        <f>IF(ISNUMBER(Tabela2[[#This Row],[CT-e/NFS]])=TRUE,(IF(B4128&gt;30000,4,IF(B4128&lt;1000,"ND",0))),"-")</f>
        <v>4</v>
      </c>
      <c r="B4128" s="116">
        <v>48397</v>
      </c>
      <c r="C4128" s="117">
        <v>45505</v>
      </c>
      <c r="D4128" s="116">
        <v>125.16</v>
      </c>
      <c r="E4128" s="117">
        <v>45519</v>
      </c>
      <c r="F4128" s="116">
        <f>COUNTIFS($A$3:A12378,A4128,$B$3:B12378,B4128)</f>
        <v>1</v>
      </c>
      <c r="G4128" s="116"/>
    </row>
    <row r="4129" spans="1:7" x14ac:dyDescent="0.2">
      <c r="A4129" s="116">
        <f>IF(ISNUMBER(Tabela2[[#This Row],[CT-e/NFS]])=TRUE,(IF(B4129&gt;30000,4,IF(B4129&lt;1000,"ND",0))),"-")</f>
        <v>4</v>
      </c>
      <c r="B4129" s="116">
        <v>48404</v>
      </c>
      <c r="C4129" s="117">
        <v>45505</v>
      </c>
      <c r="D4129" s="116">
        <v>62.82</v>
      </c>
      <c r="E4129" s="117">
        <v>45519</v>
      </c>
      <c r="F4129" s="116">
        <f>COUNTIFS($A$3:A12379,A4129,$B$3:B12379,B4129)</f>
        <v>1</v>
      </c>
      <c r="G4129" s="116"/>
    </row>
    <row r="4130" spans="1:7" x14ac:dyDescent="0.2">
      <c r="A4130" s="116">
        <f>IF(ISNUMBER(Tabela2[[#This Row],[CT-e/NFS]])=TRUE,(IF(B4130&gt;30000,4,IF(B4130&lt;1000,"ND",0))),"-")</f>
        <v>4</v>
      </c>
      <c r="B4130" s="116">
        <v>48393</v>
      </c>
      <c r="C4130" s="117">
        <v>45505</v>
      </c>
      <c r="D4130" s="116">
        <v>408.02</v>
      </c>
      <c r="E4130" s="117">
        <v>45519</v>
      </c>
      <c r="F4130" s="116">
        <f>COUNTIFS($A$3:A12380,A4130,$B$3:B12380,B4130)</f>
        <v>1</v>
      </c>
      <c r="G4130" s="116"/>
    </row>
    <row r="4131" spans="1:7" x14ac:dyDescent="0.2">
      <c r="A4131" s="116">
        <f>IF(ISNUMBER(Tabela2[[#This Row],[CT-e/NFS]])=TRUE,(IF(B4131&gt;30000,4,IF(B4131&lt;1000,"ND",0))),"-")</f>
        <v>4</v>
      </c>
      <c r="B4131" s="116">
        <v>48388</v>
      </c>
      <c r="C4131" s="117">
        <v>45505</v>
      </c>
      <c r="D4131" s="116">
        <v>122.85</v>
      </c>
      <c r="E4131" s="117">
        <v>45519</v>
      </c>
      <c r="F4131" s="116">
        <f>COUNTIFS($A$3:A12381,A4131,$B$3:B12381,B4131)</f>
        <v>1</v>
      </c>
      <c r="G4131" s="116"/>
    </row>
    <row r="4132" spans="1:7" x14ac:dyDescent="0.2">
      <c r="A4132" s="116">
        <f>IF(ISNUMBER(Tabela2[[#This Row],[CT-e/NFS]])=TRUE,(IF(B4132&gt;30000,4,IF(B4132&lt;1000,"ND",0))),"-")</f>
        <v>4</v>
      </c>
      <c r="B4132" s="116">
        <v>48394</v>
      </c>
      <c r="C4132" s="117">
        <v>45505</v>
      </c>
      <c r="D4132" s="116">
        <v>196.38</v>
      </c>
      <c r="E4132" s="117">
        <v>45519</v>
      </c>
      <c r="F4132" s="116">
        <f>COUNTIFS($A$3:A12382,A4132,$B$3:B12382,B4132)</f>
        <v>1</v>
      </c>
      <c r="G4132" s="116"/>
    </row>
    <row r="4133" spans="1:7" x14ac:dyDescent="0.2">
      <c r="A4133" s="116">
        <f>IF(ISNUMBER(Tabela2[[#This Row],[CT-e/NFS]])=TRUE,(IF(B4133&gt;30000,4,IF(B4133&lt;1000,"ND",0))),"-")</f>
        <v>4</v>
      </c>
      <c r="B4133" s="116">
        <v>48407</v>
      </c>
      <c r="C4133" s="117">
        <v>45505</v>
      </c>
      <c r="D4133" s="116">
        <v>62.51</v>
      </c>
      <c r="E4133" s="117">
        <v>45519</v>
      </c>
      <c r="F4133" s="116">
        <f>COUNTIFS($A$3:A12383,A4133,$B$3:B12383,B4133)</f>
        <v>1</v>
      </c>
      <c r="G4133" s="116"/>
    </row>
    <row r="4134" spans="1:7" x14ac:dyDescent="0.2">
      <c r="A4134" s="116">
        <f>IF(ISNUMBER(Tabela2[[#This Row],[CT-e/NFS]])=TRUE,(IF(B4134&gt;30000,4,IF(B4134&lt;1000,"ND",0))),"-")</f>
        <v>4</v>
      </c>
      <c r="B4134" s="116">
        <v>48391</v>
      </c>
      <c r="C4134" s="117">
        <v>45505</v>
      </c>
      <c r="D4134" s="116">
        <v>124.06</v>
      </c>
      <c r="E4134" s="117">
        <v>45519</v>
      </c>
      <c r="F4134" s="116">
        <f>COUNTIFS($A$3:A12384,A4134,$B$3:B12384,B4134)</f>
        <v>1</v>
      </c>
      <c r="G4134" s="116"/>
    </row>
    <row r="4135" spans="1:7" x14ac:dyDescent="0.2">
      <c r="A4135" s="116">
        <f>IF(ISNUMBER(Tabela2[[#This Row],[CT-e/NFS]])=TRUE,(IF(B4135&gt;30000,4,IF(B4135&lt;1000,"ND",0))),"-")</f>
        <v>4</v>
      </c>
      <c r="B4135" s="116">
        <v>48387</v>
      </c>
      <c r="C4135" s="117">
        <v>45505</v>
      </c>
      <c r="D4135" s="116">
        <v>125.08</v>
      </c>
      <c r="E4135" s="117">
        <v>45519</v>
      </c>
      <c r="F4135" s="116">
        <f>COUNTIFS($A$3:A12385,A4135,$B$3:B12385,B4135)</f>
        <v>1</v>
      </c>
      <c r="G4135" s="116"/>
    </row>
    <row r="4136" spans="1:7" x14ac:dyDescent="0.2">
      <c r="A4136" s="116">
        <f>IF(ISNUMBER(Tabela2[[#This Row],[CT-e/NFS]])=TRUE,(IF(B4136&gt;30000,4,IF(B4136&lt;1000,"ND",0))),"-")</f>
        <v>4</v>
      </c>
      <c r="B4136" s="116">
        <v>48392</v>
      </c>
      <c r="C4136" s="117">
        <v>45505</v>
      </c>
      <c r="D4136" s="116">
        <v>124.38</v>
      </c>
      <c r="E4136" s="117">
        <v>45519</v>
      </c>
      <c r="F4136" s="116">
        <f>COUNTIFS($A$3:A12386,A4136,$B$3:B12386,B4136)</f>
        <v>1</v>
      </c>
      <c r="G4136" s="116"/>
    </row>
    <row r="4137" spans="1:7" x14ac:dyDescent="0.2">
      <c r="A4137" s="116">
        <f>IF(ISNUMBER(Tabela2[[#This Row],[CT-e/NFS]])=TRUE,(IF(B4137&gt;30000,4,IF(B4137&lt;1000,"ND",0))),"-")</f>
        <v>4</v>
      </c>
      <c r="B4137" s="116">
        <v>48390</v>
      </c>
      <c r="C4137" s="117">
        <v>45505</v>
      </c>
      <c r="D4137" s="116">
        <v>122.76</v>
      </c>
      <c r="E4137" s="117">
        <v>45519</v>
      </c>
      <c r="F4137" s="116">
        <f>COUNTIFS($A$3:A12387,A4137,$B$3:B12387,B4137)</f>
        <v>1</v>
      </c>
      <c r="G4137" s="116"/>
    </row>
    <row r="4138" spans="1:7" x14ac:dyDescent="0.2">
      <c r="A4138" s="116">
        <f>IF(ISNUMBER(Tabela2[[#This Row],[CT-e/NFS]])=TRUE,(IF(B4138&gt;30000,4,IF(B4138&lt;1000,"ND",0))),"-")</f>
        <v>4</v>
      </c>
      <c r="B4138" s="116">
        <v>48408</v>
      </c>
      <c r="C4138" s="117">
        <v>45505</v>
      </c>
      <c r="D4138" s="116">
        <v>112.76</v>
      </c>
      <c r="E4138" s="117">
        <v>45519</v>
      </c>
      <c r="F4138" s="116">
        <f>COUNTIFS($A$3:A12388,A4138,$B$3:B12388,B4138)</f>
        <v>1</v>
      </c>
      <c r="G4138" s="116"/>
    </row>
    <row r="4139" spans="1:7" x14ac:dyDescent="0.2">
      <c r="A4139" s="116">
        <f>IF(ISNUMBER(Tabela2[[#This Row],[CT-e/NFS]])=TRUE,(IF(B4139&gt;30000,4,IF(B4139&lt;1000,"ND",0))),"-")</f>
        <v>4</v>
      </c>
      <c r="B4139" s="116">
        <v>48389</v>
      </c>
      <c r="C4139" s="117">
        <v>45505</v>
      </c>
      <c r="D4139" s="116">
        <v>126</v>
      </c>
      <c r="E4139" s="117">
        <v>45519</v>
      </c>
      <c r="F4139" s="116">
        <f>COUNTIFS($A$3:A12389,A4139,$B$3:B12389,B4139)</f>
        <v>1</v>
      </c>
      <c r="G4139" s="116"/>
    </row>
    <row r="4140" spans="1:7" x14ac:dyDescent="0.2">
      <c r="A4140" s="116">
        <f>IF(ISNUMBER(Tabela2[[#This Row],[CT-e/NFS]])=TRUE,(IF(B4140&gt;30000,4,IF(B4140&lt;1000,"ND",0))),"-")</f>
        <v>4</v>
      </c>
      <c r="B4140" s="116">
        <v>48396</v>
      </c>
      <c r="C4140" s="117">
        <v>45505</v>
      </c>
      <c r="D4140" s="116">
        <v>523.29999999999995</v>
      </c>
      <c r="E4140" s="117">
        <v>45519</v>
      </c>
      <c r="F4140" s="116">
        <f>COUNTIFS($A$3:A12390,A4140,$B$3:B12390,B4140)</f>
        <v>1</v>
      </c>
      <c r="G4140" s="116"/>
    </row>
    <row r="4141" spans="1:7" x14ac:dyDescent="0.2">
      <c r="A4141" s="116">
        <f>IF(ISNUMBER(Tabela2[[#This Row],[CT-e/NFS]])=TRUE,(IF(B4141&gt;30000,4,IF(B4141&lt;1000,"ND",0))),"-")</f>
        <v>0</v>
      </c>
      <c r="B4141" s="116">
        <v>21868</v>
      </c>
      <c r="C4141" s="117">
        <v>45505</v>
      </c>
      <c r="D4141" s="116">
        <v>38.4</v>
      </c>
      <c r="E4141" s="117">
        <v>45519</v>
      </c>
      <c r="F4141" s="116">
        <f>COUNTIFS($A$3:A12391,A4141,$B$3:B12391,B4141)</f>
        <v>1</v>
      </c>
      <c r="G4141" s="116"/>
    </row>
    <row r="4142" spans="1:7" x14ac:dyDescent="0.2">
      <c r="A4142" s="116">
        <f>IF(ISNUMBER(Tabela2[[#This Row],[CT-e/NFS]])=TRUE,(IF(B4142&gt;30000,4,IF(B4142&lt;1000,"ND",0))),"-")</f>
        <v>4</v>
      </c>
      <c r="B4142" s="116">
        <v>48399</v>
      </c>
      <c r="C4142" s="117">
        <v>45505</v>
      </c>
      <c r="D4142" s="116">
        <v>549.78</v>
      </c>
      <c r="E4142" s="117">
        <v>45519</v>
      </c>
      <c r="F4142" s="116">
        <f>COUNTIFS($A$3:A12392,A4142,$B$3:B12392,B4142)</f>
        <v>1</v>
      </c>
      <c r="G4142" s="116"/>
    </row>
    <row r="4143" spans="1:7" x14ac:dyDescent="0.2">
      <c r="A4143" s="116">
        <f>IF(ISNUMBER(Tabela2[[#This Row],[CT-e/NFS]])=TRUE,(IF(B4143&gt;30000,4,IF(B4143&lt;1000,"ND",0))),"-")</f>
        <v>4</v>
      </c>
      <c r="B4143" s="116">
        <v>48410</v>
      </c>
      <c r="C4143" s="117">
        <v>45505</v>
      </c>
      <c r="D4143" s="116">
        <v>2565.66</v>
      </c>
      <c r="E4143" s="117">
        <v>45519</v>
      </c>
      <c r="F4143" s="116">
        <f>COUNTIFS($A$3:A12393,A4143,$B$3:B12393,B4143)</f>
        <v>1</v>
      </c>
      <c r="G4143" s="116"/>
    </row>
    <row r="4144" spans="1:7" x14ac:dyDescent="0.2">
      <c r="A4144" s="116">
        <f>IF(ISNUMBER(Tabela2[[#This Row],[CT-e/NFS]])=TRUE,(IF(B4144&gt;30000,4,IF(B4144&lt;1000,"ND",0))),"-")</f>
        <v>0</v>
      </c>
      <c r="B4144" s="116">
        <v>21870</v>
      </c>
      <c r="C4144" s="117">
        <v>45505</v>
      </c>
      <c r="D4144" s="116">
        <v>597.04</v>
      </c>
      <c r="E4144" s="117">
        <v>45519</v>
      </c>
      <c r="F4144" s="116">
        <f>COUNTIFS($A$3:A12394,A4144,$B$3:B12394,B4144)</f>
        <v>1</v>
      </c>
      <c r="G4144" s="116"/>
    </row>
    <row r="4145" spans="1:7" x14ac:dyDescent="0.2">
      <c r="A4145" s="116">
        <f>IF(ISNUMBER(Tabela2[[#This Row],[CT-e/NFS]])=TRUE,(IF(B4145&gt;30000,4,IF(B4145&lt;1000,"ND",0))),"-")</f>
        <v>0</v>
      </c>
      <c r="B4145" s="116">
        <v>21871</v>
      </c>
      <c r="C4145" s="117">
        <v>45505</v>
      </c>
      <c r="D4145" s="116">
        <v>515.41</v>
      </c>
      <c r="E4145" s="117">
        <v>45519</v>
      </c>
      <c r="F4145" s="116">
        <f>COUNTIFS($A$3:A12395,A4145,$B$3:B12395,B4145)</f>
        <v>1</v>
      </c>
      <c r="G4145" s="116"/>
    </row>
    <row r="4146" spans="1:7" x14ac:dyDescent="0.2">
      <c r="A4146" s="116">
        <f>IF(ISNUMBER(Tabela2[[#This Row],[CT-e/NFS]])=TRUE,(IF(B4146&gt;30000,4,IF(B4146&lt;1000,"ND",0))),"-")</f>
        <v>0</v>
      </c>
      <c r="B4146" s="116">
        <v>21872</v>
      </c>
      <c r="C4146" s="117">
        <v>45505</v>
      </c>
      <c r="D4146" s="116">
        <v>844.29</v>
      </c>
      <c r="E4146" s="117">
        <v>45519</v>
      </c>
      <c r="F4146" s="116">
        <f>COUNTIFS($A$3:A12396,A4146,$B$3:B12396,B4146)</f>
        <v>1</v>
      </c>
      <c r="G4146" s="116"/>
    </row>
    <row r="4147" spans="1:7" x14ac:dyDescent="0.2">
      <c r="A4147" s="116">
        <f>IF(ISNUMBER(Tabela2[[#This Row],[CT-e/NFS]])=TRUE,(IF(B4147&gt;30000,4,IF(B4147&lt;1000,"ND",0))),"-")</f>
        <v>0</v>
      </c>
      <c r="B4147" s="116">
        <v>21883</v>
      </c>
      <c r="C4147" s="117">
        <v>45505</v>
      </c>
      <c r="D4147" s="116">
        <v>515.41</v>
      </c>
      <c r="E4147" s="117">
        <v>45519</v>
      </c>
      <c r="F4147" s="116">
        <f>COUNTIFS($A$3:A12397,A4147,$B$3:B12397,B4147)</f>
        <v>1</v>
      </c>
      <c r="G4147" s="116"/>
    </row>
    <row r="4148" spans="1:7" x14ac:dyDescent="0.2">
      <c r="A4148" s="116">
        <f>IF(ISNUMBER(Tabela2[[#This Row],[CT-e/NFS]])=TRUE,(IF(B4148&gt;30000,4,IF(B4148&lt;1000,"ND",0))),"-")</f>
        <v>0</v>
      </c>
      <c r="B4148" s="116">
        <v>21869</v>
      </c>
      <c r="C4148" s="117">
        <v>45505</v>
      </c>
      <c r="D4148" s="116">
        <v>69.25</v>
      </c>
      <c r="E4148" s="117">
        <v>45519</v>
      </c>
      <c r="F4148" s="116">
        <f>COUNTIFS($A$3:A12398,A4148,$B$3:B12398,B4148)</f>
        <v>1</v>
      </c>
      <c r="G4148" s="116"/>
    </row>
    <row r="4149" spans="1:7" x14ac:dyDescent="0.2">
      <c r="A4149" s="116">
        <f>IF(ISNUMBER(Tabela2[[#This Row],[CT-e/NFS]])=TRUE,(IF(B4149&gt;30000,4,IF(B4149&lt;1000,"ND",0))),"-")</f>
        <v>4</v>
      </c>
      <c r="B4149" s="116">
        <v>48400</v>
      </c>
      <c r="C4149" s="117">
        <v>45505</v>
      </c>
      <c r="D4149" s="116">
        <v>176.14</v>
      </c>
      <c r="E4149" s="117">
        <v>45519</v>
      </c>
      <c r="F4149" s="116">
        <f>COUNTIFS($A$3:A12399,A4149,$B$3:B12399,B4149)</f>
        <v>1</v>
      </c>
      <c r="G4149" s="116"/>
    </row>
    <row r="4150" spans="1:7" x14ac:dyDescent="0.2">
      <c r="A4150" s="116">
        <f>IF(ISNUMBER(Tabela2[[#This Row],[CT-e/NFS]])=TRUE,(IF(B4150&gt;30000,4,IF(B4150&lt;1000,"ND",0))),"-")</f>
        <v>4</v>
      </c>
      <c r="B4150" s="116">
        <v>48411</v>
      </c>
      <c r="C4150" s="117">
        <v>45505</v>
      </c>
      <c r="D4150" s="116">
        <v>702.11</v>
      </c>
      <c r="E4150" s="117">
        <v>45519</v>
      </c>
      <c r="F4150" s="116">
        <f>COUNTIFS($A$3:A12400,A4150,$B$3:B12400,B4150)</f>
        <v>1</v>
      </c>
      <c r="G4150" s="116"/>
    </row>
    <row r="4151" spans="1:7" x14ac:dyDescent="0.2">
      <c r="A4151" s="116">
        <f>IF(ISNUMBER(Tabela2[[#This Row],[CT-e/NFS]])=TRUE,(IF(B4151&gt;30000,4,IF(B4151&lt;1000,"ND",0))),"-")</f>
        <v>4</v>
      </c>
      <c r="B4151" s="116">
        <v>48409</v>
      </c>
      <c r="C4151" s="117">
        <v>45505</v>
      </c>
      <c r="D4151" s="116">
        <v>609.98</v>
      </c>
      <c r="E4151" s="117">
        <v>45519</v>
      </c>
      <c r="F4151" s="116">
        <f>COUNTIFS($A$3:A12401,A4151,$B$3:B12401,B4151)</f>
        <v>1</v>
      </c>
      <c r="G4151" s="116"/>
    </row>
    <row r="4152" spans="1:7" x14ac:dyDescent="0.2">
      <c r="A4152" s="116">
        <f>IF(ISNUMBER(Tabela2[[#This Row],[CT-e/NFS]])=TRUE,(IF(B4152&gt;30000,4,IF(B4152&lt;1000,"ND",0))),"-")</f>
        <v>4</v>
      </c>
      <c r="B4152" s="116">
        <v>48326</v>
      </c>
      <c r="C4152" s="117">
        <v>45505</v>
      </c>
      <c r="D4152" s="116">
        <v>9665.59</v>
      </c>
      <c r="E4152" s="117">
        <v>45519</v>
      </c>
      <c r="F4152" s="116">
        <f>COUNTIFS($A$3:A12402,A4152,$B$3:B12402,B4152)</f>
        <v>1</v>
      </c>
      <c r="G4152" s="116"/>
    </row>
    <row r="4153" spans="1:7" x14ac:dyDescent="0.2">
      <c r="A4153" s="116">
        <f>IF(ISNUMBER(Tabela2[[#This Row],[CT-e/NFS]])=TRUE,(IF(B4153&gt;30000,4,IF(B4153&lt;1000,"ND",0))),"-")</f>
        <v>4</v>
      </c>
      <c r="B4153" s="116">
        <v>48368</v>
      </c>
      <c r="C4153" s="117">
        <v>45505</v>
      </c>
      <c r="D4153" s="116">
        <v>5113.6400000000003</v>
      </c>
      <c r="E4153" s="117">
        <v>45519</v>
      </c>
      <c r="F4153" s="116">
        <f>COUNTIFS($A$3:A12403,A4153,$B$3:B12403,B4153)</f>
        <v>1</v>
      </c>
      <c r="G4153" s="116"/>
    </row>
    <row r="4154" spans="1:7" x14ac:dyDescent="0.2">
      <c r="A4154" s="116" t="str">
        <f>IF(ISNUMBER(Tabela2[[#This Row],[CT-e/NFS]])=TRUE,(IF(B4154&gt;30000,4,IF(B4154&lt;1000,"ND",0))),"-")</f>
        <v>ND</v>
      </c>
      <c r="B4154" s="116">
        <v>226</v>
      </c>
      <c r="C4154" s="117">
        <v>45505</v>
      </c>
      <c r="D4154" s="116">
        <v>683.35</v>
      </c>
      <c r="E4154" s="117">
        <v>45519</v>
      </c>
      <c r="F4154" s="116">
        <f>COUNTIFS($A$3:A12404,A4154,$B$3:B12404,B4154)</f>
        <v>1</v>
      </c>
      <c r="G4154" s="116"/>
    </row>
    <row r="4155" spans="1:7" x14ac:dyDescent="0.2">
      <c r="A4155" s="116">
        <f>IF(ISNUMBER(Tabela2[[#This Row],[CT-e/NFS]])=TRUE,(IF(B4155&gt;30000,4,IF(B4155&lt;1000,"ND",0))),"-")</f>
        <v>4</v>
      </c>
      <c r="B4155" s="116">
        <v>48419</v>
      </c>
      <c r="C4155" s="117">
        <v>45515</v>
      </c>
      <c r="D4155" s="116">
        <v>243.75</v>
      </c>
      <c r="E4155" s="117">
        <v>45519</v>
      </c>
      <c r="F4155" s="116">
        <f>COUNTIFS($A$3:A12405,A4155,$B$3:B12405,B4155)</f>
        <v>1</v>
      </c>
      <c r="G4155" s="116"/>
    </row>
    <row r="4156" spans="1:7" x14ac:dyDescent="0.2">
      <c r="A4156" s="116">
        <f>IF(ISNUMBER(Tabela2[[#This Row],[CT-e/NFS]])=TRUE,(IF(B4156&gt;30000,4,IF(B4156&lt;1000,"ND",0))),"-")</f>
        <v>4</v>
      </c>
      <c r="B4156" s="116">
        <v>48418</v>
      </c>
      <c r="C4156" s="117">
        <v>45515</v>
      </c>
      <c r="D4156" s="116">
        <v>467.56</v>
      </c>
      <c r="E4156" s="117">
        <v>45519</v>
      </c>
      <c r="F4156" s="116">
        <f>COUNTIFS($A$3:A12406,A4156,$B$3:B12406,B4156)</f>
        <v>1</v>
      </c>
      <c r="G4156" s="116"/>
    </row>
    <row r="4157" spans="1:7" x14ac:dyDescent="0.2">
      <c r="A4157" s="116">
        <f>IF(ISNUMBER(Tabela2[[#This Row],[CT-e/NFS]])=TRUE,(IF(B4157&gt;30000,4,IF(B4157&lt;1000,"ND",0))),"-")</f>
        <v>4</v>
      </c>
      <c r="B4157" s="116">
        <v>48420</v>
      </c>
      <c r="C4157" s="117">
        <v>45515</v>
      </c>
      <c r="D4157" s="116">
        <v>426.43</v>
      </c>
      <c r="E4157" s="117">
        <v>45519</v>
      </c>
      <c r="F4157" s="116">
        <f>COUNTIFS($A$3:A12407,A4157,$B$3:B12407,B4157)</f>
        <v>1</v>
      </c>
      <c r="G4157" s="116"/>
    </row>
    <row r="4158" spans="1:7" x14ac:dyDescent="0.2">
      <c r="A4158" s="116">
        <f>IF(ISNUMBER(Tabela2[[#This Row],[CT-e/NFS]])=TRUE,(IF(B4158&gt;30000,4,IF(B4158&lt;1000,"ND",0))),"-")</f>
        <v>4</v>
      </c>
      <c r="B4158" s="116">
        <v>48423</v>
      </c>
      <c r="C4158" s="117">
        <v>45515</v>
      </c>
      <c r="D4158" s="116">
        <v>615.83000000000004</v>
      </c>
      <c r="E4158" s="117">
        <v>45519</v>
      </c>
      <c r="F4158" s="116">
        <f>COUNTIFS($A$3:A12408,A4158,$B$3:B12408,B4158)</f>
        <v>1</v>
      </c>
      <c r="G4158" s="116"/>
    </row>
    <row r="4159" spans="1:7" x14ac:dyDescent="0.2">
      <c r="A4159" s="116">
        <f>IF(ISNUMBER(Tabela2[[#This Row],[CT-e/NFS]])=TRUE,(IF(B4159&gt;30000,4,IF(B4159&lt;1000,"ND",0))),"-")</f>
        <v>4</v>
      </c>
      <c r="B4159" s="116">
        <v>48417</v>
      </c>
      <c r="C4159" s="117">
        <v>45515</v>
      </c>
      <c r="D4159" s="116">
        <v>123.89</v>
      </c>
      <c r="E4159" s="117">
        <v>45519</v>
      </c>
      <c r="F4159" s="116">
        <f>COUNTIFS($A$3:A12409,A4159,$B$3:B12409,B4159)</f>
        <v>1</v>
      </c>
      <c r="G4159" s="116"/>
    </row>
    <row r="4160" spans="1:7" x14ac:dyDescent="0.2">
      <c r="A4160" s="116">
        <f>IF(ISNUMBER(Tabela2[[#This Row],[CT-e/NFS]])=TRUE,(IF(B4160&gt;30000,4,IF(B4160&lt;1000,"ND",0))),"-")</f>
        <v>4</v>
      </c>
      <c r="B4160" s="116">
        <v>48424</v>
      </c>
      <c r="C4160" s="117">
        <v>45515</v>
      </c>
      <c r="D4160" s="116">
        <v>1271.06</v>
      </c>
      <c r="E4160" s="117">
        <v>45519</v>
      </c>
      <c r="F4160" s="116">
        <f>COUNTIFS($A$3:A12410,A4160,$B$3:B12410,B4160)</f>
        <v>1</v>
      </c>
      <c r="G4160" s="116"/>
    </row>
    <row r="4161" spans="1:7" x14ac:dyDescent="0.2">
      <c r="A4161" s="116">
        <f>IF(ISNUMBER(Tabela2[[#This Row],[CT-e/NFS]])=TRUE,(IF(B4161&gt;30000,4,IF(B4161&lt;1000,"ND",0))),"-")</f>
        <v>4</v>
      </c>
      <c r="B4161" s="116">
        <v>48415</v>
      </c>
      <c r="C4161" s="117">
        <v>45515</v>
      </c>
      <c r="D4161" s="116">
        <v>124.3</v>
      </c>
      <c r="E4161" s="117">
        <v>45519</v>
      </c>
      <c r="F4161" s="116">
        <f>COUNTIFS($A$3:A12411,A4161,$B$3:B12411,B4161)</f>
        <v>1</v>
      </c>
      <c r="G4161" s="116"/>
    </row>
    <row r="4162" spans="1:7" x14ac:dyDescent="0.2">
      <c r="A4162" s="116">
        <f>IF(ISNUMBER(Tabela2[[#This Row],[CT-e/NFS]])=TRUE,(IF(B4162&gt;30000,4,IF(B4162&lt;1000,"ND",0))),"-")</f>
        <v>4</v>
      </c>
      <c r="B4162" s="116">
        <v>48416</v>
      </c>
      <c r="C4162" s="117">
        <v>45515</v>
      </c>
      <c r="D4162" s="116">
        <v>124.51</v>
      </c>
      <c r="E4162" s="117">
        <v>45519</v>
      </c>
      <c r="F4162" s="116">
        <f>COUNTIFS($A$3:A12412,A4162,$B$3:B12412,B4162)</f>
        <v>1</v>
      </c>
      <c r="G4162" s="116"/>
    </row>
    <row r="4163" spans="1:7" x14ac:dyDescent="0.2">
      <c r="A4163" s="116">
        <f>IF(ISNUMBER(Tabela2[[#This Row],[CT-e/NFS]])=TRUE,(IF(B4163&gt;30000,4,IF(B4163&lt;1000,"ND",0))),"-")</f>
        <v>4</v>
      </c>
      <c r="B4163" s="116">
        <v>48413</v>
      </c>
      <c r="C4163" s="117">
        <v>45515</v>
      </c>
      <c r="D4163" s="116">
        <v>125.81</v>
      </c>
      <c r="E4163" s="117">
        <v>45519</v>
      </c>
      <c r="F4163" s="116">
        <f>COUNTIFS($A$3:A12413,A4163,$B$3:B12413,B4163)</f>
        <v>1</v>
      </c>
      <c r="G4163" s="116"/>
    </row>
    <row r="4164" spans="1:7" x14ac:dyDescent="0.2">
      <c r="A4164" s="116">
        <f>IF(ISNUMBER(Tabela2[[#This Row],[CT-e/NFS]])=TRUE,(IF(B4164&gt;30000,4,IF(B4164&lt;1000,"ND",0))),"-")</f>
        <v>4</v>
      </c>
      <c r="B4164" s="116">
        <v>48414</v>
      </c>
      <c r="C4164" s="117">
        <v>45515</v>
      </c>
      <c r="D4164" s="116">
        <v>240.23</v>
      </c>
      <c r="E4164" s="117">
        <v>45519</v>
      </c>
      <c r="F4164" s="116">
        <f>COUNTIFS($A$3:A12414,A4164,$B$3:B12414,B4164)</f>
        <v>1</v>
      </c>
      <c r="G4164" s="116"/>
    </row>
    <row r="4165" spans="1:7" x14ac:dyDescent="0.2">
      <c r="A4165" s="116">
        <f>IF(ISNUMBER(Tabela2[[#This Row],[CT-e/NFS]])=TRUE,(IF(B4165&gt;30000,4,IF(B4165&lt;1000,"ND",0))),"-")</f>
        <v>4</v>
      </c>
      <c r="B4165" s="116">
        <v>48412</v>
      </c>
      <c r="C4165" s="117">
        <v>45515</v>
      </c>
      <c r="D4165" s="116">
        <v>125.42</v>
      </c>
      <c r="E4165" s="117">
        <v>45519</v>
      </c>
      <c r="F4165" s="116">
        <f>COUNTIFS($A$3:A12415,A4165,$B$3:B12415,B4165)</f>
        <v>1</v>
      </c>
      <c r="G4165" s="116"/>
    </row>
    <row r="4166" spans="1:7" x14ac:dyDescent="0.2">
      <c r="A4166" s="116">
        <f>IF(ISNUMBER(Tabela2[[#This Row],[CT-e/NFS]])=TRUE,(IF(B4166&gt;30000,4,IF(B4166&lt;1000,"ND",0))),"-")</f>
        <v>4</v>
      </c>
      <c r="B4166" s="116">
        <v>48429</v>
      </c>
      <c r="C4166" s="117">
        <v>45515</v>
      </c>
      <c r="D4166" s="116">
        <v>5978.83</v>
      </c>
      <c r="E4166" s="117">
        <v>45519</v>
      </c>
      <c r="F4166" s="116">
        <f>COUNTIFS($A$3:A12416,A4166,$B$3:B12416,B4166)</f>
        <v>1</v>
      </c>
      <c r="G4166" s="116"/>
    </row>
    <row r="4167" spans="1:7" x14ac:dyDescent="0.2">
      <c r="A4167" s="116">
        <f>IF(ISNUMBER(Tabela2[[#This Row],[CT-e/NFS]])=TRUE,(IF(B4167&gt;30000,4,IF(B4167&lt;1000,"ND",0))),"-")</f>
        <v>4</v>
      </c>
      <c r="B4167" s="116">
        <v>48430</v>
      </c>
      <c r="C4167" s="117">
        <v>45515</v>
      </c>
      <c r="D4167" s="116">
        <v>5978.83</v>
      </c>
      <c r="E4167" s="117">
        <v>45519</v>
      </c>
      <c r="F4167" s="116">
        <f>COUNTIFS($A$3:A12417,A4167,$B$3:B12417,B4167)</f>
        <v>1</v>
      </c>
      <c r="G4167" s="116"/>
    </row>
    <row r="4168" spans="1:7" x14ac:dyDescent="0.2">
      <c r="A4168" s="116">
        <f>IF(ISNUMBER(Tabela2[[#This Row],[CT-e/NFS]])=TRUE,(IF(B4168&gt;30000,4,IF(B4168&lt;1000,"ND",0))),"-")</f>
        <v>4</v>
      </c>
      <c r="B4168" s="116">
        <v>48428</v>
      </c>
      <c r="C4168" s="117">
        <v>45515</v>
      </c>
      <c r="D4168" s="116">
        <v>6726.17</v>
      </c>
      <c r="E4168" s="117">
        <v>45519</v>
      </c>
      <c r="F4168" s="116">
        <f>COUNTIFS($A$3:A12418,A4168,$B$3:B12418,B4168)</f>
        <v>1</v>
      </c>
      <c r="G4168" s="116"/>
    </row>
    <row r="4169" spans="1:7" x14ac:dyDescent="0.2">
      <c r="A4169" s="116">
        <f>IF(ISNUMBER(Tabela2[[#This Row],[CT-e/NFS]])=TRUE,(IF(B4169&gt;30000,4,IF(B4169&lt;1000,"ND",0))),"-")</f>
        <v>4</v>
      </c>
      <c r="B4169" s="116">
        <v>48435</v>
      </c>
      <c r="C4169" s="117">
        <v>45515</v>
      </c>
      <c r="D4169" s="116">
        <v>113.73</v>
      </c>
      <c r="E4169" s="117">
        <v>45519</v>
      </c>
      <c r="F4169" s="116">
        <f>COUNTIFS($A$3:A12419,A4169,$B$3:B12419,B4169)</f>
        <v>1</v>
      </c>
      <c r="G4169" s="116"/>
    </row>
    <row r="4170" spans="1:7" x14ac:dyDescent="0.2">
      <c r="A4170" s="116">
        <f>IF(ISNUMBER(Tabela2[[#This Row],[CT-e/NFS]])=TRUE,(IF(B4170&gt;30000,4,IF(B4170&lt;1000,"ND",0))),"-")</f>
        <v>4</v>
      </c>
      <c r="B4170" s="116">
        <v>48422</v>
      </c>
      <c r="C4170" s="117">
        <v>45515</v>
      </c>
      <c r="D4170" s="116">
        <v>125.83</v>
      </c>
      <c r="E4170" s="117">
        <v>45519</v>
      </c>
      <c r="F4170" s="116">
        <f>COUNTIFS($A$3:A12420,A4170,$B$3:B12420,B4170)</f>
        <v>1</v>
      </c>
      <c r="G4170" s="116"/>
    </row>
    <row r="4171" spans="1:7" x14ac:dyDescent="0.2">
      <c r="A4171" s="116">
        <f>IF(ISNUMBER(Tabela2[[#This Row],[CT-e/NFS]])=TRUE,(IF(B4171&gt;30000,4,IF(B4171&lt;1000,"ND",0))),"-")</f>
        <v>4</v>
      </c>
      <c r="B4171" s="116">
        <v>48421</v>
      </c>
      <c r="C4171" s="117">
        <v>45515</v>
      </c>
      <c r="D4171" s="116">
        <v>124.26</v>
      </c>
      <c r="E4171" s="117">
        <v>45519</v>
      </c>
      <c r="F4171" s="116">
        <f>COUNTIFS($A$3:A12421,A4171,$B$3:B12421,B4171)</f>
        <v>1</v>
      </c>
      <c r="G4171" s="116"/>
    </row>
    <row r="4172" spans="1:7" x14ac:dyDescent="0.2">
      <c r="A4172" s="116">
        <f>IF(ISNUMBER(Tabela2[[#This Row],[CT-e/NFS]])=TRUE,(IF(B4172&gt;30000,4,IF(B4172&lt;1000,"ND",0))),"-")</f>
        <v>4</v>
      </c>
      <c r="B4172" s="116">
        <v>48436</v>
      </c>
      <c r="C4172" s="117">
        <v>45515</v>
      </c>
      <c r="D4172" s="116">
        <v>63</v>
      </c>
      <c r="E4172" s="117">
        <v>45519</v>
      </c>
      <c r="F4172" s="116">
        <f>COUNTIFS($A$3:A12422,A4172,$B$3:B12422,B4172)</f>
        <v>1</v>
      </c>
      <c r="G4172" s="116"/>
    </row>
    <row r="4173" spans="1:7" x14ac:dyDescent="0.2">
      <c r="A4173" s="116">
        <f>IF(ISNUMBER(Tabela2[[#This Row],[CT-e/NFS]])=TRUE,(IF(B4173&gt;30000,4,IF(B4173&lt;1000,"ND",0))),"-")</f>
        <v>4</v>
      </c>
      <c r="B4173" s="116">
        <v>48426</v>
      </c>
      <c r="C4173" s="117">
        <v>45515</v>
      </c>
      <c r="D4173" s="116">
        <v>62.82</v>
      </c>
      <c r="E4173" s="117">
        <v>45519</v>
      </c>
      <c r="F4173" s="116">
        <f>COUNTIFS($A$3:A12423,A4173,$B$3:B12423,B4173)</f>
        <v>1</v>
      </c>
      <c r="G4173" s="116"/>
    </row>
    <row r="4174" spans="1:7" x14ac:dyDescent="0.2">
      <c r="A4174" s="116">
        <f>IF(ISNUMBER(Tabela2[[#This Row],[CT-e/NFS]])=TRUE,(IF(B4174&gt;30000,4,IF(B4174&lt;1000,"ND",0))),"-")</f>
        <v>4</v>
      </c>
      <c r="B4174" s="116">
        <v>48427</v>
      </c>
      <c r="C4174" s="117">
        <v>45515</v>
      </c>
      <c r="D4174" s="116">
        <v>408.02</v>
      </c>
      <c r="E4174" s="117">
        <v>45519</v>
      </c>
      <c r="F4174" s="116">
        <f>COUNTIFS($A$3:A12424,A4174,$B$3:B12424,B4174)</f>
        <v>1</v>
      </c>
      <c r="G4174" s="116"/>
    </row>
    <row r="4175" spans="1:7" x14ac:dyDescent="0.2">
      <c r="A4175" s="116">
        <f>IF(ISNUMBER(Tabela2[[#This Row],[CT-e/NFS]])=TRUE,(IF(B4175&gt;30000,4,IF(B4175&lt;1000,"ND",0))),"-")</f>
        <v>0</v>
      </c>
      <c r="B4175" s="116">
        <v>21898</v>
      </c>
      <c r="C4175" s="117">
        <v>45515</v>
      </c>
      <c r="D4175" s="116">
        <v>76.38</v>
      </c>
      <c r="E4175" s="117">
        <v>45519</v>
      </c>
      <c r="F4175" s="116">
        <f>COUNTIFS($A$3:A12425,A4175,$B$3:B12425,B4175)</f>
        <v>1</v>
      </c>
      <c r="G4175" s="116"/>
    </row>
    <row r="4176" spans="1:7" x14ac:dyDescent="0.2">
      <c r="A4176" s="116">
        <f>IF(ISNUMBER(Tabela2[[#This Row],[CT-e/NFS]])=TRUE,(IF(B4176&gt;30000,4,IF(B4176&lt;1000,"ND",0))),"-")</f>
        <v>0</v>
      </c>
      <c r="B4176" s="116">
        <v>21900</v>
      </c>
      <c r="C4176" s="117">
        <v>45515</v>
      </c>
      <c r="D4176" s="116">
        <v>338.19</v>
      </c>
      <c r="E4176" s="117">
        <v>45519</v>
      </c>
      <c r="F4176" s="116">
        <f>COUNTIFS($A$3:A12426,A4176,$B$3:B12426,B4176)</f>
        <v>1</v>
      </c>
      <c r="G4176" s="116"/>
    </row>
    <row r="4177" spans="1:7" x14ac:dyDescent="0.2">
      <c r="A4177" s="116">
        <f>IF(ISNUMBER(Tabela2[[#This Row],[CT-e/NFS]])=TRUE,(IF(B4177&gt;30000,4,IF(B4177&lt;1000,"ND",0))),"-")</f>
        <v>0</v>
      </c>
      <c r="B4177" s="116">
        <v>21901</v>
      </c>
      <c r="C4177" s="117">
        <v>45515</v>
      </c>
      <c r="D4177" s="116">
        <v>86.88</v>
      </c>
      <c r="E4177" s="117">
        <v>45519</v>
      </c>
      <c r="F4177" s="116">
        <f>COUNTIFS($A$3:A12427,A4177,$B$3:B12427,B4177)</f>
        <v>1</v>
      </c>
      <c r="G4177" s="116"/>
    </row>
    <row r="4178" spans="1:7" x14ac:dyDescent="0.2">
      <c r="A4178" s="116">
        <f>IF(ISNUMBER(Tabela2[[#This Row],[CT-e/NFS]])=TRUE,(IF(B4178&gt;30000,4,IF(B4178&lt;1000,"ND",0))),"-")</f>
        <v>0</v>
      </c>
      <c r="B4178" s="116">
        <v>21890</v>
      </c>
      <c r="C4178" s="117">
        <v>45515</v>
      </c>
      <c r="D4178" s="116">
        <v>75.8</v>
      </c>
      <c r="E4178" s="117">
        <v>45519</v>
      </c>
      <c r="F4178" s="116">
        <f>COUNTIFS($A$3:A12428,A4178,$B$3:B12428,B4178)</f>
        <v>1</v>
      </c>
      <c r="G4178" s="116"/>
    </row>
    <row r="4179" spans="1:7" x14ac:dyDescent="0.2">
      <c r="A4179" s="116">
        <f>IF(ISNUMBER(Tabela2[[#This Row],[CT-e/NFS]])=TRUE,(IF(B4179&gt;30000,4,IF(B4179&lt;1000,"ND",0))),"-")</f>
        <v>0</v>
      </c>
      <c r="B4179" s="116">
        <v>21891</v>
      </c>
      <c r="C4179" s="117">
        <v>45515</v>
      </c>
      <c r="D4179" s="116">
        <v>631.66</v>
      </c>
      <c r="E4179" s="117">
        <v>45519</v>
      </c>
      <c r="F4179" s="116">
        <f>COUNTIFS($A$3:A12429,A4179,$B$3:B12429,B4179)</f>
        <v>1</v>
      </c>
      <c r="G4179" s="116"/>
    </row>
    <row r="4180" spans="1:7" x14ac:dyDescent="0.2">
      <c r="A4180" s="116">
        <f>IF(ISNUMBER(Tabela2[[#This Row],[CT-e/NFS]])=TRUE,(IF(B4180&gt;30000,4,IF(B4180&lt;1000,"ND",0))),"-")</f>
        <v>0</v>
      </c>
      <c r="B4180" s="116">
        <v>21892</v>
      </c>
      <c r="C4180" s="117">
        <v>45515</v>
      </c>
      <c r="D4180" s="116">
        <v>76.290000000000006</v>
      </c>
      <c r="E4180" s="117">
        <v>45519</v>
      </c>
      <c r="F4180" s="116">
        <f>COUNTIFS($A$3:A12430,A4180,$B$3:B12430,B4180)</f>
        <v>1</v>
      </c>
      <c r="G4180" s="116"/>
    </row>
    <row r="4181" spans="1:7" x14ac:dyDescent="0.2">
      <c r="A4181" s="116">
        <f>IF(ISNUMBER(Tabela2[[#This Row],[CT-e/NFS]])=TRUE,(IF(B4181&gt;30000,4,IF(B4181&lt;1000,"ND",0))),"-")</f>
        <v>0</v>
      </c>
      <c r="B4181" s="116">
        <v>21893</v>
      </c>
      <c r="C4181" s="117">
        <v>45515</v>
      </c>
      <c r="D4181" s="116">
        <v>76.28</v>
      </c>
      <c r="E4181" s="117">
        <v>45519</v>
      </c>
      <c r="F4181" s="116">
        <f>COUNTIFS($A$3:A12431,A4181,$B$3:B12431,B4181)</f>
        <v>1</v>
      </c>
      <c r="G4181" s="116"/>
    </row>
    <row r="4182" spans="1:7" x14ac:dyDescent="0.2">
      <c r="A4182" s="116">
        <f>IF(ISNUMBER(Tabela2[[#This Row],[CT-e/NFS]])=TRUE,(IF(B4182&gt;30000,4,IF(B4182&lt;1000,"ND",0))),"-")</f>
        <v>0</v>
      </c>
      <c r="B4182" s="116">
        <v>21894</v>
      </c>
      <c r="C4182" s="117">
        <v>45515</v>
      </c>
      <c r="D4182" s="116">
        <v>75.599999999999994</v>
      </c>
      <c r="E4182" s="117">
        <v>45519</v>
      </c>
      <c r="F4182" s="116">
        <f>COUNTIFS($A$3:A12432,A4182,$B$3:B12432,B4182)</f>
        <v>1</v>
      </c>
      <c r="G4182" s="116"/>
    </row>
    <row r="4183" spans="1:7" x14ac:dyDescent="0.2">
      <c r="A4183" s="116">
        <f>IF(ISNUMBER(Tabela2[[#This Row],[CT-e/NFS]])=TRUE,(IF(B4183&gt;30000,4,IF(B4183&lt;1000,"ND",0))),"-")</f>
        <v>0</v>
      </c>
      <c r="B4183" s="116">
        <v>21896</v>
      </c>
      <c r="C4183" s="117">
        <v>45515</v>
      </c>
      <c r="D4183" s="116">
        <v>76.349999999999994</v>
      </c>
      <c r="E4183" s="117">
        <v>45519</v>
      </c>
      <c r="F4183" s="116">
        <f>COUNTIFS($A$3:A12433,A4183,$B$3:B12433,B4183)</f>
        <v>1</v>
      </c>
      <c r="G4183" s="116"/>
    </row>
    <row r="4184" spans="1:7" x14ac:dyDescent="0.2">
      <c r="A4184" s="116">
        <f>IF(ISNUMBER(Tabela2[[#This Row],[CT-e/NFS]])=TRUE,(IF(B4184&gt;30000,4,IF(B4184&lt;1000,"ND",0))),"-")</f>
        <v>0</v>
      </c>
      <c r="B4184" s="116">
        <v>21897</v>
      </c>
      <c r="C4184" s="117">
        <v>45515</v>
      </c>
      <c r="D4184" s="116">
        <v>76.19</v>
      </c>
      <c r="E4184" s="117">
        <v>45519</v>
      </c>
      <c r="F4184" s="116">
        <f>COUNTIFS($A$3:A12434,A4184,$B$3:B12434,B4184)</f>
        <v>1</v>
      </c>
      <c r="G4184" s="116"/>
    </row>
    <row r="4185" spans="1:7" x14ac:dyDescent="0.2">
      <c r="A4185" s="116">
        <f>IF(ISNUMBER(Tabela2[[#This Row],[CT-e/NFS]])=TRUE,(IF(B4185&gt;30000,4,IF(B4185&lt;1000,"ND",0))),"-")</f>
        <v>4</v>
      </c>
      <c r="B4185" s="116">
        <v>48441</v>
      </c>
      <c r="C4185" s="117">
        <v>45515</v>
      </c>
      <c r="D4185" s="116">
        <v>867.86</v>
      </c>
      <c r="E4185" s="117">
        <v>45519</v>
      </c>
      <c r="F4185" s="116">
        <f>COUNTIFS($A$3:A12435,A4185,$B$3:B12435,B4185)</f>
        <v>1</v>
      </c>
      <c r="G4185" s="116"/>
    </row>
    <row r="4186" spans="1:7" x14ac:dyDescent="0.2">
      <c r="A4186" s="116">
        <f>IF(ISNUMBER(Tabela2[[#This Row],[CT-e/NFS]])=TRUE,(IF(B4186&gt;30000,4,IF(B4186&lt;1000,"ND",0))),"-")</f>
        <v>4</v>
      </c>
      <c r="B4186" s="116">
        <v>48440</v>
      </c>
      <c r="C4186" s="117">
        <v>45515</v>
      </c>
      <c r="D4186" s="116">
        <v>571.04999999999995</v>
      </c>
      <c r="E4186" s="117">
        <v>45519</v>
      </c>
      <c r="F4186" s="116">
        <f>COUNTIFS($A$3:A12436,A4186,$B$3:B12436,B4186)</f>
        <v>1</v>
      </c>
      <c r="G4186" s="116"/>
    </row>
    <row r="4187" spans="1:7" x14ac:dyDescent="0.2">
      <c r="A4187" s="116">
        <f>IF(ISNUMBER(Tabela2[[#This Row],[CT-e/NFS]])=TRUE,(IF(B4187&gt;30000,4,IF(B4187&lt;1000,"ND",0))),"-")</f>
        <v>4</v>
      </c>
      <c r="B4187" s="116">
        <v>48452</v>
      </c>
      <c r="C4187" s="117">
        <v>45515</v>
      </c>
      <c r="D4187" s="116">
        <v>124.49</v>
      </c>
      <c r="E4187" s="117">
        <v>45519</v>
      </c>
      <c r="F4187" s="116">
        <f>COUNTIFS($A$3:A12437,A4187,$B$3:B12437,B4187)</f>
        <v>1</v>
      </c>
      <c r="G4187" s="116"/>
    </row>
    <row r="4188" spans="1:7" x14ac:dyDescent="0.2">
      <c r="A4188" s="116">
        <f>IF(ISNUMBER(Tabela2[[#This Row],[CT-e/NFS]])=TRUE,(IF(B4188&gt;30000,4,IF(B4188&lt;1000,"ND",0))),"-")</f>
        <v>4</v>
      </c>
      <c r="B4188" s="116">
        <v>48450</v>
      </c>
      <c r="C4188" s="117">
        <v>45515</v>
      </c>
      <c r="D4188" s="116">
        <v>240.11</v>
      </c>
      <c r="E4188" s="117">
        <v>45519</v>
      </c>
      <c r="F4188" s="116">
        <f>COUNTIFS($A$3:A12438,A4188,$B$3:B12438,B4188)</f>
        <v>1</v>
      </c>
      <c r="G4188" s="116"/>
    </row>
    <row r="4189" spans="1:7" x14ac:dyDescent="0.2">
      <c r="A4189" s="116">
        <f>IF(ISNUMBER(Tabela2[[#This Row],[CT-e/NFS]])=TRUE,(IF(B4189&gt;30000,4,IF(B4189&lt;1000,"ND",0))),"-")</f>
        <v>4</v>
      </c>
      <c r="B4189" s="116">
        <v>48451</v>
      </c>
      <c r="C4189" s="117">
        <v>45515</v>
      </c>
      <c r="D4189" s="116">
        <v>125.64</v>
      </c>
      <c r="E4189" s="117">
        <v>45519</v>
      </c>
      <c r="F4189" s="116">
        <f>COUNTIFS($A$3:A12439,A4189,$B$3:B12439,B4189)</f>
        <v>1</v>
      </c>
      <c r="G4189" s="116"/>
    </row>
    <row r="4190" spans="1:7" x14ac:dyDescent="0.2">
      <c r="A4190" s="116">
        <f>IF(ISNUMBER(Tabela2[[#This Row],[CT-e/NFS]])=TRUE,(IF(B4190&gt;30000,4,IF(B4190&lt;1000,"ND",0))),"-")</f>
        <v>4</v>
      </c>
      <c r="B4190" s="116">
        <v>48449</v>
      </c>
      <c r="C4190" s="117">
        <v>45515</v>
      </c>
      <c r="D4190" s="116">
        <v>240.47</v>
      </c>
      <c r="E4190" s="117">
        <v>45519</v>
      </c>
      <c r="F4190" s="116">
        <f>COUNTIFS($A$3:A12440,A4190,$B$3:B12440,B4190)</f>
        <v>1</v>
      </c>
      <c r="G4190" s="116"/>
    </row>
    <row r="4191" spans="1:7" x14ac:dyDescent="0.2">
      <c r="A4191" s="116">
        <f>IF(ISNUMBER(Tabela2[[#This Row],[CT-e/NFS]])=TRUE,(IF(B4191&gt;30000,4,IF(B4191&lt;1000,"ND",0))),"-")</f>
        <v>4</v>
      </c>
      <c r="B4191" s="116">
        <v>48448</v>
      </c>
      <c r="C4191" s="117">
        <v>45515</v>
      </c>
      <c r="D4191" s="116">
        <v>243.8</v>
      </c>
      <c r="E4191" s="117">
        <v>45519</v>
      </c>
      <c r="F4191" s="116">
        <f>COUNTIFS($A$3:A12441,A4191,$B$3:B12441,B4191)</f>
        <v>1</v>
      </c>
      <c r="G4191" s="116"/>
    </row>
    <row r="4192" spans="1:7" x14ac:dyDescent="0.2">
      <c r="A4192" s="116">
        <f>IF(ISNUMBER(Tabela2[[#This Row],[CT-e/NFS]])=TRUE,(IF(B4192&gt;30000,4,IF(B4192&lt;1000,"ND",0))),"-")</f>
        <v>4</v>
      </c>
      <c r="B4192" s="116">
        <v>48439</v>
      </c>
      <c r="C4192" s="117">
        <v>45515</v>
      </c>
      <c r="D4192" s="116">
        <v>319.39</v>
      </c>
      <c r="E4192" s="117">
        <v>45519</v>
      </c>
      <c r="F4192" s="116">
        <f>COUNTIFS($A$3:A12442,A4192,$B$3:B12442,B4192)</f>
        <v>1</v>
      </c>
      <c r="G4192" s="116"/>
    </row>
    <row r="4193" spans="1:7" x14ac:dyDescent="0.2">
      <c r="A4193" s="116">
        <f>IF(ISNUMBER(Tabela2[[#This Row],[CT-e/NFS]])=TRUE,(IF(B4193&gt;30000,4,IF(B4193&lt;1000,"ND",0))),"-")</f>
        <v>4</v>
      </c>
      <c r="B4193" s="116">
        <v>48444</v>
      </c>
      <c r="C4193" s="117">
        <v>45515</v>
      </c>
      <c r="D4193" s="116">
        <v>124.2</v>
      </c>
      <c r="E4193" s="117">
        <v>45519</v>
      </c>
      <c r="F4193" s="116">
        <f>COUNTIFS($A$3:A12443,A4193,$B$3:B12443,B4193)</f>
        <v>1</v>
      </c>
      <c r="G4193" s="116"/>
    </row>
    <row r="4194" spans="1:7" x14ac:dyDescent="0.2">
      <c r="A4194" s="116">
        <f>IF(ISNUMBER(Tabela2[[#This Row],[CT-e/NFS]])=TRUE,(IF(B4194&gt;30000,4,IF(B4194&lt;1000,"ND",0))),"-")</f>
        <v>4</v>
      </c>
      <c r="B4194" s="116">
        <v>48442</v>
      </c>
      <c r="C4194" s="117">
        <v>45515</v>
      </c>
      <c r="D4194" s="116">
        <v>281.52999999999997</v>
      </c>
      <c r="E4194" s="117">
        <v>45519</v>
      </c>
      <c r="F4194" s="116">
        <f>COUNTIFS($A$3:A12444,A4194,$B$3:B12444,B4194)</f>
        <v>1</v>
      </c>
      <c r="G4194" s="116"/>
    </row>
    <row r="4195" spans="1:7" x14ac:dyDescent="0.2">
      <c r="A4195" s="116">
        <f>IF(ISNUMBER(Tabela2[[#This Row],[CT-e/NFS]])=TRUE,(IF(B4195&gt;30000,4,IF(B4195&lt;1000,"ND",0))),"-")</f>
        <v>4</v>
      </c>
      <c r="B4195" s="116">
        <v>48443</v>
      </c>
      <c r="C4195" s="117">
        <v>45515</v>
      </c>
      <c r="D4195" s="116">
        <v>123.08</v>
      </c>
      <c r="E4195" s="117">
        <v>45519</v>
      </c>
      <c r="F4195" s="116">
        <f>COUNTIFS($A$3:A12445,A4195,$B$3:B12445,B4195)</f>
        <v>1</v>
      </c>
      <c r="G4195" s="116"/>
    </row>
    <row r="4196" spans="1:7" x14ac:dyDescent="0.2">
      <c r="A4196" s="116">
        <f>IF(ISNUMBER(Tabela2[[#This Row],[CT-e/NFS]])=TRUE,(IF(B4196&gt;30000,4,IF(B4196&lt;1000,"ND",0))),"-")</f>
        <v>4</v>
      </c>
      <c r="B4196" s="116">
        <v>48437</v>
      </c>
      <c r="C4196" s="117">
        <v>45515</v>
      </c>
      <c r="D4196" s="116">
        <v>1095.92</v>
      </c>
      <c r="E4196" s="117">
        <v>45519</v>
      </c>
      <c r="F4196" s="116">
        <f>COUNTIFS($A$3:A12446,A4196,$B$3:B12446,B4196)</f>
        <v>1</v>
      </c>
      <c r="G4196" s="116"/>
    </row>
    <row r="4197" spans="1:7" x14ac:dyDescent="0.2">
      <c r="A4197" s="116">
        <f>IF(ISNUMBER(Tabela2[[#This Row],[CT-e/NFS]])=TRUE,(IF(B4197&gt;30000,4,IF(B4197&lt;1000,"ND",0))),"-")</f>
        <v>4</v>
      </c>
      <c r="B4197" s="116">
        <v>48447</v>
      </c>
      <c r="C4197" s="117">
        <v>45515</v>
      </c>
      <c r="D4197" s="116">
        <v>125.85</v>
      </c>
      <c r="E4197" s="117">
        <v>45519</v>
      </c>
      <c r="F4197" s="116">
        <f>COUNTIFS($A$3:A12447,A4197,$B$3:B12447,B4197)</f>
        <v>1</v>
      </c>
      <c r="G4197" s="116"/>
    </row>
    <row r="4198" spans="1:7" x14ac:dyDescent="0.2">
      <c r="A4198" s="116">
        <f>IF(ISNUMBER(Tabela2[[#This Row],[CT-e/NFS]])=TRUE,(IF(B4198&gt;30000,4,IF(B4198&lt;1000,"ND",0))),"-")</f>
        <v>4</v>
      </c>
      <c r="B4198" s="116">
        <v>48446</v>
      </c>
      <c r="C4198" s="117">
        <v>45515</v>
      </c>
      <c r="D4198" s="116">
        <v>125.83</v>
      </c>
      <c r="E4198" s="117">
        <v>45519</v>
      </c>
      <c r="F4198" s="116">
        <f>COUNTIFS($A$3:A12448,A4198,$B$3:B12448,B4198)</f>
        <v>1</v>
      </c>
      <c r="G4198" s="116"/>
    </row>
    <row r="4199" spans="1:7" x14ac:dyDescent="0.2">
      <c r="A4199" s="116">
        <f>IF(ISNUMBER(Tabela2[[#This Row],[CT-e/NFS]])=TRUE,(IF(B4199&gt;30000,4,IF(B4199&lt;1000,"ND",0))),"-")</f>
        <v>4</v>
      </c>
      <c r="B4199" s="116">
        <v>48445</v>
      </c>
      <c r="C4199" s="117">
        <v>45515</v>
      </c>
      <c r="D4199" s="116">
        <v>126.66</v>
      </c>
      <c r="E4199" s="117">
        <v>45519</v>
      </c>
      <c r="F4199" s="116">
        <f>COUNTIFS($A$3:A12449,A4199,$B$3:B12449,B4199)</f>
        <v>1</v>
      </c>
      <c r="G4199" s="116"/>
    </row>
    <row r="4200" spans="1:7" x14ac:dyDescent="0.2">
      <c r="A4200" s="116">
        <f>IF(ISNUMBER(Tabela2[[#This Row],[CT-e/NFS]])=TRUE,(IF(B4200&gt;30000,4,IF(B4200&lt;1000,"ND",0))),"-")</f>
        <v>0</v>
      </c>
      <c r="B4200" s="116">
        <v>21904</v>
      </c>
      <c r="C4200" s="117">
        <v>45515</v>
      </c>
      <c r="D4200" s="116">
        <v>515.41</v>
      </c>
      <c r="E4200" s="117">
        <v>45519</v>
      </c>
      <c r="F4200" s="116">
        <f>COUNTIFS($A$3:A12450,A4200,$B$3:B12450,B4200)</f>
        <v>1</v>
      </c>
      <c r="G4200" s="116"/>
    </row>
    <row r="4201" spans="1:7" x14ac:dyDescent="0.2">
      <c r="A4201" s="116">
        <f>IF(ISNUMBER(Tabela2[[#This Row],[CT-e/NFS]])=TRUE,(IF(B4201&gt;30000,4,IF(B4201&lt;1000,"ND",0))),"-")</f>
        <v>0</v>
      </c>
      <c r="B4201" s="116">
        <v>21899</v>
      </c>
      <c r="C4201" s="117">
        <v>45515</v>
      </c>
      <c r="D4201" s="116">
        <v>75.7</v>
      </c>
      <c r="E4201" s="117">
        <v>45519</v>
      </c>
      <c r="F4201" s="116">
        <f>COUNTIFS($A$3:A12451,A4201,$B$3:B12451,B4201)</f>
        <v>1</v>
      </c>
      <c r="G4201" s="116"/>
    </row>
    <row r="4202" spans="1:7" x14ac:dyDescent="0.2">
      <c r="A4202" s="116">
        <f>IF(ISNUMBER(Tabela2[[#This Row],[CT-e/NFS]])=TRUE,(IF(B4202&gt;30000,4,IF(B4202&lt;1000,"ND",0))),"-")</f>
        <v>4</v>
      </c>
      <c r="B4202" s="116">
        <v>48463</v>
      </c>
      <c r="C4202" s="117">
        <v>45515</v>
      </c>
      <c r="D4202" s="116">
        <v>595.95000000000005</v>
      </c>
      <c r="E4202" s="117">
        <v>45519</v>
      </c>
      <c r="F4202" s="116">
        <f>COUNTIFS($A$3:A12452,A4202,$B$3:B12452,B4202)</f>
        <v>1</v>
      </c>
      <c r="G4202" s="116"/>
    </row>
    <row r="4203" spans="1:7" x14ac:dyDescent="0.2">
      <c r="A4203" s="116">
        <f>IF(ISNUMBER(Tabela2[[#This Row],[CT-e/NFS]])=TRUE,(IF(B4203&gt;30000,4,IF(B4203&lt;1000,"ND",0))),"-")</f>
        <v>4</v>
      </c>
      <c r="B4203" s="116">
        <v>48464</v>
      </c>
      <c r="C4203" s="117">
        <v>45515</v>
      </c>
      <c r="D4203" s="116">
        <v>541.77</v>
      </c>
      <c r="E4203" s="117">
        <v>45519</v>
      </c>
      <c r="F4203" s="116">
        <f>COUNTIFS($A$3:A12453,A4203,$B$3:B12453,B4203)</f>
        <v>1</v>
      </c>
      <c r="G4203" s="116"/>
    </row>
    <row r="4204" spans="1:7" x14ac:dyDescent="0.2">
      <c r="A4204" s="116">
        <f>IF(ISNUMBER(Tabela2[[#This Row],[CT-e/NFS]])=TRUE,(IF(B4204&gt;30000,4,IF(B4204&lt;1000,"ND",0))),"-")</f>
        <v>4</v>
      </c>
      <c r="B4204" s="116">
        <v>48471</v>
      </c>
      <c r="C4204" s="117">
        <v>45515</v>
      </c>
      <c r="D4204" s="116">
        <v>369.5</v>
      </c>
      <c r="E4204" s="117">
        <v>45519</v>
      </c>
      <c r="F4204" s="116">
        <f>COUNTIFS($A$3:A12454,A4204,$B$3:B12454,B4204)</f>
        <v>1</v>
      </c>
      <c r="G4204" s="116"/>
    </row>
    <row r="4205" spans="1:7" x14ac:dyDescent="0.2">
      <c r="A4205" s="116">
        <f>IF(ISNUMBER(Tabela2[[#This Row],[CT-e/NFS]])=TRUE,(IF(B4205&gt;30000,4,IF(B4205&lt;1000,"ND",0))),"-")</f>
        <v>4</v>
      </c>
      <c r="B4205" s="116">
        <v>48472</v>
      </c>
      <c r="C4205" s="117">
        <v>45515</v>
      </c>
      <c r="D4205" s="116">
        <v>476.27</v>
      </c>
      <c r="E4205" s="117">
        <v>45519</v>
      </c>
      <c r="F4205" s="116">
        <f>COUNTIFS($A$3:A12455,A4205,$B$3:B12455,B4205)</f>
        <v>1</v>
      </c>
      <c r="G4205" s="116"/>
    </row>
    <row r="4206" spans="1:7" x14ac:dyDescent="0.2">
      <c r="A4206" s="116">
        <f>IF(ISNUMBER(Tabela2[[#This Row],[CT-e/NFS]])=TRUE,(IF(B4206&gt;30000,4,IF(B4206&lt;1000,"ND",0))),"-")</f>
        <v>4</v>
      </c>
      <c r="B4206" s="116">
        <v>48462</v>
      </c>
      <c r="C4206" s="117">
        <v>45515</v>
      </c>
      <c r="D4206" s="116">
        <v>124.16</v>
      </c>
      <c r="E4206" s="117">
        <v>45519</v>
      </c>
      <c r="F4206" s="116">
        <f>COUNTIFS($A$3:A12456,A4206,$B$3:B12456,B4206)</f>
        <v>1</v>
      </c>
      <c r="G4206" s="116"/>
    </row>
    <row r="4207" spans="1:7" x14ac:dyDescent="0.2">
      <c r="A4207" s="116">
        <f>IF(ISNUMBER(Tabela2[[#This Row],[CT-e/NFS]])=TRUE,(IF(B4207&gt;30000,4,IF(B4207&lt;1000,"ND",0))),"-")</f>
        <v>4</v>
      </c>
      <c r="B4207" s="116">
        <v>48460</v>
      </c>
      <c r="C4207" s="117">
        <v>45515</v>
      </c>
      <c r="D4207" s="116">
        <v>125.26</v>
      </c>
      <c r="E4207" s="117">
        <v>45519</v>
      </c>
      <c r="F4207" s="116">
        <f>COUNTIFS($A$3:A12457,A4207,$B$3:B12457,B4207)</f>
        <v>1</v>
      </c>
      <c r="G4207" s="116"/>
    </row>
    <row r="4208" spans="1:7" x14ac:dyDescent="0.2">
      <c r="A4208" s="116">
        <f>IF(ISNUMBER(Tabela2[[#This Row],[CT-e/NFS]])=TRUE,(IF(B4208&gt;30000,4,IF(B4208&lt;1000,"ND",0))),"-")</f>
        <v>4</v>
      </c>
      <c r="B4208" s="116">
        <v>48459</v>
      </c>
      <c r="C4208" s="117">
        <v>45515</v>
      </c>
      <c r="D4208" s="116">
        <v>125.36</v>
      </c>
      <c r="E4208" s="117">
        <v>45519</v>
      </c>
      <c r="F4208" s="116">
        <f>COUNTIFS($A$3:A12458,A4208,$B$3:B12458,B4208)</f>
        <v>1</v>
      </c>
      <c r="G4208" s="116"/>
    </row>
    <row r="4209" spans="1:7" x14ac:dyDescent="0.2">
      <c r="A4209" s="116">
        <f>IF(ISNUMBER(Tabela2[[#This Row],[CT-e/NFS]])=TRUE,(IF(B4209&gt;30000,4,IF(B4209&lt;1000,"ND",0))),"-")</f>
        <v>4</v>
      </c>
      <c r="B4209" s="116">
        <v>48461</v>
      </c>
      <c r="C4209" s="117">
        <v>45515</v>
      </c>
      <c r="D4209" s="116">
        <v>123.92</v>
      </c>
      <c r="E4209" s="117">
        <v>45519</v>
      </c>
      <c r="F4209" s="116">
        <f>COUNTIFS($A$3:A12459,A4209,$B$3:B12459,B4209)</f>
        <v>1</v>
      </c>
      <c r="G4209" s="116"/>
    </row>
    <row r="4210" spans="1:7" x14ac:dyDescent="0.2">
      <c r="A4210" s="116">
        <f>IF(ISNUMBER(Tabela2[[#This Row],[CT-e/NFS]])=TRUE,(IF(B4210&gt;30000,4,IF(B4210&lt;1000,"ND",0))),"-")</f>
        <v>4</v>
      </c>
      <c r="B4210" s="116">
        <v>48475</v>
      </c>
      <c r="C4210" s="117">
        <v>45515</v>
      </c>
      <c r="D4210" s="116">
        <v>111.93</v>
      </c>
      <c r="E4210" s="117">
        <v>45519</v>
      </c>
      <c r="F4210" s="116">
        <f>COUNTIFS($A$3:A12460,A4210,$B$3:B12460,B4210)</f>
        <v>1</v>
      </c>
      <c r="G4210" s="116"/>
    </row>
    <row r="4211" spans="1:7" x14ac:dyDescent="0.2">
      <c r="A4211" s="116">
        <f>IF(ISNUMBER(Tabela2[[#This Row],[CT-e/NFS]])=TRUE,(IF(B4211&gt;30000,4,IF(B4211&lt;1000,"ND",0))),"-")</f>
        <v>4</v>
      </c>
      <c r="B4211" s="116">
        <v>48474</v>
      </c>
      <c r="C4211" s="117">
        <v>45515</v>
      </c>
      <c r="D4211" s="116">
        <v>62.1</v>
      </c>
      <c r="E4211" s="117">
        <v>45519</v>
      </c>
      <c r="F4211" s="116">
        <f>COUNTIFS($A$3:A12461,A4211,$B$3:B12461,B4211)</f>
        <v>1</v>
      </c>
      <c r="G4211" s="116"/>
    </row>
    <row r="4212" spans="1:7" x14ac:dyDescent="0.2">
      <c r="A4212" s="116">
        <f>IF(ISNUMBER(Tabela2[[#This Row],[CT-e/NFS]])=TRUE,(IF(B4212&gt;30000,4,IF(B4212&lt;1000,"ND",0))),"-")</f>
        <v>4</v>
      </c>
      <c r="B4212" s="116">
        <v>48476</v>
      </c>
      <c r="C4212" s="117">
        <v>45515</v>
      </c>
      <c r="D4212" s="116">
        <v>229.26</v>
      </c>
      <c r="E4212" s="117">
        <v>45519</v>
      </c>
      <c r="F4212" s="116">
        <f>COUNTIFS($A$3:A12462,A4212,$B$3:B12462,B4212)</f>
        <v>1</v>
      </c>
      <c r="G4212" s="116"/>
    </row>
    <row r="4213" spans="1:7" x14ac:dyDescent="0.2">
      <c r="A4213" s="116">
        <f>IF(ISNUMBER(Tabela2[[#This Row],[CT-e/NFS]])=TRUE,(IF(B4213&gt;30000,4,IF(B4213&lt;1000,"ND",0))),"-")</f>
        <v>4</v>
      </c>
      <c r="B4213" s="116">
        <v>48478</v>
      </c>
      <c r="C4213" s="117">
        <v>45515</v>
      </c>
      <c r="D4213" s="116">
        <v>609.98</v>
      </c>
      <c r="E4213" s="117">
        <v>45519</v>
      </c>
      <c r="F4213" s="116">
        <f>COUNTIFS($A$3:A12463,A4213,$B$3:B12463,B4213)</f>
        <v>1</v>
      </c>
      <c r="G4213" s="116"/>
    </row>
    <row r="4214" spans="1:7" x14ac:dyDescent="0.2">
      <c r="A4214" s="116">
        <f>IF(ISNUMBER(Tabela2[[#This Row],[CT-e/NFS]])=TRUE,(IF(B4214&gt;30000,4,IF(B4214&lt;1000,"ND",0))),"-")</f>
        <v>4</v>
      </c>
      <c r="B4214" s="116">
        <v>48458</v>
      </c>
      <c r="C4214" s="117">
        <v>45515</v>
      </c>
      <c r="D4214" s="116">
        <v>203.36</v>
      </c>
      <c r="E4214" s="117">
        <v>45519</v>
      </c>
      <c r="F4214" s="116">
        <f>COUNTIFS($A$3:A12464,A4214,$B$3:B12464,B4214)</f>
        <v>1</v>
      </c>
      <c r="G4214" s="116"/>
    </row>
    <row r="4215" spans="1:7" x14ac:dyDescent="0.2">
      <c r="A4215" s="116">
        <f>IF(ISNUMBER(Tabela2[[#This Row],[CT-e/NFS]])=TRUE,(IF(B4215&gt;30000,4,IF(B4215&lt;1000,"ND",0))),"-")</f>
        <v>4</v>
      </c>
      <c r="B4215" s="116">
        <v>48466</v>
      </c>
      <c r="C4215" s="117">
        <v>45515</v>
      </c>
      <c r="D4215" s="116">
        <v>246.33</v>
      </c>
      <c r="E4215" s="117">
        <v>45519</v>
      </c>
      <c r="F4215" s="116">
        <f>COUNTIFS($A$3:A12465,A4215,$B$3:B12465,B4215)</f>
        <v>1</v>
      </c>
      <c r="G4215" s="116"/>
    </row>
    <row r="4216" spans="1:7" x14ac:dyDescent="0.2">
      <c r="A4216" s="116">
        <f>IF(ISNUMBER(Tabela2[[#This Row],[CT-e/NFS]])=TRUE,(IF(B4216&gt;30000,4,IF(B4216&lt;1000,"ND",0))),"-")</f>
        <v>4</v>
      </c>
      <c r="B4216" s="116">
        <v>48469</v>
      </c>
      <c r="C4216" s="117">
        <v>45515</v>
      </c>
      <c r="D4216" s="116">
        <v>125.52</v>
      </c>
      <c r="E4216" s="117">
        <v>45519</v>
      </c>
      <c r="F4216" s="116">
        <f>COUNTIFS($A$3:A12466,A4216,$B$3:B12466,B4216)</f>
        <v>1</v>
      </c>
      <c r="G4216" s="116"/>
    </row>
    <row r="4217" spans="1:7" x14ac:dyDescent="0.2">
      <c r="A4217" s="116">
        <f>IF(ISNUMBER(Tabela2[[#This Row],[CT-e/NFS]])=TRUE,(IF(B4217&gt;30000,4,IF(B4217&lt;1000,"ND",0))),"-")</f>
        <v>4</v>
      </c>
      <c r="B4217" s="116">
        <v>48468</v>
      </c>
      <c r="C4217" s="117">
        <v>45515</v>
      </c>
      <c r="D4217" s="116">
        <v>125.4</v>
      </c>
      <c r="E4217" s="117">
        <v>45519</v>
      </c>
      <c r="F4217" s="116">
        <f>COUNTIFS($A$3:A12467,A4217,$B$3:B12467,B4217)</f>
        <v>1</v>
      </c>
      <c r="G4217" s="116"/>
    </row>
    <row r="4218" spans="1:7" x14ac:dyDescent="0.2">
      <c r="A4218" s="116">
        <f>IF(ISNUMBER(Tabela2[[#This Row],[CT-e/NFS]])=TRUE,(IF(B4218&gt;30000,4,IF(B4218&lt;1000,"ND",0))),"-")</f>
        <v>4</v>
      </c>
      <c r="B4218" s="116">
        <v>48479</v>
      </c>
      <c r="C4218" s="117">
        <v>45515</v>
      </c>
      <c r="D4218" s="116">
        <v>122.74</v>
      </c>
      <c r="E4218" s="117">
        <v>45519</v>
      </c>
      <c r="F4218" s="116">
        <f>COUNTIFS($A$3:A12468,A4218,$B$3:B12468,B4218)</f>
        <v>1</v>
      </c>
      <c r="G4218" s="116"/>
    </row>
    <row r="4219" spans="1:7" x14ac:dyDescent="0.2">
      <c r="A4219" s="116">
        <f>IF(ISNUMBER(Tabela2[[#This Row],[CT-e/NFS]])=TRUE,(IF(B4219&gt;30000,4,IF(B4219&lt;1000,"ND",0))),"-")</f>
        <v>4</v>
      </c>
      <c r="B4219" s="116">
        <v>48467</v>
      </c>
      <c r="C4219" s="117">
        <v>45515</v>
      </c>
      <c r="D4219" s="116">
        <v>289.93</v>
      </c>
      <c r="E4219" s="117">
        <v>45519</v>
      </c>
      <c r="F4219" s="116">
        <f>COUNTIFS($A$3:A12469,A4219,$B$3:B12469,B4219)</f>
        <v>1</v>
      </c>
      <c r="G4219" s="116"/>
    </row>
    <row r="4220" spans="1:7" x14ac:dyDescent="0.2">
      <c r="A4220" s="116">
        <f>IF(ISNUMBER(Tabela2[[#This Row],[CT-e/NFS]])=TRUE,(IF(B4220&gt;30000,4,IF(B4220&lt;1000,"ND",0))),"-")</f>
        <v>4</v>
      </c>
      <c r="B4220" s="116">
        <v>48470</v>
      </c>
      <c r="C4220" s="117">
        <v>45515</v>
      </c>
      <c r="D4220" s="116">
        <v>170.26</v>
      </c>
      <c r="E4220" s="117">
        <v>45519</v>
      </c>
      <c r="F4220" s="116">
        <f>COUNTIFS($A$3:A12470,A4220,$B$3:B12470,B4220)</f>
        <v>1</v>
      </c>
      <c r="G4220" s="116"/>
    </row>
    <row r="4221" spans="1:7" x14ac:dyDescent="0.2">
      <c r="A4221" s="116">
        <f>IF(ISNUMBER(Tabela2[[#This Row],[CT-e/NFS]])=TRUE,(IF(B4221&gt;30000,4,IF(B4221&lt;1000,"ND",0))),"-")</f>
        <v>0</v>
      </c>
      <c r="B4221" s="116">
        <v>21906</v>
      </c>
      <c r="C4221" s="117">
        <v>45515</v>
      </c>
      <c r="D4221" s="116">
        <v>76.39</v>
      </c>
      <c r="E4221" s="117">
        <v>45519</v>
      </c>
      <c r="F4221" s="116">
        <f>COUNTIFS($A$3:A12471,A4221,$B$3:B12471,B4221)</f>
        <v>1</v>
      </c>
      <c r="G4221" s="116"/>
    </row>
    <row r="4222" spans="1:7" x14ac:dyDescent="0.2">
      <c r="A4222" s="116">
        <f>IF(ISNUMBER(Tabela2[[#This Row],[CT-e/NFS]])=TRUE,(IF(B4222&gt;30000,4,IF(B4222&lt;1000,"ND",0))),"-")</f>
        <v>0</v>
      </c>
      <c r="B4222" s="116">
        <v>21913</v>
      </c>
      <c r="C4222" s="117">
        <v>45515</v>
      </c>
      <c r="D4222" s="116">
        <v>76.3</v>
      </c>
      <c r="E4222" s="117">
        <v>45519</v>
      </c>
      <c r="F4222" s="116">
        <f>COUNTIFS($A$3:A12472,A4222,$B$3:B12472,B4222)</f>
        <v>1</v>
      </c>
      <c r="G4222" s="116"/>
    </row>
    <row r="4223" spans="1:7" x14ac:dyDescent="0.2">
      <c r="A4223" s="116">
        <f>IF(ISNUMBER(Tabela2[[#This Row],[CT-e/NFS]])=TRUE,(IF(B4223&gt;30000,4,IF(B4223&lt;1000,"ND",0))),"-")</f>
        <v>0</v>
      </c>
      <c r="B4223" s="116">
        <v>21910</v>
      </c>
      <c r="C4223" s="117">
        <v>45515</v>
      </c>
      <c r="D4223" s="116">
        <v>77.400000000000006</v>
      </c>
      <c r="E4223" s="117">
        <v>45519</v>
      </c>
      <c r="F4223" s="116">
        <f>COUNTIFS($A$3:A12473,A4223,$B$3:B12473,B4223)</f>
        <v>1</v>
      </c>
      <c r="G4223" s="116"/>
    </row>
    <row r="4224" spans="1:7" x14ac:dyDescent="0.2">
      <c r="A4224" s="116">
        <f>IF(ISNUMBER(Tabela2[[#This Row],[CT-e/NFS]])=TRUE,(IF(B4224&gt;30000,4,IF(B4224&lt;1000,"ND",0))),"-")</f>
        <v>0</v>
      </c>
      <c r="B4224" s="116">
        <v>21912</v>
      </c>
      <c r="C4224" s="117">
        <v>45515</v>
      </c>
      <c r="D4224" s="116">
        <v>77.09</v>
      </c>
      <c r="E4224" s="117">
        <v>45519</v>
      </c>
      <c r="F4224" s="116">
        <f>COUNTIFS($A$3:A12474,A4224,$B$3:B12474,B4224)</f>
        <v>1</v>
      </c>
      <c r="G4224" s="116"/>
    </row>
    <row r="4225" spans="1:7" x14ac:dyDescent="0.2">
      <c r="A4225" s="116">
        <f>IF(ISNUMBER(Tabela2[[#This Row],[CT-e/NFS]])=TRUE,(IF(B4225&gt;30000,4,IF(B4225&lt;1000,"ND",0))),"-")</f>
        <v>0</v>
      </c>
      <c r="B4225" s="116">
        <v>21911</v>
      </c>
      <c r="C4225" s="117">
        <v>45515</v>
      </c>
      <c r="D4225" s="116">
        <v>76.34</v>
      </c>
      <c r="E4225" s="117">
        <v>45519</v>
      </c>
      <c r="F4225" s="116">
        <f>COUNTIFS($A$3:A12475,A4225,$B$3:B12475,B4225)</f>
        <v>1</v>
      </c>
      <c r="G4225" s="116"/>
    </row>
    <row r="4226" spans="1:7" x14ac:dyDescent="0.2">
      <c r="A4226" s="116">
        <f>IF(ISNUMBER(Tabela2[[#This Row],[CT-e/NFS]])=TRUE,(IF(B4226&gt;30000,4,IF(B4226&lt;1000,"ND",0))),"-")</f>
        <v>0</v>
      </c>
      <c r="B4226" s="116">
        <v>21907</v>
      </c>
      <c r="C4226" s="117">
        <v>45515</v>
      </c>
      <c r="D4226" s="116">
        <v>146.43</v>
      </c>
      <c r="E4226" s="117">
        <v>45519</v>
      </c>
      <c r="F4226" s="116">
        <f>COUNTIFS($A$3:A12476,A4226,$B$3:B12476,B4226)</f>
        <v>1</v>
      </c>
      <c r="G4226" s="116"/>
    </row>
    <row r="4227" spans="1:7" x14ac:dyDescent="0.2">
      <c r="A4227" s="116">
        <f>IF(ISNUMBER(Tabela2[[#This Row],[CT-e/NFS]])=TRUE,(IF(B4227&gt;30000,4,IF(B4227&lt;1000,"ND",0))),"-")</f>
        <v>0</v>
      </c>
      <c r="B4227" s="116">
        <v>21914</v>
      </c>
      <c r="C4227" s="117">
        <v>45515</v>
      </c>
      <c r="D4227" s="116">
        <v>409.15</v>
      </c>
      <c r="E4227" s="117">
        <v>45519</v>
      </c>
      <c r="F4227" s="116">
        <f>COUNTIFS($A$3:A12477,A4227,$B$3:B12477,B4227)</f>
        <v>1</v>
      </c>
      <c r="G4227" s="116"/>
    </row>
    <row r="4228" spans="1:7" x14ac:dyDescent="0.2">
      <c r="A4228" s="116">
        <f>IF(ISNUMBER(Tabela2[[#This Row],[CT-e/NFS]])=TRUE,(IF(B4228&gt;30000,4,IF(B4228&lt;1000,"ND",0))),"-")</f>
        <v>0</v>
      </c>
      <c r="B4228" s="116">
        <v>21908</v>
      </c>
      <c r="C4228" s="117">
        <v>45515</v>
      </c>
      <c r="D4228" s="116">
        <v>515.41</v>
      </c>
      <c r="E4228" s="117">
        <v>45519</v>
      </c>
      <c r="F4228" s="116">
        <f>COUNTIFS($A$3:A12478,A4228,$B$3:B12478,B4228)</f>
        <v>1</v>
      </c>
      <c r="G4228" s="116"/>
    </row>
    <row r="4229" spans="1:7" x14ac:dyDescent="0.2">
      <c r="A4229" s="116">
        <f>IF(ISNUMBER(Tabela2[[#This Row],[CT-e/NFS]])=TRUE,(IF(B4229&gt;30000,4,IF(B4229&lt;1000,"ND",0))),"-")</f>
        <v>4</v>
      </c>
      <c r="B4229" s="116">
        <v>48477</v>
      </c>
      <c r="C4229" s="117">
        <v>45515</v>
      </c>
      <c r="D4229" s="116">
        <v>702.1</v>
      </c>
      <c r="E4229" s="117">
        <v>45519</v>
      </c>
      <c r="F4229" s="116">
        <f>COUNTIFS($A$3:A12479,A4229,$B$3:B12479,B4229)</f>
        <v>1</v>
      </c>
      <c r="G4229" s="116"/>
    </row>
    <row r="4230" spans="1:7" x14ac:dyDescent="0.2">
      <c r="A4230" s="116">
        <f>IF(ISNUMBER(Tabela2[[#This Row],[CT-e/NFS]])=TRUE,(IF(B4230&gt;30000,4,IF(B4230&lt;1000,"ND",0))),"-")</f>
        <v>4</v>
      </c>
      <c r="B4230" s="116">
        <v>48481</v>
      </c>
      <c r="C4230" s="117">
        <v>45515</v>
      </c>
      <c r="D4230" s="116">
        <v>171.44</v>
      </c>
      <c r="E4230" s="117">
        <v>45519</v>
      </c>
      <c r="F4230" s="116">
        <f>COUNTIFS($A$3:A12480,A4230,$B$3:B12480,B4230)</f>
        <v>1</v>
      </c>
      <c r="G4230" s="116"/>
    </row>
    <row r="4231" spans="1:7" x14ac:dyDescent="0.2">
      <c r="A4231" s="116">
        <f>IF(ISNUMBER(Tabela2[[#This Row],[CT-e/NFS]])=TRUE,(IF(B4231&gt;30000,4,IF(B4231&lt;1000,"ND",0))),"-")</f>
        <v>4</v>
      </c>
      <c r="B4231" s="116">
        <v>48485</v>
      </c>
      <c r="C4231" s="117">
        <v>45515</v>
      </c>
      <c r="D4231" s="116">
        <v>124.47</v>
      </c>
      <c r="E4231" s="117">
        <v>45519</v>
      </c>
      <c r="F4231" s="116">
        <f>COUNTIFS($A$3:A12481,A4231,$B$3:B12481,B4231)</f>
        <v>1</v>
      </c>
      <c r="G4231" s="116"/>
    </row>
    <row r="4232" spans="1:7" x14ac:dyDescent="0.2">
      <c r="A4232" s="116">
        <f>IF(ISNUMBER(Tabela2[[#This Row],[CT-e/NFS]])=TRUE,(IF(B4232&gt;30000,4,IF(B4232&lt;1000,"ND",0))),"-")</f>
        <v>4</v>
      </c>
      <c r="B4232" s="116">
        <v>48486</v>
      </c>
      <c r="C4232" s="117">
        <v>45515</v>
      </c>
      <c r="D4232" s="116">
        <v>124.49</v>
      </c>
      <c r="E4232" s="117">
        <v>45519</v>
      </c>
      <c r="F4232" s="116">
        <f>COUNTIFS($A$3:A12482,A4232,$B$3:B12482,B4232)</f>
        <v>1</v>
      </c>
      <c r="G4232" s="116"/>
    </row>
    <row r="4233" spans="1:7" x14ac:dyDescent="0.2">
      <c r="A4233" s="116">
        <f>IF(ISNUMBER(Tabela2[[#This Row],[CT-e/NFS]])=TRUE,(IF(B4233&gt;30000,4,IF(B4233&lt;1000,"ND",0))),"-")</f>
        <v>4</v>
      </c>
      <c r="B4233" s="116">
        <v>48482</v>
      </c>
      <c r="C4233" s="117">
        <v>45515</v>
      </c>
      <c r="D4233" s="116">
        <v>168.09</v>
      </c>
      <c r="E4233" s="117">
        <v>45519</v>
      </c>
      <c r="F4233" s="116">
        <f>COUNTIFS($A$3:A12483,A4233,$B$3:B12483,B4233)</f>
        <v>1</v>
      </c>
      <c r="G4233" s="116"/>
    </row>
    <row r="4234" spans="1:7" x14ac:dyDescent="0.2">
      <c r="A4234" s="116">
        <f>IF(ISNUMBER(Tabela2[[#This Row],[CT-e/NFS]])=TRUE,(IF(B4234&gt;30000,4,IF(B4234&lt;1000,"ND",0))),"-")</f>
        <v>4</v>
      </c>
      <c r="B4234" s="116">
        <v>48483</v>
      </c>
      <c r="C4234" s="117">
        <v>45515</v>
      </c>
      <c r="D4234" s="116">
        <v>124.1</v>
      </c>
      <c r="E4234" s="117">
        <v>45519</v>
      </c>
      <c r="F4234" s="116">
        <f>COUNTIFS($A$3:A12484,A4234,$B$3:B12484,B4234)</f>
        <v>1</v>
      </c>
      <c r="G4234" s="116"/>
    </row>
    <row r="4235" spans="1:7" x14ac:dyDescent="0.2">
      <c r="A4235" s="116">
        <f>IF(ISNUMBER(Tabela2[[#This Row],[CT-e/NFS]])=TRUE,(IF(B4235&gt;30000,4,IF(B4235&lt;1000,"ND",0))),"-")</f>
        <v>4</v>
      </c>
      <c r="B4235" s="116">
        <v>48484</v>
      </c>
      <c r="C4235" s="117">
        <v>45515</v>
      </c>
      <c r="D4235" s="116">
        <v>124.49</v>
      </c>
      <c r="E4235" s="117">
        <v>45519</v>
      </c>
      <c r="F4235" s="116">
        <f>COUNTIFS($A$3:A12485,A4235,$B$3:B12485,B4235)</f>
        <v>1</v>
      </c>
      <c r="G4235" s="116"/>
    </row>
    <row r="4236" spans="1:7" x14ac:dyDescent="0.2">
      <c r="A4236" s="116">
        <f>IF(ISNUMBER(Tabela2[[#This Row],[CT-e/NFS]])=TRUE,(IF(B4236&gt;30000,4,IF(B4236&lt;1000,"ND",0))),"-")</f>
        <v>4</v>
      </c>
      <c r="B4236" s="116">
        <v>48487</v>
      </c>
      <c r="C4236" s="117">
        <v>45515</v>
      </c>
      <c r="D4236" s="116">
        <v>1086.24</v>
      </c>
      <c r="E4236" s="117">
        <v>45519</v>
      </c>
      <c r="F4236" s="116">
        <f>COUNTIFS($A$3:A12486,A4236,$B$3:B12486,B4236)</f>
        <v>1</v>
      </c>
      <c r="G4236" s="116"/>
    </row>
    <row r="4237" spans="1:7" x14ac:dyDescent="0.2">
      <c r="A4237" s="116">
        <f>IF(ISNUMBER(Tabela2[[#This Row],[CT-e/NFS]])=TRUE,(IF(B4237&gt;30000,4,IF(B4237&lt;1000,"ND",0))),"-")</f>
        <v>4</v>
      </c>
      <c r="B4237" s="116">
        <v>48492</v>
      </c>
      <c r="C4237" s="117">
        <v>45515</v>
      </c>
      <c r="D4237" s="116">
        <v>299.67</v>
      </c>
      <c r="E4237" s="117">
        <v>45519</v>
      </c>
      <c r="F4237" s="116">
        <f>COUNTIFS($A$3:A12487,A4237,$B$3:B12487,B4237)</f>
        <v>1</v>
      </c>
      <c r="G4237" s="116"/>
    </row>
    <row r="4238" spans="1:7" x14ac:dyDescent="0.2">
      <c r="A4238" s="116">
        <f>IF(ISNUMBER(Tabela2[[#This Row],[CT-e/NFS]])=TRUE,(IF(B4238&gt;30000,4,IF(B4238&lt;1000,"ND",0))),"-")</f>
        <v>4</v>
      </c>
      <c r="B4238" s="116">
        <v>48493</v>
      </c>
      <c r="C4238" s="117">
        <v>45515</v>
      </c>
      <c r="D4238" s="116">
        <v>123.86</v>
      </c>
      <c r="E4238" s="117">
        <v>45519</v>
      </c>
      <c r="F4238" s="116">
        <f>COUNTIFS($A$3:A12488,A4238,$B$3:B12488,B4238)</f>
        <v>1</v>
      </c>
      <c r="G4238" s="116"/>
    </row>
    <row r="4239" spans="1:7" x14ac:dyDescent="0.2">
      <c r="A4239" s="116">
        <f>IF(ISNUMBER(Tabela2[[#This Row],[CT-e/NFS]])=TRUE,(IF(B4239&gt;30000,4,IF(B4239&lt;1000,"ND",0))),"-")</f>
        <v>4</v>
      </c>
      <c r="B4239" s="116">
        <v>48490</v>
      </c>
      <c r="C4239" s="117">
        <v>45515</v>
      </c>
      <c r="D4239" s="116">
        <v>124.3</v>
      </c>
      <c r="E4239" s="117">
        <v>45519</v>
      </c>
      <c r="F4239" s="116">
        <f>COUNTIFS($A$3:A12489,A4239,$B$3:B12489,B4239)</f>
        <v>1</v>
      </c>
      <c r="G4239" s="116"/>
    </row>
    <row r="4240" spans="1:7" x14ac:dyDescent="0.2">
      <c r="A4240" s="116">
        <f>IF(ISNUMBER(Tabela2[[#This Row],[CT-e/NFS]])=TRUE,(IF(B4240&gt;30000,4,IF(B4240&lt;1000,"ND",0))),"-")</f>
        <v>4</v>
      </c>
      <c r="B4240" s="116">
        <v>48489</v>
      </c>
      <c r="C4240" s="117">
        <v>45515</v>
      </c>
      <c r="D4240" s="116">
        <v>126.65</v>
      </c>
      <c r="E4240" s="117">
        <v>45519</v>
      </c>
      <c r="F4240" s="116">
        <f>COUNTIFS($A$3:A12490,A4240,$B$3:B12490,B4240)</f>
        <v>1</v>
      </c>
      <c r="G4240" s="116"/>
    </row>
    <row r="4241" spans="1:7" x14ac:dyDescent="0.2">
      <c r="A4241" s="116">
        <f>IF(ISNUMBER(Tabela2[[#This Row],[CT-e/NFS]])=TRUE,(IF(B4241&gt;30000,4,IF(B4241&lt;1000,"ND",0))),"-")</f>
        <v>4</v>
      </c>
      <c r="B4241" s="116">
        <v>48488</v>
      </c>
      <c r="C4241" s="117">
        <v>45515</v>
      </c>
      <c r="D4241" s="116">
        <v>124.06</v>
      </c>
      <c r="E4241" s="117">
        <v>45519</v>
      </c>
      <c r="F4241" s="116">
        <f>COUNTIFS($A$3:A12491,A4241,$B$3:B12491,B4241)</f>
        <v>1</v>
      </c>
      <c r="G4241" s="116"/>
    </row>
    <row r="4242" spans="1:7" x14ac:dyDescent="0.2">
      <c r="A4242" s="116">
        <f>IF(ISNUMBER(Tabela2[[#This Row],[CT-e/NFS]])=TRUE,(IF(B4242&gt;30000,4,IF(B4242&lt;1000,"ND",0))),"-")</f>
        <v>4</v>
      </c>
      <c r="B4242" s="116">
        <v>48491</v>
      </c>
      <c r="C4242" s="117">
        <v>45515</v>
      </c>
      <c r="D4242" s="116">
        <v>123.38</v>
      </c>
      <c r="E4242" s="117">
        <v>45519</v>
      </c>
      <c r="F4242" s="116">
        <f>COUNTIFS($A$3:A12492,A4242,$B$3:B12492,B4242)</f>
        <v>1</v>
      </c>
      <c r="G4242" s="116"/>
    </row>
    <row r="4243" spans="1:7" x14ac:dyDescent="0.2">
      <c r="A4243" s="116">
        <f>IF(ISNUMBER(Tabela2[[#This Row],[CT-e/NFS]])=TRUE,(IF(B4243&gt;30000,4,IF(B4243&lt;1000,"ND",0))),"-")</f>
        <v>4</v>
      </c>
      <c r="B4243" s="116">
        <v>48499</v>
      </c>
      <c r="C4243" s="117">
        <v>45515</v>
      </c>
      <c r="D4243" s="116">
        <v>276.31</v>
      </c>
      <c r="E4243" s="117">
        <v>45519</v>
      </c>
      <c r="F4243" s="116">
        <f>COUNTIFS($A$3:A12493,A4243,$B$3:B12493,B4243)</f>
        <v>1</v>
      </c>
      <c r="G4243" s="116"/>
    </row>
    <row r="4244" spans="1:7" x14ac:dyDescent="0.2">
      <c r="A4244" s="116">
        <f>IF(ISNUMBER(Tabela2[[#This Row],[CT-e/NFS]])=TRUE,(IF(B4244&gt;30000,4,IF(B4244&lt;1000,"ND",0))),"-")</f>
        <v>4</v>
      </c>
      <c r="B4244" s="116">
        <v>48497</v>
      </c>
      <c r="C4244" s="117">
        <v>45515</v>
      </c>
      <c r="D4244" s="116">
        <v>276.31</v>
      </c>
      <c r="E4244" s="117">
        <v>45519</v>
      </c>
      <c r="F4244" s="116">
        <f>COUNTIFS($A$3:A12494,A4244,$B$3:B12494,B4244)</f>
        <v>1</v>
      </c>
      <c r="G4244" s="116"/>
    </row>
    <row r="4245" spans="1:7" x14ac:dyDescent="0.2">
      <c r="A4245" s="116">
        <f>IF(ISNUMBER(Tabela2[[#This Row],[CT-e/NFS]])=TRUE,(IF(B4245&gt;30000,4,IF(B4245&lt;1000,"ND",0))),"-")</f>
        <v>4</v>
      </c>
      <c r="B4245" s="116">
        <v>48498</v>
      </c>
      <c r="C4245" s="117">
        <v>45515</v>
      </c>
      <c r="D4245" s="116">
        <v>1205.69</v>
      </c>
      <c r="E4245" s="117">
        <v>45519</v>
      </c>
      <c r="F4245" s="116">
        <f>COUNTIFS($A$3:A12495,A4245,$B$3:B12495,B4245)</f>
        <v>1</v>
      </c>
      <c r="G4245" s="116"/>
    </row>
    <row r="4246" spans="1:7" x14ac:dyDescent="0.2">
      <c r="A4246" s="116">
        <f>IF(ISNUMBER(Tabela2[[#This Row],[CT-e/NFS]])=TRUE,(IF(B4246&gt;30000,4,IF(B4246&lt;1000,"ND",0))),"-")</f>
        <v>4</v>
      </c>
      <c r="B4246" s="116">
        <v>48501</v>
      </c>
      <c r="C4246" s="117">
        <v>45515</v>
      </c>
      <c r="D4246" s="116">
        <v>1137.73</v>
      </c>
      <c r="E4246" s="117">
        <v>45519</v>
      </c>
      <c r="F4246" s="116">
        <f>COUNTIFS($A$3:A12496,A4246,$B$3:B12496,B4246)</f>
        <v>1</v>
      </c>
      <c r="G4246" s="116"/>
    </row>
    <row r="4247" spans="1:7" x14ac:dyDescent="0.2">
      <c r="A4247" s="116">
        <f>IF(ISNUMBER(Tabela2[[#This Row],[CT-e/NFS]])=TRUE,(IF(B4247&gt;30000,4,IF(B4247&lt;1000,"ND",0))),"-")</f>
        <v>4</v>
      </c>
      <c r="B4247" s="116">
        <v>48512</v>
      </c>
      <c r="C4247" s="117">
        <v>45515</v>
      </c>
      <c r="D4247" s="116">
        <v>124.38</v>
      </c>
      <c r="E4247" s="117">
        <v>45519</v>
      </c>
      <c r="F4247" s="116">
        <f>COUNTIFS($A$3:A12497,A4247,$B$3:B12497,B4247)</f>
        <v>1</v>
      </c>
      <c r="G4247" s="116"/>
    </row>
    <row r="4248" spans="1:7" x14ac:dyDescent="0.2">
      <c r="A4248" s="116">
        <f>IF(ISNUMBER(Tabela2[[#This Row],[CT-e/NFS]])=TRUE,(IF(B4248&gt;30000,4,IF(B4248&lt;1000,"ND",0))),"-")</f>
        <v>4</v>
      </c>
      <c r="B4248" s="116">
        <v>48500</v>
      </c>
      <c r="C4248" s="117">
        <v>45515</v>
      </c>
      <c r="D4248" s="116">
        <v>123.05</v>
      </c>
      <c r="E4248" s="117">
        <v>45519</v>
      </c>
      <c r="F4248" s="116">
        <f>COUNTIFS($A$3:A12498,A4248,$B$3:B12498,B4248)</f>
        <v>1</v>
      </c>
      <c r="G4248" s="116"/>
    </row>
    <row r="4249" spans="1:7" x14ac:dyDescent="0.2">
      <c r="A4249" s="116">
        <f>IF(ISNUMBER(Tabela2[[#This Row],[CT-e/NFS]])=TRUE,(IF(B4249&gt;30000,4,IF(B4249&lt;1000,"ND",0))),"-")</f>
        <v>4</v>
      </c>
      <c r="B4249" s="116">
        <v>48508</v>
      </c>
      <c r="C4249" s="117">
        <v>45515</v>
      </c>
      <c r="D4249" s="116">
        <v>2065.09</v>
      </c>
      <c r="E4249" s="117">
        <v>45519</v>
      </c>
      <c r="F4249" s="116">
        <f>COUNTIFS($A$3:A12499,A4249,$B$3:B12499,B4249)</f>
        <v>1</v>
      </c>
      <c r="G4249" s="116"/>
    </row>
    <row r="4250" spans="1:7" x14ac:dyDescent="0.2">
      <c r="A4250" s="116">
        <f>IF(ISNUMBER(Tabela2[[#This Row],[CT-e/NFS]])=TRUE,(IF(B4250&gt;30000,4,IF(B4250&lt;1000,"ND",0))),"-")</f>
        <v>4</v>
      </c>
      <c r="B4250" s="116">
        <v>48511</v>
      </c>
      <c r="C4250" s="117">
        <v>45515</v>
      </c>
      <c r="D4250" s="116">
        <v>267.17</v>
      </c>
      <c r="E4250" s="117">
        <v>45519</v>
      </c>
      <c r="F4250" s="116">
        <f>COUNTIFS($A$3:A12500,A4250,$B$3:B12500,B4250)</f>
        <v>1</v>
      </c>
      <c r="G4250" s="116"/>
    </row>
    <row r="4251" spans="1:7" x14ac:dyDescent="0.2">
      <c r="A4251" s="116">
        <f>IF(ISNUMBER(Tabela2[[#This Row],[CT-e/NFS]])=TRUE,(IF(B4251&gt;30000,4,IF(B4251&lt;1000,"ND",0))),"-")</f>
        <v>4</v>
      </c>
      <c r="B4251" s="116">
        <v>48509</v>
      </c>
      <c r="C4251" s="117">
        <v>45515</v>
      </c>
      <c r="D4251" s="116">
        <v>506.47</v>
      </c>
      <c r="E4251" s="117">
        <v>45519</v>
      </c>
      <c r="F4251" s="116">
        <f>COUNTIFS($A$3:A12501,A4251,$B$3:B12501,B4251)</f>
        <v>1</v>
      </c>
      <c r="G4251" s="116"/>
    </row>
    <row r="4252" spans="1:7" x14ac:dyDescent="0.2">
      <c r="A4252" s="116">
        <f>IF(ISNUMBER(Tabela2[[#This Row],[CT-e/NFS]])=TRUE,(IF(B4252&gt;30000,4,IF(B4252&lt;1000,"ND",0))),"-")</f>
        <v>4</v>
      </c>
      <c r="B4252" s="116">
        <v>48502</v>
      </c>
      <c r="C4252" s="117">
        <v>45515</v>
      </c>
      <c r="D4252" s="116">
        <v>122.88</v>
      </c>
      <c r="E4252" s="117">
        <v>45519</v>
      </c>
      <c r="F4252" s="116">
        <f>COUNTIFS($A$3:A12502,A4252,$B$3:B12502,B4252)</f>
        <v>1</v>
      </c>
      <c r="G4252" s="116"/>
    </row>
    <row r="4253" spans="1:7" x14ac:dyDescent="0.2">
      <c r="A4253" s="116">
        <f>IF(ISNUMBER(Tabela2[[#This Row],[CT-e/NFS]])=TRUE,(IF(B4253&gt;30000,4,IF(B4253&lt;1000,"ND",0))),"-")</f>
        <v>4</v>
      </c>
      <c r="B4253" s="116">
        <v>48507</v>
      </c>
      <c r="C4253" s="117">
        <v>45515</v>
      </c>
      <c r="D4253" s="116">
        <v>123.3</v>
      </c>
      <c r="E4253" s="117">
        <v>45519</v>
      </c>
      <c r="F4253" s="116">
        <f>COUNTIFS($A$3:A12503,A4253,$B$3:B12503,B4253)</f>
        <v>1</v>
      </c>
      <c r="G4253" s="116"/>
    </row>
    <row r="4254" spans="1:7" x14ac:dyDescent="0.2">
      <c r="A4254" s="116">
        <f>IF(ISNUMBER(Tabela2[[#This Row],[CT-e/NFS]])=TRUE,(IF(B4254&gt;30000,4,IF(B4254&lt;1000,"ND",0))),"-")</f>
        <v>4</v>
      </c>
      <c r="B4254" s="116">
        <v>48515</v>
      </c>
      <c r="C4254" s="117">
        <v>45515</v>
      </c>
      <c r="D4254" s="116">
        <v>125.07</v>
      </c>
      <c r="E4254" s="117">
        <v>45519</v>
      </c>
      <c r="F4254" s="116">
        <f>COUNTIFS($A$3:A12504,A4254,$B$3:B12504,B4254)</f>
        <v>1</v>
      </c>
      <c r="G4254" s="116"/>
    </row>
    <row r="4255" spans="1:7" x14ac:dyDescent="0.2">
      <c r="A4255" s="116">
        <f>IF(ISNUMBER(Tabela2[[#This Row],[CT-e/NFS]])=TRUE,(IF(B4255&gt;30000,4,IF(B4255&lt;1000,"ND",0))),"-")</f>
        <v>4</v>
      </c>
      <c r="B4255" s="116">
        <v>48506</v>
      </c>
      <c r="C4255" s="117">
        <v>45515</v>
      </c>
      <c r="D4255" s="116">
        <v>123.5</v>
      </c>
      <c r="E4255" s="117">
        <v>45519</v>
      </c>
      <c r="F4255" s="116">
        <f>COUNTIFS($A$3:A12505,A4255,$B$3:B12505,B4255)</f>
        <v>1</v>
      </c>
      <c r="G4255" s="116"/>
    </row>
    <row r="4256" spans="1:7" x14ac:dyDescent="0.2">
      <c r="A4256" s="116">
        <f>IF(ISNUMBER(Tabela2[[#This Row],[CT-e/NFS]])=TRUE,(IF(B4256&gt;30000,4,IF(B4256&lt;1000,"ND",0))),"-")</f>
        <v>4</v>
      </c>
      <c r="B4256" s="116">
        <v>48504</v>
      </c>
      <c r="C4256" s="117">
        <v>45515</v>
      </c>
      <c r="D4256" s="116">
        <v>124.59</v>
      </c>
      <c r="E4256" s="117">
        <v>45519</v>
      </c>
      <c r="F4256" s="116">
        <f>COUNTIFS($A$3:A12506,A4256,$B$3:B12506,B4256)</f>
        <v>1</v>
      </c>
      <c r="G4256" s="116"/>
    </row>
    <row r="4257" spans="1:7" x14ac:dyDescent="0.2">
      <c r="A4257" s="116">
        <f>IF(ISNUMBER(Tabela2[[#This Row],[CT-e/NFS]])=TRUE,(IF(B4257&gt;30000,4,IF(B4257&lt;1000,"ND",0))),"-")</f>
        <v>4</v>
      </c>
      <c r="B4257" s="116">
        <v>48505</v>
      </c>
      <c r="C4257" s="117">
        <v>45515</v>
      </c>
      <c r="D4257" s="116">
        <v>150.75</v>
      </c>
      <c r="E4257" s="117">
        <v>45519</v>
      </c>
      <c r="F4257" s="116">
        <f>COUNTIFS($A$3:A12507,A4257,$B$3:B12507,B4257)</f>
        <v>1</v>
      </c>
      <c r="G4257" s="116"/>
    </row>
    <row r="4258" spans="1:7" x14ac:dyDescent="0.2">
      <c r="A4258" s="116">
        <f>IF(ISNUMBER(Tabela2[[#This Row],[CT-e/NFS]])=TRUE,(IF(B4258&gt;30000,4,IF(B4258&lt;1000,"ND",0))),"-")</f>
        <v>4</v>
      </c>
      <c r="B4258" s="116">
        <v>48503</v>
      </c>
      <c r="C4258" s="117">
        <v>45515</v>
      </c>
      <c r="D4258" s="116">
        <v>164.84</v>
      </c>
      <c r="E4258" s="117">
        <v>45519</v>
      </c>
      <c r="F4258" s="116">
        <f>COUNTIFS($A$3:A12508,A4258,$B$3:B12508,B4258)</f>
        <v>1</v>
      </c>
      <c r="G4258" s="116"/>
    </row>
    <row r="4259" spans="1:7" x14ac:dyDescent="0.2">
      <c r="A4259" s="116">
        <f>IF(ISNUMBER(Tabela2[[#This Row],[CT-e/NFS]])=TRUE,(IF(B4259&gt;30000,4,IF(B4259&lt;1000,"ND",0))),"-")</f>
        <v>4</v>
      </c>
      <c r="B4259" s="116">
        <v>48510</v>
      </c>
      <c r="C4259" s="117">
        <v>45515</v>
      </c>
      <c r="D4259" s="116">
        <v>753.77</v>
      </c>
      <c r="E4259" s="117">
        <v>45519</v>
      </c>
      <c r="F4259" s="116">
        <f>COUNTIFS($A$3:A12509,A4259,$B$3:B12509,B4259)</f>
        <v>1</v>
      </c>
      <c r="G4259" s="116"/>
    </row>
    <row r="4260" spans="1:7" x14ac:dyDescent="0.2">
      <c r="A4260" s="116">
        <f>IF(ISNUMBER(Tabela2[[#This Row],[CT-e/NFS]])=TRUE,(IF(B4260&gt;30000,4,IF(B4260&lt;1000,"ND",0))),"-")</f>
        <v>0</v>
      </c>
      <c r="B4260" s="116">
        <v>21919</v>
      </c>
      <c r="C4260" s="117">
        <v>45515</v>
      </c>
      <c r="D4260" s="116">
        <v>844.29</v>
      </c>
      <c r="E4260" s="117">
        <v>45519</v>
      </c>
      <c r="F4260" s="116">
        <f>COUNTIFS($A$3:A12510,A4260,$B$3:B12510,B4260)</f>
        <v>1</v>
      </c>
      <c r="G4260" s="116"/>
    </row>
    <row r="4261" spans="1:7" x14ac:dyDescent="0.2">
      <c r="A4261" s="116">
        <f>IF(ISNUMBER(Tabela2[[#This Row],[CT-e/NFS]])=TRUE,(IF(B4261&gt;30000,4,IF(B4261&lt;1000,"ND",0))),"-")</f>
        <v>0</v>
      </c>
      <c r="B4261" s="116">
        <v>21915</v>
      </c>
      <c r="C4261" s="117">
        <v>45515</v>
      </c>
      <c r="D4261" s="116">
        <v>693.92</v>
      </c>
      <c r="E4261" s="117">
        <v>45519</v>
      </c>
      <c r="F4261" s="116">
        <f>COUNTIFS($A$3:A12511,A4261,$B$3:B12511,B4261)</f>
        <v>1</v>
      </c>
      <c r="G4261" s="116"/>
    </row>
    <row r="4262" spans="1:7" x14ac:dyDescent="0.2">
      <c r="A4262" s="116">
        <f>IF(ISNUMBER(Tabela2[[#This Row],[CT-e/NFS]])=TRUE,(IF(B4262&gt;30000,4,IF(B4262&lt;1000,"ND",0))),"-")</f>
        <v>0</v>
      </c>
      <c r="B4262" s="116">
        <v>21920</v>
      </c>
      <c r="C4262" s="117">
        <v>45515</v>
      </c>
      <c r="D4262" s="116">
        <v>149.29</v>
      </c>
      <c r="E4262" s="117">
        <v>45519</v>
      </c>
      <c r="F4262" s="116">
        <f>COUNTIFS($A$3:A12512,A4262,$B$3:B12512,B4262)</f>
        <v>1</v>
      </c>
      <c r="G4262" s="116"/>
    </row>
    <row r="4263" spans="1:7" x14ac:dyDescent="0.2">
      <c r="A4263" s="116">
        <f>IF(ISNUMBER(Tabela2[[#This Row],[CT-e/NFS]])=TRUE,(IF(B4263&gt;30000,4,IF(B4263&lt;1000,"ND",0))),"-")</f>
        <v>0</v>
      </c>
      <c r="B4263" s="116">
        <v>21922</v>
      </c>
      <c r="C4263" s="117">
        <v>45515</v>
      </c>
      <c r="D4263" s="116">
        <v>75.81</v>
      </c>
      <c r="E4263" s="117">
        <v>45519</v>
      </c>
      <c r="F4263" s="116">
        <f>COUNTIFS($A$3:A12513,A4263,$B$3:B12513,B4263)</f>
        <v>1</v>
      </c>
      <c r="G4263" s="116"/>
    </row>
    <row r="4264" spans="1:7" x14ac:dyDescent="0.2">
      <c r="A4264" s="116">
        <f>IF(ISNUMBER(Tabela2[[#This Row],[CT-e/NFS]])=TRUE,(IF(B4264&gt;30000,4,IF(B4264&lt;1000,"ND",0))),"-")</f>
        <v>0</v>
      </c>
      <c r="B4264" s="116">
        <v>21917</v>
      </c>
      <c r="C4264" s="117">
        <v>45515</v>
      </c>
      <c r="D4264" s="116">
        <v>75.64</v>
      </c>
      <c r="E4264" s="117">
        <v>45519</v>
      </c>
      <c r="F4264" s="116">
        <f>COUNTIFS($A$3:A12514,A4264,$B$3:B12514,B4264)</f>
        <v>1</v>
      </c>
      <c r="G4264" s="116"/>
    </row>
    <row r="4265" spans="1:7" x14ac:dyDescent="0.2">
      <c r="A4265" s="116">
        <f>IF(ISNUMBER(Tabela2[[#This Row],[CT-e/NFS]])=TRUE,(IF(B4265&gt;30000,4,IF(B4265&lt;1000,"ND",0))),"-")</f>
        <v>0</v>
      </c>
      <c r="B4265" s="116">
        <v>21918</v>
      </c>
      <c r="C4265" s="117">
        <v>45515</v>
      </c>
      <c r="D4265" s="116">
        <v>75.7</v>
      </c>
      <c r="E4265" s="117">
        <v>45519</v>
      </c>
      <c r="F4265" s="116">
        <f>COUNTIFS($A$3:A12515,A4265,$B$3:B12515,B4265)</f>
        <v>1</v>
      </c>
      <c r="G4265" s="116"/>
    </row>
    <row r="4266" spans="1:7" x14ac:dyDescent="0.2">
      <c r="A4266" s="116">
        <f>IF(ISNUMBER(Tabela2[[#This Row],[CT-e/NFS]])=TRUE,(IF(B4266&gt;30000,4,IF(B4266&lt;1000,"ND",0))),"-")</f>
        <v>4</v>
      </c>
      <c r="B4266" s="116">
        <v>48522</v>
      </c>
      <c r="C4266" s="117">
        <v>45515</v>
      </c>
      <c r="D4266" s="116">
        <v>125.13</v>
      </c>
      <c r="E4266" s="117">
        <v>45519</v>
      </c>
      <c r="F4266" s="116">
        <f>COUNTIFS($A$3:A12516,A4266,$B$3:B12516,B4266)</f>
        <v>1</v>
      </c>
      <c r="G4266" s="116"/>
    </row>
    <row r="4267" spans="1:7" x14ac:dyDescent="0.2">
      <c r="A4267" s="116">
        <f>IF(ISNUMBER(Tabela2[[#This Row],[CT-e/NFS]])=TRUE,(IF(B4267&gt;30000,4,IF(B4267&lt;1000,"ND",0))),"-")</f>
        <v>4</v>
      </c>
      <c r="B4267" s="116">
        <v>48518</v>
      </c>
      <c r="C4267" s="117">
        <v>45515</v>
      </c>
      <c r="D4267" s="116">
        <v>164.78</v>
      </c>
      <c r="E4267" s="117">
        <v>45519</v>
      </c>
      <c r="F4267" s="116">
        <f>COUNTIFS($A$3:A12517,A4267,$B$3:B12517,B4267)</f>
        <v>1</v>
      </c>
      <c r="G4267" s="116"/>
    </row>
    <row r="4268" spans="1:7" x14ac:dyDescent="0.2">
      <c r="A4268" s="116">
        <f>IF(ISNUMBER(Tabela2[[#This Row],[CT-e/NFS]])=TRUE,(IF(B4268&gt;30000,4,IF(B4268&lt;1000,"ND",0))),"-")</f>
        <v>4</v>
      </c>
      <c r="B4268" s="116">
        <v>48520</v>
      </c>
      <c r="C4268" s="117">
        <v>45515</v>
      </c>
      <c r="D4268" s="116">
        <v>126.38</v>
      </c>
      <c r="E4268" s="117">
        <v>45519</v>
      </c>
      <c r="F4268" s="116">
        <f>COUNTIFS($A$3:A12518,A4268,$B$3:B12518,B4268)</f>
        <v>1</v>
      </c>
      <c r="G4268" s="116"/>
    </row>
    <row r="4269" spans="1:7" x14ac:dyDescent="0.2">
      <c r="A4269" s="116">
        <f>IF(ISNUMBER(Tabela2[[#This Row],[CT-e/NFS]])=TRUE,(IF(B4269&gt;30000,4,IF(B4269&lt;1000,"ND",0))),"-")</f>
        <v>4</v>
      </c>
      <c r="B4269" s="116">
        <v>48521</v>
      </c>
      <c r="C4269" s="117">
        <v>45515</v>
      </c>
      <c r="D4269" s="116">
        <v>219.83</v>
      </c>
      <c r="E4269" s="117">
        <v>45519</v>
      </c>
      <c r="F4269" s="116">
        <f>COUNTIFS($A$3:A12519,A4269,$B$3:B12519,B4269)</f>
        <v>1</v>
      </c>
      <c r="G4269" s="116"/>
    </row>
    <row r="4270" spans="1:7" x14ac:dyDescent="0.2">
      <c r="A4270" s="116">
        <f>IF(ISNUMBER(Tabela2[[#This Row],[CT-e/NFS]])=TRUE,(IF(B4270&gt;30000,4,IF(B4270&lt;1000,"ND",0))),"-")</f>
        <v>4</v>
      </c>
      <c r="B4270" s="116">
        <v>48523</v>
      </c>
      <c r="C4270" s="117">
        <v>45515</v>
      </c>
      <c r="D4270" s="116">
        <v>124.07</v>
      </c>
      <c r="E4270" s="117">
        <v>45519</v>
      </c>
      <c r="F4270" s="116">
        <f>COUNTIFS($A$3:A12520,A4270,$B$3:B12520,B4270)</f>
        <v>1</v>
      </c>
      <c r="G4270" s="116"/>
    </row>
    <row r="4271" spans="1:7" x14ac:dyDescent="0.2">
      <c r="A4271" s="116">
        <f>IF(ISNUMBER(Tabela2[[#This Row],[CT-e/NFS]])=TRUE,(IF(B4271&gt;30000,4,IF(B4271&lt;1000,"ND",0))),"-")</f>
        <v>4</v>
      </c>
      <c r="B4271" s="116">
        <v>48524</v>
      </c>
      <c r="C4271" s="117">
        <v>45515</v>
      </c>
      <c r="D4271" s="116">
        <v>124.03</v>
      </c>
      <c r="E4271" s="117">
        <v>45519</v>
      </c>
      <c r="F4271" s="116">
        <f>COUNTIFS($A$3:A12521,A4271,$B$3:B12521,B4271)</f>
        <v>1</v>
      </c>
      <c r="G4271" s="116"/>
    </row>
    <row r="4272" spans="1:7" x14ac:dyDescent="0.2">
      <c r="A4272" s="116">
        <f>IF(ISNUMBER(Tabela2[[#This Row],[CT-e/NFS]])=TRUE,(IF(B4272&gt;30000,4,IF(B4272&lt;1000,"ND",0))),"-")</f>
        <v>4</v>
      </c>
      <c r="B4272" s="116">
        <v>48529</v>
      </c>
      <c r="C4272" s="117">
        <v>45515</v>
      </c>
      <c r="D4272" s="116">
        <v>61.52</v>
      </c>
      <c r="E4272" s="117">
        <v>45519</v>
      </c>
      <c r="F4272" s="116">
        <f>COUNTIFS($A$3:A12522,A4272,$B$3:B12522,B4272)</f>
        <v>1</v>
      </c>
      <c r="G4272" s="116"/>
    </row>
    <row r="4273" spans="1:7" x14ac:dyDescent="0.2">
      <c r="A4273" s="116">
        <f>IF(ISNUMBER(Tabela2[[#This Row],[CT-e/NFS]])=TRUE,(IF(B4273&gt;30000,4,IF(B4273&lt;1000,"ND",0))),"-")</f>
        <v>4</v>
      </c>
      <c r="B4273" s="116">
        <v>48530</v>
      </c>
      <c r="C4273" s="117">
        <v>45515</v>
      </c>
      <c r="D4273" s="116">
        <v>110.77</v>
      </c>
      <c r="E4273" s="117">
        <v>45519</v>
      </c>
      <c r="F4273" s="116">
        <f>COUNTIFS($A$3:A12523,A4273,$B$3:B12523,B4273)</f>
        <v>1</v>
      </c>
      <c r="G4273" s="116"/>
    </row>
    <row r="4274" spans="1:7" x14ac:dyDescent="0.2">
      <c r="A4274" s="116">
        <f>IF(ISNUMBER(Tabela2[[#This Row],[CT-e/NFS]])=TRUE,(IF(B4274&gt;30000,4,IF(B4274&lt;1000,"ND",0))),"-")</f>
        <v>4</v>
      </c>
      <c r="B4274" s="116">
        <v>48531</v>
      </c>
      <c r="C4274" s="117">
        <v>45515</v>
      </c>
      <c r="D4274" s="116">
        <v>1032.55</v>
      </c>
      <c r="E4274" s="117">
        <v>45519</v>
      </c>
      <c r="F4274" s="116">
        <f>COUNTIFS($A$3:A12524,A4274,$B$3:B12524,B4274)</f>
        <v>1</v>
      </c>
      <c r="G4274" s="116"/>
    </row>
    <row r="4275" spans="1:7" x14ac:dyDescent="0.2">
      <c r="A4275" s="116">
        <f>IF(ISNUMBER(Tabela2[[#This Row],[CT-e/NFS]])=TRUE,(IF(B4275&gt;30000,4,IF(B4275&lt;1000,"ND",0))),"-")</f>
        <v>4</v>
      </c>
      <c r="B4275" s="116">
        <v>48532</v>
      </c>
      <c r="C4275" s="117">
        <v>45515</v>
      </c>
      <c r="D4275" s="116">
        <v>1863.28</v>
      </c>
      <c r="E4275" s="117">
        <v>45519</v>
      </c>
      <c r="F4275" s="116">
        <f>COUNTIFS($A$3:A12525,A4275,$B$3:B12525,B4275)</f>
        <v>1</v>
      </c>
      <c r="G4275" s="116"/>
    </row>
    <row r="4276" spans="1:7" x14ac:dyDescent="0.2">
      <c r="A4276" s="116">
        <f>IF(ISNUMBER(Tabela2[[#This Row],[CT-e/NFS]])=TRUE,(IF(B4276&gt;30000,4,IF(B4276&lt;1000,"ND",0))),"-")</f>
        <v>4</v>
      </c>
      <c r="B4276" s="116">
        <v>48525</v>
      </c>
      <c r="C4276" s="117">
        <v>45515</v>
      </c>
      <c r="D4276" s="116">
        <v>122.93</v>
      </c>
      <c r="E4276" s="117">
        <v>45519</v>
      </c>
      <c r="F4276" s="116">
        <f>COUNTIFS($A$3:A12526,A4276,$B$3:B12526,B4276)</f>
        <v>1</v>
      </c>
      <c r="G4276" s="116"/>
    </row>
    <row r="4277" spans="1:7" x14ac:dyDescent="0.2">
      <c r="A4277" s="116">
        <f>IF(ISNUMBER(Tabela2[[#This Row],[CT-e/NFS]])=TRUE,(IF(B4277&gt;30000,4,IF(B4277&lt;1000,"ND",0))),"-")</f>
        <v>4</v>
      </c>
      <c r="B4277" s="116">
        <v>48534</v>
      </c>
      <c r="C4277" s="117">
        <v>45515</v>
      </c>
      <c r="D4277" s="116">
        <v>112.32</v>
      </c>
      <c r="E4277" s="117">
        <v>45519</v>
      </c>
      <c r="F4277" s="116">
        <f>COUNTIFS($A$3:A12527,A4277,$B$3:B12527,B4277)</f>
        <v>1</v>
      </c>
      <c r="G4277" s="116"/>
    </row>
    <row r="4278" spans="1:7" x14ac:dyDescent="0.2">
      <c r="A4278" s="116">
        <f>IF(ISNUMBER(Tabela2[[#This Row],[CT-e/NFS]])=TRUE,(IF(B4278&gt;30000,4,IF(B4278&lt;1000,"ND",0))),"-")</f>
        <v>4</v>
      </c>
      <c r="B4278" s="116">
        <v>48527</v>
      </c>
      <c r="C4278" s="117">
        <v>45515</v>
      </c>
      <c r="D4278" s="116">
        <v>124.03</v>
      </c>
      <c r="E4278" s="117">
        <v>45519</v>
      </c>
      <c r="F4278" s="116">
        <f>COUNTIFS($A$3:A12528,A4278,$B$3:B12528,B4278)</f>
        <v>1</v>
      </c>
      <c r="G4278" s="116"/>
    </row>
    <row r="4279" spans="1:7" x14ac:dyDescent="0.2">
      <c r="A4279" s="116">
        <f>IF(ISNUMBER(Tabela2[[#This Row],[CT-e/NFS]])=TRUE,(IF(B4279&gt;30000,4,IF(B4279&lt;1000,"ND",0))),"-")</f>
        <v>4</v>
      </c>
      <c r="B4279" s="116">
        <v>48526</v>
      </c>
      <c r="C4279" s="117">
        <v>45515</v>
      </c>
      <c r="D4279" s="116">
        <v>609.98</v>
      </c>
      <c r="E4279" s="117">
        <v>45519</v>
      </c>
      <c r="F4279" s="116">
        <f>COUNTIFS($A$3:A12529,A4279,$B$3:B12529,B4279)</f>
        <v>1</v>
      </c>
      <c r="G4279" s="116"/>
    </row>
    <row r="4280" spans="1:7" x14ac:dyDescent="0.2">
      <c r="A4280" s="116">
        <f>IF(ISNUMBER(Tabela2[[#This Row],[CT-e/NFS]])=TRUE,(IF(B4280&gt;30000,4,IF(B4280&lt;1000,"ND",0))),"-")</f>
        <v>4</v>
      </c>
      <c r="B4280" s="116">
        <v>48533</v>
      </c>
      <c r="C4280" s="117">
        <v>45515</v>
      </c>
      <c r="D4280" s="116">
        <v>62.3</v>
      </c>
      <c r="E4280" s="117">
        <v>45519</v>
      </c>
      <c r="F4280" s="116">
        <f>COUNTIFS($A$3:A12530,A4280,$B$3:B12530,B4280)</f>
        <v>1</v>
      </c>
      <c r="G4280" s="116"/>
    </row>
    <row r="4281" spans="1:7" x14ac:dyDescent="0.2">
      <c r="A4281" s="116">
        <f>IF(ISNUMBER(Tabela2[[#This Row],[CT-e/NFS]])=TRUE,(IF(B4281&gt;30000,4,IF(B4281&lt;1000,"ND",0))),"-")</f>
        <v>0</v>
      </c>
      <c r="B4281" s="116">
        <v>21923</v>
      </c>
      <c r="C4281" s="117">
        <v>45515</v>
      </c>
      <c r="D4281" s="116">
        <v>76</v>
      </c>
      <c r="E4281" s="117">
        <v>45519</v>
      </c>
      <c r="F4281" s="116">
        <f>COUNTIFS($A$3:A12531,A4281,$B$3:B12531,B4281)</f>
        <v>1</v>
      </c>
      <c r="G4281" s="116"/>
    </row>
    <row r="4282" spans="1:7" x14ac:dyDescent="0.2">
      <c r="A4282" s="116">
        <f>IF(ISNUMBER(Tabela2[[#This Row],[CT-e/NFS]])=TRUE,(IF(B4282&gt;30000,4,IF(B4282&lt;1000,"ND",0))),"-")</f>
        <v>0</v>
      </c>
      <c r="B4282" s="116">
        <v>21929</v>
      </c>
      <c r="C4282" s="117">
        <v>45515</v>
      </c>
      <c r="D4282" s="116">
        <v>317.05</v>
      </c>
      <c r="E4282" s="117">
        <v>45519</v>
      </c>
      <c r="F4282" s="116">
        <f>COUNTIFS($A$3:A12532,A4282,$B$3:B12532,B4282)</f>
        <v>1</v>
      </c>
      <c r="G4282" s="116"/>
    </row>
    <row r="4283" spans="1:7" x14ac:dyDescent="0.2">
      <c r="A4283" s="116">
        <f>IF(ISNUMBER(Tabela2[[#This Row],[CT-e/NFS]])=TRUE,(IF(B4283&gt;30000,4,IF(B4283&lt;1000,"ND",0))),"-")</f>
        <v>0</v>
      </c>
      <c r="B4283" s="116">
        <v>21928</v>
      </c>
      <c r="C4283" s="117">
        <v>45515</v>
      </c>
      <c r="D4283" s="116">
        <v>76</v>
      </c>
      <c r="E4283" s="117">
        <v>45519</v>
      </c>
      <c r="F4283" s="116">
        <f>COUNTIFS($A$3:A12533,A4283,$B$3:B12533,B4283)</f>
        <v>1</v>
      </c>
      <c r="G4283" s="116"/>
    </row>
    <row r="4284" spans="1:7" x14ac:dyDescent="0.2">
      <c r="A4284" s="116">
        <f>IF(ISNUMBER(Tabela2[[#This Row],[CT-e/NFS]])=TRUE,(IF(B4284&gt;30000,4,IF(B4284&lt;1000,"ND",0))),"-")</f>
        <v>0</v>
      </c>
      <c r="B4284" s="116">
        <v>21927</v>
      </c>
      <c r="C4284" s="117">
        <v>45515</v>
      </c>
      <c r="D4284" s="116">
        <v>97.96</v>
      </c>
      <c r="E4284" s="117">
        <v>45519</v>
      </c>
      <c r="F4284" s="116">
        <f>COUNTIFS($A$3:A12534,A4284,$B$3:B12534,B4284)</f>
        <v>1</v>
      </c>
      <c r="G4284" s="116"/>
    </row>
    <row r="4285" spans="1:7" x14ac:dyDescent="0.2">
      <c r="A4285" s="116">
        <f>IF(ISNUMBER(Tabela2[[#This Row],[CT-e/NFS]])=TRUE,(IF(B4285&gt;30000,4,IF(B4285&lt;1000,"ND",0))),"-")</f>
        <v>0</v>
      </c>
      <c r="B4285" s="116">
        <v>21926</v>
      </c>
      <c r="C4285" s="117">
        <v>45515</v>
      </c>
      <c r="D4285" s="116">
        <v>102.45</v>
      </c>
      <c r="E4285" s="117">
        <v>45519</v>
      </c>
      <c r="F4285" s="116">
        <f>COUNTIFS($A$3:A12535,A4285,$B$3:B12535,B4285)</f>
        <v>1</v>
      </c>
      <c r="G4285" s="116"/>
    </row>
    <row r="4286" spans="1:7" x14ac:dyDescent="0.2">
      <c r="A4286" s="116">
        <f>IF(ISNUMBER(Tabela2[[#This Row],[CT-e/NFS]])=TRUE,(IF(B4286&gt;30000,4,IF(B4286&lt;1000,"ND",0))),"-")</f>
        <v>0</v>
      </c>
      <c r="B4286" s="116">
        <v>21925</v>
      </c>
      <c r="C4286" s="117">
        <v>45515</v>
      </c>
      <c r="D4286" s="116">
        <v>77.010000000000005</v>
      </c>
      <c r="E4286" s="117">
        <v>45519</v>
      </c>
      <c r="F4286" s="116">
        <f>COUNTIFS($A$3:A12536,A4286,$B$3:B12536,B4286)</f>
        <v>1</v>
      </c>
      <c r="G4286" s="116"/>
    </row>
    <row r="4287" spans="1:7" x14ac:dyDescent="0.2">
      <c r="A4287" s="116">
        <f>IF(ISNUMBER(Tabela2[[#This Row],[CT-e/NFS]])=TRUE,(IF(B4287&gt;30000,4,IF(B4287&lt;1000,"ND",0))),"-")</f>
        <v>0</v>
      </c>
      <c r="B4287" s="116">
        <v>21924</v>
      </c>
      <c r="C4287" s="117">
        <v>45515</v>
      </c>
      <c r="D4287" s="116">
        <v>76.34</v>
      </c>
      <c r="E4287" s="117">
        <v>45519</v>
      </c>
      <c r="F4287" s="116">
        <f>COUNTIFS($A$3:A12537,A4287,$B$3:B12537,B4287)</f>
        <v>1</v>
      </c>
      <c r="G4287" s="116"/>
    </row>
    <row r="4288" spans="1:7" x14ac:dyDescent="0.2">
      <c r="A4288" s="116">
        <f>IF(ISNUMBER(Tabela2[[#This Row],[CT-e/NFS]])=TRUE,(IF(B4288&gt;30000,4,IF(B4288&lt;1000,"ND",0))),"-")</f>
        <v>4</v>
      </c>
      <c r="B4288" s="116">
        <v>48536</v>
      </c>
      <c r="C4288" s="117">
        <v>45515</v>
      </c>
      <c r="D4288" s="116">
        <v>879.15</v>
      </c>
      <c r="E4288" s="117">
        <v>45519</v>
      </c>
      <c r="F4288" s="116">
        <f>COUNTIFS($A$3:A12538,A4288,$B$3:B12538,B4288)</f>
        <v>1</v>
      </c>
      <c r="G4288" s="116"/>
    </row>
    <row r="4289" spans="1:7" x14ac:dyDescent="0.2">
      <c r="A4289" s="116">
        <f>IF(ISNUMBER(Tabela2[[#This Row],[CT-e/NFS]])=TRUE,(IF(B4289&gt;30000,4,IF(B4289&lt;1000,"ND",0))),"-")</f>
        <v>4</v>
      </c>
      <c r="B4289" s="116">
        <v>48537</v>
      </c>
      <c r="C4289" s="117">
        <v>45515</v>
      </c>
      <c r="D4289" s="116">
        <v>879.15</v>
      </c>
      <c r="E4289" s="117">
        <v>45519</v>
      </c>
      <c r="F4289" s="116">
        <f>COUNTIFS($A$3:A12539,A4289,$B$3:B12539,B4289)</f>
        <v>1</v>
      </c>
      <c r="G4289" s="116"/>
    </row>
    <row r="4290" spans="1:7" x14ac:dyDescent="0.2">
      <c r="A4290" s="116">
        <f>IF(ISNUMBER(Tabela2[[#This Row],[CT-e/NFS]])=TRUE,(IF(B4290&gt;30000,4,IF(B4290&lt;1000,"ND",0))),"-")</f>
        <v>4</v>
      </c>
      <c r="B4290" s="116">
        <v>48539</v>
      </c>
      <c r="C4290" s="117">
        <v>45515</v>
      </c>
      <c r="D4290" s="116">
        <v>790.48</v>
      </c>
      <c r="E4290" s="117">
        <v>45519</v>
      </c>
      <c r="F4290" s="116">
        <f>COUNTIFS($A$3:A12540,A4290,$B$3:B12540,B4290)</f>
        <v>1</v>
      </c>
      <c r="G4290" s="116"/>
    </row>
    <row r="4291" spans="1:7" x14ac:dyDescent="0.2">
      <c r="A4291" s="116">
        <f>IF(ISNUMBER(Tabela2[[#This Row],[CT-e/NFS]])=TRUE,(IF(B4291&gt;30000,4,IF(B4291&lt;1000,"ND",0))),"-")</f>
        <v>4</v>
      </c>
      <c r="B4291" s="116">
        <v>48538</v>
      </c>
      <c r="C4291" s="117">
        <v>45515</v>
      </c>
      <c r="D4291" s="116">
        <v>967.82</v>
      </c>
      <c r="E4291" s="117">
        <v>45519</v>
      </c>
      <c r="F4291" s="116">
        <f>COUNTIFS($A$3:A12541,A4291,$B$3:B12541,B4291)</f>
        <v>1</v>
      </c>
      <c r="G4291" s="116"/>
    </row>
    <row r="4292" spans="1:7" x14ac:dyDescent="0.2">
      <c r="A4292" s="116">
        <f>IF(ISNUMBER(Tabela2[[#This Row],[CT-e/NFS]])=TRUE,(IF(B4292&gt;30000,4,IF(B4292&lt;1000,"ND",0))),"-")</f>
        <v>0</v>
      </c>
      <c r="B4292" s="116">
        <v>21916</v>
      </c>
      <c r="C4292" s="117">
        <v>45515</v>
      </c>
      <c r="D4292" s="116">
        <v>597.03</v>
      </c>
      <c r="E4292" s="117">
        <v>45519</v>
      </c>
      <c r="F4292" s="116">
        <f>COUNTIFS($A$3:A12542,A4292,$B$3:B12542,B4292)</f>
        <v>1</v>
      </c>
      <c r="G4292" s="116"/>
    </row>
    <row r="4293" spans="1:7" x14ac:dyDescent="0.2">
      <c r="A4293" s="116">
        <f>IF(ISNUMBER(Tabela2[[#This Row],[CT-e/NFS]])=TRUE,(IF(B4293&gt;30000,4,IF(B4293&lt;1000,"ND",0))),"-")</f>
        <v>4</v>
      </c>
      <c r="B4293" s="116">
        <v>48535</v>
      </c>
      <c r="C4293" s="117">
        <v>45515</v>
      </c>
      <c r="D4293" s="116">
        <v>1788.98</v>
      </c>
      <c r="E4293" s="117">
        <v>45519</v>
      </c>
      <c r="F4293" s="116">
        <f>COUNTIFS($A$3:A12543,A4293,$B$3:B12543,B4293)</f>
        <v>1</v>
      </c>
      <c r="G4293" s="116"/>
    </row>
    <row r="4294" spans="1:7" x14ac:dyDescent="0.2">
      <c r="A4294" s="116">
        <f>IF(ISNUMBER(Tabela2[[#This Row],[CT-e/NFS]])=TRUE,(IF(B4294&gt;30000,4,IF(B4294&lt;1000,"ND",0))),"-")</f>
        <v>0</v>
      </c>
      <c r="B4294" s="116">
        <v>21885</v>
      </c>
      <c r="C4294" s="117">
        <v>45515</v>
      </c>
      <c r="D4294" s="116">
        <v>77.66</v>
      </c>
      <c r="E4294" s="117">
        <v>45519</v>
      </c>
      <c r="F4294" s="116">
        <f>COUNTIFS($A$3:A12544,A4294,$B$3:B12544,B4294)</f>
        <v>1</v>
      </c>
      <c r="G4294" s="116"/>
    </row>
    <row r="4295" spans="1:7" x14ac:dyDescent="0.2">
      <c r="A4295" s="116">
        <f>IF(ISNUMBER(Tabela2[[#This Row],[CT-e/NFS]])=TRUE,(IF(B4295&gt;30000,4,IF(B4295&lt;1000,"ND",0))),"-")</f>
        <v>0</v>
      </c>
      <c r="B4295" s="116">
        <v>21887</v>
      </c>
      <c r="C4295" s="117">
        <v>45515</v>
      </c>
      <c r="D4295" s="116">
        <v>746.79</v>
      </c>
      <c r="E4295" s="117">
        <v>45519</v>
      </c>
      <c r="F4295" s="116">
        <f>COUNTIFS($A$3:A12545,A4295,$B$3:B12545,B4295)</f>
        <v>1</v>
      </c>
      <c r="G4295" s="116"/>
    </row>
    <row r="4296" spans="1:7" x14ac:dyDescent="0.2">
      <c r="A4296" s="116">
        <f>IF(ISNUMBER(Tabela2[[#This Row],[CT-e/NFS]])=TRUE,(IF(B4296&gt;30000,4,IF(B4296&lt;1000,"ND",0))),"-")</f>
        <v>4</v>
      </c>
      <c r="B4296" s="116">
        <v>48438</v>
      </c>
      <c r="C4296" s="117">
        <v>45515</v>
      </c>
      <c r="D4296" s="116">
        <v>2520.61</v>
      </c>
      <c r="E4296" s="117">
        <v>45519</v>
      </c>
      <c r="F4296" s="116">
        <f>COUNTIFS($A$3:A12546,A4296,$B$3:B12546,B4296)</f>
        <v>1</v>
      </c>
      <c r="G4296" s="116"/>
    </row>
    <row r="4297" spans="1:7" x14ac:dyDescent="0.2">
      <c r="A4297" s="116">
        <f>IF(ISNUMBER(Tabela2[[#This Row],[CT-e/NFS]])=TRUE,(IF(B4297&gt;30000,4,IF(B4297&lt;1000,"ND",0))),"-")</f>
        <v>0</v>
      </c>
      <c r="B4297" s="116">
        <v>21902</v>
      </c>
      <c r="C4297" s="117">
        <v>45515</v>
      </c>
      <c r="D4297" s="116">
        <v>169.08</v>
      </c>
      <c r="E4297" s="117">
        <v>45519</v>
      </c>
      <c r="F4297" s="116">
        <f>COUNTIFS($A$3:A12547,A4297,$B$3:B12547,B4297)</f>
        <v>1</v>
      </c>
      <c r="G4297" s="116"/>
    </row>
    <row r="4298" spans="1:7" x14ac:dyDescent="0.2">
      <c r="A4298" s="116">
        <f>IF(ISNUMBER(Tabela2[[#This Row],[CT-e/NFS]])=TRUE,(IF(B4298&gt;30000,4,IF(B4298&lt;1000,"ND",0))),"-")</f>
        <v>0</v>
      </c>
      <c r="B4298" s="116">
        <v>21903</v>
      </c>
      <c r="C4298" s="117">
        <v>45515</v>
      </c>
      <c r="D4298" s="116">
        <v>305.25</v>
      </c>
      <c r="E4298" s="117">
        <v>45519</v>
      </c>
      <c r="F4298" s="116">
        <f>COUNTIFS($A$3:A12548,A4298,$B$3:B12548,B4298)</f>
        <v>1</v>
      </c>
      <c r="G4298" s="116"/>
    </row>
    <row r="4299" spans="1:7" x14ac:dyDescent="0.2">
      <c r="A4299" s="116">
        <f>IF(ISNUMBER(Tabela2[[#This Row],[CT-e/NFS]])=TRUE,(IF(B4299&gt;30000,4,IF(B4299&lt;1000,"ND",0))),"-")</f>
        <v>0</v>
      </c>
      <c r="B4299" s="116">
        <v>21895</v>
      </c>
      <c r="C4299" s="117">
        <v>45515</v>
      </c>
      <c r="D4299" s="116">
        <v>515.41</v>
      </c>
      <c r="E4299" s="117">
        <v>45519</v>
      </c>
      <c r="F4299" s="116">
        <f>COUNTIFS($A$3:A12549,A4299,$B$3:B12549,B4299)</f>
        <v>1</v>
      </c>
      <c r="G4299" s="116"/>
    </row>
    <row r="4300" spans="1:7" x14ac:dyDescent="0.2">
      <c r="A4300" s="116" t="str">
        <f>IF(ISNUMBER(Tabela2[[#This Row],[CT-e/NFS]])=TRUE,(IF(B4300&gt;30000,4,IF(B4300&lt;1000,"ND",0))),"-")</f>
        <v>ND</v>
      </c>
      <c r="B4300" s="116">
        <v>228</v>
      </c>
      <c r="C4300" s="117">
        <v>45515</v>
      </c>
      <c r="D4300" s="116">
        <v>880.1</v>
      </c>
      <c r="E4300" s="117">
        <v>45519</v>
      </c>
      <c r="F4300" s="116">
        <f>COUNTIFS($A$3:A12550,A4300,$B$3:B12550,B4300)</f>
        <v>1</v>
      </c>
      <c r="G4300" s="116"/>
    </row>
    <row r="4301" spans="1:7" x14ac:dyDescent="0.2">
      <c r="A4301" s="116">
        <f>IF(ISNUMBER(Tabela2[[#This Row],[CT-e/NFS]])=TRUE,(IF(B4301&gt;30000,4,IF(B4301&lt;1000,"ND",0))),"-")</f>
        <v>4</v>
      </c>
      <c r="B4301" s="116">
        <v>48542</v>
      </c>
      <c r="C4301" s="117">
        <v>45525</v>
      </c>
      <c r="D4301" s="116">
        <v>3358.75</v>
      </c>
      <c r="E4301" s="117">
        <v>45534</v>
      </c>
      <c r="F4301" s="116">
        <f>COUNTIFS($A$3:A12551,A4301,$B$3:B12551,B4301)</f>
        <v>1</v>
      </c>
      <c r="G4301" s="116"/>
    </row>
    <row r="4302" spans="1:7" x14ac:dyDescent="0.2">
      <c r="A4302" s="116">
        <f>IF(ISNUMBER(Tabela2[[#This Row],[CT-e/NFS]])=TRUE,(IF(B4302&gt;30000,4,IF(B4302&lt;1000,"ND",0))),"-")</f>
        <v>4</v>
      </c>
      <c r="B4302" s="116">
        <v>48540</v>
      </c>
      <c r="C4302" s="117">
        <v>45525</v>
      </c>
      <c r="D4302" s="116">
        <v>878.84</v>
      </c>
      <c r="E4302" s="117">
        <v>45534</v>
      </c>
      <c r="F4302" s="116">
        <f>COUNTIFS($A$3:A12552,A4302,$B$3:B12552,B4302)</f>
        <v>1</v>
      </c>
      <c r="G4302" s="116"/>
    </row>
    <row r="4303" spans="1:7" x14ac:dyDescent="0.2">
      <c r="A4303" s="116">
        <f>IF(ISNUMBER(Tabela2[[#This Row],[CT-e/NFS]])=TRUE,(IF(B4303&gt;30000,4,IF(B4303&lt;1000,"ND",0))),"-")</f>
        <v>4</v>
      </c>
      <c r="B4303" s="116">
        <v>48541</v>
      </c>
      <c r="C4303" s="117">
        <v>45525</v>
      </c>
      <c r="D4303" s="116">
        <v>258.89</v>
      </c>
      <c r="E4303" s="117">
        <v>45534</v>
      </c>
      <c r="F4303" s="116">
        <f>COUNTIFS($A$3:A12553,A4303,$B$3:B12553,B4303)</f>
        <v>1</v>
      </c>
      <c r="G4303" s="116"/>
    </row>
    <row r="4304" spans="1:7" x14ac:dyDescent="0.2">
      <c r="A4304" s="116">
        <f>IF(ISNUMBER(Tabela2[[#This Row],[CT-e/NFS]])=TRUE,(IF(B4304&gt;30000,4,IF(B4304&lt;1000,"ND",0))),"-")</f>
        <v>4</v>
      </c>
      <c r="B4304" s="116">
        <v>48552</v>
      </c>
      <c r="C4304" s="117">
        <v>45525</v>
      </c>
      <c r="D4304" s="116">
        <v>240.85</v>
      </c>
      <c r="E4304" s="117">
        <v>45534</v>
      </c>
      <c r="F4304" s="116">
        <f>COUNTIFS($A$3:A12554,A4304,$B$3:B12554,B4304)</f>
        <v>1</v>
      </c>
      <c r="G4304" s="116"/>
    </row>
    <row r="4305" spans="1:7" x14ac:dyDescent="0.2">
      <c r="A4305" s="116">
        <f>IF(ISNUMBER(Tabela2[[#This Row],[CT-e/NFS]])=TRUE,(IF(B4305&gt;30000,4,IF(B4305&lt;1000,"ND",0))),"-")</f>
        <v>4</v>
      </c>
      <c r="B4305" s="116">
        <v>48553</v>
      </c>
      <c r="C4305" s="117">
        <v>45525</v>
      </c>
      <c r="D4305" s="116">
        <v>1056.75</v>
      </c>
      <c r="E4305" s="117">
        <v>45534</v>
      </c>
      <c r="F4305" s="116">
        <f>COUNTIFS($A$3:A12555,A4305,$B$3:B12555,B4305)</f>
        <v>1</v>
      </c>
      <c r="G4305" s="116"/>
    </row>
    <row r="4306" spans="1:7" x14ac:dyDescent="0.2">
      <c r="A4306" s="116">
        <f>IF(ISNUMBER(Tabela2[[#This Row],[CT-e/NFS]])=TRUE,(IF(B4306&gt;30000,4,IF(B4306&lt;1000,"ND",0))),"-")</f>
        <v>4</v>
      </c>
      <c r="B4306" s="116">
        <v>48556</v>
      </c>
      <c r="C4306" s="117">
        <v>45525</v>
      </c>
      <c r="D4306" s="116">
        <v>124.24</v>
      </c>
      <c r="E4306" s="117">
        <v>45534</v>
      </c>
      <c r="F4306" s="116">
        <f>COUNTIFS($A$3:A12556,A4306,$B$3:B12556,B4306)</f>
        <v>1</v>
      </c>
      <c r="G4306" s="116"/>
    </row>
    <row r="4307" spans="1:7" x14ac:dyDescent="0.2">
      <c r="A4307" s="116">
        <f>IF(ISNUMBER(Tabela2[[#This Row],[CT-e/NFS]])=TRUE,(IF(B4307&gt;30000,4,IF(B4307&lt;1000,"ND",0))),"-")</f>
        <v>4</v>
      </c>
      <c r="B4307" s="116">
        <v>48559</v>
      </c>
      <c r="C4307" s="117">
        <v>45525</v>
      </c>
      <c r="D4307" s="116">
        <v>243.9</v>
      </c>
      <c r="E4307" s="117">
        <v>45534</v>
      </c>
      <c r="F4307" s="116">
        <f>COUNTIFS($A$3:A12557,A4307,$B$3:B12557,B4307)</f>
        <v>1</v>
      </c>
      <c r="G4307" s="116"/>
    </row>
    <row r="4308" spans="1:7" x14ac:dyDescent="0.2">
      <c r="A4308" s="116">
        <f>IF(ISNUMBER(Tabela2[[#This Row],[CT-e/NFS]])=TRUE,(IF(B4308&gt;30000,4,IF(B4308&lt;1000,"ND",0))),"-")</f>
        <v>4</v>
      </c>
      <c r="B4308" s="116">
        <v>48555</v>
      </c>
      <c r="C4308" s="117">
        <v>45525</v>
      </c>
      <c r="D4308" s="116">
        <v>609.22</v>
      </c>
      <c r="E4308" s="117">
        <v>45534</v>
      </c>
      <c r="F4308" s="116">
        <f>COUNTIFS($A$3:A12558,A4308,$B$3:B12558,B4308)</f>
        <v>1</v>
      </c>
      <c r="G4308" s="116"/>
    </row>
    <row r="4309" spans="1:7" x14ac:dyDescent="0.2">
      <c r="A4309" s="116">
        <f>IF(ISNUMBER(Tabela2[[#This Row],[CT-e/NFS]])=TRUE,(IF(B4309&gt;30000,4,IF(B4309&lt;1000,"ND",0))),"-")</f>
        <v>4</v>
      </c>
      <c r="B4309" s="116">
        <v>48558</v>
      </c>
      <c r="C4309" s="117">
        <v>45525</v>
      </c>
      <c r="D4309" s="116">
        <v>236.99</v>
      </c>
      <c r="E4309" s="117">
        <v>45534</v>
      </c>
      <c r="F4309" s="116">
        <f>COUNTIFS($A$3:A12559,A4309,$B$3:B12559,B4309)</f>
        <v>1</v>
      </c>
      <c r="G4309" s="116"/>
    </row>
    <row r="4310" spans="1:7" x14ac:dyDescent="0.2">
      <c r="A4310" s="116">
        <f>IF(ISNUMBER(Tabela2[[#This Row],[CT-e/NFS]])=TRUE,(IF(B4310&gt;30000,4,IF(B4310&lt;1000,"ND",0))),"-")</f>
        <v>4</v>
      </c>
      <c r="B4310" s="116">
        <v>48546</v>
      </c>
      <c r="C4310" s="117">
        <v>45525</v>
      </c>
      <c r="D4310" s="116">
        <v>131.9</v>
      </c>
      <c r="E4310" s="117">
        <v>45534</v>
      </c>
      <c r="F4310" s="116">
        <f>COUNTIFS($A$3:A12560,A4310,$B$3:B12560,B4310)</f>
        <v>1</v>
      </c>
      <c r="G4310" s="116"/>
    </row>
    <row r="4311" spans="1:7" x14ac:dyDescent="0.2">
      <c r="A4311" s="116">
        <f>IF(ISNUMBER(Tabela2[[#This Row],[CT-e/NFS]])=TRUE,(IF(B4311&gt;30000,4,IF(B4311&lt;1000,"ND",0))),"-")</f>
        <v>4</v>
      </c>
      <c r="B4311" s="116">
        <v>48560</v>
      </c>
      <c r="C4311" s="117">
        <v>45525</v>
      </c>
      <c r="D4311" s="116">
        <v>462.15</v>
      </c>
      <c r="E4311" s="117">
        <v>45534</v>
      </c>
      <c r="F4311" s="116">
        <f>COUNTIFS($A$3:A12561,A4311,$B$3:B12561,B4311)</f>
        <v>1</v>
      </c>
      <c r="G4311" s="116"/>
    </row>
    <row r="4312" spans="1:7" x14ac:dyDescent="0.2">
      <c r="A4312" s="116">
        <f>IF(ISNUMBER(Tabela2[[#This Row],[CT-e/NFS]])=TRUE,(IF(B4312&gt;30000,4,IF(B4312&lt;1000,"ND",0))),"-")</f>
        <v>4</v>
      </c>
      <c r="B4312" s="116">
        <v>48545</v>
      </c>
      <c r="C4312" s="117">
        <v>45525</v>
      </c>
      <c r="D4312" s="116">
        <v>124.03</v>
      </c>
      <c r="E4312" s="117">
        <v>45534</v>
      </c>
      <c r="F4312" s="116">
        <f>COUNTIFS($A$3:A12562,A4312,$B$3:B12562,B4312)</f>
        <v>1</v>
      </c>
      <c r="G4312" s="116"/>
    </row>
    <row r="4313" spans="1:7" x14ac:dyDescent="0.2">
      <c r="A4313" s="116">
        <f>IF(ISNUMBER(Tabela2[[#This Row],[CT-e/NFS]])=TRUE,(IF(B4313&gt;30000,4,IF(B4313&lt;1000,"ND",0))),"-")</f>
        <v>4</v>
      </c>
      <c r="B4313" s="116">
        <v>48544</v>
      </c>
      <c r="C4313" s="117">
        <v>45525</v>
      </c>
      <c r="D4313" s="116">
        <v>124.42</v>
      </c>
      <c r="E4313" s="117">
        <v>45534</v>
      </c>
      <c r="F4313" s="116">
        <f>COUNTIFS($A$3:A12563,A4313,$B$3:B12563,B4313)</f>
        <v>1</v>
      </c>
      <c r="G4313" s="116"/>
    </row>
    <row r="4314" spans="1:7" x14ac:dyDescent="0.2">
      <c r="A4314" s="116">
        <f>IF(ISNUMBER(Tabela2[[#This Row],[CT-e/NFS]])=TRUE,(IF(B4314&gt;30000,4,IF(B4314&lt;1000,"ND",0))),"-")</f>
        <v>4</v>
      </c>
      <c r="B4314" s="116">
        <v>48543</v>
      </c>
      <c r="C4314" s="117">
        <v>45525</v>
      </c>
      <c r="D4314" s="116">
        <v>124.06</v>
      </c>
      <c r="E4314" s="117">
        <v>45534</v>
      </c>
      <c r="F4314" s="116">
        <f>COUNTIFS($A$3:A12564,A4314,$B$3:B12564,B4314)</f>
        <v>1</v>
      </c>
      <c r="G4314" s="116"/>
    </row>
    <row r="4315" spans="1:7" x14ac:dyDescent="0.2">
      <c r="A4315" s="116">
        <f>IF(ISNUMBER(Tabela2[[#This Row],[CT-e/NFS]])=TRUE,(IF(B4315&gt;30000,4,IF(B4315&lt;1000,"ND",0))),"-")</f>
        <v>4</v>
      </c>
      <c r="B4315" s="116">
        <v>48547</v>
      </c>
      <c r="C4315" s="117">
        <v>45525</v>
      </c>
      <c r="D4315" s="116">
        <v>124.05</v>
      </c>
      <c r="E4315" s="117">
        <v>45534</v>
      </c>
      <c r="F4315" s="116">
        <f>COUNTIFS($A$3:A12565,A4315,$B$3:B12565,B4315)</f>
        <v>1</v>
      </c>
      <c r="G4315" s="116"/>
    </row>
    <row r="4316" spans="1:7" x14ac:dyDescent="0.2">
      <c r="A4316" s="116">
        <f>IF(ISNUMBER(Tabela2[[#This Row],[CT-e/NFS]])=TRUE,(IF(B4316&gt;30000,4,IF(B4316&lt;1000,"ND",0))),"-")</f>
        <v>4</v>
      </c>
      <c r="B4316" s="116">
        <v>48565</v>
      </c>
      <c r="C4316" s="117">
        <v>45525</v>
      </c>
      <c r="D4316" s="116">
        <v>126.65</v>
      </c>
      <c r="E4316" s="117">
        <v>45534</v>
      </c>
      <c r="F4316" s="116">
        <f>COUNTIFS($A$3:A12566,A4316,$B$3:B12566,B4316)</f>
        <v>1</v>
      </c>
      <c r="G4316" s="116"/>
    </row>
    <row r="4317" spans="1:7" x14ac:dyDescent="0.2">
      <c r="A4317" s="116">
        <f>IF(ISNUMBER(Tabela2[[#This Row],[CT-e/NFS]])=TRUE,(IF(B4317&gt;30000,4,IF(B4317&lt;1000,"ND",0))),"-")</f>
        <v>4</v>
      </c>
      <c r="B4317" s="116">
        <v>48550</v>
      </c>
      <c r="C4317" s="117">
        <v>45525</v>
      </c>
      <c r="D4317" s="116">
        <v>123.94</v>
      </c>
      <c r="E4317" s="117">
        <v>45534</v>
      </c>
      <c r="F4317" s="116">
        <f>COUNTIFS($A$3:A12567,A4317,$B$3:B12567,B4317)</f>
        <v>1</v>
      </c>
      <c r="G4317" s="116"/>
    </row>
    <row r="4318" spans="1:7" x14ac:dyDescent="0.2">
      <c r="A4318" s="116">
        <f>IF(ISNUMBER(Tabela2[[#This Row],[CT-e/NFS]])=TRUE,(IF(B4318&gt;30000,4,IF(B4318&lt;1000,"ND",0))),"-")</f>
        <v>4</v>
      </c>
      <c r="B4318" s="116">
        <v>48554</v>
      </c>
      <c r="C4318" s="117">
        <v>45525</v>
      </c>
      <c r="D4318" s="116">
        <v>123.13</v>
      </c>
      <c r="E4318" s="117">
        <v>45534</v>
      </c>
      <c r="F4318" s="116">
        <f>COUNTIFS($A$3:A12568,A4318,$B$3:B12568,B4318)</f>
        <v>1</v>
      </c>
      <c r="G4318" s="116"/>
    </row>
    <row r="4319" spans="1:7" x14ac:dyDescent="0.2">
      <c r="A4319" s="116">
        <f>IF(ISNUMBER(Tabela2[[#This Row],[CT-e/NFS]])=TRUE,(IF(B4319&gt;30000,4,IF(B4319&lt;1000,"ND",0))),"-")</f>
        <v>4</v>
      </c>
      <c r="B4319" s="116">
        <v>48551</v>
      </c>
      <c r="C4319" s="117">
        <v>45525</v>
      </c>
      <c r="D4319" s="116">
        <v>123.01</v>
      </c>
      <c r="E4319" s="117">
        <v>45534</v>
      </c>
      <c r="F4319" s="116">
        <f>COUNTIFS($A$3:A12569,A4319,$B$3:B12569,B4319)</f>
        <v>1</v>
      </c>
      <c r="G4319" s="116"/>
    </row>
    <row r="4320" spans="1:7" x14ac:dyDescent="0.2">
      <c r="A4320" s="116">
        <f>IF(ISNUMBER(Tabela2[[#This Row],[CT-e/NFS]])=TRUE,(IF(B4320&gt;30000,4,IF(B4320&lt;1000,"ND",0))),"-")</f>
        <v>4</v>
      </c>
      <c r="B4320" s="116">
        <v>48548</v>
      </c>
      <c r="C4320" s="117">
        <v>45525</v>
      </c>
      <c r="D4320" s="116">
        <v>125.81</v>
      </c>
      <c r="E4320" s="117">
        <v>45534</v>
      </c>
      <c r="F4320" s="116">
        <f>COUNTIFS($A$3:A12570,A4320,$B$3:B12570,B4320)</f>
        <v>1</v>
      </c>
      <c r="G4320" s="116"/>
    </row>
    <row r="4321" spans="1:7" x14ac:dyDescent="0.2">
      <c r="A4321" s="116">
        <f>IF(ISNUMBER(Tabela2[[#This Row],[CT-e/NFS]])=TRUE,(IF(B4321&gt;30000,4,IF(B4321&lt;1000,"ND",0))),"-")</f>
        <v>4</v>
      </c>
      <c r="B4321" s="116">
        <v>48549</v>
      </c>
      <c r="C4321" s="117">
        <v>45525</v>
      </c>
      <c r="D4321" s="116">
        <v>123.89</v>
      </c>
      <c r="E4321" s="117">
        <v>45534</v>
      </c>
      <c r="F4321" s="116">
        <f>COUNTIFS($A$3:A12571,A4321,$B$3:B12571,B4321)</f>
        <v>1</v>
      </c>
      <c r="G4321" s="116"/>
    </row>
    <row r="4322" spans="1:7" x14ac:dyDescent="0.2">
      <c r="A4322" s="116">
        <f>IF(ISNUMBER(Tabela2[[#This Row],[CT-e/NFS]])=TRUE,(IF(B4322&gt;30000,4,IF(B4322&lt;1000,"ND",0))),"-")</f>
        <v>4</v>
      </c>
      <c r="B4322" s="116">
        <v>48566</v>
      </c>
      <c r="C4322" s="117">
        <v>45525</v>
      </c>
      <c r="D4322" s="116">
        <v>2393.64</v>
      </c>
      <c r="E4322" s="117">
        <v>45534</v>
      </c>
      <c r="F4322" s="116">
        <f>COUNTIFS($A$3:A12572,A4322,$B$3:B12572,B4322)</f>
        <v>1</v>
      </c>
      <c r="G4322" s="116"/>
    </row>
    <row r="4323" spans="1:7" x14ac:dyDescent="0.2">
      <c r="A4323" s="116">
        <f>IF(ISNUMBER(Tabela2[[#This Row],[CT-e/NFS]])=TRUE,(IF(B4323&gt;30000,4,IF(B4323&lt;1000,"ND",0))),"-")</f>
        <v>4</v>
      </c>
      <c r="B4323" s="116">
        <v>48564</v>
      </c>
      <c r="C4323" s="117">
        <v>45525</v>
      </c>
      <c r="D4323" s="116">
        <v>408.02</v>
      </c>
      <c r="E4323" s="117">
        <v>45534</v>
      </c>
      <c r="F4323" s="116">
        <f>COUNTIFS($A$3:A12573,A4323,$B$3:B12573,B4323)</f>
        <v>1</v>
      </c>
      <c r="G4323" s="116"/>
    </row>
    <row r="4324" spans="1:7" x14ac:dyDescent="0.2">
      <c r="A4324" s="116">
        <f>IF(ISNUMBER(Tabela2[[#This Row],[CT-e/NFS]])=TRUE,(IF(B4324&gt;30000,4,IF(B4324&lt;1000,"ND",0))),"-")</f>
        <v>4</v>
      </c>
      <c r="B4324" s="116">
        <v>48568</v>
      </c>
      <c r="C4324" s="117">
        <v>45525</v>
      </c>
      <c r="D4324" s="116">
        <v>61.5</v>
      </c>
      <c r="E4324" s="117">
        <v>45534</v>
      </c>
      <c r="F4324" s="116">
        <f>COUNTIFS($A$3:A12574,A4324,$B$3:B12574,B4324)</f>
        <v>1</v>
      </c>
      <c r="G4324" s="116"/>
    </row>
    <row r="4325" spans="1:7" x14ac:dyDescent="0.2">
      <c r="A4325" s="116">
        <f>IF(ISNUMBER(Tabela2[[#This Row],[CT-e/NFS]])=TRUE,(IF(B4325&gt;30000,4,IF(B4325&lt;1000,"ND",0))),"-")</f>
        <v>0</v>
      </c>
      <c r="B4325" s="116">
        <v>21931</v>
      </c>
      <c r="C4325" s="117">
        <v>45525</v>
      </c>
      <c r="D4325" s="116">
        <v>77.400000000000006</v>
      </c>
      <c r="E4325" s="117">
        <v>45534</v>
      </c>
      <c r="F4325" s="116">
        <f>COUNTIFS($A$3:A12575,A4325,$B$3:B12575,B4325)</f>
        <v>1</v>
      </c>
      <c r="G4325" s="116"/>
    </row>
    <row r="4326" spans="1:7" x14ac:dyDescent="0.2">
      <c r="A4326" s="116">
        <f>IF(ISNUMBER(Tabela2[[#This Row],[CT-e/NFS]])=TRUE,(IF(B4326&gt;30000,4,IF(B4326&lt;1000,"ND",0))),"-")</f>
        <v>0</v>
      </c>
      <c r="B4326" s="116">
        <v>21934</v>
      </c>
      <c r="C4326" s="117">
        <v>45525</v>
      </c>
      <c r="D4326" s="116">
        <v>76.95</v>
      </c>
      <c r="E4326" s="117">
        <v>45534</v>
      </c>
      <c r="F4326" s="116">
        <f>COUNTIFS($A$3:A12576,A4326,$B$3:B12576,B4326)</f>
        <v>1</v>
      </c>
      <c r="G4326" s="116"/>
    </row>
    <row r="4327" spans="1:7" x14ac:dyDescent="0.2">
      <c r="A4327" s="116">
        <f>IF(ISNUMBER(Tabela2[[#This Row],[CT-e/NFS]])=TRUE,(IF(B4327&gt;30000,4,IF(B4327&lt;1000,"ND",0))),"-")</f>
        <v>0</v>
      </c>
      <c r="B4327" s="116">
        <v>21930</v>
      </c>
      <c r="C4327" s="117">
        <v>45525</v>
      </c>
      <c r="D4327" s="116">
        <v>76.41</v>
      </c>
      <c r="E4327" s="117">
        <v>45534</v>
      </c>
      <c r="F4327" s="116">
        <f>COUNTIFS($A$3:A12577,A4327,$B$3:B12577,B4327)</f>
        <v>1</v>
      </c>
      <c r="G4327" s="116"/>
    </row>
    <row r="4328" spans="1:7" x14ac:dyDescent="0.2">
      <c r="A4328" s="116">
        <f>IF(ISNUMBER(Tabela2[[#This Row],[CT-e/NFS]])=TRUE,(IF(B4328&gt;30000,4,IF(B4328&lt;1000,"ND",0))),"-")</f>
        <v>0</v>
      </c>
      <c r="B4328" s="116">
        <v>21938</v>
      </c>
      <c r="C4328" s="117">
        <v>45525</v>
      </c>
      <c r="D4328" s="116">
        <v>76.25</v>
      </c>
      <c r="E4328" s="117">
        <v>45534</v>
      </c>
      <c r="F4328" s="116">
        <f>COUNTIFS($A$3:A12578,A4328,$B$3:B12578,B4328)</f>
        <v>1</v>
      </c>
      <c r="G4328" s="116"/>
    </row>
    <row r="4329" spans="1:7" x14ac:dyDescent="0.2">
      <c r="A4329" s="116">
        <f>IF(ISNUMBER(Tabela2[[#This Row],[CT-e/NFS]])=TRUE,(IF(B4329&gt;30000,4,IF(B4329&lt;1000,"ND",0))),"-")</f>
        <v>0</v>
      </c>
      <c r="B4329" s="116">
        <v>21933</v>
      </c>
      <c r="C4329" s="117">
        <v>45525</v>
      </c>
      <c r="D4329" s="116">
        <v>146.43</v>
      </c>
      <c r="E4329" s="117">
        <v>45534</v>
      </c>
      <c r="F4329" s="116">
        <f>COUNTIFS($A$3:A12579,A4329,$B$3:B12579,B4329)</f>
        <v>1</v>
      </c>
      <c r="G4329" s="116"/>
    </row>
    <row r="4330" spans="1:7" x14ac:dyDescent="0.2">
      <c r="A4330" s="116">
        <f>IF(ISNUMBER(Tabela2[[#This Row],[CT-e/NFS]])=TRUE,(IF(B4330&gt;30000,4,IF(B4330&lt;1000,"ND",0))),"-")</f>
        <v>4</v>
      </c>
      <c r="B4330" s="116">
        <v>48569</v>
      </c>
      <c r="C4330" s="117">
        <v>45525</v>
      </c>
      <c r="D4330" s="116">
        <v>1245.6099999999999</v>
      </c>
      <c r="E4330" s="117">
        <v>45534</v>
      </c>
      <c r="F4330" s="116">
        <f>COUNTIFS($A$3:A12580,A4330,$B$3:B12580,B4330)</f>
        <v>1</v>
      </c>
      <c r="G4330" s="116"/>
    </row>
    <row r="4331" spans="1:7" x14ac:dyDescent="0.2">
      <c r="A4331" s="116">
        <f>IF(ISNUMBER(Tabela2[[#This Row],[CT-e/NFS]])=TRUE,(IF(B4331&gt;30000,4,IF(B4331&lt;1000,"ND",0))),"-")</f>
        <v>4</v>
      </c>
      <c r="B4331" s="116">
        <v>48579</v>
      </c>
      <c r="C4331" s="117">
        <v>45525</v>
      </c>
      <c r="D4331" s="116">
        <v>2384.23</v>
      </c>
      <c r="E4331" s="117">
        <v>45534</v>
      </c>
      <c r="F4331" s="116">
        <f>COUNTIFS($A$3:A12581,A4331,$B$3:B12581,B4331)</f>
        <v>1</v>
      </c>
      <c r="G4331" s="116"/>
    </row>
    <row r="4332" spans="1:7" x14ac:dyDescent="0.2">
      <c r="A4332" s="116">
        <f>IF(ISNUMBER(Tabela2[[#This Row],[CT-e/NFS]])=TRUE,(IF(B4332&gt;30000,4,IF(B4332&lt;1000,"ND",0))),"-")</f>
        <v>4</v>
      </c>
      <c r="B4332" s="116">
        <v>48585</v>
      </c>
      <c r="C4332" s="117">
        <v>45525</v>
      </c>
      <c r="D4332" s="116">
        <v>231.07</v>
      </c>
      <c r="E4332" s="117">
        <v>45534</v>
      </c>
      <c r="F4332" s="116">
        <f>COUNTIFS($A$3:A12582,A4332,$B$3:B12582,B4332)</f>
        <v>1</v>
      </c>
      <c r="G4332" s="116"/>
    </row>
    <row r="4333" spans="1:7" x14ac:dyDescent="0.2">
      <c r="A4333" s="116">
        <f>IF(ISNUMBER(Tabela2[[#This Row],[CT-e/NFS]])=TRUE,(IF(B4333&gt;30000,4,IF(B4333&lt;1000,"ND",0))),"-")</f>
        <v>4</v>
      </c>
      <c r="B4333" s="116">
        <v>48589</v>
      </c>
      <c r="C4333" s="117">
        <v>45525</v>
      </c>
      <c r="D4333" s="116">
        <v>63.32</v>
      </c>
      <c r="E4333" s="117">
        <v>45534</v>
      </c>
      <c r="F4333" s="116">
        <f>COUNTIFS($A$3:A12583,A4333,$B$3:B12583,B4333)</f>
        <v>1</v>
      </c>
      <c r="G4333" s="116"/>
    </row>
    <row r="4334" spans="1:7" x14ac:dyDescent="0.2">
      <c r="A4334" s="116">
        <f>IF(ISNUMBER(Tabela2[[#This Row],[CT-e/NFS]])=TRUE,(IF(B4334&gt;30000,4,IF(B4334&lt;1000,"ND",0))),"-")</f>
        <v>4</v>
      </c>
      <c r="B4334" s="116">
        <v>48592</v>
      </c>
      <c r="C4334" s="117">
        <v>45525</v>
      </c>
      <c r="D4334" s="116">
        <v>61.56</v>
      </c>
      <c r="E4334" s="117">
        <v>45534</v>
      </c>
      <c r="F4334" s="116">
        <f>COUNTIFS($A$3:A12584,A4334,$B$3:B12584,B4334)</f>
        <v>1</v>
      </c>
      <c r="G4334" s="116"/>
    </row>
    <row r="4335" spans="1:7" x14ac:dyDescent="0.2">
      <c r="A4335" s="116">
        <f>IF(ISNUMBER(Tabela2[[#This Row],[CT-e/NFS]])=TRUE,(IF(B4335&gt;30000,4,IF(B4335&lt;1000,"ND",0))),"-")</f>
        <v>4</v>
      </c>
      <c r="B4335" s="116">
        <v>48587</v>
      </c>
      <c r="C4335" s="117">
        <v>45525</v>
      </c>
      <c r="D4335" s="116">
        <v>61.97</v>
      </c>
      <c r="E4335" s="117">
        <v>45534</v>
      </c>
      <c r="F4335" s="116">
        <f>COUNTIFS($A$3:A12585,A4335,$B$3:B12585,B4335)</f>
        <v>1</v>
      </c>
      <c r="G4335" s="116"/>
    </row>
    <row r="4336" spans="1:7" x14ac:dyDescent="0.2">
      <c r="A4336" s="116">
        <f>IF(ISNUMBER(Tabela2[[#This Row],[CT-e/NFS]])=TRUE,(IF(B4336&gt;30000,4,IF(B4336&lt;1000,"ND",0))),"-")</f>
        <v>4</v>
      </c>
      <c r="B4336" s="116">
        <v>48594</v>
      </c>
      <c r="C4336" s="117">
        <v>45525</v>
      </c>
      <c r="D4336" s="116">
        <v>118.49</v>
      </c>
      <c r="E4336" s="117">
        <v>45534</v>
      </c>
      <c r="F4336" s="116">
        <f>COUNTIFS($A$3:A12586,A4336,$B$3:B12586,B4336)</f>
        <v>1</v>
      </c>
      <c r="G4336" s="116"/>
    </row>
    <row r="4337" spans="1:7" x14ac:dyDescent="0.2">
      <c r="A4337" s="116">
        <f>IF(ISNUMBER(Tabela2[[#This Row],[CT-e/NFS]])=TRUE,(IF(B4337&gt;30000,4,IF(B4337&lt;1000,"ND",0))),"-")</f>
        <v>4</v>
      </c>
      <c r="B4337" s="116">
        <v>48581</v>
      </c>
      <c r="C4337" s="117">
        <v>45525</v>
      </c>
      <c r="D4337" s="116">
        <v>959.44</v>
      </c>
      <c r="E4337" s="117">
        <v>45534</v>
      </c>
      <c r="F4337" s="116">
        <f>COUNTIFS($A$3:A12587,A4337,$B$3:B12587,B4337)</f>
        <v>1</v>
      </c>
      <c r="G4337" s="116"/>
    </row>
    <row r="4338" spans="1:7" x14ac:dyDescent="0.2">
      <c r="A4338" s="116">
        <f>IF(ISNUMBER(Tabela2[[#This Row],[CT-e/NFS]])=TRUE,(IF(B4338&gt;30000,4,IF(B4338&lt;1000,"ND",0))),"-")</f>
        <v>4</v>
      </c>
      <c r="B4338" s="116">
        <v>48572</v>
      </c>
      <c r="C4338" s="117">
        <v>45525</v>
      </c>
      <c r="D4338" s="116">
        <v>124.16</v>
      </c>
      <c r="E4338" s="117">
        <v>45534</v>
      </c>
      <c r="F4338" s="116">
        <f>COUNTIFS($A$3:A12588,A4338,$B$3:B12588,B4338)</f>
        <v>1</v>
      </c>
      <c r="G4338" s="116"/>
    </row>
    <row r="4339" spans="1:7" x14ac:dyDescent="0.2">
      <c r="A4339" s="116">
        <f>IF(ISNUMBER(Tabela2[[#This Row],[CT-e/NFS]])=TRUE,(IF(B4339&gt;30000,4,IF(B4339&lt;1000,"ND",0))),"-")</f>
        <v>4</v>
      </c>
      <c r="B4339" s="116">
        <v>48571</v>
      </c>
      <c r="C4339" s="117">
        <v>45525</v>
      </c>
      <c r="D4339" s="116">
        <v>122.77</v>
      </c>
      <c r="E4339" s="117">
        <v>45534</v>
      </c>
      <c r="F4339" s="116">
        <f>COUNTIFS($A$3:A12589,A4339,$B$3:B12589,B4339)</f>
        <v>1</v>
      </c>
      <c r="G4339" s="116"/>
    </row>
    <row r="4340" spans="1:7" x14ac:dyDescent="0.2">
      <c r="A4340" s="116">
        <f>IF(ISNUMBER(Tabela2[[#This Row],[CT-e/NFS]])=TRUE,(IF(B4340&gt;30000,4,IF(B4340&lt;1000,"ND",0))),"-")</f>
        <v>4</v>
      </c>
      <c r="B4340" s="116">
        <v>48595</v>
      </c>
      <c r="C4340" s="117">
        <v>45525</v>
      </c>
      <c r="D4340" s="116">
        <v>213.97</v>
      </c>
      <c r="E4340" s="117">
        <v>45534</v>
      </c>
      <c r="F4340" s="116">
        <f>COUNTIFS($A$3:A12590,A4340,$B$3:B12590,B4340)</f>
        <v>1</v>
      </c>
      <c r="G4340" s="116"/>
    </row>
    <row r="4341" spans="1:7" x14ac:dyDescent="0.2">
      <c r="A4341" s="116">
        <f>IF(ISNUMBER(Tabela2[[#This Row],[CT-e/NFS]])=TRUE,(IF(B4341&gt;30000,4,IF(B4341&lt;1000,"ND",0))),"-")</f>
        <v>4</v>
      </c>
      <c r="B4341" s="116">
        <v>48570</v>
      </c>
      <c r="C4341" s="117">
        <v>45525</v>
      </c>
      <c r="D4341" s="116">
        <v>123.13</v>
      </c>
      <c r="E4341" s="117">
        <v>45534</v>
      </c>
      <c r="F4341" s="116">
        <f>COUNTIFS($A$3:A12591,A4341,$B$3:B12591,B4341)</f>
        <v>1</v>
      </c>
      <c r="G4341" s="116"/>
    </row>
    <row r="4342" spans="1:7" x14ac:dyDescent="0.2">
      <c r="A4342" s="116">
        <f>IF(ISNUMBER(Tabela2[[#This Row],[CT-e/NFS]])=TRUE,(IF(B4342&gt;30000,4,IF(B4342&lt;1000,"ND",0))),"-")</f>
        <v>4</v>
      </c>
      <c r="B4342" s="116">
        <v>48575</v>
      </c>
      <c r="C4342" s="117">
        <v>45525</v>
      </c>
      <c r="D4342" s="116">
        <v>126.6</v>
      </c>
      <c r="E4342" s="117">
        <v>45534</v>
      </c>
      <c r="F4342" s="116">
        <f>COUNTIFS($A$3:A12592,A4342,$B$3:B12592,B4342)</f>
        <v>1</v>
      </c>
      <c r="G4342" s="116"/>
    </row>
    <row r="4343" spans="1:7" x14ac:dyDescent="0.2">
      <c r="A4343" s="116">
        <f>IF(ISNUMBER(Tabela2[[#This Row],[CT-e/NFS]])=TRUE,(IF(B4343&gt;30000,4,IF(B4343&lt;1000,"ND",0))),"-")</f>
        <v>4</v>
      </c>
      <c r="B4343" s="116">
        <v>48576</v>
      </c>
      <c r="C4343" s="117">
        <v>45525</v>
      </c>
      <c r="D4343" s="116">
        <v>124.36</v>
      </c>
      <c r="E4343" s="117">
        <v>45534</v>
      </c>
      <c r="F4343" s="116">
        <f>COUNTIFS($A$3:A12593,A4343,$B$3:B12593,B4343)</f>
        <v>1</v>
      </c>
      <c r="G4343" s="116"/>
    </row>
    <row r="4344" spans="1:7" x14ac:dyDescent="0.2">
      <c r="A4344" s="116">
        <f>IF(ISNUMBER(Tabela2[[#This Row],[CT-e/NFS]])=TRUE,(IF(B4344&gt;30000,4,IF(B4344&lt;1000,"ND",0))),"-")</f>
        <v>4</v>
      </c>
      <c r="B4344" s="116">
        <v>48582</v>
      </c>
      <c r="C4344" s="117">
        <v>45525</v>
      </c>
      <c r="D4344" s="116">
        <v>376.89</v>
      </c>
      <c r="E4344" s="117">
        <v>45534</v>
      </c>
      <c r="F4344" s="116">
        <f>COUNTIFS($A$3:A12594,A4344,$B$3:B12594,B4344)</f>
        <v>1</v>
      </c>
      <c r="G4344" s="116"/>
    </row>
    <row r="4345" spans="1:7" x14ac:dyDescent="0.2">
      <c r="A4345" s="116">
        <f>IF(ISNUMBER(Tabela2[[#This Row],[CT-e/NFS]])=TRUE,(IF(B4345&gt;30000,4,IF(B4345&lt;1000,"ND",0))),"-")</f>
        <v>4</v>
      </c>
      <c r="B4345" s="116">
        <v>48574</v>
      </c>
      <c r="C4345" s="117">
        <v>45525</v>
      </c>
      <c r="D4345" s="116">
        <v>124.3</v>
      </c>
      <c r="E4345" s="117">
        <v>45534</v>
      </c>
      <c r="F4345" s="116">
        <f>COUNTIFS($A$3:A12595,A4345,$B$3:B12595,B4345)</f>
        <v>1</v>
      </c>
      <c r="G4345" s="116"/>
    </row>
    <row r="4346" spans="1:7" x14ac:dyDescent="0.2">
      <c r="A4346" s="116">
        <f>IF(ISNUMBER(Tabela2[[#This Row],[CT-e/NFS]])=TRUE,(IF(B4346&gt;30000,4,IF(B4346&lt;1000,"ND",0))),"-")</f>
        <v>4</v>
      </c>
      <c r="B4346" s="116">
        <v>48573</v>
      </c>
      <c r="C4346" s="117">
        <v>45525</v>
      </c>
      <c r="D4346" s="116">
        <v>282.77999999999997</v>
      </c>
      <c r="E4346" s="117">
        <v>45534</v>
      </c>
      <c r="F4346" s="116">
        <f>COUNTIFS($A$3:A12596,A4346,$B$3:B12596,B4346)</f>
        <v>1</v>
      </c>
      <c r="G4346" s="116"/>
    </row>
    <row r="4347" spans="1:7" x14ac:dyDescent="0.2">
      <c r="A4347" s="116">
        <f>IF(ISNUMBER(Tabela2[[#This Row],[CT-e/NFS]])=TRUE,(IF(B4347&gt;30000,4,IF(B4347&lt;1000,"ND",0))),"-")</f>
        <v>4</v>
      </c>
      <c r="B4347" s="116">
        <v>48584</v>
      </c>
      <c r="C4347" s="117">
        <v>45525</v>
      </c>
      <c r="D4347" s="116">
        <v>238.86</v>
      </c>
      <c r="E4347" s="117">
        <v>45534</v>
      </c>
      <c r="F4347" s="116">
        <f>COUNTIFS($A$3:A12597,A4347,$B$3:B12597,B4347)</f>
        <v>1</v>
      </c>
      <c r="G4347" s="116"/>
    </row>
    <row r="4348" spans="1:7" x14ac:dyDescent="0.2">
      <c r="A4348" s="116">
        <f>IF(ISNUMBER(Tabela2[[#This Row],[CT-e/NFS]])=TRUE,(IF(B4348&gt;30000,4,IF(B4348&lt;1000,"ND",0))),"-")</f>
        <v>4</v>
      </c>
      <c r="B4348" s="116">
        <v>48590</v>
      </c>
      <c r="C4348" s="117">
        <v>45525</v>
      </c>
      <c r="D4348" s="116">
        <v>114.38</v>
      </c>
      <c r="E4348" s="117">
        <v>45534</v>
      </c>
      <c r="F4348" s="116">
        <f>COUNTIFS($A$3:A12598,A4348,$B$3:B12598,B4348)</f>
        <v>1</v>
      </c>
      <c r="G4348" s="116"/>
    </row>
    <row r="4349" spans="1:7" x14ac:dyDescent="0.2">
      <c r="A4349" s="116">
        <f>IF(ISNUMBER(Tabela2[[#This Row],[CT-e/NFS]])=TRUE,(IF(B4349&gt;30000,4,IF(B4349&lt;1000,"ND",0))),"-")</f>
        <v>4</v>
      </c>
      <c r="B4349" s="116">
        <v>48586</v>
      </c>
      <c r="C4349" s="117">
        <v>45525</v>
      </c>
      <c r="D4349" s="116">
        <v>417.38</v>
      </c>
      <c r="E4349" s="117">
        <v>45534</v>
      </c>
      <c r="F4349" s="116">
        <f>COUNTIFS($A$3:A12599,A4349,$B$3:B12599,B4349)</f>
        <v>1</v>
      </c>
      <c r="G4349" s="116"/>
    </row>
    <row r="4350" spans="1:7" x14ac:dyDescent="0.2">
      <c r="A4350" s="116">
        <f>IF(ISNUMBER(Tabela2[[#This Row],[CT-e/NFS]])=TRUE,(IF(B4350&gt;30000,4,IF(B4350&lt;1000,"ND",0))),"-")</f>
        <v>4</v>
      </c>
      <c r="B4350" s="116">
        <v>48593</v>
      </c>
      <c r="C4350" s="117">
        <v>45525</v>
      </c>
      <c r="D4350" s="116">
        <v>110.85</v>
      </c>
      <c r="E4350" s="117">
        <v>45534</v>
      </c>
      <c r="F4350" s="116">
        <f>COUNTIFS($A$3:A12600,A4350,$B$3:B12600,B4350)</f>
        <v>1</v>
      </c>
      <c r="G4350" s="116"/>
    </row>
    <row r="4351" spans="1:7" x14ac:dyDescent="0.2">
      <c r="A4351" s="116">
        <f>IF(ISNUMBER(Tabela2[[#This Row],[CT-e/NFS]])=TRUE,(IF(B4351&gt;30000,4,IF(B4351&lt;1000,"ND",0))),"-")</f>
        <v>4</v>
      </c>
      <c r="B4351" s="116">
        <v>48588</v>
      </c>
      <c r="C4351" s="117">
        <v>45525</v>
      </c>
      <c r="D4351" s="116">
        <v>111.67</v>
      </c>
      <c r="E4351" s="117">
        <v>45534</v>
      </c>
      <c r="F4351" s="116">
        <f>COUNTIFS($A$3:A12601,A4351,$B$3:B12601,B4351)</f>
        <v>1</v>
      </c>
      <c r="G4351" s="116"/>
    </row>
    <row r="4352" spans="1:7" x14ac:dyDescent="0.2">
      <c r="A4352" s="116">
        <f>IF(ISNUMBER(Tabela2[[#This Row],[CT-e/NFS]])=TRUE,(IF(B4352&gt;30000,4,IF(B4352&lt;1000,"ND",0))),"-")</f>
        <v>4</v>
      </c>
      <c r="B4352" s="116">
        <v>48591</v>
      </c>
      <c r="C4352" s="117">
        <v>45525</v>
      </c>
      <c r="D4352" s="116">
        <v>110.74</v>
      </c>
      <c r="E4352" s="117">
        <v>45534</v>
      </c>
      <c r="F4352" s="116">
        <f>COUNTIFS($A$3:A12602,A4352,$B$3:B12602,B4352)</f>
        <v>1</v>
      </c>
      <c r="G4352" s="116"/>
    </row>
    <row r="4353" spans="1:7" x14ac:dyDescent="0.2">
      <c r="A4353" s="116">
        <f>IF(ISNUMBER(Tabela2[[#This Row],[CT-e/NFS]])=TRUE,(IF(B4353&gt;30000,4,IF(B4353&lt;1000,"ND",0))),"-")</f>
        <v>4</v>
      </c>
      <c r="B4353" s="116">
        <v>48577</v>
      </c>
      <c r="C4353" s="117">
        <v>45525</v>
      </c>
      <c r="D4353" s="116">
        <v>126.32</v>
      </c>
      <c r="E4353" s="117">
        <v>45534</v>
      </c>
      <c r="F4353" s="116">
        <f>COUNTIFS($A$3:A12603,A4353,$B$3:B12603,B4353)</f>
        <v>1</v>
      </c>
      <c r="G4353" s="116"/>
    </row>
    <row r="4354" spans="1:7" x14ac:dyDescent="0.2">
      <c r="A4354" s="116">
        <f>IF(ISNUMBER(Tabela2[[#This Row],[CT-e/NFS]])=TRUE,(IF(B4354&gt;30000,4,IF(B4354&lt;1000,"ND",0))),"-")</f>
        <v>4</v>
      </c>
      <c r="B4354" s="116">
        <v>48578</v>
      </c>
      <c r="C4354" s="117">
        <v>45525</v>
      </c>
      <c r="D4354" s="116">
        <v>124.52</v>
      </c>
      <c r="E4354" s="117">
        <v>45534</v>
      </c>
      <c r="F4354" s="116">
        <f>COUNTIFS($A$3:A12604,A4354,$B$3:B12604,B4354)</f>
        <v>1</v>
      </c>
      <c r="G4354" s="116"/>
    </row>
    <row r="4355" spans="1:7" x14ac:dyDescent="0.2">
      <c r="A4355" s="116">
        <f>IF(ISNUMBER(Tabela2[[#This Row],[CT-e/NFS]])=TRUE,(IF(B4355&gt;30000,4,IF(B4355&lt;1000,"ND",0))),"-")</f>
        <v>4</v>
      </c>
      <c r="B4355" s="116">
        <v>48561</v>
      </c>
      <c r="C4355" s="117">
        <v>45525</v>
      </c>
      <c r="D4355" s="116">
        <v>82.39</v>
      </c>
      <c r="E4355" s="117">
        <v>45534</v>
      </c>
      <c r="F4355" s="116">
        <f>COUNTIFS($A$3:A12605,A4355,$B$3:B12605,B4355)</f>
        <v>1</v>
      </c>
      <c r="G4355" s="116"/>
    </row>
    <row r="4356" spans="1:7" x14ac:dyDescent="0.2">
      <c r="A4356" s="116">
        <f>IF(ISNUMBER(Tabela2[[#This Row],[CT-e/NFS]])=TRUE,(IF(B4356&gt;30000,4,IF(B4356&lt;1000,"ND",0))),"-")</f>
        <v>4</v>
      </c>
      <c r="B4356" s="116">
        <v>48562</v>
      </c>
      <c r="C4356" s="117">
        <v>45525</v>
      </c>
      <c r="D4356" s="116">
        <v>148.77000000000001</v>
      </c>
      <c r="E4356" s="117">
        <v>45534</v>
      </c>
      <c r="F4356" s="116">
        <f>COUNTIFS($A$3:A12606,A4356,$B$3:B12606,B4356)</f>
        <v>1</v>
      </c>
      <c r="G4356" s="116"/>
    </row>
    <row r="4357" spans="1:7" x14ac:dyDescent="0.2">
      <c r="A4357" s="116">
        <f>IF(ISNUMBER(Tabela2[[#This Row],[CT-e/NFS]])=TRUE,(IF(B4357&gt;30000,4,IF(B4357&lt;1000,"ND",0))),"-")</f>
        <v>4</v>
      </c>
      <c r="B4357" s="116">
        <v>48601</v>
      </c>
      <c r="C4357" s="117">
        <v>45525</v>
      </c>
      <c r="D4357" s="116">
        <v>396.45</v>
      </c>
      <c r="E4357" s="117">
        <v>45534</v>
      </c>
      <c r="F4357" s="116">
        <f>COUNTIFS($A$3:A12607,A4357,$B$3:B12607,B4357)</f>
        <v>1</v>
      </c>
      <c r="G4357" s="116"/>
    </row>
    <row r="4358" spans="1:7" x14ac:dyDescent="0.2">
      <c r="A4358" s="116">
        <f>IF(ISNUMBER(Tabela2[[#This Row],[CT-e/NFS]])=TRUE,(IF(B4358&gt;30000,4,IF(B4358&lt;1000,"ND",0))),"-")</f>
        <v>4</v>
      </c>
      <c r="B4358" s="116">
        <v>48580</v>
      </c>
      <c r="C4358" s="117">
        <v>45525</v>
      </c>
      <c r="D4358" s="116">
        <v>617.72</v>
      </c>
      <c r="E4358" s="117">
        <v>45534</v>
      </c>
      <c r="F4358" s="116">
        <f>COUNTIFS($A$3:A12608,A4358,$B$3:B12608,B4358)</f>
        <v>1</v>
      </c>
      <c r="G4358" s="116"/>
    </row>
    <row r="4359" spans="1:7" x14ac:dyDescent="0.2">
      <c r="A4359" s="116">
        <f>IF(ISNUMBER(Tabela2[[#This Row],[CT-e/NFS]])=TRUE,(IF(B4359&gt;30000,4,IF(B4359&lt;1000,"ND",0))),"-")</f>
        <v>0</v>
      </c>
      <c r="B4359" s="116">
        <v>21942</v>
      </c>
      <c r="C4359" s="117">
        <v>45525</v>
      </c>
      <c r="D4359" s="116">
        <v>75.72</v>
      </c>
      <c r="E4359" s="117">
        <v>45534</v>
      </c>
      <c r="F4359" s="116">
        <f>COUNTIFS($A$3:A12609,A4359,$B$3:B12609,B4359)</f>
        <v>1</v>
      </c>
      <c r="G4359" s="116"/>
    </row>
    <row r="4360" spans="1:7" x14ac:dyDescent="0.2">
      <c r="A4360" s="116">
        <f>IF(ISNUMBER(Tabela2[[#This Row],[CT-e/NFS]])=TRUE,(IF(B4360&gt;30000,4,IF(B4360&lt;1000,"ND",0))),"-")</f>
        <v>0</v>
      </c>
      <c r="B4360" s="116">
        <v>21946</v>
      </c>
      <c r="C4360" s="117">
        <v>45525</v>
      </c>
      <c r="D4360" s="116">
        <v>76.44</v>
      </c>
      <c r="E4360" s="117">
        <v>45534</v>
      </c>
      <c r="F4360" s="116">
        <f>COUNTIFS($A$3:A12610,A4360,$B$3:B12610,B4360)</f>
        <v>1</v>
      </c>
      <c r="G4360" s="116"/>
    </row>
    <row r="4361" spans="1:7" x14ac:dyDescent="0.2">
      <c r="A4361" s="116">
        <f>IF(ISNUMBER(Tabela2[[#This Row],[CT-e/NFS]])=TRUE,(IF(B4361&gt;30000,4,IF(B4361&lt;1000,"ND",0))),"-")</f>
        <v>0</v>
      </c>
      <c r="B4361" s="116">
        <v>21945</v>
      </c>
      <c r="C4361" s="117">
        <v>45525</v>
      </c>
      <c r="D4361" s="116">
        <v>76</v>
      </c>
      <c r="E4361" s="117">
        <v>45534</v>
      </c>
      <c r="F4361" s="116">
        <f>COUNTIFS($A$3:A12611,A4361,$B$3:B12611,B4361)</f>
        <v>1</v>
      </c>
      <c r="G4361" s="116"/>
    </row>
    <row r="4362" spans="1:7" x14ac:dyDescent="0.2">
      <c r="A4362" s="116">
        <f>IF(ISNUMBER(Tabela2[[#This Row],[CT-e/NFS]])=TRUE,(IF(B4362&gt;30000,4,IF(B4362&lt;1000,"ND",0))),"-")</f>
        <v>0</v>
      </c>
      <c r="B4362" s="116">
        <v>21944</v>
      </c>
      <c r="C4362" s="117">
        <v>45525</v>
      </c>
      <c r="D4362" s="116">
        <v>77.06</v>
      </c>
      <c r="E4362" s="117">
        <v>45534</v>
      </c>
      <c r="F4362" s="116">
        <f>COUNTIFS($A$3:A12612,A4362,$B$3:B12612,B4362)</f>
        <v>1</v>
      </c>
      <c r="G4362" s="116"/>
    </row>
    <row r="4363" spans="1:7" x14ac:dyDescent="0.2">
      <c r="A4363" s="116">
        <f>IF(ISNUMBER(Tabela2[[#This Row],[CT-e/NFS]])=TRUE,(IF(B4363&gt;30000,4,IF(B4363&lt;1000,"ND",0))),"-")</f>
        <v>0</v>
      </c>
      <c r="B4363" s="116">
        <v>21941</v>
      </c>
      <c r="C4363" s="117">
        <v>45525</v>
      </c>
      <c r="D4363" s="116">
        <v>76.989999999999995</v>
      </c>
      <c r="E4363" s="117">
        <v>45534</v>
      </c>
      <c r="F4363" s="116">
        <f>COUNTIFS($A$3:A12613,A4363,$B$3:B12613,B4363)</f>
        <v>1</v>
      </c>
      <c r="G4363" s="116"/>
    </row>
    <row r="4364" spans="1:7" x14ac:dyDescent="0.2">
      <c r="A4364" s="116">
        <f>IF(ISNUMBER(Tabela2[[#This Row],[CT-e/NFS]])=TRUE,(IF(B4364&gt;30000,4,IF(B4364&lt;1000,"ND",0))),"-")</f>
        <v>4</v>
      </c>
      <c r="B4364" s="116">
        <v>48606</v>
      </c>
      <c r="C4364" s="117">
        <v>45525</v>
      </c>
      <c r="D4364" s="116">
        <v>61.56</v>
      </c>
      <c r="E4364" s="117">
        <v>45534</v>
      </c>
      <c r="F4364" s="116">
        <f>COUNTIFS($A$3:A12614,A4364,$B$3:B12614,B4364)</f>
        <v>1</v>
      </c>
      <c r="G4364" s="116"/>
    </row>
    <row r="4365" spans="1:7" x14ac:dyDescent="0.2">
      <c r="A4365" s="116">
        <f>IF(ISNUMBER(Tabela2[[#This Row],[CT-e/NFS]])=TRUE,(IF(B4365&gt;30000,4,IF(B4365&lt;1000,"ND",0))),"-")</f>
        <v>4</v>
      </c>
      <c r="B4365" s="116">
        <v>48607</v>
      </c>
      <c r="C4365" s="117">
        <v>45525</v>
      </c>
      <c r="D4365" s="116">
        <v>61.39</v>
      </c>
      <c r="E4365" s="117">
        <v>45534</v>
      </c>
      <c r="F4365" s="116">
        <f>COUNTIFS($A$3:A12615,A4365,$B$3:B12615,B4365)</f>
        <v>1</v>
      </c>
      <c r="G4365" s="116"/>
    </row>
    <row r="4366" spans="1:7" x14ac:dyDescent="0.2">
      <c r="A4366" s="116">
        <f>IF(ISNUMBER(Tabela2[[#This Row],[CT-e/NFS]])=TRUE,(IF(B4366&gt;30000,4,IF(B4366&lt;1000,"ND",0))),"-")</f>
        <v>4</v>
      </c>
      <c r="B4366" s="116">
        <v>48625</v>
      </c>
      <c r="C4366" s="117">
        <v>45525</v>
      </c>
      <c r="D4366" s="116">
        <v>242.97</v>
      </c>
      <c r="E4366" s="117">
        <v>45534</v>
      </c>
      <c r="F4366" s="116">
        <f>COUNTIFS($A$3:A12616,A4366,$B$3:B12616,B4366)</f>
        <v>1</v>
      </c>
      <c r="G4366" s="116"/>
    </row>
    <row r="4367" spans="1:7" x14ac:dyDescent="0.2">
      <c r="A4367" s="116">
        <f>IF(ISNUMBER(Tabela2[[#This Row],[CT-e/NFS]])=TRUE,(IF(B4367&gt;30000,4,IF(B4367&lt;1000,"ND",0))),"-")</f>
        <v>4</v>
      </c>
      <c r="B4367" s="116">
        <v>48613</v>
      </c>
      <c r="C4367" s="117">
        <v>45525</v>
      </c>
      <c r="D4367" s="116">
        <v>125.56</v>
      </c>
      <c r="E4367" s="117">
        <v>45534</v>
      </c>
      <c r="F4367" s="116">
        <f>COUNTIFS($A$3:A12617,A4367,$B$3:B12617,B4367)</f>
        <v>1</v>
      </c>
      <c r="G4367" s="116"/>
    </row>
    <row r="4368" spans="1:7" x14ac:dyDescent="0.2">
      <c r="A4368" s="116">
        <f>IF(ISNUMBER(Tabela2[[#This Row],[CT-e/NFS]])=TRUE,(IF(B4368&gt;30000,4,IF(B4368&lt;1000,"ND",0))),"-")</f>
        <v>4</v>
      </c>
      <c r="B4368" s="116">
        <v>48621</v>
      </c>
      <c r="C4368" s="117">
        <v>45525</v>
      </c>
      <c r="D4368" s="116">
        <v>332.94</v>
      </c>
      <c r="E4368" s="117">
        <v>45534</v>
      </c>
      <c r="F4368" s="116">
        <f>COUNTIFS($A$3:A12618,A4368,$B$3:B12618,B4368)</f>
        <v>1</v>
      </c>
      <c r="G4368" s="116"/>
    </row>
    <row r="4369" spans="1:7" x14ac:dyDescent="0.2">
      <c r="A4369" s="116">
        <f>IF(ISNUMBER(Tabela2[[#This Row],[CT-e/NFS]])=TRUE,(IF(B4369&gt;30000,4,IF(B4369&lt;1000,"ND",0))),"-")</f>
        <v>4</v>
      </c>
      <c r="B4369" s="116">
        <v>48624</v>
      </c>
      <c r="C4369" s="117">
        <v>45525</v>
      </c>
      <c r="D4369" s="116">
        <v>240.41</v>
      </c>
      <c r="E4369" s="117">
        <v>45534</v>
      </c>
      <c r="F4369" s="116">
        <f>COUNTIFS($A$3:A12619,A4369,$B$3:B12619,B4369)</f>
        <v>1</v>
      </c>
      <c r="G4369" s="116"/>
    </row>
    <row r="4370" spans="1:7" x14ac:dyDescent="0.2">
      <c r="A4370" s="116">
        <f>IF(ISNUMBER(Tabela2[[#This Row],[CT-e/NFS]])=TRUE,(IF(B4370&gt;30000,4,IF(B4370&lt;1000,"ND",0))),"-")</f>
        <v>4</v>
      </c>
      <c r="B4370" s="116">
        <v>48611</v>
      </c>
      <c r="C4370" s="117">
        <v>45525</v>
      </c>
      <c r="D4370" s="116">
        <v>159.22999999999999</v>
      </c>
      <c r="E4370" s="117">
        <v>45534</v>
      </c>
      <c r="F4370" s="116">
        <f>COUNTIFS($A$3:A12620,A4370,$B$3:B12620,B4370)</f>
        <v>1</v>
      </c>
      <c r="G4370" s="116"/>
    </row>
    <row r="4371" spans="1:7" x14ac:dyDescent="0.2">
      <c r="A4371" s="116">
        <f>IF(ISNUMBER(Tabela2[[#This Row],[CT-e/NFS]])=TRUE,(IF(B4371&gt;30000,4,IF(B4371&lt;1000,"ND",0))),"-")</f>
        <v>4</v>
      </c>
      <c r="B4371" s="116">
        <v>48616</v>
      </c>
      <c r="C4371" s="117">
        <v>45525</v>
      </c>
      <c r="D4371" s="116">
        <v>238.98</v>
      </c>
      <c r="E4371" s="117">
        <v>45534</v>
      </c>
      <c r="F4371" s="116">
        <f>COUNTIFS($A$3:A12621,A4371,$B$3:B12621,B4371)</f>
        <v>1</v>
      </c>
      <c r="G4371" s="116"/>
    </row>
    <row r="4372" spans="1:7" x14ac:dyDescent="0.2">
      <c r="A4372" s="116">
        <f>IF(ISNUMBER(Tabela2[[#This Row],[CT-e/NFS]])=TRUE,(IF(B4372&gt;30000,4,IF(B4372&lt;1000,"ND",0))),"-")</f>
        <v>4</v>
      </c>
      <c r="B4372" s="116">
        <v>48610</v>
      </c>
      <c r="C4372" s="117">
        <v>45525</v>
      </c>
      <c r="D4372" s="116">
        <v>183.26</v>
      </c>
      <c r="E4372" s="117">
        <v>45534</v>
      </c>
      <c r="F4372" s="116">
        <f>COUNTIFS($A$3:A12622,A4372,$B$3:B12622,B4372)</f>
        <v>1</v>
      </c>
      <c r="G4372" s="116"/>
    </row>
    <row r="4373" spans="1:7" x14ac:dyDescent="0.2">
      <c r="A4373" s="116">
        <f>IF(ISNUMBER(Tabela2[[#This Row],[CT-e/NFS]])=TRUE,(IF(B4373&gt;30000,4,IF(B4373&lt;1000,"ND",0))),"-")</f>
        <v>4</v>
      </c>
      <c r="B4373" s="116">
        <v>48608</v>
      </c>
      <c r="C4373" s="117">
        <v>45525</v>
      </c>
      <c r="D4373" s="116">
        <v>174.99</v>
      </c>
      <c r="E4373" s="117">
        <v>45534</v>
      </c>
      <c r="F4373" s="116">
        <f>COUNTIFS($A$3:A12623,A4373,$B$3:B12623,B4373)</f>
        <v>1</v>
      </c>
      <c r="G4373" s="116"/>
    </row>
    <row r="4374" spans="1:7" x14ac:dyDescent="0.2">
      <c r="A4374" s="116">
        <f>IF(ISNUMBER(Tabela2[[#This Row],[CT-e/NFS]])=TRUE,(IF(B4374&gt;30000,4,IF(B4374&lt;1000,"ND",0))),"-")</f>
        <v>4</v>
      </c>
      <c r="B4374" s="116">
        <v>48623</v>
      </c>
      <c r="C4374" s="117">
        <v>45525</v>
      </c>
      <c r="D4374" s="116">
        <v>125.9</v>
      </c>
      <c r="E4374" s="117">
        <v>45534</v>
      </c>
      <c r="F4374" s="116">
        <f>COUNTIFS($A$3:A12624,A4374,$B$3:B12624,B4374)</f>
        <v>1</v>
      </c>
      <c r="G4374" s="116"/>
    </row>
    <row r="4375" spans="1:7" x14ac:dyDescent="0.2">
      <c r="A4375" s="116">
        <f>IF(ISNUMBER(Tabela2[[#This Row],[CT-e/NFS]])=TRUE,(IF(B4375&gt;30000,4,IF(B4375&lt;1000,"ND",0))),"-")</f>
        <v>4</v>
      </c>
      <c r="B4375" s="116">
        <v>48609</v>
      </c>
      <c r="C4375" s="117">
        <v>45525</v>
      </c>
      <c r="D4375" s="116">
        <v>124.05</v>
      </c>
      <c r="E4375" s="117">
        <v>45534</v>
      </c>
      <c r="F4375" s="116">
        <f>COUNTIFS($A$3:A12625,A4375,$B$3:B12625,B4375)</f>
        <v>1</v>
      </c>
      <c r="G4375" s="116"/>
    </row>
    <row r="4376" spans="1:7" x14ac:dyDescent="0.2">
      <c r="A4376" s="116">
        <f>IF(ISNUMBER(Tabela2[[#This Row],[CT-e/NFS]])=TRUE,(IF(B4376&gt;30000,4,IF(B4376&lt;1000,"ND",0))),"-")</f>
        <v>4</v>
      </c>
      <c r="B4376" s="116">
        <v>48622</v>
      </c>
      <c r="C4376" s="117">
        <v>45525</v>
      </c>
      <c r="D4376" s="116">
        <v>283.85000000000002</v>
      </c>
      <c r="E4376" s="117">
        <v>45534</v>
      </c>
      <c r="F4376" s="116">
        <f>COUNTIFS($A$3:A12626,A4376,$B$3:B12626,B4376)</f>
        <v>1</v>
      </c>
      <c r="G4376" s="116"/>
    </row>
    <row r="4377" spans="1:7" x14ac:dyDescent="0.2">
      <c r="A4377" s="116">
        <f>IF(ISNUMBER(Tabela2[[#This Row],[CT-e/NFS]])=TRUE,(IF(B4377&gt;30000,4,IF(B4377&lt;1000,"ND",0))),"-")</f>
        <v>4</v>
      </c>
      <c r="B4377" s="116">
        <v>48617</v>
      </c>
      <c r="C4377" s="117">
        <v>45525</v>
      </c>
      <c r="D4377" s="116">
        <v>125.93</v>
      </c>
      <c r="E4377" s="117">
        <v>45534</v>
      </c>
      <c r="F4377" s="116">
        <f>COUNTIFS($A$3:A12627,A4377,$B$3:B12627,B4377)</f>
        <v>1</v>
      </c>
      <c r="G4377" s="116"/>
    </row>
    <row r="4378" spans="1:7" x14ac:dyDescent="0.2">
      <c r="A4378" s="116">
        <f>IF(ISNUMBER(Tabela2[[#This Row],[CT-e/NFS]])=TRUE,(IF(B4378&gt;30000,4,IF(B4378&lt;1000,"ND",0))),"-")</f>
        <v>4</v>
      </c>
      <c r="B4378" s="116">
        <v>48634</v>
      </c>
      <c r="C4378" s="117">
        <v>45525</v>
      </c>
      <c r="D4378" s="116">
        <v>355.11</v>
      </c>
      <c r="E4378" s="117">
        <v>45534</v>
      </c>
      <c r="F4378" s="116">
        <f>COUNTIFS($A$3:A12628,A4378,$B$3:B12628,B4378)</f>
        <v>1</v>
      </c>
      <c r="G4378" s="116"/>
    </row>
    <row r="4379" spans="1:7" x14ac:dyDescent="0.2">
      <c r="A4379" s="116">
        <f>IF(ISNUMBER(Tabela2[[#This Row],[CT-e/NFS]])=TRUE,(IF(B4379&gt;30000,4,IF(B4379&lt;1000,"ND",0))),"-")</f>
        <v>4</v>
      </c>
      <c r="B4379" s="116">
        <v>48620</v>
      </c>
      <c r="C4379" s="117">
        <v>45525</v>
      </c>
      <c r="D4379" s="116">
        <v>240.63</v>
      </c>
      <c r="E4379" s="117">
        <v>45534</v>
      </c>
      <c r="F4379" s="116">
        <f>COUNTIFS($A$3:A12629,A4379,$B$3:B12629,B4379)</f>
        <v>1</v>
      </c>
      <c r="G4379" s="116"/>
    </row>
    <row r="4380" spans="1:7" x14ac:dyDescent="0.2">
      <c r="A4380" s="116">
        <f>IF(ISNUMBER(Tabela2[[#This Row],[CT-e/NFS]])=TRUE,(IF(B4380&gt;30000,4,IF(B4380&lt;1000,"ND",0))),"-")</f>
        <v>4</v>
      </c>
      <c r="B4380" s="116">
        <v>48619</v>
      </c>
      <c r="C4380" s="117">
        <v>45525</v>
      </c>
      <c r="D4380" s="116">
        <v>279.11</v>
      </c>
      <c r="E4380" s="117">
        <v>45534</v>
      </c>
      <c r="F4380" s="116">
        <f>COUNTIFS($A$3:A12630,A4380,$B$3:B12630,B4380)</f>
        <v>1</v>
      </c>
      <c r="G4380" s="116"/>
    </row>
    <row r="4381" spans="1:7" x14ac:dyDescent="0.2">
      <c r="A4381" s="116">
        <f>IF(ISNUMBER(Tabela2[[#This Row],[CT-e/NFS]])=TRUE,(IF(B4381&gt;30000,4,IF(B4381&lt;1000,"ND",0))),"-")</f>
        <v>4</v>
      </c>
      <c r="B4381" s="116">
        <v>48618</v>
      </c>
      <c r="C4381" s="117">
        <v>45525</v>
      </c>
      <c r="D4381" s="116">
        <v>274.77999999999997</v>
      </c>
      <c r="E4381" s="117">
        <v>45534</v>
      </c>
      <c r="F4381" s="116">
        <f>COUNTIFS($A$3:A12631,A4381,$B$3:B12631,B4381)</f>
        <v>1</v>
      </c>
      <c r="G4381" s="116"/>
    </row>
    <row r="4382" spans="1:7" x14ac:dyDescent="0.2">
      <c r="A4382" s="116">
        <f>IF(ISNUMBER(Tabela2[[#This Row],[CT-e/NFS]])=TRUE,(IF(B4382&gt;30000,4,IF(B4382&lt;1000,"ND",0))),"-")</f>
        <v>4</v>
      </c>
      <c r="B4382" s="116">
        <v>48615</v>
      </c>
      <c r="C4382" s="117">
        <v>45525</v>
      </c>
      <c r="D4382" s="116">
        <v>240.64</v>
      </c>
      <c r="E4382" s="117">
        <v>45534</v>
      </c>
      <c r="F4382" s="116">
        <f>COUNTIFS($A$3:A12632,A4382,$B$3:B12632,B4382)</f>
        <v>1</v>
      </c>
      <c r="G4382" s="116"/>
    </row>
    <row r="4383" spans="1:7" x14ac:dyDescent="0.2">
      <c r="A4383" s="116">
        <f>IF(ISNUMBER(Tabela2[[#This Row],[CT-e/NFS]])=TRUE,(IF(B4383&gt;30000,4,IF(B4383&lt;1000,"ND",0))),"-")</f>
        <v>4</v>
      </c>
      <c r="B4383" s="116">
        <v>48614</v>
      </c>
      <c r="C4383" s="117">
        <v>45525</v>
      </c>
      <c r="D4383" s="116">
        <v>1522.41</v>
      </c>
      <c r="E4383" s="117">
        <v>45534</v>
      </c>
      <c r="F4383" s="116">
        <f>COUNTIFS($A$3:A12633,A4383,$B$3:B12633,B4383)</f>
        <v>1</v>
      </c>
      <c r="G4383" s="116"/>
    </row>
    <row r="4384" spans="1:7" x14ac:dyDescent="0.2">
      <c r="A4384" s="116">
        <f>IF(ISNUMBER(Tabela2[[#This Row],[CT-e/NFS]])=TRUE,(IF(B4384&gt;30000,4,IF(B4384&lt;1000,"ND",0))),"-")</f>
        <v>4</v>
      </c>
      <c r="B4384" s="116">
        <v>48630</v>
      </c>
      <c r="C4384" s="117">
        <v>45525</v>
      </c>
      <c r="D4384" s="116">
        <v>122.91</v>
      </c>
      <c r="E4384" s="117">
        <v>45534</v>
      </c>
      <c r="F4384" s="116">
        <f>COUNTIFS($A$3:A12634,A4384,$B$3:B12634,B4384)</f>
        <v>1</v>
      </c>
      <c r="G4384" s="116"/>
    </row>
    <row r="4385" spans="1:7" x14ac:dyDescent="0.2">
      <c r="A4385" s="116">
        <f>IF(ISNUMBER(Tabela2[[#This Row],[CT-e/NFS]])=TRUE,(IF(B4385&gt;30000,4,IF(B4385&lt;1000,"ND",0))),"-")</f>
        <v>4</v>
      </c>
      <c r="B4385" s="116">
        <v>48633</v>
      </c>
      <c r="C4385" s="117">
        <v>45525</v>
      </c>
      <c r="D4385" s="116">
        <v>110.85</v>
      </c>
      <c r="E4385" s="117">
        <v>45534</v>
      </c>
      <c r="F4385" s="116">
        <f>COUNTIFS($A$3:A12635,A4385,$B$3:B12635,B4385)</f>
        <v>1</v>
      </c>
      <c r="G4385" s="116"/>
    </row>
    <row r="4386" spans="1:7" x14ac:dyDescent="0.2">
      <c r="A4386" s="116">
        <f>IF(ISNUMBER(Tabela2[[#This Row],[CT-e/NFS]])=TRUE,(IF(B4386&gt;30000,4,IF(B4386&lt;1000,"ND",0))),"-")</f>
        <v>4</v>
      </c>
      <c r="B4386" s="116">
        <v>48632</v>
      </c>
      <c r="C4386" s="117">
        <v>45525</v>
      </c>
      <c r="D4386" s="116">
        <v>110.5</v>
      </c>
      <c r="E4386" s="117">
        <v>45534</v>
      </c>
      <c r="F4386" s="116">
        <f>COUNTIFS($A$3:A12636,A4386,$B$3:B12636,B4386)</f>
        <v>1</v>
      </c>
      <c r="G4386" s="116"/>
    </row>
    <row r="4387" spans="1:7" x14ac:dyDescent="0.2">
      <c r="A4387" s="116">
        <f>IF(ISNUMBER(Tabela2[[#This Row],[CT-e/NFS]])=TRUE,(IF(B4387&gt;30000,4,IF(B4387&lt;1000,"ND",0))),"-")</f>
        <v>4</v>
      </c>
      <c r="B4387" s="116">
        <v>48637</v>
      </c>
      <c r="C4387" s="117">
        <v>45525</v>
      </c>
      <c r="D4387" s="116">
        <v>114.05</v>
      </c>
      <c r="E4387" s="117">
        <v>45534</v>
      </c>
      <c r="F4387" s="116">
        <f>COUNTIFS($A$3:A12637,A4387,$B$3:B12637,B4387)</f>
        <v>1</v>
      </c>
      <c r="G4387" s="116"/>
    </row>
    <row r="4388" spans="1:7" x14ac:dyDescent="0.2">
      <c r="A4388" s="116">
        <f>IF(ISNUMBER(Tabela2[[#This Row],[CT-e/NFS]])=TRUE,(IF(B4388&gt;30000,4,IF(B4388&lt;1000,"ND",0))),"-")</f>
        <v>4</v>
      </c>
      <c r="B4388" s="116">
        <v>48636</v>
      </c>
      <c r="C4388" s="117">
        <v>45525</v>
      </c>
      <c r="D4388" s="116">
        <v>63.16</v>
      </c>
      <c r="E4388" s="117">
        <v>45534</v>
      </c>
      <c r="F4388" s="116">
        <f>COUNTIFS($A$3:A12638,A4388,$B$3:B12638,B4388)</f>
        <v>1</v>
      </c>
      <c r="G4388" s="116"/>
    </row>
    <row r="4389" spans="1:7" x14ac:dyDescent="0.2">
      <c r="A4389" s="116">
        <f>IF(ISNUMBER(Tabela2[[#This Row],[CT-e/NFS]])=TRUE,(IF(B4389&gt;30000,4,IF(B4389&lt;1000,"ND",0))),"-")</f>
        <v>4</v>
      </c>
      <c r="B4389" s="116">
        <v>48626</v>
      </c>
      <c r="C4389" s="117">
        <v>45525</v>
      </c>
      <c r="D4389" s="116">
        <v>124.15</v>
      </c>
      <c r="E4389" s="117">
        <v>45534</v>
      </c>
      <c r="F4389" s="116">
        <f>COUNTIFS($A$3:A12639,A4389,$B$3:B12639,B4389)</f>
        <v>1</v>
      </c>
      <c r="G4389" s="116"/>
    </row>
    <row r="4390" spans="1:7" x14ac:dyDescent="0.2">
      <c r="A4390" s="116">
        <f>IF(ISNUMBER(Tabela2[[#This Row],[CT-e/NFS]])=TRUE,(IF(B4390&gt;30000,4,IF(B4390&lt;1000,"ND",0))),"-")</f>
        <v>4</v>
      </c>
      <c r="B4390" s="116">
        <v>48628</v>
      </c>
      <c r="C4390" s="117">
        <v>45525</v>
      </c>
      <c r="D4390" s="116">
        <v>124.49</v>
      </c>
      <c r="E4390" s="117">
        <v>45534</v>
      </c>
      <c r="F4390" s="116">
        <f>COUNTIFS($A$3:A12640,A4390,$B$3:B12640,B4390)</f>
        <v>1</v>
      </c>
      <c r="G4390" s="116"/>
    </row>
    <row r="4391" spans="1:7" x14ac:dyDescent="0.2">
      <c r="A4391" s="116">
        <f>IF(ISNUMBER(Tabela2[[#This Row],[CT-e/NFS]])=TRUE,(IF(B4391&gt;30000,4,IF(B4391&lt;1000,"ND",0))),"-")</f>
        <v>4</v>
      </c>
      <c r="B4391" s="116">
        <v>48627</v>
      </c>
      <c r="C4391" s="117">
        <v>45525</v>
      </c>
      <c r="D4391" s="116">
        <v>238.13</v>
      </c>
      <c r="E4391" s="117">
        <v>45534</v>
      </c>
      <c r="F4391" s="116">
        <f>COUNTIFS($A$3:A12641,A4391,$B$3:B12641,B4391)</f>
        <v>1</v>
      </c>
      <c r="G4391" s="116"/>
    </row>
    <row r="4392" spans="1:7" x14ac:dyDescent="0.2">
      <c r="A4392" s="116">
        <f>IF(ISNUMBER(Tabela2[[#This Row],[CT-e/NFS]])=TRUE,(IF(B4392&gt;30000,4,IF(B4392&lt;1000,"ND",0))),"-")</f>
        <v>4</v>
      </c>
      <c r="B4392" s="116">
        <v>48638</v>
      </c>
      <c r="C4392" s="117">
        <v>45525</v>
      </c>
      <c r="D4392" s="116">
        <v>137.38999999999999</v>
      </c>
      <c r="E4392" s="117">
        <v>45534</v>
      </c>
      <c r="F4392" s="116">
        <f>COUNTIFS($A$3:A12642,A4392,$B$3:B12642,B4392)</f>
        <v>1</v>
      </c>
      <c r="G4392" s="116"/>
    </row>
    <row r="4393" spans="1:7" x14ac:dyDescent="0.2">
      <c r="A4393" s="116">
        <f>IF(ISNUMBER(Tabela2[[#This Row],[CT-e/NFS]])=TRUE,(IF(B4393&gt;30000,4,IF(B4393&lt;1000,"ND",0))),"-")</f>
        <v>4</v>
      </c>
      <c r="B4393" s="116">
        <v>48629</v>
      </c>
      <c r="C4393" s="117">
        <v>45525</v>
      </c>
      <c r="D4393" s="116">
        <v>1027.68</v>
      </c>
      <c r="E4393" s="117">
        <v>45534</v>
      </c>
      <c r="F4393" s="116">
        <f>COUNTIFS($A$3:A12643,A4393,$B$3:B12643,B4393)</f>
        <v>1</v>
      </c>
      <c r="G4393" s="116"/>
    </row>
    <row r="4394" spans="1:7" x14ac:dyDescent="0.2">
      <c r="A4394" s="116">
        <f>IF(ISNUMBER(Tabela2[[#This Row],[CT-e/NFS]])=TRUE,(IF(B4394&gt;30000,4,IF(B4394&lt;1000,"ND",0))),"-")</f>
        <v>4</v>
      </c>
      <c r="B4394" s="116">
        <v>48640</v>
      </c>
      <c r="C4394" s="117">
        <v>45525</v>
      </c>
      <c r="D4394" s="116">
        <v>120.32</v>
      </c>
      <c r="E4394" s="117">
        <v>45534</v>
      </c>
      <c r="F4394" s="116">
        <f>COUNTIFS($A$3:A12644,A4394,$B$3:B12644,B4394)</f>
        <v>1</v>
      </c>
      <c r="G4394" s="116"/>
    </row>
    <row r="4395" spans="1:7" x14ac:dyDescent="0.2">
      <c r="A4395" s="116">
        <f>IF(ISNUMBER(Tabela2[[#This Row],[CT-e/NFS]])=TRUE,(IF(B4395&gt;30000,4,IF(B4395&lt;1000,"ND",0))),"-")</f>
        <v>0</v>
      </c>
      <c r="B4395" s="116">
        <v>21948</v>
      </c>
      <c r="C4395" s="117">
        <v>45525</v>
      </c>
      <c r="D4395" s="116">
        <v>338.19</v>
      </c>
      <c r="E4395" s="117">
        <v>45534</v>
      </c>
      <c r="F4395" s="116">
        <f>COUNTIFS($A$3:A12645,A4395,$B$3:B12645,B4395)</f>
        <v>1</v>
      </c>
      <c r="G4395" s="116"/>
    </row>
    <row r="4396" spans="1:7" x14ac:dyDescent="0.2">
      <c r="A4396" s="116">
        <f>IF(ISNUMBER(Tabela2[[#This Row],[CT-e/NFS]])=TRUE,(IF(B4396&gt;30000,4,IF(B4396&lt;1000,"ND",0))),"-")</f>
        <v>0</v>
      </c>
      <c r="B4396" s="116">
        <v>21953</v>
      </c>
      <c r="C4396" s="117">
        <v>45525</v>
      </c>
      <c r="D4396" s="116">
        <v>97.96</v>
      </c>
      <c r="E4396" s="117">
        <v>45534</v>
      </c>
      <c r="F4396" s="116">
        <f>COUNTIFS($A$3:A12646,A4396,$B$3:B12646,B4396)</f>
        <v>1</v>
      </c>
      <c r="G4396" s="116"/>
    </row>
    <row r="4397" spans="1:7" x14ac:dyDescent="0.2">
      <c r="A4397" s="116">
        <f>IF(ISNUMBER(Tabela2[[#This Row],[CT-e/NFS]])=TRUE,(IF(B4397&gt;30000,4,IF(B4397&lt;1000,"ND",0))),"-")</f>
        <v>0</v>
      </c>
      <c r="B4397" s="116">
        <v>21952</v>
      </c>
      <c r="C4397" s="117">
        <v>45525</v>
      </c>
      <c r="D4397" s="116">
        <v>75.680000000000007</v>
      </c>
      <c r="E4397" s="117">
        <v>45534</v>
      </c>
      <c r="F4397" s="116">
        <f>COUNTIFS($A$3:A12647,A4397,$B$3:B12647,B4397)</f>
        <v>1</v>
      </c>
      <c r="G4397" s="116"/>
    </row>
    <row r="4398" spans="1:7" x14ac:dyDescent="0.2">
      <c r="A4398" s="116">
        <f>IF(ISNUMBER(Tabela2[[#This Row],[CT-e/NFS]])=TRUE,(IF(B4398&gt;30000,4,IF(B4398&lt;1000,"ND",0))),"-")</f>
        <v>0</v>
      </c>
      <c r="B4398" s="116">
        <v>21950</v>
      </c>
      <c r="C4398" s="117">
        <v>45525</v>
      </c>
      <c r="D4398" s="116">
        <v>75.61</v>
      </c>
      <c r="E4398" s="117">
        <v>45534</v>
      </c>
      <c r="F4398" s="116">
        <f>COUNTIFS($A$3:A12648,A4398,$B$3:B12648,B4398)</f>
        <v>1</v>
      </c>
      <c r="G4398" s="116"/>
    </row>
    <row r="4399" spans="1:7" x14ac:dyDescent="0.2">
      <c r="A4399" s="116">
        <f>IF(ISNUMBER(Tabela2[[#This Row],[CT-e/NFS]])=TRUE,(IF(B4399&gt;30000,4,IF(B4399&lt;1000,"ND",0))),"-")</f>
        <v>0</v>
      </c>
      <c r="B4399" s="116">
        <v>21949</v>
      </c>
      <c r="C4399" s="117">
        <v>45525</v>
      </c>
      <c r="D4399" s="116">
        <v>184.72</v>
      </c>
      <c r="E4399" s="117">
        <v>45534</v>
      </c>
      <c r="F4399" s="116">
        <f>COUNTIFS($A$3:A12649,A4399,$B$3:B12649,B4399)</f>
        <v>1</v>
      </c>
      <c r="G4399" s="116"/>
    </row>
    <row r="4400" spans="1:7" x14ac:dyDescent="0.2">
      <c r="A4400" s="116">
        <f>IF(ISNUMBER(Tabela2[[#This Row],[CT-e/NFS]])=TRUE,(IF(B4400&gt;30000,4,IF(B4400&lt;1000,"ND",0))),"-")</f>
        <v>0</v>
      </c>
      <c r="B4400" s="116">
        <v>21947</v>
      </c>
      <c r="C4400" s="117">
        <v>45525</v>
      </c>
      <c r="D4400" s="116">
        <v>105.23</v>
      </c>
      <c r="E4400" s="117">
        <v>45534</v>
      </c>
      <c r="F4400" s="116">
        <f>COUNTIFS($A$3:A12650,A4400,$B$3:B12650,B4400)</f>
        <v>1</v>
      </c>
      <c r="G4400" s="116"/>
    </row>
    <row r="4401" spans="1:7" x14ac:dyDescent="0.2">
      <c r="A4401" s="116">
        <f>IF(ISNUMBER(Tabela2[[#This Row],[CT-e/NFS]])=TRUE,(IF(B4401&gt;30000,4,IF(B4401&lt;1000,"ND",0))),"-")</f>
        <v>4</v>
      </c>
      <c r="B4401" s="116">
        <v>48643</v>
      </c>
      <c r="C4401" s="117">
        <v>45525</v>
      </c>
      <c r="D4401" s="116">
        <v>593.80999999999995</v>
      </c>
      <c r="E4401" s="117">
        <v>45534</v>
      </c>
      <c r="F4401" s="116">
        <f>COUNTIFS($A$3:A12651,A4401,$B$3:B12651,B4401)</f>
        <v>1</v>
      </c>
      <c r="G4401" s="116"/>
    </row>
    <row r="4402" spans="1:7" x14ac:dyDescent="0.2">
      <c r="A4402" s="116">
        <f>IF(ISNUMBER(Tabela2[[#This Row],[CT-e/NFS]])=TRUE,(IF(B4402&gt;30000,4,IF(B4402&lt;1000,"ND",0))),"-")</f>
        <v>4</v>
      </c>
      <c r="B4402" s="116">
        <v>48642</v>
      </c>
      <c r="C4402" s="117">
        <v>45525</v>
      </c>
      <c r="D4402" s="116">
        <v>578.39</v>
      </c>
      <c r="E4402" s="117">
        <v>45534</v>
      </c>
      <c r="F4402" s="116">
        <f>COUNTIFS($A$3:A12652,A4402,$B$3:B12652,B4402)</f>
        <v>1</v>
      </c>
      <c r="G4402" s="116"/>
    </row>
    <row r="4403" spans="1:7" x14ac:dyDescent="0.2">
      <c r="A4403" s="116">
        <f>IF(ISNUMBER(Tabela2[[#This Row],[CT-e/NFS]])=TRUE,(IF(B4403&gt;30000,4,IF(B4403&lt;1000,"ND",0))),"-")</f>
        <v>4</v>
      </c>
      <c r="B4403" s="116">
        <v>48641</v>
      </c>
      <c r="C4403" s="117">
        <v>45525</v>
      </c>
      <c r="D4403" s="116">
        <v>586.1</v>
      </c>
      <c r="E4403" s="117">
        <v>45534</v>
      </c>
      <c r="F4403" s="116">
        <f>COUNTIFS($A$3:A12653,A4403,$B$3:B12653,B4403)</f>
        <v>1</v>
      </c>
      <c r="G4403" s="116"/>
    </row>
    <row r="4404" spans="1:7" x14ac:dyDescent="0.2">
      <c r="A4404" s="116">
        <f>IF(ISNUMBER(Tabela2[[#This Row],[CT-e/NFS]])=TRUE,(IF(B4404&gt;30000,4,IF(B4404&lt;1000,"ND",0))),"-")</f>
        <v>4</v>
      </c>
      <c r="B4404" s="116">
        <v>48649</v>
      </c>
      <c r="C4404" s="117">
        <v>45525</v>
      </c>
      <c r="D4404" s="116">
        <v>408.02</v>
      </c>
      <c r="E4404" s="117">
        <v>45534</v>
      </c>
      <c r="F4404" s="116">
        <f>COUNTIFS($A$3:A12654,A4404,$B$3:B12654,B4404)</f>
        <v>1</v>
      </c>
      <c r="G4404" s="116"/>
    </row>
    <row r="4405" spans="1:7" x14ac:dyDescent="0.2">
      <c r="A4405" s="116">
        <f>IF(ISNUMBER(Tabela2[[#This Row],[CT-e/NFS]])=TRUE,(IF(B4405&gt;30000,4,IF(B4405&lt;1000,"ND",0))),"-")</f>
        <v>4</v>
      </c>
      <c r="B4405" s="116">
        <v>48651</v>
      </c>
      <c r="C4405" s="117">
        <v>45525</v>
      </c>
      <c r="D4405" s="116">
        <v>124.32</v>
      </c>
      <c r="E4405" s="117">
        <v>45534</v>
      </c>
      <c r="F4405" s="116">
        <f>COUNTIFS($A$3:A12655,A4405,$B$3:B12655,B4405)</f>
        <v>1</v>
      </c>
      <c r="G4405" s="116"/>
    </row>
    <row r="4406" spans="1:7" x14ac:dyDescent="0.2">
      <c r="A4406" s="116">
        <f>IF(ISNUMBER(Tabela2[[#This Row],[CT-e/NFS]])=TRUE,(IF(B4406&gt;30000,4,IF(B4406&lt;1000,"ND",0))),"-")</f>
        <v>4</v>
      </c>
      <c r="B4406" s="116">
        <v>48650</v>
      </c>
      <c r="C4406" s="117">
        <v>45525</v>
      </c>
      <c r="D4406" s="116">
        <v>125.35</v>
      </c>
      <c r="E4406" s="117">
        <v>45534</v>
      </c>
      <c r="F4406" s="116">
        <f>COUNTIFS($A$3:A12656,A4406,$B$3:B12656,B4406)</f>
        <v>1</v>
      </c>
      <c r="G4406" s="116"/>
    </row>
    <row r="4407" spans="1:7" x14ac:dyDescent="0.2">
      <c r="A4407" s="116">
        <f>IF(ISNUMBER(Tabela2[[#This Row],[CT-e/NFS]])=TRUE,(IF(B4407&gt;30000,4,IF(B4407&lt;1000,"ND",0))),"-")</f>
        <v>4</v>
      </c>
      <c r="B4407" s="116">
        <v>48653</v>
      </c>
      <c r="C4407" s="117">
        <v>45525</v>
      </c>
      <c r="D4407" s="116">
        <v>271.06</v>
      </c>
      <c r="E4407" s="117">
        <v>45534</v>
      </c>
      <c r="F4407" s="116">
        <f>COUNTIFS($A$3:A12657,A4407,$B$3:B12657,B4407)</f>
        <v>1</v>
      </c>
      <c r="G4407" s="116"/>
    </row>
    <row r="4408" spans="1:7" x14ac:dyDescent="0.2">
      <c r="A4408" s="116">
        <f>IF(ISNUMBER(Tabela2[[#This Row],[CT-e/NFS]])=TRUE,(IF(B4408&gt;30000,4,IF(B4408&lt;1000,"ND",0))),"-")</f>
        <v>4</v>
      </c>
      <c r="B4408" s="116">
        <v>48612</v>
      </c>
      <c r="C4408" s="117">
        <v>45525</v>
      </c>
      <c r="D4408" s="116">
        <v>134.05000000000001</v>
      </c>
      <c r="E4408" s="117">
        <v>45534</v>
      </c>
      <c r="F4408" s="116">
        <f>COUNTIFS($A$3:A12658,A4408,$B$3:B12658,B4408)</f>
        <v>1</v>
      </c>
      <c r="G4408" s="116"/>
    </row>
    <row r="4409" spans="1:7" x14ac:dyDescent="0.2">
      <c r="A4409" s="116">
        <f>IF(ISNUMBER(Tabela2[[#This Row],[CT-e/NFS]])=TRUE,(IF(B4409&gt;30000,4,IF(B4409&lt;1000,"ND",0))),"-")</f>
        <v>4</v>
      </c>
      <c r="B4409" s="116">
        <v>48652</v>
      </c>
      <c r="C4409" s="117">
        <v>45525</v>
      </c>
      <c r="D4409" s="116">
        <v>951.8</v>
      </c>
      <c r="E4409" s="117">
        <v>45534</v>
      </c>
      <c r="F4409" s="116">
        <f>COUNTIFS($A$3:A12659,A4409,$B$3:B12659,B4409)</f>
        <v>1</v>
      </c>
      <c r="G4409" s="116"/>
    </row>
    <row r="4410" spans="1:7" x14ac:dyDescent="0.2">
      <c r="A4410" s="116">
        <f>IF(ISNUMBER(Tabela2[[#This Row],[CT-e/NFS]])=TRUE,(IF(B4410&gt;30000,4,IF(B4410&lt;1000,"ND",0))),"-")</f>
        <v>4</v>
      </c>
      <c r="B4410" s="116">
        <v>48655</v>
      </c>
      <c r="C4410" s="117">
        <v>45525</v>
      </c>
      <c r="D4410" s="116">
        <v>248.09</v>
      </c>
      <c r="E4410" s="117">
        <v>45534</v>
      </c>
      <c r="F4410" s="116">
        <f>COUNTIFS($A$3:A12660,A4410,$B$3:B12660,B4410)</f>
        <v>1</v>
      </c>
      <c r="G4410" s="116"/>
    </row>
    <row r="4411" spans="1:7" x14ac:dyDescent="0.2">
      <c r="A4411" s="116">
        <f>IF(ISNUMBER(Tabela2[[#This Row],[CT-e/NFS]])=TRUE,(IF(B4411&gt;30000,4,IF(B4411&lt;1000,"ND",0))),"-")</f>
        <v>4</v>
      </c>
      <c r="B4411" s="116">
        <v>48646</v>
      </c>
      <c r="C4411" s="117">
        <v>45525</v>
      </c>
      <c r="D4411" s="116">
        <v>122.81</v>
      </c>
      <c r="E4411" s="117">
        <v>45534</v>
      </c>
      <c r="F4411" s="116">
        <f>COUNTIFS($A$3:A12661,A4411,$B$3:B12661,B4411)</f>
        <v>1</v>
      </c>
      <c r="G4411" s="116"/>
    </row>
    <row r="4412" spans="1:7" x14ac:dyDescent="0.2">
      <c r="A4412" s="116">
        <f>IF(ISNUMBER(Tabela2[[#This Row],[CT-e/NFS]])=TRUE,(IF(B4412&gt;30000,4,IF(B4412&lt;1000,"ND",0))),"-")</f>
        <v>4</v>
      </c>
      <c r="B4412" s="116">
        <v>48645</v>
      </c>
      <c r="C4412" s="117">
        <v>45525</v>
      </c>
      <c r="D4412" s="116">
        <v>126.23</v>
      </c>
      <c r="E4412" s="117">
        <v>45534</v>
      </c>
      <c r="F4412" s="116">
        <f>COUNTIFS($A$3:A12662,A4412,$B$3:B12662,B4412)</f>
        <v>1</v>
      </c>
      <c r="G4412" s="116"/>
    </row>
    <row r="4413" spans="1:7" x14ac:dyDescent="0.2">
      <c r="A4413" s="116">
        <f>IF(ISNUMBER(Tabela2[[#This Row],[CT-e/NFS]])=TRUE,(IF(B4413&gt;30000,4,IF(B4413&lt;1000,"ND",0))),"-")</f>
        <v>4</v>
      </c>
      <c r="B4413" s="116">
        <v>48658</v>
      </c>
      <c r="C4413" s="117">
        <v>45525</v>
      </c>
      <c r="D4413" s="116">
        <v>125.56</v>
      </c>
      <c r="E4413" s="117">
        <v>45534</v>
      </c>
      <c r="F4413" s="116">
        <f>COUNTIFS($A$3:A12663,A4413,$B$3:B12663,B4413)</f>
        <v>1</v>
      </c>
      <c r="G4413" s="116"/>
    </row>
    <row r="4414" spans="1:7" x14ac:dyDescent="0.2">
      <c r="A4414" s="116">
        <f>IF(ISNUMBER(Tabela2[[#This Row],[CT-e/NFS]])=TRUE,(IF(B4414&gt;30000,4,IF(B4414&lt;1000,"ND",0))),"-")</f>
        <v>4</v>
      </c>
      <c r="B4414" s="116">
        <v>48644</v>
      </c>
      <c r="C4414" s="117">
        <v>45525</v>
      </c>
      <c r="D4414" s="116">
        <v>467.33</v>
      </c>
      <c r="E4414" s="117">
        <v>45534</v>
      </c>
      <c r="F4414" s="116">
        <f>COUNTIFS($A$3:A12664,A4414,$B$3:B12664,B4414)</f>
        <v>1</v>
      </c>
      <c r="G4414" s="116"/>
    </row>
    <row r="4415" spans="1:7" x14ac:dyDescent="0.2">
      <c r="A4415" s="116">
        <f>IF(ISNUMBER(Tabela2[[#This Row],[CT-e/NFS]])=TRUE,(IF(B4415&gt;30000,4,IF(B4415&lt;1000,"ND",0))),"-")</f>
        <v>4</v>
      </c>
      <c r="B4415" s="116">
        <v>48647</v>
      </c>
      <c r="C4415" s="117">
        <v>45525</v>
      </c>
      <c r="D4415" s="116">
        <v>125.56</v>
      </c>
      <c r="E4415" s="117">
        <v>45534</v>
      </c>
      <c r="F4415" s="116">
        <f>COUNTIFS($A$3:A12665,A4415,$B$3:B12665,B4415)</f>
        <v>1</v>
      </c>
      <c r="G4415" s="116"/>
    </row>
    <row r="4416" spans="1:7" x14ac:dyDescent="0.2">
      <c r="A4416" s="116">
        <f>IF(ISNUMBER(Tabela2[[#This Row],[CT-e/NFS]])=TRUE,(IF(B4416&gt;30000,4,IF(B4416&lt;1000,"ND",0))),"-")</f>
        <v>4</v>
      </c>
      <c r="B4416" s="116">
        <v>48657</v>
      </c>
      <c r="C4416" s="117">
        <v>45525</v>
      </c>
      <c r="D4416" s="116">
        <v>240.14</v>
      </c>
      <c r="E4416" s="117">
        <v>45534</v>
      </c>
      <c r="F4416" s="116">
        <f>COUNTIFS($A$3:A12666,A4416,$B$3:B12666,B4416)</f>
        <v>1</v>
      </c>
      <c r="G4416" s="116"/>
    </row>
    <row r="4417" spans="1:7" x14ac:dyDescent="0.2">
      <c r="A4417" s="116">
        <f>IF(ISNUMBER(Tabela2[[#This Row],[CT-e/NFS]])=TRUE,(IF(B4417&gt;30000,4,IF(B4417&lt;1000,"ND",0))),"-")</f>
        <v>4</v>
      </c>
      <c r="B4417" s="116">
        <v>48604</v>
      </c>
      <c r="C4417" s="117">
        <v>45525</v>
      </c>
      <c r="D4417" s="116">
        <v>609.98</v>
      </c>
      <c r="E4417" s="117">
        <v>45534</v>
      </c>
      <c r="F4417" s="116">
        <f>COUNTIFS($A$3:A12667,A4417,$B$3:B12667,B4417)</f>
        <v>1</v>
      </c>
      <c r="G4417" s="116"/>
    </row>
    <row r="4418" spans="1:7" x14ac:dyDescent="0.2">
      <c r="A4418" s="116">
        <f>IF(ISNUMBER(Tabela2[[#This Row],[CT-e/NFS]])=TRUE,(IF(B4418&gt;30000,4,IF(B4418&lt;1000,"ND",0))),"-")</f>
        <v>4</v>
      </c>
      <c r="B4418" s="116">
        <v>48639</v>
      </c>
      <c r="C4418" s="117">
        <v>45525</v>
      </c>
      <c r="D4418" s="116">
        <v>1024.6500000000001</v>
      </c>
      <c r="E4418" s="117">
        <v>45534</v>
      </c>
      <c r="F4418" s="116">
        <f>COUNTIFS($A$3:A12668,A4418,$B$3:B12668,B4418)</f>
        <v>1</v>
      </c>
      <c r="G4418" s="116"/>
    </row>
    <row r="4419" spans="1:7" x14ac:dyDescent="0.2">
      <c r="A4419" s="116">
        <f>IF(ISNUMBER(Tabela2[[#This Row],[CT-e/NFS]])=TRUE,(IF(B4419&gt;30000,4,IF(B4419&lt;1000,"ND",0))),"-")</f>
        <v>0</v>
      </c>
      <c r="B4419" s="116">
        <v>21954</v>
      </c>
      <c r="C4419" s="117">
        <v>45525</v>
      </c>
      <c r="D4419" s="116">
        <v>546.84</v>
      </c>
      <c r="E4419" s="117">
        <v>45534</v>
      </c>
      <c r="F4419" s="116">
        <f>COUNTIFS($A$3:A12669,A4419,$B$3:B12669,B4419)</f>
        <v>1</v>
      </c>
      <c r="G4419" s="116"/>
    </row>
    <row r="4420" spans="1:7" x14ac:dyDescent="0.2">
      <c r="A4420" s="116">
        <f>IF(ISNUMBER(Tabela2[[#This Row],[CT-e/NFS]])=TRUE,(IF(B4420&gt;30000,4,IF(B4420&lt;1000,"ND",0))),"-")</f>
        <v>0</v>
      </c>
      <c r="B4420" s="116">
        <v>21963</v>
      </c>
      <c r="C4420" s="117">
        <v>45525</v>
      </c>
      <c r="D4420" s="116">
        <v>164.08</v>
      </c>
      <c r="E4420" s="117">
        <v>45534</v>
      </c>
      <c r="F4420" s="116">
        <f>COUNTIFS($A$3:A12670,A4420,$B$3:B12670,B4420)</f>
        <v>1</v>
      </c>
      <c r="G4420" s="116"/>
    </row>
    <row r="4421" spans="1:7" x14ac:dyDescent="0.2">
      <c r="A4421" s="116">
        <f>IF(ISNUMBER(Tabela2[[#This Row],[CT-e/NFS]])=TRUE,(IF(B4421&gt;30000,4,IF(B4421&lt;1000,"ND",0))),"-")</f>
        <v>0</v>
      </c>
      <c r="B4421" s="116">
        <v>21962</v>
      </c>
      <c r="C4421" s="117">
        <v>45525</v>
      </c>
      <c r="D4421" s="116">
        <v>409.15</v>
      </c>
      <c r="E4421" s="117">
        <v>45534</v>
      </c>
      <c r="F4421" s="116">
        <f>COUNTIFS($A$3:A12671,A4421,$B$3:B12671,B4421)</f>
        <v>1</v>
      </c>
      <c r="G4421" s="116"/>
    </row>
    <row r="4422" spans="1:7" x14ac:dyDescent="0.2">
      <c r="A4422" s="116">
        <f>IF(ISNUMBER(Tabela2[[#This Row],[CT-e/NFS]])=TRUE,(IF(B4422&gt;30000,4,IF(B4422&lt;1000,"ND",0))),"-")</f>
        <v>0</v>
      </c>
      <c r="B4422" s="116">
        <v>21966</v>
      </c>
      <c r="C4422" s="117">
        <v>45525</v>
      </c>
      <c r="D4422" s="116">
        <v>76.349999999999994</v>
      </c>
      <c r="E4422" s="117">
        <v>45534</v>
      </c>
      <c r="F4422" s="116">
        <f>COUNTIFS($A$3:A12672,A4422,$B$3:B12672,B4422)</f>
        <v>1</v>
      </c>
      <c r="G4422" s="116"/>
    </row>
    <row r="4423" spans="1:7" x14ac:dyDescent="0.2">
      <c r="A4423" s="116">
        <f>IF(ISNUMBER(Tabela2[[#This Row],[CT-e/NFS]])=TRUE,(IF(B4423&gt;30000,4,IF(B4423&lt;1000,"ND",0))),"-")</f>
        <v>0</v>
      </c>
      <c r="B4423" s="116">
        <v>21961</v>
      </c>
      <c r="C4423" s="117">
        <v>45525</v>
      </c>
      <c r="D4423" s="116">
        <v>76.3</v>
      </c>
      <c r="E4423" s="117">
        <v>45534</v>
      </c>
      <c r="F4423" s="116">
        <f>COUNTIFS($A$3:A12673,A4423,$B$3:B12673,B4423)</f>
        <v>1</v>
      </c>
      <c r="G4423" s="116"/>
    </row>
    <row r="4424" spans="1:7" x14ac:dyDescent="0.2">
      <c r="A4424" s="116">
        <f>IF(ISNUMBER(Tabela2[[#This Row],[CT-e/NFS]])=TRUE,(IF(B4424&gt;30000,4,IF(B4424&lt;1000,"ND",0))),"-")</f>
        <v>0</v>
      </c>
      <c r="B4424" s="116">
        <v>21960</v>
      </c>
      <c r="C4424" s="117">
        <v>45525</v>
      </c>
      <c r="D4424" s="116">
        <v>77.55</v>
      </c>
      <c r="E4424" s="117">
        <v>45534</v>
      </c>
      <c r="F4424" s="116">
        <f>COUNTIFS($A$3:A12674,A4424,$B$3:B12674,B4424)</f>
        <v>1</v>
      </c>
      <c r="G4424" s="116"/>
    </row>
    <row r="4425" spans="1:7" x14ac:dyDescent="0.2">
      <c r="A4425" s="116">
        <f>IF(ISNUMBER(Tabela2[[#This Row],[CT-e/NFS]])=TRUE,(IF(B4425&gt;30000,4,IF(B4425&lt;1000,"ND",0))),"-")</f>
        <v>0</v>
      </c>
      <c r="B4425" s="116">
        <v>21957</v>
      </c>
      <c r="C4425" s="117">
        <v>45525</v>
      </c>
      <c r="D4425" s="116">
        <v>77.290000000000006</v>
      </c>
      <c r="E4425" s="117">
        <v>45534</v>
      </c>
      <c r="F4425" s="116">
        <f>COUNTIFS($A$3:A12675,A4425,$B$3:B12675,B4425)</f>
        <v>1</v>
      </c>
      <c r="G4425" s="116"/>
    </row>
    <row r="4426" spans="1:7" x14ac:dyDescent="0.2">
      <c r="A4426" s="116">
        <f>IF(ISNUMBER(Tabela2[[#This Row],[CT-e/NFS]])=TRUE,(IF(B4426&gt;30000,4,IF(B4426&lt;1000,"ND",0))),"-")</f>
        <v>0</v>
      </c>
      <c r="B4426" s="116">
        <v>21956</v>
      </c>
      <c r="C4426" s="117">
        <v>45525</v>
      </c>
      <c r="D4426" s="116">
        <v>162.80000000000001</v>
      </c>
      <c r="E4426" s="117">
        <v>45534</v>
      </c>
      <c r="F4426" s="116">
        <f>COUNTIFS($A$3:A12676,A4426,$B$3:B12676,B4426)</f>
        <v>1</v>
      </c>
      <c r="G4426" s="116"/>
    </row>
    <row r="4427" spans="1:7" x14ac:dyDescent="0.2">
      <c r="A4427" s="116">
        <f>IF(ISNUMBER(Tabela2[[#This Row],[CT-e/NFS]])=TRUE,(IF(B4427&gt;30000,4,IF(B4427&lt;1000,"ND",0))),"-")</f>
        <v>0</v>
      </c>
      <c r="B4427" s="116">
        <v>21959</v>
      </c>
      <c r="C4427" s="117">
        <v>45525</v>
      </c>
      <c r="D4427" s="116">
        <v>128.04</v>
      </c>
      <c r="E4427" s="117">
        <v>45534</v>
      </c>
      <c r="F4427" s="116">
        <f>COUNTIFS($A$3:A12677,A4427,$B$3:B12677,B4427)</f>
        <v>1</v>
      </c>
      <c r="G4427" s="116"/>
    </row>
    <row r="4428" spans="1:7" x14ac:dyDescent="0.2">
      <c r="A4428" s="116">
        <f>IF(ISNUMBER(Tabela2[[#This Row],[CT-e/NFS]])=TRUE,(IF(B4428&gt;30000,4,IF(B4428&lt;1000,"ND",0))),"-")</f>
        <v>4</v>
      </c>
      <c r="B4428" s="116">
        <v>48648</v>
      </c>
      <c r="C4428" s="117">
        <v>45525</v>
      </c>
      <c r="D4428" s="116">
        <v>396.44</v>
      </c>
      <c r="E4428" s="117">
        <v>45534</v>
      </c>
      <c r="F4428" s="116">
        <f>COUNTIFS($A$3:A12678,A4428,$B$3:B12678,B4428)</f>
        <v>1</v>
      </c>
      <c r="G4428" s="116"/>
    </row>
    <row r="4429" spans="1:7" x14ac:dyDescent="0.2">
      <c r="A4429" s="116">
        <f>IF(ISNUMBER(Tabela2[[#This Row],[CT-e/NFS]])=TRUE,(IF(B4429&gt;30000,4,IF(B4429&lt;1000,"ND",0))),"-")</f>
        <v>4</v>
      </c>
      <c r="B4429" s="116">
        <v>48660</v>
      </c>
      <c r="C4429" s="117">
        <v>45525</v>
      </c>
      <c r="D4429" s="116">
        <v>304.35000000000002</v>
      </c>
      <c r="E4429" s="117">
        <v>45534</v>
      </c>
      <c r="F4429" s="116">
        <f>COUNTIFS($A$3:A12679,A4429,$B$3:B12679,B4429)</f>
        <v>1</v>
      </c>
      <c r="G4429" s="116"/>
    </row>
    <row r="4430" spans="1:7" x14ac:dyDescent="0.2">
      <c r="A4430" s="116">
        <f>IF(ISNUMBER(Tabela2[[#This Row],[CT-e/NFS]])=TRUE,(IF(B4430&gt;30000,4,IF(B4430&lt;1000,"ND",0))),"-")</f>
        <v>4</v>
      </c>
      <c r="B4430" s="116">
        <v>48661</v>
      </c>
      <c r="C4430" s="117">
        <v>45525</v>
      </c>
      <c r="D4430" s="116">
        <v>304.35000000000002</v>
      </c>
      <c r="E4430" s="117">
        <v>45534</v>
      </c>
      <c r="F4430" s="116">
        <f>COUNTIFS($A$3:A12680,A4430,$B$3:B12680,B4430)</f>
        <v>1</v>
      </c>
      <c r="G4430" s="116"/>
    </row>
    <row r="4431" spans="1:7" x14ac:dyDescent="0.2">
      <c r="A4431" s="116">
        <f>IF(ISNUMBER(Tabela2[[#This Row],[CT-e/NFS]])=TRUE,(IF(B4431&gt;30000,4,IF(B4431&lt;1000,"ND",0))),"-")</f>
        <v>4</v>
      </c>
      <c r="B4431" s="116">
        <v>48662</v>
      </c>
      <c r="C4431" s="117">
        <v>45525</v>
      </c>
      <c r="D4431" s="116">
        <v>529.03</v>
      </c>
      <c r="E4431" s="117">
        <v>45534</v>
      </c>
      <c r="F4431" s="116">
        <f>COUNTIFS($A$3:A12681,A4431,$B$3:B12681,B4431)</f>
        <v>1</v>
      </c>
      <c r="G4431" s="116"/>
    </row>
    <row r="4432" spans="1:7" x14ac:dyDescent="0.2">
      <c r="A4432" s="116">
        <f>IF(ISNUMBER(Tabela2[[#This Row],[CT-e/NFS]])=TRUE,(IF(B4432&gt;30000,4,IF(B4432&lt;1000,"ND",0))),"-")</f>
        <v>4</v>
      </c>
      <c r="B4432" s="116">
        <v>48678</v>
      </c>
      <c r="C4432" s="117">
        <v>45525</v>
      </c>
      <c r="D4432" s="116">
        <v>714.4</v>
      </c>
      <c r="E4432" s="117">
        <v>45534</v>
      </c>
      <c r="F4432" s="116">
        <f>COUNTIFS($A$3:A12682,A4432,$B$3:B12682,B4432)</f>
        <v>1</v>
      </c>
      <c r="G4432" s="116"/>
    </row>
    <row r="4433" spans="1:7" x14ac:dyDescent="0.2">
      <c r="A4433" s="116">
        <f>IF(ISNUMBER(Tabela2[[#This Row],[CT-e/NFS]])=TRUE,(IF(B4433&gt;30000,4,IF(B4433&lt;1000,"ND",0))),"-")</f>
        <v>4</v>
      </c>
      <c r="B4433" s="116">
        <v>48679</v>
      </c>
      <c r="C4433" s="117">
        <v>45525</v>
      </c>
      <c r="D4433" s="116">
        <v>124.03</v>
      </c>
      <c r="E4433" s="117">
        <v>45534</v>
      </c>
      <c r="F4433" s="116">
        <f>COUNTIFS($A$3:A12683,A4433,$B$3:B12683,B4433)</f>
        <v>1</v>
      </c>
      <c r="G4433" s="116"/>
    </row>
    <row r="4434" spans="1:7" x14ac:dyDescent="0.2">
      <c r="A4434" s="116">
        <f>IF(ISNUMBER(Tabela2[[#This Row],[CT-e/NFS]])=TRUE,(IF(B4434&gt;30000,4,IF(B4434&lt;1000,"ND",0))),"-")</f>
        <v>4</v>
      </c>
      <c r="B4434" s="116">
        <v>48676</v>
      </c>
      <c r="C4434" s="117">
        <v>45525</v>
      </c>
      <c r="D4434" s="116">
        <v>125.67</v>
      </c>
      <c r="E4434" s="117">
        <v>45534</v>
      </c>
      <c r="F4434" s="116">
        <f>COUNTIFS($A$3:A12684,A4434,$B$3:B12684,B4434)</f>
        <v>1</v>
      </c>
      <c r="G4434" s="116"/>
    </row>
    <row r="4435" spans="1:7" x14ac:dyDescent="0.2">
      <c r="A4435" s="116">
        <f>IF(ISNUMBER(Tabela2[[#This Row],[CT-e/NFS]])=TRUE,(IF(B4435&gt;30000,4,IF(B4435&lt;1000,"ND",0))),"-")</f>
        <v>4</v>
      </c>
      <c r="B4435" s="116">
        <v>48680</v>
      </c>
      <c r="C4435" s="117">
        <v>45525</v>
      </c>
      <c r="D4435" s="116">
        <v>124.18</v>
      </c>
      <c r="E4435" s="117">
        <v>45534</v>
      </c>
      <c r="F4435" s="116">
        <f>COUNTIFS($A$3:A12685,A4435,$B$3:B12685,B4435)</f>
        <v>1</v>
      </c>
      <c r="G4435" s="116"/>
    </row>
    <row r="4436" spans="1:7" x14ac:dyDescent="0.2">
      <c r="A4436" s="116">
        <f>IF(ISNUMBER(Tabela2[[#This Row],[CT-e/NFS]])=TRUE,(IF(B4436&gt;30000,4,IF(B4436&lt;1000,"ND",0))),"-")</f>
        <v>4</v>
      </c>
      <c r="B4436" s="116">
        <v>48677</v>
      </c>
      <c r="C4436" s="117">
        <v>45525</v>
      </c>
      <c r="D4436" s="116">
        <v>137.94</v>
      </c>
      <c r="E4436" s="117">
        <v>45534</v>
      </c>
      <c r="F4436" s="116">
        <f>COUNTIFS($A$3:A12686,A4436,$B$3:B12686,B4436)</f>
        <v>1</v>
      </c>
      <c r="G4436" s="116"/>
    </row>
    <row r="4437" spans="1:7" x14ac:dyDescent="0.2">
      <c r="A4437" s="116">
        <f>IF(ISNUMBER(Tabela2[[#This Row],[CT-e/NFS]])=TRUE,(IF(B4437&gt;30000,4,IF(B4437&lt;1000,"ND",0))),"-")</f>
        <v>4</v>
      </c>
      <c r="B4437" s="116">
        <v>48670</v>
      </c>
      <c r="C4437" s="117">
        <v>45525</v>
      </c>
      <c r="D4437" s="116">
        <v>838.76</v>
      </c>
      <c r="E4437" s="117">
        <v>45534</v>
      </c>
      <c r="F4437" s="116">
        <f>COUNTIFS($A$3:A12687,A4437,$B$3:B12687,B4437)</f>
        <v>1</v>
      </c>
      <c r="G4437" s="116"/>
    </row>
    <row r="4438" spans="1:7" x14ac:dyDescent="0.2">
      <c r="A4438" s="116">
        <f>IF(ISNUMBER(Tabela2[[#This Row],[CT-e/NFS]])=TRUE,(IF(B4438&gt;30000,4,IF(B4438&lt;1000,"ND",0))),"-")</f>
        <v>4</v>
      </c>
      <c r="B4438" s="116">
        <v>48664</v>
      </c>
      <c r="C4438" s="117">
        <v>45525</v>
      </c>
      <c r="D4438" s="116">
        <v>122.89</v>
      </c>
      <c r="E4438" s="117">
        <v>45534</v>
      </c>
      <c r="F4438" s="116">
        <f>COUNTIFS($A$3:A12688,A4438,$B$3:B12688,B4438)</f>
        <v>1</v>
      </c>
      <c r="G4438" s="116"/>
    </row>
    <row r="4439" spans="1:7" x14ac:dyDescent="0.2">
      <c r="A4439" s="116">
        <f>IF(ISNUMBER(Tabela2[[#This Row],[CT-e/NFS]])=TRUE,(IF(B4439&gt;30000,4,IF(B4439&lt;1000,"ND",0))),"-")</f>
        <v>4</v>
      </c>
      <c r="B4439" s="116">
        <v>48665</v>
      </c>
      <c r="C4439" s="117">
        <v>45525</v>
      </c>
      <c r="D4439" s="116">
        <v>165.41</v>
      </c>
      <c r="E4439" s="117">
        <v>45534</v>
      </c>
      <c r="F4439" s="116">
        <f>COUNTIFS($A$3:A12689,A4439,$B$3:B12689,B4439)</f>
        <v>1</v>
      </c>
      <c r="G4439" s="116"/>
    </row>
    <row r="4440" spans="1:7" x14ac:dyDescent="0.2">
      <c r="A4440" s="116">
        <f>IF(ISNUMBER(Tabela2[[#This Row],[CT-e/NFS]])=TRUE,(IF(B4440&gt;30000,4,IF(B4440&lt;1000,"ND",0))),"-")</f>
        <v>4</v>
      </c>
      <c r="B4440" s="116">
        <v>48663</v>
      </c>
      <c r="C4440" s="117">
        <v>45525</v>
      </c>
      <c r="D4440" s="116">
        <v>122.89</v>
      </c>
      <c r="E4440" s="117">
        <v>45534</v>
      </c>
      <c r="F4440" s="116">
        <f>COUNTIFS($A$3:A12690,A4440,$B$3:B12690,B4440)</f>
        <v>1</v>
      </c>
      <c r="G4440" s="116"/>
    </row>
    <row r="4441" spans="1:7" x14ac:dyDescent="0.2">
      <c r="A4441" s="116">
        <f>IF(ISNUMBER(Tabela2[[#This Row],[CT-e/NFS]])=TRUE,(IF(B4441&gt;30000,4,IF(B4441&lt;1000,"ND",0))),"-")</f>
        <v>4</v>
      </c>
      <c r="B4441" s="116">
        <v>48668</v>
      </c>
      <c r="C4441" s="117">
        <v>45525</v>
      </c>
      <c r="D4441" s="116">
        <v>123.93</v>
      </c>
      <c r="E4441" s="117">
        <v>45534</v>
      </c>
      <c r="F4441" s="116">
        <f>COUNTIFS($A$3:A12691,A4441,$B$3:B12691,B4441)</f>
        <v>1</v>
      </c>
      <c r="G4441" s="116"/>
    </row>
    <row r="4442" spans="1:7" x14ac:dyDescent="0.2">
      <c r="A4442" s="116">
        <f>IF(ISNUMBER(Tabela2[[#This Row],[CT-e/NFS]])=TRUE,(IF(B4442&gt;30000,4,IF(B4442&lt;1000,"ND",0))),"-")</f>
        <v>4</v>
      </c>
      <c r="B4442" s="116">
        <v>48685</v>
      </c>
      <c r="C4442" s="117">
        <v>45525</v>
      </c>
      <c r="D4442" s="116">
        <v>216.77</v>
      </c>
      <c r="E4442" s="117">
        <v>45534</v>
      </c>
      <c r="F4442" s="116">
        <f>COUNTIFS($A$3:A12692,A4442,$B$3:B12692,B4442)</f>
        <v>1</v>
      </c>
      <c r="G4442" s="116"/>
    </row>
    <row r="4443" spans="1:7" x14ac:dyDescent="0.2">
      <c r="A4443" s="116">
        <f>IF(ISNUMBER(Tabela2[[#This Row],[CT-e/NFS]])=TRUE,(IF(B4443&gt;30000,4,IF(B4443&lt;1000,"ND",0))),"-")</f>
        <v>4</v>
      </c>
      <c r="B4443" s="116">
        <v>48669</v>
      </c>
      <c r="C4443" s="117">
        <v>45525</v>
      </c>
      <c r="D4443" s="116">
        <v>1245.6099999999999</v>
      </c>
      <c r="E4443" s="117">
        <v>45534</v>
      </c>
      <c r="F4443" s="116">
        <f>COUNTIFS($A$3:A12693,A4443,$B$3:B12693,B4443)</f>
        <v>1</v>
      </c>
      <c r="G4443" s="116"/>
    </row>
    <row r="4444" spans="1:7" x14ac:dyDescent="0.2">
      <c r="A4444" s="116">
        <f>IF(ISNUMBER(Tabela2[[#This Row],[CT-e/NFS]])=TRUE,(IF(B4444&gt;30000,4,IF(B4444&lt;1000,"ND",0))),"-")</f>
        <v>4</v>
      </c>
      <c r="B4444" s="116">
        <v>48666</v>
      </c>
      <c r="C4444" s="117">
        <v>45525</v>
      </c>
      <c r="D4444" s="116">
        <v>124.55</v>
      </c>
      <c r="E4444" s="117">
        <v>45534</v>
      </c>
      <c r="F4444" s="116">
        <f>COUNTIFS($A$3:A12694,A4444,$B$3:B12694,B4444)</f>
        <v>1</v>
      </c>
      <c r="G4444" s="116"/>
    </row>
    <row r="4445" spans="1:7" x14ac:dyDescent="0.2">
      <c r="A4445" s="116">
        <f>IF(ISNUMBER(Tabela2[[#This Row],[CT-e/NFS]])=TRUE,(IF(B4445&gt;30000,4,IF(B4445&lt;1000,"ND",0))),"-")</f>
        <v>4</v>
      </c>
      <c r="B4445" s="116">
        <v>48667</v>
      </c>
      <c r="C4445" s="117">
        <v>45525</v>
      </c>
      <c r="D4445" s="116">
        <v>122.92</v>
      </c>
      <c r="E4445" s="117">
        <v>45534</v>
      </c>
      <c r="F4445" s="116">
        <f>COUNTIFS($A$3:A12695,A4445,$B$3:B12695,B4445)</f>
        <v>1</v>
      </c>
      <c r="G4445" s="116"/>
    </row>
    <row r="4446" spans="1:7" x14ac:dyDescent="0.2">
      <c r="A4446" s="116">
        <f>IF(ISNUMBER(Tabela2[[#This Row],[CT-e/NFS]])=TRUE,(IF(B4446&gt;30000,4,IF(B4446&lt;1000,"ND",0))),"-")</f>
        <v>4</v>
      </c>
      <c r="B4446" s="116">
        <v>48683</v>
      </c>
      <c r="C4446" s="117">
        <v>45525</v>
      </c>
      <c r="D4446" s="116">
        <v>62.77</v>
      </c>
      <c r="E4446" s="117">
        <v>45534</v>
      </c>
      <c r="F4446" s="116">
        <f>COUNTIFS($A$3:A12696,A4446,$B$3:B12696,B4446)</f>
        <v>1</v>
      </c>
      <c r="G4446" s="116"/>
    </row>
    <row r="4447" spans="1:7" x14ac:dyDescent="0.2">
      <c r="A4447" s="116">
        <f>IF(ISNUMBER(Tabela2[[#This Row],[CT-e/NFS]])=TRUE,(IF(B4447&gt;30000,4,IF(B4447&lt;1000,"ND",0))),"-")</f>
        <v>4</v>
      </c>
      <c r="B4447" s="116">
        <v>48684</v>
      </c>
      <c r="C4447" s="117">
        <v>45525</v>
      </c>
      <c r="D4447" s="116">
        <v>113.28</v>
      </c>
      <c r="E4447" s="117">
        <v>45534</v>
      </c>
      <c r="F4447" s="116">
        <f>COUNTIFS($A$3:A12697,A4447,$B$3:B12697,B4447)</f>
        <v>1</v>
      </c>
      <c r="G4447" s="116"/>
    </row>
    <row r="4448" spans="1:7" x14ac:dyDescent="0.2">
      <c r="A4448" s="116">
        <f>IF(ISNUMBER(Tabela2[[#This Row],[CT-e/NFS]])=TRUE,(IF(B4448&gt;30000,4,IF(B4448&lt;1000,"ND",0))),"-")</f>
        <v>4</v>
      </c>
      <c r="B4448" s="116">
        <v>48674</v>
      </c>
      <c r="C4448" s="117">
        <v>45525</v>
      </c>
      <c r="D4448" s="116">
        <v>168.14</v>
      </c>
      <c r="E4448" s="117">
        <v>45534</v>
      </c>
      <c r="F4448" s="116">
        <f>COUNTIFS($A$3:A12698,A4448,$B$3:B12698,B4448)</f>
        <v>1</v>
      </c>
      <c r="G4448" s="116"/>
    </row>
    <row r="4449" spans="1:7" x14ac:dyDescent="0.2">
      <c r="A4449" s="116">
        <f>IF(ISNUMBER(Tabela2[[#This Row],[CT-e/NFS]])=TRUE,(IF(B4449&gt;30000,4,IF(B4449&lt;1000,"ND",0))),"-")</f>
        <v>4</v>
      </c>
      <c r="B4449" s="116">
        <v>48672</v>
      </c>
      <c r="C4449" s="117">
        <v>45525</v>
      </c>
      <c r="D4449" s="116">
        <v>231.08</v>
      </c>
      <c r="E4449" s="117">
        <v>45534</v>
      </c>
      <c r="F4449" s="116">
        <f>COUNTIFS($A$3:A12699,A4449,$B$3:B12699,B4449)</f>
        <v>1</v>
      </c>
      <c r="G4449" s="116"/>
    </row>
    <row r="4450" spans="1:7" x14ac:dyDescent="0.2">
      <c r="A4450" s="116">
        <f>IF(ISNUMBER(Tabela2[[#This Row],[CT-e/NFS]])=TRUE,(IF(B4450&gt;30000,4,IF(B4450&lt;1000,"ND",0))),"-")</f>
        <v>4</v>
      </c>
      <c r="B4450" s="116">
        <v>48673</v>
      </c>
      <c r="C4450" s="117">
        <v>45525</v>
      </c>
      <c r="D4450" s="116">
        <v>122.89</v>
      </c>
      <c r="E4450" s="117">
        <v>45534</v>
      </c>
      <c r="F4450" s="116">
        <f>COUNTIFS($A$3:A12700,A4450,$B$3:B12700,B4450)</f>
        <v>1</v>
      </c>
      <c r="G4450" s="116"/>
    </row>
    <row r="4451" spans="1:7" x14ac:dyDescent="0.2">
      <c r="A4451" s="116">
        <f>IF(ISNUMBER(Tabela2[[#This Row],[CT-e/NFS]])=TRUE,(IF(B4451&gt;30000,4,IF(B4451&lt;1000,"ND",0))),"-")</f>
        <v>4</v>
      </c>
      <c r="B4451" s="116">
        <v>48671</v>
      </c>
      <c r="C4451" s="117">
        <v>45525</v>
      </c>
      <c r="D4451" s="116">
        <v>246.33</v>
      </c>
      <c r="E4451" s="117">
        <v>45534</v>
      </c>
      <c r="F4451" s="116">
        <f>COUNTIFS($A$3:A12701,A4451,$B$3:B12701,B4451)</f>
        <v>1</v>
      </c>
      <c r="G4451" s="116"/>
    </row>
    <row r="4452" spans="1:7" x14ac:dyDescent="0.2">
      <c r="A4452" s="116">
        <f>IF(ISNUMBER(Tabela2[[#This Row],[CT-e/NFS]])=TRUE,(IF(B4452&gt;30000,4,IF(B4452&lt;1000,"ND",0))),"-")</f>
        <v>0</v>
      </c>
      <c r="B4452" s="116">
        <v>21951</v>
      </c>
      <c r="C4452" s="117">
        <v>45525</v>
      </c>
      <c r="D4452" s="116">
        <v>76.8</v>
      </c>
      <c r="E4452" s="117">
        <v>45534</v>
      </c>
      <c r="F4452" s="116">
        <f>COUNTIFS($A$3:A12702,A4452,$B$3:B12702,B4452)</f>
        <v>1</v>
      </c>
      <c r="G4452" s="116"/>
    </row>
    <row r="4453" spans="1:7" x14ac:dyDescent="0.2">
      <c r="A4453" s="116">
        <f>IF(ISNUMBER(Tabela2[[#This Row],[CT-e/NFS]])=TRUE,(IF(B4453&gt;30000,4,IF(B4453&lt;1000,"ND",0))),"-")</f>
        <v>4</v>
      </c>
      <c r="B4453" s="116">
        <v>48659</v>
      </c>
      <c r="C4453" s="117">
        <v>45525</v>
      </c>
      <c r="D4453" s="116">
        <v>512.32000000000005</v>
      </c>
      <c r="E4453" s="117">
        <v>45534</v>
      </c>
      <c r="F4453" s="116">
        <f>COUNTIFS($A$3:A12703,A4453,$B$3:B12703,B4453)</f>
        <v>1</v>
      </c>
      <c r="G4453" s="116"/>
    </row>
    <row r="4454" spans="1:7" x14ac:dyDescent="0.2">
      <c r="A4454" s="116">
        <f>IF(ISNUMBER(Tabela2[[#This Row],[CT-e/NFS]])=TRUE,(IF(B4454&gt;30000,4,IF(B4454&lt;1000,"ND",0))),"-")</f>
        <v>0</v>
      </c>
      <c r="B4454" s="116">
        <v>21969</v>
      </c>
      <c r="C4454" s="117">
        <v>45525</v>
      </c>
      <c r="D4454" s="116">
        <v>75.709999999999994</v>
      </c>
      <c r="E4454" s="117">
        <v>45534</v>
      </c>
      <c r="F4454" s="116">
        <f>COUNTIFS($A$3:A12704,A4454,$B$3:B12704,B4454)</f>
        <v>1</v>
      </c>
      <c r="G4454" s="116"/>
    </row>
    <row r="4455" spans="1:7" x14ac:dyDescent="0.2">
      <c r="A4455" s="116">
        <f>IF(ISNUMBER(Tabela2[[#This Row],[CT-e/NFS]])=TRUE,(IF(B4455&gt;30000,4,IF(B4455&lt;1000,"ND",0))),"-")</f>
        <v>0</v>
      </c>
      <c r="B4455" s="116">
        <v>21970</v>
      </c>
      <c r="C4455" s="117">
        <v>45525</v>
      </c>
      <c r="D4455" s="116">
        <v>75.81</v>
      </c>
      <c r="E4455" s="117">
        <v>45534</v>
      </c>
      <c r="F4455" s="116">
        <f>COUNTIFS($A$3:A12705,A4455,$B$3:B12705,B4455)</f>
        <v>1</v>
      </c>
      <c r="G4455" s="116"/>
    </row>
    <row r="4456" spans="1:7" x14ac:dyDescent="0.2">
      <c r="A4456" s="116">
        <f>IF(ISNUMBER(Tabela2[[#This Row],[CT-e/NFS]])=TRUE,(IF(B4456&gt;30000,4,IF(B4456&lt;1000,"ND",0))),"-")</f>
        <v>4</v>
      </c>
      <c r="B4456" s="116">
        <v>48691</v>
      </c>
      <c r="C4456" s="117">
        <v>45525</v>
      </c>
      <c r="D4456" s="116">
        <v>1466.95</v>
      </c>
      <c r="E4456" s="117">
        <v>45534</v>
      </c>
      <c r="F4456" s="116">
        <f>COUNTIFS($A$3:A12706,A4456,$B$3:B12706,B4456)</f>
        <v>1</v>
      </c>
      <c r="G4456" s="116"/>
    </row>
    <row r="4457" spans="1:7" x14ac:dyDescent="0.2">
      <c r="A4457" s="116">
        <f>IF(ISNUMBER(Tabela2[[#This Row],[CT-e/NFS]])=TRUE,(IF(B4457&gt;30000,4,IF(B4457&lt;1000,"ND",0))),"-")</f>
        <v>4</v>
      </c>
      <c r="B4457" s="116">
        <v>48690</v>
      </c>
      <c r="C4457" s="117">
        <v>45525</v>
      </c>
      <c r="D4457" s="116">
        <v>291.33999999999997</v>
      </c>
      <c r="E4457" s="117">
        <v>45534</v>
      </c>
      <c r="F4457" s="116">
        <f>COUNTIFS($A$3:A12707,A4457,$B$3:B12707,B4457)</f>
        <v>1</v>
      </c>
      <c r="G4457" s="116"/>
    </row>
    <row r="4458" spans="1:7" x14ac:dyDescent="0.2">
      <c r="A4458" s="116">
        <f>IF(ISNUMBER(Tabela2[[#This Row],[CT-e/NFS]])=TRUE,(IF(B4458&gt;30000,4,IF(B4458&lt;1000,"ND",0))),"-")</f>
        <v>4</v>
      </c>
      <c r="B4458" s="116">
        <v>48675</v>
      </c>
      <c r="C4458" s="117">
        <v>45525</v>
      </c>
      <c r="D4458" s="116">
        <v>165.7</v>
      </c>
      <c r="E4458" s="117">
        <v>45534</v>
      </c>
      <c r="F4458" s="116">
        <f>COUNTIFS($A$3:A12708,A4458,$B$3:B12708,B4458)</f>
        <v>1</v>
      </c>
      <c r="G4458" s="116"/>
    </row>
    <row r="4459" spans="1:7" x14ac:dyDescent="0.2">
      <c r="A4459" s="116">
        <f>IF(ISNUMBER(Tabela2[[#This Row],[CT-e/NFS]])=TRUE,(IF(B4459&gt;30000,4,IF(B4459&lt;1000,"ND",0))),"-")</f>
        <v>4</v>
      </c>
      <c r="B4459" s="116">
        <v>48710</v>
      </c>
      <c r="C4459" s="117">
        <v>45525</v>
      </c>
      <c r="D4459" s="116">
        <v>82.84</v>
      </c>
      <c r="E4459" s="117">
        <v>45534</v>
      </c>
      <c r="F4459" s="116">
        <f>COUNTIFS($A$3:A12709,A4459,$B$3:B12709,B4459)</f>
        <v>1</v>
      </c>
      <c r="G4459" s="116"/>
    </row>
    <row r="4460" spans="1:7" x14ac:dyDescent="0.2">
      <c r="A4460" s="116">
        <f>IF(ISNUMBER(Tabela2[[#This Row],[CT-e/NFS]])=TRUE,(IF(B4460&gt;30000,4,IF(B4460&lt;1000,"ND",0))),"-")</f>
        <v>4</v>
      </c>
      <c r="B4460" s="116">
        <v>48696</v>
      </c>
      <c r="C4460" s="117">
        <v>45525</v>
      </c>
      <c r="D4460" s="116">
        <v>124.28</v>
      </c>
      <c r="E4460" s="117">
        <v>45534</v>
      </c>
      <c r="F4460" s="116">
        <f>COUNTIFS($A$3:A12710,A4460,$B$3:B12710,B4460)</f>
        <v>1</v>
      </c>
      <c r="G4460" s="116"/>
    </row>
    <row r="4461" spans="1:7" x14ac:dyDescent="0.2">
      <c r="A4461" s="116">
        <f>IF(ISNUMBER(Tabela2[[#This Row],[CT-e/NFS]])=TRUE,(IF(B4461&gt;30000,4,IF(B4461&lt;1000,"ND",0))),"-")</f>
        <v>4</v>
      </c>
      <c r="B4461" s="116">
        <v>48694</v>
      </c>
      <c r="C4461" s="117">
        <v>45525</v>
      </c>
      <c r="D4461" s="116">
        <v>124.3</v>
      </c>
      <c r="E4461" s="117">
        <v>45534</v>
      </c>
      <c r="F4461" s="116">
        <f>COUNTIFS($A$3:A12711,A4461,$B$3:B12711,B4461)</f>
        <v>1</v>
      </c>
      <c r="G4461" s="116"/>
    </row>
    <row r="4462" spans="1:7" x14ac:dyDescent="0.2">
      <c r="A4462" s="116">
        <f>IF(ISNUMBER(Tabela2[[#This Row],[CT-e/NFS]])=TRUE,(IF(B4462&gt;30000,4,IF(B4462&lt;1000,"ND",0))),"-")</f>
        <v>4</v>
      </c>
      <c r="B4462" s="116">
        <v>48692</v>
      </c>
      <c r="C4462" s="117">
        <v>45525</v>
      </c>
      <c r="D4462" s="116">
        <v>124.15</v>
      </c>
      <c r="E4462" s="117">
        <v>45534</v>
      </c>
      <c r="F4462" s="116">
        <f>COUNTIFS($A$3:A12712,A4462,$B$3:B12712,B4462)</f>
        <v>1</v>
      </c>
      <c r="G4462" s="116"/>
    </row>
    <row r="4463" spans="1:7" x14ac:dyDescent="0.2">
      <c r="A4463" s="116">
        <f>IF(ISNUMBER(Tabela2[[#This Row],[CT-e/NFS]])=TRUE,(IF(B4463&gt;30000,4,IF(B4463&lt;1000,"ND",0))),"-")</f>
        <v>4</v>
      </c>
      <c r="B4463" s="116">
        <v>48695</v>
      </c>
      <c r="C4463" s="117">
        <v>45525</v>
      </c>
      <c r="D4463" s="116">
        <v>124.53</v>
      </c>
      <c r="E4463" s="117">
        <v>45534</v>
      </c>
      <c r="F4463" s="116">
        <f>COUNTIFS($A$3:A12713,A4463,$B$3:B12713,B4463)</f>
        <v>1</v>
      </c>
      <c r="G4463" s="116"/>
    </row>
    <row r="4464" spans="1:7" x14ac:dyDescent="0.2">
      <c r="A4464" s="116">
        <f>IF(ISNUMBER(Tabela2[[#This Row],[CT-e/NFS]])=TRUE,(IF(B4464&gt;30000,4,IF(B4464&lt;1000,"ND",0))),"-")</f>
        <v>4</v>
      </c>
      <c r="B4464" s="116">
        <v>48709</v>
      </c>
      <c r="C4464" s="117">
        <v>45525</v>
      </c>
      <c r="D4464" s="116">
        <v>111.91</v>
      </c>
      <c r="E4464" s="117">
        <v>45534</v>
      </c>
      <c r="F4464" s="116">
        <f>COUNTIFS($A$3:A12714,A4464,$B$3:B12714,B4464)</f>
        <v>1</v>
      </c>
      <c r="G4464" s="116"/>
    </row>
    <row r="4465" spans="1:7" x14ac:dyDescent="0.2">
      <c r="A4465" s="116">
        <f>IF(ISNUMBER(Tabela2[[#This Row],[CT-e/NFS]])=TRUE,(IF(B4465&gt;30000,4,IF(B4465&lt;1000,"ND",0))),"-")</f>
        <v>4</v>
      </c>
      <c r="B4465" s="116">
        <v>48693</v>
      </c>
      <c r="C4465" s="117">
        <v>45525</v>
      </c>
      <c r="D4465" s="116">
        <v>124.1</v>
      </c>
      <c r="E4465" s="117">
        <v>45534</v>
      </c>
      <c r="F4465" s="116">
        <f>COUNTIFS($A$3:A12715,A4465,$B$3:B12715,B4465)</f>
        <v>1</v>
      </c>
      <c r="G4465" s="116"/>
    </row>
    <row r="4466" spans="1:7" x14ac:dyDescent="0.2">
      <c r="A4466" s="116">
        <f>IF(ISNUMBER(Tabela2[[#This Row],[CT-e/NFS]])=TRUE,(IF(B4466&gt;30000,4,IF(B4466&lt;1000,"ND",0))),"-")</f>
        <v>4</v>
      </c>
      <c r="B4466" s="116">
        <v>48708</v>
      </c>
      <c r="C4466" s="117">
        <v>45525</v>
      </c>
      <c r="D4466" s="116">
        <v>62.09</v>
      </c>
      <c r="E4466" s="117">
        <v>45534</v>
      </c>
      <c r="F4466" s="116">
        <f>COUNTIFS($A$3:A12716,A4466,$B$3:B12716,B4466)</f>
        <v>1</v>
      </c>
      <c r="G4466" s="116"/>
    </row>
    <row r="4467" spans="1:7" x14ac:dyDescent="0.2">
      <c r="A4467" s="116">
        <f>IF(ISNUMBER(Tabela2[[#This Row],[CT-e/NFS]])=TRUE,(IF(B4467&gt;30000,4,IF(B4467&lt;1000,"ND",0))),"-")</f>
        <v>4</v>
      </c>
      <c r="B4467" s="116">
        <v>48703</v>
      </c>
      <c r="C4467" s="117">
        <v>45525</v>
      </c>
      <c r="D4467" s="116">
        <v>469.5</v>
      </c>
      <c r="E4467" s="117">
        <v>45534</v>
      </c>
      <c r="F4467" s="116">
        <f>COUNTIFS($A$3:A12717,A4467,$B$3:B12717,B4467)</f>
        <v>1</v>
      </c>
      <c r="G4467" s="116"/>
    </row>
    <row r="4468" spans="1:7" x14ac:dyDescent="0.2">
      <c r="A4468" s="116">
        <f>IF(ISNUMBER(Tabela2[[#This Row],[CT-e/NFS]])=TRUE,(IF(B4468&gt;30000,4,IF(B4468&lt;1000,"ND",0))),"-")</f>
        <v>4</v>
      </c>
      <c r="B4468" s="116">
        <v>48702</v>
      </c>
      <c r="C4468" s="117">
        <v>45525</v>
      </c>
      <c r="D4468" s="116">
        <v>243.8</v>
      </c>
      <c r="E4468" s="117">
        <v>45534</v>
      </c>
      <c r="F4468" s="116">
        <f>COUNTIFS($A$3:A12718,A4468,$B$3:B12718,B4468)</f>
        <v>1</v>
      </c>
      <c r="G4468" s="116"/>
    </row>
    <row r="4469" spans="1:7" x14ac:dyDescent="0.2">
      <c r="A4469" s="116">
        <f>IF(ISNUMBER(Tabela2[[#This Row],[CT-e/NFS]])=TRUE,(IF(B4469&gt;30000,4,IF(B4469&lt;1000,"ND",0))),"-")</f>
        <v>4</v>
      </c>
      <c r="B4469" s="116">
        <v>48701</v>
      </c>
      <c r="C4469" s="117">
        <v>45525</v>
      </c>
      <c r="D4469" s="116">
        <v>278.64999999999998</v>
      </c>
      <c r="E4469" s="117">
        <v>45534</v>
      </c>
      <c r="F4469" s="116">
        <f>COUNTIFS($A$3:A12719,A4469,$B$3:B12719,B4469)</f>
        <v>1</v>
      </c>
      <c r="G4469" s="116"/>
    </row>
    <row r="4470" spans="1:7" x14ac:dyDescent="0.2">
      <c r="A4470" s="116">
        <f>IF(ISNUMBER(Tabela2[[#This Row],[CT-e/NFS]])=TRUE,(IF(B4470&gt;30000,4,IF(B4470&lt;1000,"ND",0))),"-")</f>
        <v>4</v>
      </c>
      <c r="B4470" s="116">
        <v>48700</v>
      </c>
      <c r="C4470" s="117">
        <v>45525</v>
      </c>
      <c r="D4470" s="116">
        <v>445.85</v>
      </c>
      <c r="E4470" s="117">
        <v>45534</v>
      </c>
      <c r="F4470" s="116">
        <f>COUNTIFS($A$3:A12720,A4470,$B$3:B12720,B4470)</f>
        <v>1</v>
      </c>
      <c r="G4470" s="116"/>
    </row>
    <row r="4471" spans="1:7" x14ac:dyDescent="0.2">
      <c r="A4471" s="116">
        <f>IF(ISNUMBER(Tabela2[[#This Row],[CT-e/NFS]])=TRUE,(IF(B4471&gt;30000,4,IF(B4471&lt;1000,"ND",0))),"-")</f>
        <v>4</v>
      </c>
      <c r="B4471" s="116">
        <v>48699</v>
      </c>
      <c r="C4471" s="117">
        <v>45525</v>
      </c>
      <c r="D4471" s="116">
        <v>753.77</v>
      </c>
      <c r="E4471" s="117">
        <v>45534</v>
      </c>
      <c r="F4471" s="116">
        <f>COUNTIFS($A$3:A12721,A4471,$B$3:B12721,B4471)</f>
        <v>1</v>
      </c>
      <c r="G4471" s="116"/>
    </row>
    <row r="4472" spans="1:7" x14ac:dyDescent="0.2">
      <c r="A4472" s="116">
        <f>IF(ISNUMBER(Tabela2[[#This Row],[CT-e/NFS]])=TRUE,(IF(B4472&gt;30000,4,IF(B4472&lt;1000,"ND",0))),"-")</f>
        <v>4</v>
      </c>
      <c r="B4472" s="116">
        <v>48714</v>
      </c>
      <c r="C4472" s="117">
        <v>45525</v>
      </c>
      <c r="D4472" s="116">
        <v>122.74</v>
      </c>
      <c r="E4472" s="117">
        <v>45534</v>
      </c>
      <c r="F4472" s="116">
        <f>COUNTIFS($A$3:A12722,A4472,$B$3:B12722,B4472)</f>
        <v>1</v>
      </c>
      <c r="G4472" s="116"/>
    </row>
    <row r="4473" spans="1:7" x14ac:dyDescent="0.2">
      <c r="A4473" s="116">
        <f>IF(ISNUMBER(Tabela2[[#This Row],[CT-e/NFS]])=TRUE,(IF(B4473&gt;30000,4,IF(B4473&lt;1000,"ND",0))),"-")</f>
        <v>4</v>
      </c>
      <c r="B4473" s="116">
        <v>48712</v>
      </c>
      <c r="C4473" s="117">
        <v>45525</v>
      </c>
      <c r="D4473" s="116">
        <v>122.73</v>
      </c>
      <c r="E4473" s="117">
        <v>45534</v>
      </c>
      <c r="F4473" s="116">
        <f>COUNTIFS($A$3:A12723,A4473,$B$3:B12723,B4473)</f>
        <v>1</v>
      </c>
      <c r="G4473" s="116"/>
    </row>
    <row r="4474" spans="1:7" x14ac:dyDescent="0.2">
      <c r="A4474" s="116">
        <f>IF(ISNUMBER(Tabela2[[#This Row],[CT-e/NFS]])=TRUE,(IF(B4474&gt;30000,4,IF(B4474&lt;1000,"ND",0))),"-")</f>
        <v>4</v>
      </c>
      <c r="B4474" s="116">
        <v>48707</v>
      </c>
      <c r="C4474" s="117">
        <v>45525</v>
      </c>
      <c r="D4474" s="116">
        <v>110.61</v>
      </c>
      <c r="E4474" s="117">
        <v>45534</v>
      </c>
      <c r="F4474" s="116">
        <f>COUNTIFS($A$3:A12724,A4474,$B$3:B12724,B4474)</f>
        <v>1</v>
      </c>
      <c r="G4474" s="116"/>
    </row>
    <row r="4475" spans="1:7" x14ac:dyDescent="0.2">
      <c r="A4475" s="116">
        <f>IF(ISNUMBER(Tabela2[[#This Row],[CT-e/NFS]])=TRUE,(IF(B4475&gt;30000,4,IF(B4475&lt;1000,"ND",0))),"-")</f>
        <v>4</v>
      </c>
      <c r="B4475" s="116">
        <v>48697</v>
      </c>
      <c r="C4475" s="117">
        <v>45525</v>
      </c>
      <c r="D4475" s="116">
        <v>126.32</v>
      </c>
      <c r="E4475" s="117">
        <v>45534</v>
      </c>
      <c r="F4475" s="116">
        <f>COUNTIFS($A$3:A12725,A4475,$B$3:B12725,B4475)</f>
        <v>1</v>
      </c>
      <c r="G4475" s="116"/>
    </row>
    <row r="4476" spans="1:7" x14ac:dyDescent="0.2">
      <c r="A4476" s="116">
        <f>IF(ISNUMBER(Tabela2[[#This Row],[CT-e/NFS]])=TRUE,(IF(B4476&gt;30000,4,IF(B4476&lt;1000,"ND",0))),"-")</f>
        <v>4</v>
      </c>
      <c r="B4476" s="116">
        <v>48713</v>
      </c>
      <c r="C4476" s="117">
        <v>45525</v>
      </c>
      <c r="D4476" s="116">
        <v>122.73</v>
      </c>
      <c r="E4476" s="117">
        <v>45534</v>
      </c>
      <c r="F4476" s="116">
        <f>COUNTIFS($A$3:A12726,A4476,$B$3:B12726,B4476)</f>
        <v>1</v>
      </c>
      <c r="G4476" s="116"/>
    </row>
    <row r="4477" spans="1:7" x14ac:dyDescent="0.2">
      <c r="A4477" s="116">
        <f>IF(ISNUMBER(Tabela2[[#This Row],[CT-e/NFS]])=TRUE,(IF(B4477&gt;30000,4,IF(B4477&lt;1000,"ND",0))),"-")</f>
        <v>4</v>
      </c>
      <c r="B4477" s="116">
        <v>48698</v>
      </c>
      <c r="C4477" s="117">
        <v>45525</v>
      </c>
      <c r="D4477" s="116">
        <v>123.99</v>
      </c>
      <c r="E4477" s="117">
        <v>45534</v>
      </c>
      <c r="F4477" s="116">
        <f>COUNTIFS($A$3:A12727,A4477,$B$3:B12727,B4477)</f>
        <v>1</v>
      </c>
      <c r="G4477" s="116"/>
    </row>
    <row r="4478" spans="1:7" x14ac:dyDescent="0.2">
      <c r="A4478" s="116">
        <f>IF(ISNUMBER(Tabela2[[#This Row],[CT-e/NFS]])=TRUE,(IF(B4478&gt;30000,4,IF(B4478&lt;1000,"ND",0))),"-")</f>
        <v>4</v>
      </c>
      <c r="B4478" s="116">
        <v>48711</v>
      </c>
      <c r="C4478" s="117">
        <v>45525</v>
      </c>
      <c r="D4478" s="116">
        <v>149.65</v>
      </c>
      <c r="E4478" s="117">
        <v>45534</v>
      </c>
      <c r="F4478" s="116">
        <f>COUNTIFS($A$3:A12728,A4478,$B$3:B12728,B4478)</f>
        <v>1</v>
      </c>
      <c r="G4478" s="116"/>
    </row>
    <row r="4479" spans="1:7" x14ac:dyDescent="0.2">
      <c r="A4479" s="116">
        <f>IF(ISNUMBER(Tabela2[[#This Row],[CT-e/NFS]])=TRUE,(IF(B4479&gt;30000,4,IF(B4479&lt;1000,"ND",0))),"-")</f>
        <v>4</v>
      </c>
      <c r="B4479" s="116">
        <v>48706</v>
      </c>
      <c r="C4479" s="117">
        <v>45525</v>
      </c>
      <c r="D4479" s="116">
        <v>61.44</v>
      </c>
      <c r="E4479" s="117">
        <v>45534</v>
      </c>
      <c r="F4479" s="116">
        <f>COUNTIFS($A$3:A12729,A4479,$B$3:B12729,B4479)</f>
        <v>1</v>
      </c>
      <c r="G4479" s="116"/>
    </row>
    <row r="4480" spans="1:7" x14ac:dyDescent="0.2">
      <c r="A4480" s="116">
        <f>IF(ISNUMBER(Tabela2[[#This Row],[CT-e/NFS]])=TRUE,(IF(B4480&gt;30000,4,IF(B4480&lt;1000,"ND",0))),"-")</f>
        <v>0</v>
      </c>
      <c r="B4480" s="116">
        <v>21974</v>
      </c>
      <c r="C4480" s="117">
        <v>45525</v>
      </c>
      <c r="D4480" s="116">
        <v>77.69</v>
      </c>
      <c r="E4480" s="117">
        <v>45534</v>
      </c>
      <c r="F4480" s="116">
        <f>COUNTIFS($A$3:A12730,A4480,$B$3:B12730,B4480)</f>
        <v>1</v>
      </c>
      <c r="G4480" s="116"/>
    </row>
    <row r="4481" spans="1:7" x14ac:dyDescent="0.2">
      <c r="A4481" s="116">
        <f>IF(ISNUMBER(Tabela2[[#This Row],[CT-e/NFS]])=TRUE,(IF(B4481&gt;30000,4,IF(B4481&lt;1000,"ND",0))),"-")</f>
        <v>0</v>
      </c>
      <c r="B4481" s="116">
        <v>21975</v>
      </c>
      <c r="C4481" s="117">
        <v>45525</v>
      </c>
      <c r="D4481" s="116">
        <v>77.69</v>
      </c>
      <c r="E4481" s="117">
        <v>45534</v>
      </c>
      <c r="F4481" s="116">
        <f>COUNTIFS($A$3:A12731,A4481,$B$3:B12731,B4481)</f>
        <v>1</v>
      </c>
      <c r="G4481" s="116"/>
    </row>
    <row r="4482" spans="1:7" x14ac:dyDescent="0.2">
      <c r="A4482" s="116">
        <f>IF(ISNUMBER(Tabela2[[#This Row],[CT-e/NFS]])=TRUE,(IF(B4482&gt;30000,4,IF(B4482&lt;1000,"ND",0))),"-")</f>
        <v>0</v>
      </c>
      <c r="B4482" s="116">
        <v>21973</v>
      </c>
      <c r="C4482" s="117">
        <v>45525</v>
      </c>
      <c r="D4482" s="116">
        <v>195.93</v>
      </c>
      <c r="E4482" s="117">
        <v>45534</v>
      </c>
      <c r="F4482" s="116">
        <f>COUNTIFS($A$3:A12732,A4482,$B$3:B12732,B4482)</f>
        <v>1</v>
      </c>
      <c r="G4482" s="116"/>
    </row>
    <row r="4483" spans="1:7" x14ac:dyDescent="0.2">
      <c r="A4483" s="116">
        <f>IF(ISNUMBER(Tabela2[[#This Row],[CT-e/NFS]])=TRUE,(IF(B4483&gt;30000,4,IF(B4483&lt;1000,"ND",0))),"-")</f>
        <v>0</v>
      </c>
      <c r="B4483" s="116">
        <v>21972</v>
      </c>
      <c r="C4483" s="117">
        <v>45525</v>
      </c>
      <c r="D4483" s="116">
        <v>160.38</v>
      </c>
      <c r="E4483" s="117">
        <v>45534</v>
      </c>
      <c r="F4483" s="116">
        <f>COUNTIFS($A$3:A12733,A4483,$B$3:B12733,B4483)</f>
        <v>1</v>
      </c>
      <c r="G4483" s="116"/>
    </row>
    <row r="4484" spans="1:7" x14ac:dyDescent="0.2">
      <c r="A4484" s="116">
        <f>IF(ISNUMBER(Tabela2[[#This Row],[CT-e/NFS]])=TRUE,(IF(B4484&gt;30000,4,IF(B4484&lt;1000,"ND",0))),"-")</f>
        <v>4</v>
      </c>
      <c r="B4484" s="116">
        <v>48721</v>
      </c>
      <c r="C4484" s="117">
        <v>45525</v>
      </c>
      <c r="D4484" s="116">
        <v>519.74</v>
      </c>
      <c r="E4484" s="117">
        <v>45534</v>
      </c>
      <c r="F4484" s="116">
        <f>COUNTIFS($A$3:A12734,A4484,$B$3:B12734,B4484)</f>
        <v>1</v>
      </c>
      <c r="G4484" s="116"/>
    </row>
    <row r="4485" spans="1:7" x14ac:dyDescent="0.2">
      <c r="A4485" s="116">
        <f>IF(ISNUMBER(Tabela2[[#This Row],[CT-e/NFS]])=TRUE,(IF(B4485&gt;30000,4,IF(B4485&lt;1000,"ND",0))),"-")</f>
        <v>4</v>
      </c>
      <c r="B4485" s="116">
        <v>48722</v>
      </c>
      <c r="C4485" s="117">
        <v>45525</v>
      </c>
      <c r="D4485" s="116">
        <v>617.99</v>
      </c>
      <c r="E4485" s="117">
        <v>45534</v>
      </c>
      <c r="F4485" s="116">
        <f>COUNTIFS($A$3:A12735,A4485,$B$3:B12735,B4485)</f>
        <v>1</v>
      </c>
      <c r="G4485" s="116"/>
    </row>
    <row r="4486" spans="1:7" x14ac:dyDescent="0.2">
      <c r="A4486" s="116">
        <f>IF(ISNUMBER(Tabela2[[#This Row],[CT-e/NFS]])=TRUE,(IF(B4486&gt;30000,4,IF(B4486&lt;1000,"ND",0))),"-")</f>
        <v>4</v>
      </c>
      <c r="B4486" s="116">
        <v>48718</v>
      </c>
      <c r="C4486" s="117">
        <v>45525</v>
      </c>
      <c r="D4486" s="116">
        <v>62.15</v>
      </c>
      <c r="E4486" s="117">
        <v>45534</v>
      </c>
      <c r="F4486" s="116">
        <f>COUNTIFS($A$3:A12736,A4486,$B$3:B12736,B4486)</f>
        <v>1</v>
      </c>
      <c r="G4486" s="116"/>
    </row>
    <row r="4487" spans="1:7" x14ac:dyDescent="0.2">
      <c r="A4487" s="116">
        <f>IF(ISNUMBER(Tabela2[[#This Row],[CT-e/NFS]])=TRUE,(IF(B4487&gt;30000,4,IF(B4487&lt;1000,"ND",0))),"-")</f>
        <v>4</v>
      </c>
      <c r="B4487" s="116">
        <v>48723</v>
      </c>
      <c r="C4487" s="117">
        <v>45525</v>
      </c>
      <c r="D4487" s="116">
        <v>112.02</v>
      </c>
      <c r="E4487" s="117">
        <v>45534</v>
      </c>
      <c r="F4487" s="116">
        <f>COUNTIFS($A$3:A12737,A4487,$B$3:B12737,B4487)</f>
        <v>1</v>
      </c>
      <c r="G4487" s="116"/>
    </row>
    <row r="4488" spans="1:7" x14ac:dyDescent="0.2">
      <c r="A4488" s="116">
        <f>IF(ISNUMBER(Tabela2[[#This Row],[CT-e/NFS]])=TRUE,(IF(B4488&gt;30000,4,IF(B4488&lt;1000,"ND",0))),"-")</f>
        <v>4</v>
      </c>
      <c r="B4488" s="116">
        <v>48731</v>
      </c>
      <c r="C4488" s="117">
        <v>45525</v>
      </c>
      <c r="D4488" s="116">
        <v>125.08</v>
      </c>
      <c r="E4488" s="117">
        <v>45534</v>
      </c>
      <c r="F4488" s="116">
        <f>COUNTIFS($A$3:A12738,A4488,$B$3:B12738,B4488)</f>
        <v>1</v>
      </c>
      <c r="G4488" s="116"/>
    </row>
    <row r="4489" spans="1:7" x14ac:dyDescent="0.2">
      <c r="A4489" s="116">
        <f>IF(ISNUMBER(Tabela2[[#This Row],[CT-e/NFS]])=TRUE,(IF(B4489&gt;30000,4,IF(B4489&lt;1000,"ND",0))),"-")</f>
        <v>4</v>
      </c>
      <c r="B4489" s="116">
        <v>48730</v>
      </c>
      <c r="C4489" s="117">
        <v>45525</v>
      </c>
      <c r="D4489" s="116">
        <v>125.36</v>
      </c>
      <c r="E4489" s="117">
        <v>45534</v>
      </c>
      <c r="F4489" s="116">
        <f>COUNTIFS($A$3:A12739,A4489,$B$3:B12739,B4489)</f>
        <v>1</v>
      </c>
      <c r="G4489" s="116"/>
    </row>
    <row r="4490" spans="1:7" x14ac:dyDescent="0.2">
      <c r="A4490" s="116">
        <f>IF(ISNUMBER(Tabela2[[#This Row],[CT-e/NFS]])=TRUE,(IF(B4490&gt;30000,4,IF(B4490&lt;1000,"ND",0))),"-")</f>
        <v>4</v>
      </c>
      <c r="B4490" s="116">
        <v>48732</v>
      </c>
      <c r="C4490" s="117">
        <v>45525</v>
      </c>
      <c r="D4490" s="116">
        <v>124.2</v>
      </c>
      <c r="E4490" s="117">
        <v>45534</v>
      </c>
      <c r="F4490" s="116">
        <f>COUNTIFS($A$3:A12740,A4490,$B$3:B12740,B4490)</f>
        <v>1</v>
      </c>
      <c r="G4490" s="116"/>
    </row>
    <row r="4491" spans="1:7" x14ac:dyDescent="0.2">
      <c r="A4491" s="116">
        <f>IF(ISNUMBER(Tabela2[[#This Row],[CT-e/NFS]])=TRUE,(IF(B4491&gt;30000,4,IF(B4491&lt;1000,"ND",0))),"-")</f>
        <v>4</v>
      </c>
      <c r="B4491" s="116">
        <v>48729</v>
      </c>
      <c r="C4491" s="117">
        <v>45525</v>
      </c>
      <c r="D4491" s="116">
        <v>124.26</v>
      </c>
      <c r="E4491" s="117">
        <v>45534</v>
      </c>
      <c r="F4491" s="116">
        <f>COUNTIFS($A$3:A12741,A4491,$B$3:B12741,B4491)</f>
        <v>1</v>
      </c>
      <c r="G4491" s="116"/>
    </row>
    <row r="4492" spans="1:7" x14ac:dyDescent="0.2">
      <c r="A4492" s="116">
        <f>IF(ISNUMBER(Tabela2[[#This Row],[CT-e/NFS]])=TRUE,(IF(B4492&gt;30000,4,IF(B4492&lt;1000,"ND",0))),"-")</f>
        <v>4</v>
      </c>
      <c r="B4492" s="116">
        <v>48737</v>
      </c>
      <c r="C4492" s="117">
        <v>45525</v>
      </c>
      <c r="D4492" s="116">
        <v>241.03</v>
      </c>
      <c r="E4492" s="117">
        <v>45534</v>
      </c>
      <c r="F4492" s="116">
        <f>COUNTIFS($A$3:A12742,A4492,$B$3:B12742,B4492)</f>
        <v>1</v>
      </c>
      <c r="G4492" s="116"/>
    </row>
    <row r="4493" spans="1:7" x14ac:dyDescent="0.2">
      <c r="A4493" s="116">
        <f>IF(ISNUMBER(Tabela2[[#This Row],[CT-e/NFS]])=TRUE,(IF(B4493&gt;30000,4,IF(B4493&lt;1000,"ND",0))),"-")</f>
        <v>4</v>
      </c>
      <c r="B4493" s="116">
        <v>48733</v>
      </c>
      <c r="C4493" s="117">
        <v>45525</v>
      </c>
      <c r="D4493" s="116">
        <v>609.98</v>
      </c>
      <c r="E4493" s="117">
        <v>45534</v>
      </c>
      <c r="F4493" s="116">
        <f>COUNTIFS($A$3:A12743,A4493,$B$3:B12743,B4493)</f>
        <v>1</v>
      </c>
      <c r="G4493" s="116"/>
    </row>
    <row r="4494" spans="1:7" x14ac:dyDescent="0.2">
      <c r="A4494" s="116">
        <f>IF(ISNUMBER(Tabela2[[#This Row],[CT-e/NFS]])=TRUE,(IF(B4494&gt;30000,4,IF(B4494&lt;1000,"ND",0))),"-")</f>
        <v>4</v>
      </c>
      <c r="B4494" s="116">
        <v>48735</v>
      </c>
      <c r="C4494" s="117">
        <v>45525</v>
      </c>
      <c r="D4494" s="116">
        <v>186.05</v>
      </c>
      <c r="E4494" s="117">
        <v>45534</v>
      </c>
      <c r="F4494" s="116">
        <f>COUNTIFS($A$3:A12744,A4494,$B$3:B12744,B4494)</f>
        <v>1</v>
      </c>
      <c r="G4494" s="116"/>
    </row>
    <row r="4495" spans="1:7" x14ac:dyDescent="0.2">
      <c r="A4495" s="116">
        <f>IF(ISNUMBER(Tabela2[[#This Row],[CT-e/NFS]])=TRUE,(IF(B4495&gt;30000,4,IF(B4495&lt;1000,"ND",0))),"-")</f>
        <v>4</v>
      </c>
      <c r="B4495" s="116">
        <v>48734</v>
      </c>
      <c r="C4495" s="117">
        <v>45525</v>
      </c>
      <c r="D4495" s="116">
        <v>197.07</v>
      </c>
      <c r="E4495" s="117">
        <v>45534</v>
      </c>
      <c r="F4495" s="116">
        <f>COUNTIFS($A$3:A12745,A4495,$B$3:B12745,B4495)</f>
        <v>1</v>
      </c>
      <c r="G4495" s="116"/>
    </row>
    <row r="4496" spans="1:7" x14ac:dyDescent="0.2">
      <c r="A4496" s="116">
        <f>IF(ISNUMBER(Tabela2[[#This Row],[CT-e/NFS]])=TRUE,(IF(B4496&gt;30000,4,IF(B4496&lt;1000,"ND",0))),"-")</f>
        <v>4</v>
      </c>
      <c r="B4496" s="116">
        <v>48727</v>
      </c>
      <c r="C4496" s="117">
        <v>45525</v>
      </c>
      <c r="D4496" s="116">
        <v>240.26</v>
      </c>
      <c r="E4496" s="117">
        <v>45534</v>
      </c>
      <c r="F4496" s="116">
        <f>COUNTIFS($A$3:A12746,A4496,$B$3:B12746,B4496)</f>
        <v>1</v>
      </c>
      <c r="G4496" s="116"/>
    </row>
    <row r="4497" spans="1:7" x14ac:dyDescent="0.2">
      <c r="A4497" s="116">
        <f>IF(ISNUMBER(Tabela2[[#This Row],[CT-e/NFS]])=TRUE,(IF(B4497&gt;30000,4,IF(B4497&lt;1000,"ND",0))),"-")</f>
        <v>4</v>
      </c>
      <c r="B4497" s="116">
        <v>48739</v>
      </c>
      <c r="C4497" s="117">
        <v>45525</v>
      </c>
      <c r="D4497" s="116">
        <v>112.26</v>
      </c>
      <c r="E4497" s="117">
        <v>45534</v>
      </c>
      <c r="F4497" s="116">
        <f>COUNTIFS($A$3:A12747,A4497,$B$3:B12747,B4497)</f>
        <v>1</v>
      </c>
      <c r="G4497" s="116"/>
    </row>
    <row r="4498" spans="1:7" x14ac:dyDescent="0.2">
      <c r="A4498" s="116">
        <f>IF(ISNUMBER(Tabela2[[#This Row],[CT-e/NFS]])=TRUE,(IF(B4498&gt;30000,4,IF(B4498&lt;1000,"ND",0))),"-")</f>
        <v>4</v>
      </c>
      <c r="B4498" s="116">
        <v>48725</v>
      </c>
      <c r="C4498" s="117">
        <v>45525</v>
      </c>
      <c r="D4498" s="116">
        <v>122.77</v>
      </c>
      <c r="E4498" s="117">
        <v>45534</v>
      </c>
      <c r="F4498" s="116">
        <f>COUNTIFS($A$3:A12748,A4498,$B$3:B12748,B4498)</f>
        <v>1</v>
      </c>
      <c r="G4498" s="116"/>
    </row>
    <row r="4499" spans="1:7" x14ac:dyDescent="0.2">
      <c r="A4499" s="116">
        <f>IF(ISNUMBER(Tabela2[[#This Row],[CT-e/NFS]])=TRUE,(IF(B4499&gt;30000,4,IF(B4499&lt;1000,"ND",0))),"-")</f>
        <v>4</v>
      </c>
      <c r="B4499" s="116">
        <v>48738</v>
      </c>
      <c r="C4499" s="117">
        <v>45525</v>
      </c>
      <c r="D4499" s="116">
        <v>62.26</v>
      </c>
      <c r="E4499" s="117">
        <v>45534</v>
      </c>
      <c r="F4499" s="116">
        <f>COUNTIFS($A$3:A12749,A4499,$B$3:B12749,B4499)</f>
        <v>1</v>
      </c>
      <c r="G4499" s="116"/>
    </row>
    <row r="4500" spans="1:7" x14ac:dyDescent="0.2">
      <c r="A4500" s="116">
        <f>IF(ISNUMBER(Tabela2[[#This Row],[CT-e/NFS]])=TRUE,(IF(B4500&gt;30000,4,IF(B4500&lt;1000,"ND",0))),"-")</f>
        <v>4</v>
      </c>
      <c r="B4500" s="116">
        <v>48726</v>
      </c>
      <c r="C4500" s="117">
        <v>45525</v>
      </c>
      <c r="D4500" s="116">
        <v>124.36</v>
      </c>
      <c r="E4500" s="117">
        <v>45534</v>
      </c>
      <c r="F4500" s="116">
        <f>COUNTIFS($A$3:A12750,A4500,$B$3:B12750,B4500)</f>
        <v>1</v>
      </c>
      <c r="G4500" s="116"/>
    </row>
    <row r="4501" spans="1:7" x14ac:dyDescent="0.2">
      <c r="A4501" s="116">
        <f>IF(ISNUMBER(Tabela2[[#This Row],[CT-e/NFS]])=TRUE,(IF(B4501&gt;30000,4,IF(B4501&lt;1000,"ND",0))),"-")</f>
        <v>4</v>
      </c>
      <c r="B4501" s="116">
        <v>48728</v>
      </c>
      <c r="C4501" s="117">
        <v>45525</v>
      </c>
      <c r="D4501" s="116">
        <v>123.9</v>
      </c>
      <c r="E4501" s="117">
        <v>45534</v>
      </c>
      <c r="F4501" s="116">
        <f>COUNTIFS($A$3:A12751,A4501,$B$3:B12751,B4501)</f>
        <v>1</v>
      </c>
      <c r="G4501" s="116"/>
    </row>
    <row r="4502" spans="1:7" x14ac:dyDescent="0.2">
      <c r="A4502" s="116">
        <f>IF(ISNUMBER(Tabela2[[#This Row],[CT-e/NFS]])=TRUE,(IF(B4502&gt;30000,4,IF(B4502&lt;1000,"ND",0))),"-")</f>
        <v>4</v>
      </c>
      <c r="B4502" s="116">
        <v>48724</v>
      </c>
      <c r="C4502" s="117">
        <v>45525</v>
      </c>
      <c r="D4502" s="116">
        <v>136.01</v>
      </c>
      <c r="E4502" s="117">
        <v>45534</v>
      </c>
      <c r="F4502" s="116">
        <f>COUNTIFS($A$3:A12752,A4502,$B$3:B12752,B4502)</f>
        <v>1</v>
      </c>
      <c r="G4502" s="116"/>
    </row>
    <row r="4503" spans="1:7" x14ac:dyDescent="0.2">
      <c r="A4503" s="116">
        <f>IF(ISNUMBER(Tabela2[[#This Row],[CT-e/NFS]])=TRUE,(IF(B4503&gt;30000,4,IF(B4503&lt;1000,"ND",0))),"-")</f>
        <v>0</v>
      </c>
      <c r="B4503" s="116">
        <v>21976</v>
      </c>
      <c r="C4503" s="117">
        <v>45525</v>
      </c>
      <c r="D4503" s="116">
        <v>76.3</v>
      </c>
      <c r="E4503" s="117">
        <v>45534</v>
      </c>
      <c r="F4503" s="116">
        <f>COUNTIFS($A$3:A12753,A4503,$B$3:B12753,B4503)</f>
        <v>1</v>
      </c>
      <c r="G4503" s="116"/>
    </row>
    <row r="4504" spans="1:7" x14ac:dyDescent="0.2">
      <c r="A4504" s="116">
        <f>IF(ISNUMBER(Tabela2[[#This Row],[CT-e/NFS]])=TRUE,(IF(B4504&gt;30000,4,IF(B4504&lt;1000,"ND",0))),"-")</f>
        <v>0</v>
      </c>
      <c r="B4504" s="116">
        <v>21980</v>
      </c>
      <c r="C4504" s="117">
        <v>45525</v>
      </c>
      <c r="D4504" s="116">
        <v>76.34</v>
      </c>
      <c r="E4504" s="117">
        <v>45534</v>
      </c>
      <c r="F4504" s="116">
        <f>COUNTIFS($A$3:A12754,A4504,$B$3:B12754,B4504)</f>
        <v>1</v>
      </c>
      <c r="G4504" s="116"/>
    </row>
    <row r="4505" spans="1:7" x14ac:dyDescent="0.2">
      <c r="A4505" s="116">
        <f>IF(ISNUMBER(Tabela2[[#This Row],[CT-e/NFS]])=TRUE,(IF(B4505&gt;30000,4,IF(B4505&lt;1000,"ND",0))),"-")</f>
        <v>0</v>
      </c>
      <c r="B4505" s="116">
        <v>21979</v>
      </c>
      <c r="C4505" s="117">
        <v>45525</v>
      </c>
      <c r="D4505" s="116">
        <v>75.64</v>
      </c>
      <c r="E4505" s="117">
        <v>45534</v>
      </c>
      <c r="F4505" s="116">
        <f>COUNTIFS($A$3:A12755,A4505,$B$3:B12755,B4505)</f>
        <v>1</v>
      </c>
      <c r="G4505" s="116"/>
    </row>
    <row r="4506" spans="1:7" x14ac:dyDescent="0.2">
      <c r="A4506" s="116">
        <f>IF(ISNUMBER(Tabela2[[#This Row],[CT-e/NFS]])=TRUE,(IF(B4506&gt;30000,4,IF(B4506&lt;1000,"ND",0))),"-")</f>
        <v>0</v>
      </c>
      <c r="B4506" s="116">
        <v>21978</v>
      </c>
      <c r="C4506" s="117">
        <v>45525</v>
      </c>
      <c r="D4506" s="116">
        <v>76.34</v>
      </c>
      <c r="E4506" s="117">
        <v>45534</v>
      </c>
      <c r="F4506" s="116">
        <f>COUNTIFS($A$3:A12756,A4506,$B$3:B12756,B4506)</f>
        <v>1</v>
      </c>
      <c r="G4506" s="116"/>
    </row>
    <row r="4507" spans="1:7" x14ac:dyDescent="0.2">
      <c r="A4507" s="116">
        <f>IF(ISNUMBER(Tabela2[[#This Row],[CT-e/NFS]])=TRUE,(IF(B4507&gt;30000,4,IF(B4507&lt;1000,"ND",0))),"-")</f>
        <v>0</v>
      </c>
      <c r="B4507" s="116">
        <v>21977</v>
      </c>
      <c r="C4507" s="117">
        <v>45525</v>
      </c>
      <c r="D4507" s="116">
        <v>505.32</v>
      </c>
      <c r="E4507" s="117">
        <v>45534</v>
      </c>
      <c r="F4507" s="116">
        <f>COUNTIFS($A$3:A12757,A4507,$B$3:B12757,B4507)</f>
        <v>1</v>
      </c>
      <c r="G4507" s="116"/>
    </row>
    <row r="4508" spans="1:7" x14ac:dyDescent="0.2">
      <c r="A4508" s="116">
        <f>IF(ISNUMBER(Tabela2[[#This Row],[CT-e/NFS]])=TRUE,(IF(B4508&gt;30000,4,IF(B4508&lt;1000,"ND",0))),"-")</f>
        <v>0</v>
      </c>
      <c r="B4508" s="116">
        <v>21981</v>
      </c>
      <c r="C4508" s="117">
        <v>45525</v>
      </c>
      <c r="D4508" s="116">
        <v>77</v>
      </c>
      <c r="E4508" s="117">
        <v>45534</v>
      </c>
      <c r="F4508" s="116">
        <f>COUNTIFS($A$3:A12758,A4508,$B$3:B12758,B4508)</f>
        <v>1</v>
      </c>
      <c r="G4508" s="116"/>
    </row>
    <row r="4509" spans="1:7" x14ac:dyDescent="0.2">
      <c r="A4509" s="116">
        <f>IF(ISNUMBER(Tabela2[[#This Row],[CT-e/NFS]])=TRUE,(IF(B4509&gt;30000,4,IF(B4509&lt;1000,"ND",0))),"-")</f>
        <v>4</v>
      </c>
      <c r="B4509" s="116">
        <v>48741</v>
      </c>
      <c r="C4509" s="117">
        <v>45525</v>
      </c>
      <c r="D4509" s="116">
        <v>1245.6099999999999</v>
      </c>
      <c r="E4509" s="117">
        <v>45534</v>
      </c>
      <c r="F4509" s="116">
        <f>COUNTIFS($A$3:A12759,A4509,$B$3:B12759,B4509)</f>
        <v>1</v>
      </c>
      <c r="G4509" s="116"/>
    </row>
    <row r="4510" spans="1:7" x14ac:dyDescent="0.2">
      <c r="A4510" s="116">
        <f>IF(ISNUMBER(Tabela2[[#This Row],[CT-e/NFS]])=TRUE,(IF(B4510&gt;30000,4,IF(B4510&lt;1000,"ND",0))),"-")</f>
        <v>4</v>
      </c>
      <c r="B4510" s="116">
        <v>48743</v>
      </c>
      <c r="C4510" s="117">
        <v>45525</v>
      </c>
      <c r="D4510" s="116">
        <v>830</v>
      </c>
      <c r="E4510" s="117">
        <v>45534</v>
      </c>
      <c r="F4510" s="116">
        <f>COUNTIFS($A$3:A12760,A4510,$B$3:B12760,B4510)</f>
        <v>1</v>
      </c>
      <c r="G4510" s="116"/>
    </row>
    <row r="4511" spans="1:7" x14ac:dyDescent="0.2">
      <c r="A4511" s="116">
        <f>IF(ISNUMBER(Tabela2[[#This Row],[CT-e/NFS]])=TRUE,(IF(B4511&gt;30000,4,IF(B4511&lt;1000,"ND",0))),"-")</f>
        <v>4</v>
      </c>
      <c r="B4511" s="116">
        <v>48742</v>
      </c>
      <c r="C4511" s="117">
        <v>45525</v>
      </c>
      <c r="D4511" s="116">
        <v>928.3</v>
      </c>
      <c r="E4511" s="117">
        <v>45534</v>
      </c>
      <c r="F4511" s="116">
        <f>COUNTIFS($A$3:A12761,A4511,$B$3:B12761,B4511)</f>
        <v>1</v>
      </c>
      <c r="G4511" s="116"/>
    </row>
    <row r="4512" spans="1:7" x14ac:dyDescent="0.2">
      <c r="A4512" s="116">
        <f>IF(ISNUMBER(Tabela2[[#This Row],[CT-e/NFS]])=TRUE,(IF(B4512&gt;30000,4,IF(B4512&lt;1000,"ND",0))),"-")</f>
        <v>4</v>
      </c>
      <c r="B4512" s="116">
        <v>48746</v>
      </c>
      <c r="C4512" s="117">
        <v>45525</v>
      </c>
      <c r="D4512" s="116">
        <v>1137.73</v>
      </c>
      <c r="E4512" s="117">
        <v>45534</v>
      </c>
      <c r="F4512" s="116">
        <f>COUNTIFS($A$3:A12762,A4512,$B$3:B12762,B4512)</f>
        <v>1</v>
      </c>
      <c r="G4512" s="116"/>
    </row>
    <row r="4513" spans="1:7" x14ac:dyDescent="0.2">
      <c r="A4513" s="116">
        <f>IF(ISNUMBER(Tabela2[[#This Row],[CT-e/NFS]])=TRUE,(IF(B4513&gt;30000,4,IF(B4513&lt;1000,"ND",0))),"-")</f>
        <v>4</v>
      </c>
      <c r="B4513" s="116">
        <v>48754</v>
      </c>
      <c r="C4513" s="117">
        <v>45525</v>
      </c>
      <c r="D4513" s="116">
        <v>61.94</v>
      </c>
      <c r="E4513" s="117">
        <v>45534</v>
      </c>
      <c r="F4513" s="116">
        <f>COUNTIFS($A$3:A12763,A4513,$B$3:B12763,B4513)</f>
        <v>1</v>
      </c>
      <c r="G4513" s="116"/>
    </row>
    <row r="4514" spans="1:7" x14ac:dyDescent="0.2">
      <c r="A4514" s="116">
        <f>IF(ISNUMBER(Tabela2[[#This Row],[CT-e/NFS]])=TRUE,(IF(B4514&gt;30000,4,IF(B4514&lt;1000,"ND",0))),"-")</f>
        <v>4</v>
      </c>
      <c r="B4514" s="116">
        <v>48752</v>
      </c>
      <c r="C4514" s="117">
        <v>45525</v>
      </c>
      <c r="D4514" s="116">
        <v>120.13</v>
      </c>
      <c r="E4514" s="117">
        <v>45534</v>
      </c>
      <c r="F4514" s="116">
        <f>COUNTIFS($A$3:A12764,A4514,$B$3:B12764,B4514)</f>
        <v>1</v>
      </c>
      <c r="G4514" s="116"/>
    </row>
    <row r="4515" spans="1:7" x14ac:dyDescent="0.2">
      <c r="A4515" s="116">
        <f>IF(ISNUMBER(Tabela2[[#This Row],[CT-e/NFS]])=TRUE,(IF(B4515&gt;30000,4,IF(B4515&lt;1000,"ND",0))),"-")</f>
        <v>4</v>
      </c>
      <c r="B4515" s="116">
        <v>48756</v>
      </c>
      <c r="C4515" s="117">
        <v>45525</v>
      </c>
      <c r="D4515" s="116">
        <v>62.15</v>
      </c>
      <c r="E4515" s="117">
        <v>45534</v>
      </c>
      <c r="F4515" s="116">
        <f>COUNTIFS($A$3:A12765,A4515,$B$3:B12765,B4515)</f>
        <v>1</v>
      </c>
      <c r="G4515" s="116"/>
    </row>
    <row r="4516" spans="1:7" x14ac:dyDescent="0.2">
      <c r="A4516" s="116">
        <f>IF(ISNUMBER(Tabela2[[#This Row],[CT-e/NFS]])=TRUE,(IF(B4516&gt;30000,4,IF(B4516&lt;1000,"ND",0))),"-")</f>
        <v>4</v>
      </c>
      <c r="B4516" s="116">
        <v>48757</v>
      </c>
      <c r="C4516" s="117">
        <v>45525</v>
      </c>
      <c r="D4516" s="116">
        <v>112.02</v>
      </c>
      <c r="E4516" s="117">
        <v>45534</v>
      </c>
      <c r="F4516" s="116">
        <f>COUNTIFS($A$3:A12766,A4516,$B$3:B12766,B4516)</f>
        <v>1</v>
      </c>
      <c r="G4516" s="116"/>
    </row>
    <row r="4517" spans="1:7" x14ac:dyDescent="0.2">
      <c r="A4517" s="116">
        <f>IF(ISNUMBER(Tabela2[[#This Row],[CT-e/NFS]])=TRUE,(IF(B4517&gt;30000,4,IF(B4517&lt;1000,"ND",0))),"-")</f>
        <v>4</v>
      </c>
      <c r="B4517" s="116">
        <v>48755</v>
      </c>
      <c r="C4517" s="117">
        <v>45525</v>
      </c>
      <c r="D4517" s="116">
        <v>111.63</v>
      </c>
      <c r="E4517" s="117">
        <v>45534</v>
      </c>
      <c r="F4517" s="116">
        <f>COUNTIFS($A$3:A12767,A4517,$B$3:B12767,B4517)</f>
        <v>1</v>
      </c>
      <c r="G4517" s="116"/>
    </row>
    <row r="4518" spans="1:7" x14ac:dyDescent="0.2">
      <c r="A4518" s="116">
        <f>IF(ISNUMBER(Tabela2[[#This Row],[CT-e/NFS]])=TRUE,(IF(B4518&gt;30000,4,IF(B4518&lt;1000,"ND",0))),"-")</f>
        <v>4</v>
      </c>
      <c r="B4518" s="116">
        <v>48758</v>
      </c>
      <c r="C4518" s="117">
        <v>45525</v>
      </c>
      <c r="D4518" s="116">
        <v>123.03</v>
      </c>
      <c r="E4518" s="117">
        <v>45534</v>
      </c>
      <c r="F4518" s="116">
        <f>COUNTIFS($A$3:A12768,A4518,$B$3:B12768,B4518)</f>
        <v>1</v>
      </c>
      <c r="G4518" s="116"/>
    </row>
    <row r="4519" spans="1:7" x14ac:dyDescent="0.2">
      <c r="A4519" s="116">
        <f>IF(ISNUMBER(Tabela2[[#This Row],[CT-e/NFS]])=TRUE,(IF(B4519&gt;30000,4,IF(B4519&lt;1000,"ND",0))),"-")</f>
        <v>4</v>
      </c>
      <c r="B4519" s="116">
        <v>48744</v>
      </c>
      <c r="C4519" s="117">
        <v>45525</v>
      </c>
      <c r="D4519" s="116">
        <v>124.66</v>
      </c>
      <c r="E4519" s="117">
        <v>45534</v>
      </c>
      <c r="F4519" s="116">
        <f>COUNTIFS($A$3:A12769,A4519,$B$3:B12769,B4519)</f>
        <v>1</v>
      </c>
      <c r="G4519" s="116"/>
    </row>
    <row r="4520" spans="1:7" x14ac:dyDescent="0.2">
      <c r="A4520" s="116">
        <f>IF(ISNUMBER(Tabela2[[#This Row],[CT-e/NFS]])=TRUE,(IF(B4520&gt;30000,4,IF(B4520&lt;1000,"ND",0))),"-")</f>
        <v>4</v>
      </c>
      <c r="B4520" s="116">
        <v>48753</v>
      </c>
      <c r="C4520" s="117">
        <v>45525</v>
      </c>
      <c r="D4520" s="116">
        <v>216.4</v>
      </c>
      <c r="E4520" s="117">
        <v>45534</v>
      </c>
      <c r="F4520" s="116">
        <f>COUNTIFS($A$3:A12770,A4520,$B$3:B12770,B4520)</f>
        <v>1</v>
      </c>
      <c r="G4520" s="116"/>
    </row>
    <row r="4521" spans="1:7" x14ac:dyDescent="0.2">
      <c r="A4521" s="116">
        <f>IF(ISNUMBER(Tabela2[[#This Row],[CT-e/NFS]])=TRUE,(IF(B4521&gt;30000,4,IF(B4521&lt;1000,"ND",0))),"-")</f>
        <v>4</v>
      </c>
      <c r="B4521" s="116">
        <v>48745</v>
      </c>
      <c r="C4521" s="117">
        <v>45525</v>
      </c>
      <c r="D4521" s="116">
        <v>591.70000000000005</v>
      </c>
      <c r="E4521" s="117">
        <v>45534</v>
      </c>
      <c r="F4521" s="116">
        <f>COUNTIFS($A$3:A12771,A4521,$B$3:B12771,B4521)</f>
        <v>1</v>
      </c>
      <c r="G4521" s="116"/>
    </row>
    <row r="4522" spans="1:7" x14ac:dyDescent="0.2">
      <c r="A4522" s="116">
        <f>IF(ISNUMBER(Tabela2[[#This Row],[CT-e/NFS]])=TRUE,(IF(B4522&gt;30000,4,IF(B4522&lt;1000,"ND",0))),"-")</f>
        <v>4</v>
      </c>
      <c r="B4522" s="116">
        <v>48751</v>
      </c>
      <c r="C4522" s="117">
        <v>45525</v>
      </c>
      <c r="D4522" s="116">
        <v>279.91000000000003</v>
      </c>
      <c r="E4522" s="117">
        <v>45534</v>
      </c>
      <c r="F4522" s="116">
        <f>COUNTIFS($A$3:A12772,A4522,$B$3:B12772,B4522)</f>
        <v>1</v>
      </c>
      <c r="G4522" s="116"/>
    </row>
    <row r="4523" spans="1:7" x14ac:dyDescent="0.2">
      <c r="A4523" s="116">
        <f>IF(ISNUMBER(Tabela2[[#This Row],[CT-e/NFS]])=TRUE,(IF(B4523&gt;30000,4,IF(B4523&lt;1000,"ND",0))),"-")</f>
        <v>4</v>
      </c>
      <c r="B4523" s="116">
        <v>48747</v>
      </c>
      <c r="C4523" s="117">
        <v>45525</v>
      </c>
      <c r="D4523" s="116">
        <v>135.97999999999999</v>
      </c>
      <c r="E4523" s="117">
        <v>45534</v>
      </c>
      <c r="F4523" s="116">
        <f>COUNTIFS($A$3:A12773,A4523,$B$3:B12773,B4523)</f>
        <v>1</v>
      </c>
      <c r="G4523" s="116"/>
    </row>
    <row r="4524" spans="1:7" x14ac:dyDescent="0.2">
      <c r="A4524" s="116">
        <f>IF(ISNUMBER(Tabela2[[#This Row],[CT-e/NFS]])=TRUE,(IF(B4524&gt;30000,4,IF(B4524&lt;1000,"ND",0))),"-")</f>
        <v>4</v>
      </c>
      <c r="B4524" s="116">
        <v>48750</v>
      </c>
      <c r="C4524" s="117">
        <v>45525</v>
      </c>
      <c r="D4524" s="116">
        <v>125.56</v>
      </c>
      <c r="E4524" s="117">
        <v>45534</v>
      </c>
      <c r="F4524" s="116">
        <f>COUNTIFS($A$3:A12774,A4524,$B$3:B12774,B4524)</f>
        <v>1</v>
      </c>
      <c r="G4524" s="116"/>
    </row>
    <row r="4525" spans="1:7" x14ac:dyDescent="0.2">
      <c r="A4525" s="116">
        <f>IF(ISNUMBER(Tabela2[[#This Row],[CT-e/NFS]])=TRUE,(IF(B4525&gt;30000,4,IF(B4525&lt;1000,"ND",0))),"-")</f>
        <v>4</v>
      </c>
      <c r="B4525" s="116">
        <v>48749</v>
      </c>
      <c r="C4525" s="117">
        <v>45525</v>
      </c>
      <c r="D4525" s="116">
        <v>246.33</v>
      </c>
      <c r="E4525" s="117">
        <v>45534</v>
      </c>
      <c r="F4525" s="116">
        <f>COUNTIFS($A$3:A12775,A4525,$B$3:B12775,B4525)</f>
        <v>1</v>
      </c>
      <c r="G4525" s="116"/>
    </row>
    <row r="4526" spans="1:7" x14ac:dyDescent="0.2">
      <c r="A4526" s="116">
        <f>IF(ISNUMBER(Tabela2[[#This Row],[CT-e/NFS]])=TRUE,(IF(B4526&gt;30000,4,IF(B4526&lt;1000,"ND",0))),"-")</f>
        <v>4</v>
      </c>
      <c r="B4526" s="116">
        <v>48748</v>
      </c>
      <c r="C4526" s="117">
        <v>45525</v>
      </c>
      <c r="D4526" s="116">
        <v>126.65</v>
      </c>
      <c r="E4526" s="117">
        <v>45534</v>
      </c>
      <c r="F4526" s="116">
        <f>COUNTIFS($A$3:A12776,A4526,$B$3:B12776,B4526)</f>
        <v>1</v>
      </c>
      <c r="G4526" s="116"/>
    </row>
    <row r="4527" spans="1:7" x14ac:dyDescent="0.2">
      <c r="A4527" s="116">
        <f>IF(ISNUMBER(Tabela2[[#This Row],[CT-e/NFS]])=TRUE,(IF(B4527&gt;30000,4,IF(B4527&lt;1000,"ND",0))),"-")</f>
        <v>0</v>
      </c>
      <c r="B4527" s="116">
        <v>21985</v>
      </c>
      <c r="C4527" s="117">
        <v>45525</v>
      </c>
      <c r="D4527" s="116">
        <v>954.66</v>
      </c>
      <c r="E4527" s="117">
        <v>45534</v>
      </c>
      <c r="F4527" s="116">
        <f>COUNTIFS($A$3:A12777,A4527,$B$3:B12777,B4527)</f>
        <v>1</v>
      </c>
      <c r="G4527" s="116"/>
    </row>
    <row r="4528" spans="1:7" x14ac:dyDescent="0.2">
      <c r="A4528" s="116">
        <f>IF(ISNUMBER(Tabela2[[#This Row],[CT-e/NFS]])=TRUE,(IF(B4528&gt;30000,4,IF(B4528&lt;1000,"ND",0))),"-")</f>
        <v>0</v>
      </c>
      <c r="B4528" s="116">
        <v>21984</v>
      </c>
      <c r="C4528" s="117">
        <v>45525</v>
      </c>
      <c r="D4528" s="116">
        <v>76.41</v>
      </c>
      <c r="E4528" s="117">
        <v>45534</v>
      </c>
      <c r="F4528" s="116">
        <f>COUNTIFS($A$3:A12778,A4528,$B$3:B12778,B4528)</f>
        <v>1</v>
      </c>
      <c r="G4528" s="116"/>
    </row>
    <row r="4529" spans="1:7" x14ac:dyDescent="0.2">
      <c r="A4529" s="116">
        <f>IF(ISNUMBER(Tabela2[[#This Row],[CT-e/NFS]])=TRUE,(IF(B4529&gt;30000,4,IF(B4529&lt;1000,"ND",0))),"-")</f>
        <v>0</v>
      </c>
      <c r="B4529" s="116">
        <v>21987</v>
      </c>
      <c r="C4529" s="117">
        <v>45525</v>
      </c>
      <c r="D4529" s="116">
        <v>76.28</v>
      </c>
      <c r="E4529" s="117">
        <v>45534</v>
      </c>
      <c r="F4529" s="116">
        <f>COUNTIFS($A$3:A12779,A4529,$B$3:B12779,B4529)</f>
        <v>1</v>
      </c>
      <c r="G4529" s="116"/>
    </row>
    <row r="4530" spans="1:7" x14ac:dyDescent="0.2">
      <c r="A4530" s="116">
        <f>IF(ISNUMBER(Tabela2[[#This Row],[CT-e/NFS]])=TRUE,(IF(B4530&gt;30000,4,IF(B4530&lt;1000,"ND",0))),"-")</f>
        <v>0</v>
      </c>
      <c r="B4530" s="116">
        <v>21983</v>
      </c>
      <c r="C4530" s="117">
        <v>45525</v>
      </c>
      <c r="D4530" s="116">
        <v>75.7</v>
      </c>
      <c r="E4530" s="117">
        <v>45534</v>
      </c>
      <c r="F4530" s="116">
        <f>COUNTIFS($A$3:A12780,A4530,$B$3:B12780,B4530)</f>
        <v>1</v>
      </c>
      <c r="G4530" s="116"/>
    </row>
    <row r="4531" spans="1:7" x14ac:dyDescent="0.2">
      <c r="A4531" s="116">
        <f>IF(ISNUMBER(Tabela2[[#This Row],[CT-e/NFS]])=TRUE,(IF(B4531&gt;30000,4,IF(B4531&lt;1000,"ND",0))),"-")</f>
        <v>0</v>
      </c>
      <c r="B4531" s="116">
        <v>21986</v>
      </c>
      <c r="C4531" s="117">
        <v>45525</v>
      </c>
      <c r="D4531" s="116">
        <v>76.42</v>
      </c>
      <c r="E4531" s="117">
        <v>45534</v>
      </c>
      <c r="F4531" s="116">
        <f>COUNTIFS($A$3:A12781,A4531,$B$3:B12781,B4531)</f>
        <v>1</v>
      </c>
      <c r="G4531" s="116"/>
    </row>
    <row r="4532" spans="1:7" x14ac:dyDescent="0.2">
      <c r="A4532" s="116">
        <f>IF(ISNUMBER(Tabela2[[#This Row],[CT-e/NFS]])=TRUE,(IF(B4532&gt;30000,4,IF(B4532&lt;1000,"ND",0))),"-")</f>
        <v>4</v>
      </c>
      <c r="B4532" s="116">
        <v>48760</v>
      </c>
      <c r="C4532" s="117">
        <v>45525</v>
      </c>
      <c r="D4532" s="116">
        <v>1758.3</v>
      </c>
      <c r="E4532" s="117">
        <v>45534</v>
      </c>
      <c r="F4532" s="116">
        <f>COUNTIFS($A$3:A12782,A4532,$B$3:B12782,B4532)</f>
        <v>1</v>
      </c>
      <c r="G4532" s="116"/>
    </row>
    <row r="4533" spans="1:7" x14ac:dyDescent="0.2">
      <c r="A4533" s="116">
        <f>IF(ISNUMBER(Tabela2[[#This Row],[CT-e/NFS]])=TRUE,(IF(B4533&gt;30000,4,IF(B4533&lt;1000,"ND",0))),"-")</f>
        <v>4</v>
      </c>
      <c r="B4533" s="116">
        <v>48704</v>
      </c>
      <c r="C4533" s="117">
        <v>45525</v>
      </c>
      <c r="D4533" s="116">
        <v>995.84</v>
      </c>
      <c r="E4533" s="117">
        <v>45534</v>
      </c>
      <c r="F4533" s="116">
        <f>COUNTIFS($A$3:A12783,A4533,$B$3:B12783,B4533)</f>
        <v>1</v>
      </c>
      <c r="G4533" s="116"/>
    </row>
    <row r="4534" spans="1:7" x14ac:dyDescent="0.2">
      <c r="A4534" s="116">
        <f>IF(ISNUMBER(Tabela2[[#This Row],[CT-e/NFS]])=TRUE,(IF(B4534&gt;30000,4,IF(B4534&lt;1000,"ND",0))),"-")</f>
        <v>4</v>
      </c>
      <c r="B4534" s="116">
        <v>48759</v>
      </c>
      <c r="C4534" s="117">
        <v>45525</v>
      </c>
      <c r="D4534" s="116">
        <v>122.74</v>
      </c>
      <c r="E4534" s="117">
        <v>45534</v>
      </c>
      <c r="F4534" s="116">
        <f>COUNTIFS($A$3:A12784,A4534,$B$3:B12784,B4534)</f>
        <v>1</v>
      </c>
      <c r="G4534" s="116"/>
    </row>
    <row r="4535" spans="1:7" x14ac:dyDescent="0.2">
      <c r="A4535" s="116">
        <f>IF(ISNUMBER(Tabela2[[#This Row],[CT-e/NFS]])=TRUE,(IF(B4535&gt;30000,4,IF(B4535&lt;1000,"ND",0))),"-")</f>
        <v>4</v>
      </c>
      <c r="B4535" s="116">
        <v>48689</v>
      </c>
      <c r="C4535" s="117">
        <v>45525</v>
      </c>
      <c r="D4535" s="116">
        <v>2906.31</v>
      </c>
      <c r="E4535" s="117">
        <v>45534</v>
      </c>
      <c r="F4535" s="116">
        <f>COUNTIFS($A$3:A12785,A4535,$B$3:B12785,B4535)</f>
        <v>1</v>
      </c>
      <c r="G4535" s="116"/>
    </row>
    <row r="4536" spans="1:7" x14ac:dyDescent="0.2">
      <c r="A4536" s="116">
        <f>IF(ISNUMBER(Tabela2[[#This Row],[CT-e/NFS]])=TRUE,(IF(B4536&gt;30000,4,IF(B4536&lt;1000,"ND",0))),"-")</f>
        <v>4</v>
      </c>
      <c r="B4536" s="116">
        <v>48719</v>
      </c>
      <c r="C4536" s="117">
        <v>45525</v>
      </c>
      <c r="D4536" s="116">
        <v>3752.27</v>
      </c>
      <c r="E4536" s="117">
        <v>45534</v>
      </c>
      <c r="F4536" s="116">
        <f>COUNTIFS($A$3:A12786,A4536,$B$3:B12786,B4536)</f>
        <v>1</v>
      </c>
      <c r="G4536" s="116"/>
    </row>
    <row r="4537" spans="1:7" x14ac:dyDescent="0.2">
      <c r="A4537" s="116">
        <f>IF(ISNUMBER(Tabela2[[#This Row],[CT-e/NFS]])=TRUE,(IF(B4537&gt;30000,4,IF(B4537&lt;1000,"ND",0))),"-")</f>
        <v>4</v>
      </c>
      <c r="B4537" s="116">
        <v>48720</v>
      </c>
      <c r="C4537" s="117">
        <v>45525</v>
      </c>
      <c r="D4537" s="116">
        <v>702.11</v>
      </c>
      <c r="E4537" s="117">
        <v>45534</v>
      </c>
      <c r="F4537" s="116">
        <f>COUNTIFS($A$3:A12787,A4537,$B$3:B12787,B4537)</f>
        <v>1</v>
      </c>
      <c r="G4537" s="116"/>
    </row>
    <row r="4538" spans="1:7" x14ac:dyDescent="0.2">
      <c r="A4538" s="116">
        <f>IF(ISNUMBER(Tabela2[[#This Row],[CT-e/NFS]])=TRUE,(IF(B4538&gt;30000,4,IF(B4538&lt;1000,"ND",0))),"-")</f>
        <v>4</v>
      </c>
      <c r="B4538" s="116">
        <v>48740</v>
      </c>
      <c r="C4538" s="117">
        <v>45525</v>
      </c>
      <c r="D4538" s="116">
        <v>2061.77</v>
      </c>
      <c r="E4538" s="117">
        <v>45534</v>
      </c>
      <c r="F4538" s="116">
        <f>COUNTIFS($A$3:A12788,A4538,$B$3:B12788,B4538)</f>
        <v>1</v>
      </c>
      <c r="G4538" s="116"/>
    </row>
    <row r="4539" spans="1:7" x14ac:dyDescent="0.2">
      <c r="A4539" s="116">
        <f>IF(ISNUMBER(Tabela2[[#This Row],[CT-e/NFS]])=TRUE,(IF(B4539&gt;30000,4,IF(B4539&lt;1000,"ND",0))),"-")</f>
        <v>4</v>
      </c>
      <c r="B4539" s="116">
        <v>48761</v>
      </c>
      <c r="C4539" s="117">
        <v>45525</v>
      </c>
      <c r="D4539" s="116">
        <v>192.9</v>
      </c>
      <c r="E4539" s="117">
        <v>45534</v>
      </c>
      <c r="F4539" s="116">
        <f>COUNTIFS($A$3:A12789,A4539,$B$3:B12789,B4539)</f>
        <v>1</v>
      </c>
      <c r="G4539" s="116"/>
    </row>
    <row r="4540" spans="1:7" x14ac:dyDescent="0.2">
      <c r="A4540" s="116">
        <f>IF(ISNUMBER(Tabela2[[#This Row],[CT-e/NFS]])=TRUE,(IF(B4540&gt;30000,4,IF(B4540&lt;1000,"ND",0))),"-")</f>
        <v>4</v>
      </c>
      <c r="B4540" s="116">
        <v>48763</v>
      </c>
      <c r="C4540" s="117">
        <v>45525</v>
      </c>
      <c r="D4540" s="116">
        <v>2437.6999999999998</v>
      </c>
      <c r="E4540" s="117">
        <v>45534</v>
      </c>
      <c r="F4540" s="116">
        <f>COUNTIFS($A$3:A12790,A4540,$B$3:B12790,B4540)</f>
        <v>1</v>
      </c>
      <c r="G4540" s="116"/>
    </row>
    <row r="4541" spans="1:7" x14ac:dyDescent="0.2">
      <c r="A4541" s="116">
        <f>IF(ISNUMBER(Tabela2[[#This Row],[CT-e/NFS]])=TRUE,(IF(B4541&gt;30000,4,IF(B4541&lt;1000,"ND",0))),"-")</f>
        <v>4</v>
      </c>
      <c r="B4541" s="116">
        <v>48583</v>
      </c>
      <c r="C4541" s="117">
        <v>45525</v>
      </c>
      <c r="D4541" s="116">
        <v>1718.15</v>
      </c>
      <c r="E4541" s="117">
        <v>45534</v>
      </c>
      <c r="F4541" s="116">
        <f>COUNTIFS($A$3:A12791,A4541,$B$3:B12791,B4541)</f>
        <v>1</v>
      </c>
      <c r="G4541" s="116"/>
    </row>
    <row r="4542" spans="1:7" x14ac:dyDescent="0.2">
      <c r="A4542" s="116">
        <f>IF(ISNUMBER(Tabela2[[#This Row],[CT-e/NFS]])=TRUE,(IF(B4542&gt;30000,4,IF(B4542&lt;1000,"ND",0))),"-")</f>
        <v>0</v>
      </c>
      <c r="B4542" s="116">
        <v>21940</v>
      </c>
      <c r="C4542" s="117">
        <v>45525</v>
      </c>
      <c r="D4542" s="116">
        <v>338.2</v>
      </c>
      <c r="E4542" s="117">
        <v>45534</v>
      </c>
      <c r="F4542" s="116">
        <f>COUNTIFS($A$3:A12792,A4542,$B$3:B12792,B4542)</f>
        <v>1</v>
      </c>
      <c r="G4542" s="116"/>
    </row>
    <row r="4543" spans="1:7" x14ac:dyDescent="0.2">
      <c r="A4543" s="116">
        <f>IF(ISNUMBER(Tabela2[[#This Row],[CT-e/NFS]])=TRUE,(IF(B4543&gt;30000,4,IF(B4543&lt;1000,"ND",0))),"-")</f>
        <v>0</v>
      </c>
      <c r="B4543" s="116">
        <v>21943</v>
      </c>
      <c r="C4543" s="117">
        <v>45525</v>
      </c>
      <c r="D4543" s="116">
        <v>597.04</v>
      </c>
      <c r="E4543" s="117">
        <v>45534</v>
      </c>
      <c r="F4543" s="116">
        <f>COUNTIFS($A$3:A12793,A4543,$B$3:B12793,B4543)</f>
        <v>1</v>
      </c>
      <c r="G4543" s="116"/>
    </row>
    <row r="4544" spans="1:7" x14ac:dyDescent="0.2">
      <c r="A4544" s="116">
        <f>IF(ISNUMBER(Tabela2[[#This Row],[CT-e/NFS]])=TRUE,(IF(B4544&gt;30000,4,IF(B4544&lt;1000,"ND",0))),"-")</f>
        <v>0</v>
      </c>
      <c r="B4544" s="116">
        <v>21955</v>
      </c>
      <c r="C4544" s="117">
        <v>45525</v>
      </c>
      <c r="D4544" s="116">
        <v>305.25</v>
      </c>
      <c r="E4544" s="117">
        <v>45534</v>
      </c>
      <c r="F4544" s="116">
        <f>COUNTIFS($A$3:A12794,A4544,$B$3:B12794,B4544)</f>
        <v>1</v>
      </c>
      <c r="G4544" s="116"/>
    </row>
    <row r="4545" spans="1:7" x14ac:dyDescent="0.2">
      <c r="A4545" s="116">
        <f>IF(ISNUMBER(Tabela2[[#This Row],[CT-e/NFS]])=TRUE,(IF(B4545&gt;30000,4,IF(B4545&lt;1000,"ND",0))),"-")</f>
        <v>0</v>
      </c>
      <c r="B4545" s="116">
        <v>21958</v>
      </c>
      <c r="C4545" s="117">
        <v>45525</v>
      </c>
      <c r="D4545" s="116">
        <v>169.08</v>
      </c>
      <c r="E4545" s="117">
        <v>45534</v>
      </c>
      <c r="F4545" s="116">
        <f>COUNTIFS($A$3:A12795,A4545,$B$3:B12795,B4545)</f>
        <v>1</v>
      </c>
      <c r="G4545" s="116"/>
    </row>
    <row r="4546" spans="1:7" x14ac:dyDescent="0.2">
      <c r="A4546" s="116">
        <f>IF(ISNUMBER(Tabela2[[#This Row],[CT-e/NFS]])=TRUE,(IF(B4546&gt;30000,4,IF(B4546&lt;1000,"ND",0))),"-")</f>
        <v>0</v>
      </c>
      <c r="B4546" s="116">
        <v>21939</v>
      </c>
      <c r="C4546" s="117">
        <v>45525</v>
      </c>
      <c r="D4546" s="116">
        <v>338.2</v>
      </c>
      <c r="E4546" s="117">
        <v>45534</v>
      </c>
      <c r="F4546" s="116">
        <f>COUNTIFS($A$3:A12796,A4546,$B$3:B12796,B4546)</f>
        <v>1</v>
      </c>
      <c r="G4546" s="116"/>
    </row>
    <row r="4547" spans="1:7" x14ac:dyDescent="0.2">
      <c r="A4547" s="116">
        <f>IF(ISNUMBER(Tabela2[[#This Row],[CT-e/NFS]])=TRUE,(IF(B4547&gt;30000,4,IF(B4547&lt;1000,"ND",0))),"-")</f>
        <v>4</v>
      </c>
      <c r="B4547" s="116">
        <v>48603</v>
      </c>
      <c r="C4547" s="117">
        <v>45525</v>
      </c>
      <c r="D4547" s="116">
        <v>1479.57</v>
      </c>
      <c r="E4547" s="117">
        <v>45534</v>
      </c>
      <c r="F4547" s="116">
        <f>COUNTIFS($A$3:A12797,A4547,$B$3:B12797,B4547)</f>
        <v>1</v>
      </c>
      <c r="G4547" s="116"/>
    </row>
    <row r="4548" spans="1:7" x14ac:dyDescent="0.2">
      <c r="A4548" s="116" t="str">
        <f>IF(ISNUMBER(Tabela2[[#This Row],[CT-e/NFS]])=TRUE,(IF(B4548&gt;30000,4,IF(B4548&lt;1000,"ND",0))),"-")</f>
        <v>ND</v>
      </c>
      <c r="B4548" s="116">
        <v>227</v>
      </c>
      <c r="C4548" s="117">
        <v>45525</v>
      </c>
      <c r="D4548" s="116">
        <v>810.63</v>
      </c>
      <c r="E4548" s="117">
        <v>45534</v>
      </c>
      <c r="F4548" s="116">
        <f>COUNTIFS($A$3:A12798,A4548,$B$3:B12798,B4548)</f>
        <v>1</v>
      </c>
      <c r="G4548" s="116"/>
    </row>
    <row r="4549" spans="1:7" x14ac:dyDescent="0.2">
      <c r="A4549" s="116">
        <f>IF(ISNUMBER(Tabela2[[#This Row],[CT-e/NFS]])=TRUE,(IF(B4549&gt;30000,4,IF(B4549&lt;1000,"ND",0))),"-")</f>
        <v>4</v>
      </c>
      <c r="B4549" s="116">
        <v>48762</v>
      </c>
      <c r="C4549" s="117">
        <v>45525</v>
      </c>
      <c r="D4549" s="116">
        <v>396.45</v>
      </c>
      <c r="E4549" s="117">
        <v>45534</v>
      </c>
      <c r="F4549" s="116">
        <f>COUNTIFS($A$3:A12799,A4549,$B$3:B12799,B4549)</f>
        <v>1</v>
      </c>
      <c r="G4549" s="116"/>
    </row>
    <row r="4550" spans="1:7" x14ac:dyDescent="0.2">
      <c r="A4550" s="116">
        <f>IF(ISNUMBER(Tabela2[[#This Row],[CT-e/NFS]])=TRUE,(IF(B4550&gt;30000,4,IF(B4550&lt;1000,"ND",0))),"-")</f>
        <v>4</v>
      </c>
      <c r="B4550" s="116">
        <v>48773</v>
      </c>
      <c r="C4550" s="117">
        <v>45536</v>
      </c>
      <c r="D4550" s="116">
        <v>62.77</v>
      </c>
      <c r="E4550" s="117">
        <v>45550</v>
      </c>
      <c r="F4550" s="116">
        <f>COUNTIFS($A$3:A12800,A4550,$B$3:B12800,B4550)</f>
        <v>1</v>
      </c>
      <c r="G4550" s="116"/>
    </row>
    <row r="4551" spans="1:7" x14ac:dyDescent="0.2">
      <c r="A4551" s="116">
        <f>IF(ISNUMBER(Tabela2[[#This Row],[CT-e/NFS]])=TRUE,(IF(B4551&gt;30000,4,IF(B4551&lt;1000,"ND",0))),"-")</f>
        <v>4</v>
      </c>
      <c r="B4551" s="116">
        <v>48774</v>
      </c>
      <c r="C4551" s="117">
        <v>45536</v>
      </c>
      <c r="D4551" s="116">
        <v>113.28</v>
      </c>
      <c r="E4551" s="117">
        <v>45550</v>
      </c>
      <c r="F4551" s="116">
        <f>COUNTIFS($A$3:A12801,A4551,$B$3:B12801,B4551)</f>
        <v>1</v>
      </c>
      <c r="G4551" s="116"/>
    </row>
    <row r="4552" spans="1:7" x14ac:dyDescent="0.2">
      <c r="A4552" s="116">
        <f>IF(ISNUMBER(Tabela2[[#This Row],[CT-e/NFS]])=TRUE,(IF(B4552&gt;30000,4,IF(B4552&lt;1000,"ND",0))),"-")</f>
        <v>4</v>
      </c>
      <c r="B4552" s="116">
        <v>48775</v>
      </c>
      <c r="C4552" s="117">
        <v>45536</v>
      </c>
      <c r="D4552" s="116">
        <v>120.13</v>
      </c>
      <c r="E4552" s="117">
        <v>45550</v>
      </c>
      <c r="F4552" s="116">
        <f>COUNTIFS($A$3:A12802,A4552,$B$3:B12802,B4552)</f>
        <v>1</v>
      </c>
      <c r="G4552" s="116"/>
    </row>
    <row r="4553" spans="1:7" x14ac:dyDescent="0.2">
      <c r="A4553" s="116">
        <f>IF(ISNUMBER(Tabela2[[#This Row],[CT-e/NFS]])=TRUE,(IF(B4553&gt;30000,4,IF(B4553&lt;1000,"ND",0))),"-")</f>
        <v>4</v>
      </c>
      <c r="B4553" s="116">
        <v>48764</v>
      </c>
      <c r="C4553" s="117">
        <v>45536</v>
      </c>
      <c r="D4553" s="116">
        <v>134.05000000000001</v>
      </c>
      <c r="E4553" s="117">
        <v>45550</v>
      </c>
      <c r="F4553" s="116">
        <f>COUNTIFS($A$3:A12803,A4553,$B$3:B12803,B4553)</f>
        <v>1</v>
      </c>
      <c r="G4553" s="116"/>
    </row>
    <row r="4554" spans="1:7" x14ac:dyDescent="0.2">
      <c r="A4554" s="116">
        <f>IF(ISNUMBER(Tabela2[[#This Row],[CT-e/NFS]])=TRUE,(IF(B4554&gt;30000,4,IF(B4554&lt;1000,"ND",0))),"-")</f>
        <v>4</v>
      </c>
      <c r="B4554" s="116">
        <v>48776</v>
      </c>
      <c r="C4554" s="117">
        <v>45536</v>
      </c>
      <c r="D4554" s="116">
        <v>216.4</v>
      </c>
      <c r="E4554" s="117">
        <v>45550</v>
      </c>
      <c r="F4554" s="116">
        <f>COUNTIFS($A$3:A12804,A4554,$B$3:B12804,B4554)</f>
        <v>1</v>
      </c>
      <c r="G4554" s="116"/>
    </row>
    <row r="4555" spans="1:7" x14ac:dyDescent="0.2">
      <c r="A4555" s="116">
        <f>IF(ISNUMBER(Tabela2[[#This Row],[CT-e/NFS]])=TRUE,(IF(B4555&gt;30000,4,IF(B4555&lt;1000,"ND",0))),"-")</f>
        <v>4</v>
      </c>
      <c r="B4555" s="116">
        <v>48772</v>
      </c>
      <c r="C4555" s="117">
        <v>45536</v>
      </c>
      <c r="D4555" s="116">
        <v>125.05</v>
      </c>
      <c r="E4555" s="117">
        <v>45550</v>
      </c>
      <c r="F4555" s="116">
        <f>COUNTIFS($A$3:A12805,A4555,$B$3:B12805,B4555)</f>
        <v>1</v>
      </c>
      <c r="G4555" s="116"/>
    </row>
    <row r="4556" spans="1:7" x14ac:dyDescent="0.2">
      <c r="A4556" s="116">
        <f>IF(ISNUMBER(Tabela2[[#This Row],[CT-e/NFS]])=TRUE,(IF(B4556&gt;30000,4,IF(B4556&lt;1000,"ND",0))),"-")</f>
        <v>0</v>
      </c>
      <c r="B4556" s="116">
        <v>21988</v>
      </c>
      <c r="C4556" s="117">
        <v>45536</v>
      </c>
      <c r="D4556" s="116">
        <v>77.66</v>
      </c>
      <c r="E4556" s="117">
        <v>45550</v>
      </c>
      <c r="F4556" s="116">
        <f>COUNTIFS($A$3:A12806,A4556,$B$3:B12806,B4556)</f>
        <v>1</v>
      </c>
      <c r="G4556" s="116"/>
    </row>
    <row r="4557" spans="1:7" x14ac:dyDescent="0.2">
      <c r="A4557" s="116">
        <f>IF(ISNUMBER(Tabela2[[#This Row],[CT-e/NFS]])=TRUE,(IF(B4557&gt;30000,4,IF(B4557&lt;1000,"ND",0))),"-")</f>
        <v>0</v>
      </c>
      <c r="B4557" s="116">
        <v>21994</v>
      </c>
      <c r="C4557" s="117">
        <v>45536</v>
      </c>
      <c r="D4557" s="116">
        <v>77.63</v>
      </c>
      <c r="E4557" s="117">
        <v>45550</v>
      </c>
      <c r="F4557" s="116">
        <f>COUNTIFS($A$3:A12807,A4557,$B$3:B12807,B4557)</f>
        <v>1</v>
      </c>
      <c r="G4557" s="116"/>
    </row>
    <row r="4558" spans="1:7" x14ac:dyDescent="0.2">
      <c r="A4558" s="116">
        <f>IF(ISNUMBER(Tabela2[[#This Row],[CT-e/NFS]])=TRUE,(IF(B4558&gt;30000,4,IF(B4558&lt;1000,"ND",0))),"-")</f>
        <v>0</v>
      </c>
      <c r="B4558" s="116">
        <v>21993</v>
      </c>
      <c r="C4558" s="117">
        <v>45536</v>
      </c>
      <c r="D4558" s="116">
        <v>164.08</v>
      </c>
      <c r="E4558" s="117">
        <v>45550</v>
      </c>
      <c r="F4558" s="116">
        <f>COUNTIFS($A$3:A12808,A4558,$B$3:B12808,B4558)</f>
        <v>1</v>
      </c>
      <c r="G4558" s="116"/>
    </row>
    <row r="4559" spans="1:7" x14ac:dyDescent="0.2">
      <c r="A4559" s="116">
        <f>IF(ISNUMBER(Tabela2[[#This Row],[CT-e/NFS]])=TRUE,(IF(B4559&gt;30000,4,IF(B4559&lt;1000,"ND",0))),"-")</f>
        <v>0</v>
      </c>
      <c r="B4559" s="116">
        <v>21991</v>
      </c>
      <c r="C4559" s="117">
        <v>45536</v>
      </c>
      <c r="D4559" s="116">
        <v>77.39</v>
      </c>
      <c r="E4559" s="117">
        <v>45550</v>
      </c>
      <c r="F4559" s="116">
        <f>COUNTIFS($A$3:A12809,A4559,$B$3:B12809,B4559)</f>
        <v>1</v>
      </c>
      <c r="G4559" s="116"/>
    </row>
    <row r="4560" spans="1:7" x14ac:dyDescent="0.2">
      <c r="A4560" s="116">
        <f>IF(ISNUMBER(Tabela2[[#This Row],[CT-e/NFS]])=TRUE,(IF(B4560&gt;30000,4,IF(B4560&lt;1000,"ND",0))),"-")</f>
        <v>0</v>
      </c>
      <c r="B4560" s="116">
        <v>21990</v>
      </c>
      <c r="C4560" s="117">
        <v>45536</v>
      </c>
      <c r="D4560" s="116">
        <v>76.41</v>
      </c>
      <c r="E4560" s="117">
        <v>45550</v>
      </c>
      <c r="F4560" s="116">
        <f>COUNTIFS($A$3:A12810,A4560,$B$3:B12810,B4560)</f>
        <v>1</v>
      </c>
      <c r="G4560" s="116"/>
    </row>
    <row r="4561" spans="1:7" x14ac:dyDescent="0.2">
      <c r="A4561" s="116">
        <f>IF(ISNUMBER(Tabela2[[#This Row],[CT-e/NFS]])=TRUE,(IF(B4561&gt;30000,4,IF(B4561&lt;1000,"ND",0))),"-")</f>
        <v>0</v>
      </c>
      <c r="B4561" s="116">
        <v>21989</v>
      </c>
      <c r="C4561" s="117">
        <v>45536</v>
      </c>
      <c r="D4561" s="116">
        <v>75.69</v>
      </c>
      <c r="E4561" s="117">
        <v>45550</v>
      </c>
      <c r="F4561" s="116">
        <f>COUNTIFS($A$3:A12811,A4561,$B$3:B12811,B4561)</f>
        <v>1</v>
      </c>
      <c r="G4561" s="116"/>
    </row>
    <row r="4562" spans="1:7" x14ac:dyDescent="0.2">
      <c r="A4562" s="116">
        <f>IF(ISNUMBER(Tabela2[[#This Row],[CT-e/NFS]])=TRUE,(IF(B4562&gt;30000,4,IF(B4562&lt;1000,"ND",0))),"-")</f>
        <v>4</v>
      </c>
      <c r="B4562" s="116">
        <v>48769</v>
      </c>
      <c r="C4562" s="117">
        <v>45536</v>
      </c>
      <c r="D4562" s="116">
        <v>1137.73</v>
      </c>
      <c r="E4562" s="117">
        <v>45550</v>
      </c>
      <c r="F4562" s="116">
        <f>COUNTIFS($A$3:A12812,A4562,$B$3:B12812,B4562)</f>
        <v>1</v>
      </c>
      <c r="G4562" s="116"/>
    </row>
    <row r="4563" spans="1:7" x14ac:dyDescent="0.2">
      <c r="A4563" s="116">
        <f>IF(ISNUMBER(Tabela2[[#This Row],[CT-e/NFS]])=TRUE,(IF(B4563&gt;30000,4,IF(B4563&lt;1000,"ND",0))),"-")</f>
        <v>4</v>
      </c>
      <c r="B4563" s="116">
        <v>48768</v>
      </c>
      <c r="C4563" s="117">
        <v>45536</v>
      </c>
      <c r="D4563" s="116">
        <v>452.13</v>
      </c>
      <c r="E4563" s="117">
        <v>45550</v>
      </c>
      <c r="F4563" s="116">
        <f>COUNTIFS($A$3:A12813,A4563,$B$3:B12813,B4563)</f>
        <v>1</v>
      </c>
      <c r="G4563" s="116"/>
    </row>
    <row r="4564" spans="1:7" x14ac:dyDescent="0.2">
      <c r="A4564" s="116">
        <f>IF(ISNUMBER(Tabela2[[#This Row],[CT-e/NFS]])=TRUE,(IF(B4564&gt;30000,4,IF(B4564&lt;1000,"ND",0))),"-")</f>
        <v>4</v>
      </c>
      <c r="B4564" s="116">
        <v>48770</v>
      </c>
      <c r="C4564" s="117">
        <v>45536</v>
      </c>
      <c r="D4564" s="116">
        <v>579.88</v>
      </c>
      <c r="E4564" s="117">
        <v>45550</v>
      </c>
      <c r="F4564" s="116">
        <f>COUNTIFS($A$3:A12814,A4564,$B$3:B12814,B4564)</f>
        <v>1</v>
      </c>
      <c r="G4564" s="116"/>
    </row>
    <row r="4565" spans="1:7" x14ac:dyDescent="0.2">
      <c r="A4565" s="116">
        <f>IF(ISNUMBER(Tabela2[[#This Row],[CT-e/NFS]])=TRUE,(IF(B4565&gt;30000,4,IF(B4565&lt;1000,"ND",0))),"-")</f>
        <v>4</v>
      </c>
      <c r="B4565" s="116">
        <v>48767</v>
      </c>
      <c r="C4565" s="117">
        <v>45536</v>
      </c>
      <c r="D4565" s="116">
        <v>124.33</v>
      </c>
      <c r="E4565" s="117">
        <v>45550</v>
      </c>
      <c r="F4565" s="116">
        <f>COUNTIFS($A$3:A12815,A4565,$B$3:B12815,B4565)</f>
        <v>1</v>
      </c>
      <c r="G4565" s="116"/>
    </row>
    <row r="4566" spans="1:7" x14ac:dyDescent="0.2">
      <c r="A4566" s="116">
        <f>IF(ISNUMBER(Tabela2[[#This Row],[CT-e/NFS]])=TRUE,(IF(B4566&gt;30000,4,IF(B4566&lt;1000,"ND",0))),"-")</f>
        <v>4</v>
      </c>
      <c r="B4566" s="116">
        <v>48771</v>
      </c>
      <c r="C4566" s="117">
        <v>45536</v>
      </c>
      <c r="D4566" s="116">
        <v>122.92</v>
      </c>
      <c r="E4566" s="117">
        <v>45550</v>
      </c>
      <c r="F4566" s="116">
        <f>COUNTIFS($A$3:A12816,A4566,$B$3:B12816,B4566)</f>
        <v>1</v>
      </c>
      <c r="G4566" s="116"/>
    </row>
    <row r="4567" spans="1:7" x14ac:dyDescent="0.2">
      <c r="A4567" s="116">
        <f>IF(ISNUMBER(Tabela2[[#This Row],[CT-e/NFS]])=TRUE,(IF(B4567&gt;30000,4,IF(B4567&lt;1000,"ND",0))),"-")</f>
        <v>4</v>
      </c>
      <c r="B4567" s="116">
        <v>48766</v>
      </c>
      <c r="C4567" s="117">
        <v>45536</v>
      </c>
      <c r="D4567" s="116">
        <v>124.24</v>
      </c>
      <c r="E4567" s="117">
        <v>45550</v>
      </c>
      <c r="F4567" s="116">
        <f>COUNTIFS($A$3:A12817,A4567,$B$3:B12817,B4567)</f>
        <v>1</v>
      </c>
      <c r="G4567" s="116"/>
    </row>
    <row r="4568" spans="1:7" x14ac:dyDescent="0.2">
      <c r="A4568" s="116">
        <f>IF(ISNUMBER(Tabela2[[#This Row],[CT-e/NFS]])=TRUE,(IF(B4568&gt;30000,4,IF(B4568&lt;1000,"ND",0))),"-")</f>
        <v>4</v>
      </c>
      <c r="B4568" s="116">
        <v>48765</v>
      </c>
      <c r="C4568" s="117">
        <v>45536</v>
      </c>
      <c r="D4568" s="116">
        <v>238.82</v>
      </c>
      <c r="E4568" s="117">
        <v>45550</v>
      </c>
      <c r="F4568" s="116">
        <f>COUNTIFS($A$3:A12818,A4568,$B$3:B12818,B4568)</f>
        <v>1</v>
      </c>
      <c r="G4568" s="116"/>
    </row>
    <row r="4569" spans="1:7" x14ac:dyDescent="0.2">
      <c r="A4569" s="116">
        <f>IF(ISNUMBER(Tabela2[[#This Row],[CT-e/NFS]])=TRUE,(IF(B4569&gt;30000,4,IF(B4569&lt;1000,"ND",0))),"-")</f>
        <v>4</v>
      </c>
      <c r="B4569" s="116">
        <v>48786</v>
      </c>
      <c r="C4569" s="117">
        <v>45536</v>
      </c>
      <c r="D4569" s="116">
        <v>313.92</v>
      </c>
      <c r="E4569" s="117">
        <v>45550</v>
      </c>
      <c r="F4569" s="116">
        <f>COUNTIFS($A$3:A12819,A4569,$B$3:B12819,B4569)</f>
        <v>1</v>
      </c>
      <c r="G4569" s="116"/>
    </row>
    <row r="4570" spans="1:7" x14ac:dyDescent="0.2">
      <c r="A4570" s="116">
        <f>IF(ISNUMBER(Tabela2[[#This Row],[CT-e/NFS]])=TRUE,(IF(B4570&gt;30000,4,IF(B4570&lt;1000,"ND",0))),"-")</f>
        <v>4</v>
      </c>
      <c r="B4570" s="116">
        <v>48780</v>
      </c>
      <c r="C4570" s="117">
        <v>45536</v>
      </c>
      <c r="D4570" s="116">
        <v>823.81</v>
      </c>
      <c r="E4570" s="117">
        <v>45550</v>
      </c>
      <c r="F4570" s="116">
        <f>COUNTIFS($A$3:A12820,A4570,$B$3:B12820,B4570)</f>
        <v>1</v>
      </c>
      <c r="G4570" s="116"/>
    </row>
    <row r="4571" spans="1:7" x14ac:dyDescent="0.2">
      <c r="A4571" s="116">
        <f>IF(ISNUMBER(Tabela2[[#This Row],[CT-e/NFS]])=TRUE,(IF(B4571&gt;30000,4,IF(B4571&lt;1000,"ND",0))),"-")</f>
        <v>4</v>
      </c>
      <c r="B4571" s="116">
        <v>48788</v>
      </c>
      <c r="C4571" s="117">
        <v>45536</v>
      </c>
      <c r="D4571" s="116">
        <v>124.63</v>
      </c>
      <c r="E4571" s="117">
        <v>45550</v>
      </c>
      <c r="F4571" s="116">
        <f>COUNTIFS($A$3:A12821,A4571,$B$3:B12821,B4571)</f>
        <v>1</v>
      </c>
      <c r="G4571" s="116"/>
    </row>
    <row r="4572" spans="1:7" x14ac:dyDescent="0.2">
      <c r="A4572" s="116">
        <f>IF(ISNUMBER(Tabela2[[#This Row],[CT-e/NFS]])=TRUE,(IF(B4572&gt;30000,4,IF(B4572&lt;1000,"ND",0))),"-")</f>
        <v>4</v>
      </c>
      <c r="B4572" s="116">
        <v>48791</v>
      </c>
      <c r="C4572" s="117">
        <v>45536</v>
      </c>
      <c r="D4572" s="116">
        <v>702.11</v>
      </c>
      <c r="E4572" s="117">
        <v>45550</v>
      </c>
      <c r="F4572" s="116">
        <f>COUNTIFS($A$3:A12822,A4572,$B$3:B12822,B4572)</f>
        <v>1</v>
      </c>
      <c r="G4572" s="116"/>
    </row>
    <row r="4573" spans="1:7" x14ac:dyDescent="0.2">
      <c r="A4573" s="116">
        <f>IF(ISNUMBER(Tabela2[[#This Row],[CT-e/NFS]])=TRUE,(IF(B4573&gt;30000,4,IF(B4573&lt;1000,"ND",0))),"-")</f>
        <v>4</v>
      </c>
      <c r="B4573" s="116">
        <v>48787</v>
      </c>
      <c r="C4573" s="117">
        <v>45536</v>
      </c>
      <c r="D4573" s="116">
        <v>124.26</v>
      </c>
      <c r="E4573" s="117">
        <v>45550</v>
      </c>
      <c r="F4573" s="116">
        <f>COUNTIFS($A$3:A12823,A4573,$B$3:B12823,B4573)</f>
        <v>1</v>
      </c>
      <c r="G4573" s="116"/>
    </row>
    <row r="4574" spans="1:7" x14ac:dyDescent="0.2">
      <c r="A4574" s="116">
        <f>IF(ISNUMBER(Tabela2[[#This Row],[CT-e/NFS]])=TRUE,(IF(B4574&gt;30000,4,IF(B4574&lt;1000,"ND",0))),"-")</f>
        <v>4</v>
      </c>
      <c r="B4574" s="116">
        <v>48789</v>
      </c>
      <c r="C4574" s="117">
        <v>45536</v>
      </c>
      <c r="D4574" s="116">
        <v>124.15</v>
      </c>
      <c r="E4574" s="117">
        <v>45550</v>
      </c>
      <c r="F4574" s="116">
        <f>COUNTIFS($A$3:A12824,A4574,$B$3:B12824,B4574)</f>
        <v>1</v>
      </c>
      <c r="G4574" s="116"/>
    </row>
    <row r="4575" spans="1:7" x14ac:dyDescent="0.2">
      <c r="A4575" s="116">
        <f>IF(ISNUMBER(Tabela2[[#This Row],[CT-e/NFS]])=TRUE,(IF(B4575&gt;30000,4,IF(B4575&lt;1000,"ND",0))),"-")</f>
        <v>4</v>
      </c>
      <c r="B4575" s="116">
        <v>48779</v>
      </c>
      <c r="C4575" s="117">
        <v>45536</v>
      </c>
      <c r="D4575" s="116">
        <v>240.27</v>
      </c>
      <c r="E4575" s="117">
        <v>45550</v>
      </c>
      <c r="F4575" s="116">
        <f>COUNTIFS($A$3:A12825,A4575,$B$3:B12825,B4575)</f>
        <v>1</v>
      </c>
      <c r="G4575" s="116"/>
    </row>
    <row r="4576" spans="1:7" x14ac:dyDescent="0.2">
      <c r="A4576" s="116">
        <f>IF(ISNUMBER(Tabela2[[#This Row],[CT-e/NFS]])=TRUE,(IF(B4576&gt;30000,4,IF(B4576&lt;1000,"ND",0))),"-")</f>
        <v>4</v>
      </c>
      <c r="B4576" s="116">
        <v>48778</v>
      </c>
      <c r="C4576" s="117">
        <v>45536</v>
      </c>
      <c r="D4576" s="116">
        <v>240.45</v>
      </c>
      <c r="E4576" s="117">
        <v>45550</v>
      </c>
      <c r="F4576" s="116">
        <f>COUNTIFS($A$3:A12826,A4576,$B$3:B12826,B4576)</f>
        <v>1</v>
      </c>
      <c r="G4576" s="116"/>
    </row>
    <row r="4577" spans="1:7" x14ac:dyDescent="0.2">
      <c r="A4577" s="116">
        <f>IF(ISNUMBER(Tabela2[[#This Row],[CT-e/NFS]])=TRUE,(IF(B4577&gt;30000,4,IF(B4577&lt;1000,"ND",0))),"-")</f>
        <v>4</v>
      </c>
      <c r="B4577" s="116">
        <v>48782</v>
      </c>
      <c r="C4577" s="117">
        <v>45536</v>
      </c>
      <c r="D4577" s="116">
        <v>124.51</v>
      </c>
      <c r="E4577" s="117">
        <v>45550</v>
      </c>
      <c r="F4577" s="116">
        <f>COUNTIFS($A$3:A12827,A4577,$B$3:B12827,B4577)</f>
        <v>1</v>
      </c>
      <c r="G4577" s="116"/>
    </row>
    <row r="4578" spans="1:7" x14ac:dyDescent="0.2">
      <c r="A4578" s="116">
        <f>IF(ISNUMBER(Tabela2[[#This Row],[CT-e/NFS]])=TRUE,(IF(B4578&gt;30000,4,IF(B4578&lt;1000,"ND",0))),"-")</f>
        <v>4</v>
      </c>
      <c r="B4578" s="116">
        <v>48785</v>
      </c>
      <c r="C4578" s="117">
        <v>45536</v>
      </c>
      <c r="D4578" s="116">
        <v>124.1</v>
      </c>
      <c r="E4578" s="117">
        <v>45550</v>
      </c>
      <c r="F4578" s="116">
        <f>COUNTIFS($A$3:A12828,A4578,$B$3:B12828,B4578)</f>
        <v>1</v>
      </c>
      <c r="G4578" s="116"/>
    </row>
    <row r="4579" spans="1:7" x14ac:dyDescent="0.2">
      <c r="A4579" s="116">
        <f>IF(ISNUMBER(Tabela2[[#This Row],[CT-e/NFS]])=TRUE,(IF(B4579&gt;30000,4,IF(B4579&lt;1000,"ND",0))),"-")</f>
        <v>4</v>
      </c>
      <c r="B4579" s="116">
        <v>48781</v>
      </c>
      <c r="C4579" s="117">
        <v>45536</v>
      </c>
      <c r="D4579" s="116">
        <v>122.92</v>
      </c>
      <c r="E4579" s="117">
        <v>45550</v>
      </c>
      <c r="F4579" s="116">
        <f>COUNTIFS($A$3:A12829,A4579,$B$3:B12829,B4579)</f>
        <v>1</v>
      </c>
      <c r="G4579" s="116"/>
    </row>
    <row r="4580" spans="1:7" x14ac:dyDescent="0.2">
      <c r="A4580" s="116">
        <f>IF(ISNUMBER(Tabela2[[#This Row],[CT-e/NFS]])=TRUE,(IF(B4580&gt;30000,4,IF(B4580&lt;1000,"ND",0))),"-")</f>
        <v>4</v>
      </c>
      <c r="B4580" s="116">
        <v>48784</v>
      </c>
      <c r="C4580" s="117">
        <v>45536</v>
      </c>
      <c r="D4580" s="116">
        <v>173.95</v>
      </c>
      <c r="E4580" s="117">
        <v>45550</v>
      </c>
      <c r="F4580" s="116">
        <f>COUNTIFS($A$3:A12830,A4580,$B$3:B12830,B4580)</f>
        <v>1</v>
      </c>
      <c r="G4580" s="116"/>
    </row>
    <row r="4581" spans="1:7" x14ac:dyDescent="0.2">
      <c r="A4581" s="116">
        <f>IF(ISNUMBER(Tabela2[[#This Row],[CT-e/NFS]])=TRUE,(IF(B4581&gt;30000,4,IF(B4581&lt;1000,"ND",0))),"-")</f>
        <v>4</v>
      </c>
      <c r="B4581" s="116">
        <v>48783</v>
      </c>
      <c r="C4581" s="117">
        <v>45536</v>
      </c>
      <c r="D4581" s="116">
        <v>124.05</v>
      </c>
      <c r="E4581" s="117">
        <v>45550</v>
      </c>
      <c r="F4581" s="116">
        <f>COUNTIFS($A$3:A12831,A4581,$B$3:B12831,B4581)</f>
        <v>1</v>
      </c>
      <c r="G4581" s="116"/>
    </row>
    <row r="4582" spans="1:7" x14ac:dyDescent="0.2">
      <c r="A4582" s="116">
        <f>IF(ISNUMBER(Tabela2[[#This Row],[CT-e/NFS]])=TRUE,(IF(B4582&gt;30000,4,IF(B4582&lt;1000,"ND",0))),"-")</f>
        <v>0</v>
      </c>
      <c r="B4582" s="116">
        <v>21997</v>
      </c>
      <c r="C4582" s="117">
        <v>45536</v>
      </c>
      <c r="D4582" s="116">
        <v>158.52000000000001</v>
      </c>
      <c r="E4582" s="117">
        <v>45550</v>
      </c>
      <c r="F4582" s="116">
        <f>COUNTIFS($A$3:A12832,A4582,$B$3:B12832,B4582)</f>
        <v>1</v>
      </c>
      <c r="G4582" s="116"/>
    </row>
    <row r="4583" spans="1:7" x14ac:dyDescent="0.2">
      <c r="A4583" s="116">
        <f>IF(ISNUMBER(Tabela2[[#This Row],[CT-e/NFS]])=TRUE,(IF(B4583&gt;30000,4,IF(B4583&lt;1000,"ND",0))),"-")</f>
        <v>0</v>
      </c>
      <c r="B4583" s="116">
        <v>22000</v>
      </c>
      <c r="C4583" s="117">
        <v>45536</v>
      </c>
      <c r="D4583" s="116">
        <v>122.46</v>
      </c>
      <c r="E4583" s="117">
        <v>45550</v>
      </c>
      <c r="F4583" s="116">
        <f>COUNTIFS($A$3:A12833,A4583,$B$3:B12833,B4583)</f>
        <v>1</v>
      </c>
      <c r="G4583" s="116"/>
    </row>
    <row r="4584" spans="1:7" x14ac:dyDescent="0.2">
      <c r="A4584" s="116">
        <f>IF(ISNUMBER(Tabela2[[#This Row],[CT-e/NFS]])=TRUE,(IF(B4584&gt;30000,4,IF(B4584&lt;1000,"ND",0))),"-")</f>
        <v>0</v>
      </c>
      <c r="B4584" s="116">
        <v>21996</v>
      </c>
      <c r="C4584" s="117">
        <v>45536</v>
      </c>
      <c r="D4584" s="116">
        <v>77.44</v>
      </c>
      <c r="E4584" s="117">
        <v>45550</v>
      </c>
      <c r="F4584" s="116">
        <f>COUNTIFS($A$3:A12834,A4584,$B$3:B12834,B4584)</f>
        <v>1</v>
      </c>
      <c r="G4584" s="116"/>
    </row>
    <row r="4585" spans="1:7" x14ac:dyDescent="0.2">
      <c r="A4585" s="116">
        <f>IF(ISNUMBER(Tabela2[[#This Row],[CT-e/NFS]])=TRUE,(IF(B4585&gt;30000,4,IF(B4585&lt;1000,"ND",0))),"-")</f>
        <v>0</v>
      </c>
      <c r="B4585" s="116">
        <v>21999</v>
      </c>
      <c r="C4585" s="117">
        <v>45536</v>
      </c>
      <c r="D4585" s="116">
        <v>75.69</v>
      </c>
      <c r="E4585" s="117">
        <v>45550</v>
      </c>
      <c r="F4585" s="116">
        <f>COUNTIFS($A$3:A12835,A4585,$B$3:B12835,B4585)</f>
        <v>1</v>
      </c>
      <c r="G4585" s="116"/>
    </row>
    <row r="4586" spans="1:7" x14ac:dyDescent="0.2">
      <c r="A4586" s="116">
        <f>IF(ISNUMBER(Tabela2[[#This Row],[CT-e/NFS]])=TRUE,(IF(B4586&gt;30000,4,IF(B4586&lt;1000,"ND",0))),"-")</f>
        <v>0</v>
      </c>
      <c r="B4586" s="116">
        <v>21995</v>
      </c>
      <c r="C4586" s="117">
        <v>45536</v>
      </c>
      <c r="D4586" s="116">
        <v>76.48</v>
      </c>
      <c r="E4586" s="117">
        <v>45550</v>
      </c>
      <c r="F4586" s="116">
        <f>COUNTIFS($A$3:A12836,A4586,$B$3:B12836,B4586)</f>
        <v>1</v>
      </c>
      <c r="G4586" s="116"/>
    </row>
    <row r="4587" spans="1:7" x14ac:dyDescent="0.2">
      <c r="A4587" s="116">
        <f>IF(ISNUMBER(Tabela2[[#This Row],[CT-e/NFS]])=TRUE,(IF(B4587&gt;30000,4,IF(B4587&lt;1000,"ND",0))),"-")</f>
        <v>0</v>
      </c>
      <c r="B4587" s="116">
        <v>21998</v>
      </c>
      <c r="C4587" s="117">
        <v>45536</v>
      </c>
      <c r="D4587" s="116">
        <v>76.62</v>
      </c>
      <c r="E4587" s="117">
        <v>45550</v>
      </c>
      <c r="F4587" s="116">
        <f>COUNTIFS($A$3:A12837,A4587,$B$3:B12837,B4587)</f>
        <v>1</v>
      </c>
      <c r="G4587" s="116"/>
    </row>
    <row r="4588" spans="1:7" x14ac:dyDescent="0.2">
      <c r="A4588" s="116">
        <f>IF(ISNUMBER(Tabela2[[#This Row],[CT-e/NFS]])=TRUE,(IF(B4588&gt;30000,4,IF(B4588&lt;1000,"ND",0))),"-")</f>
        <v>4</v>
      </c>
      <c r="B4588" s="116">
        <v>48804</v>
      </c>
      <c r="C4588" s="117">
        <v>45536</v>
      </c>
      <c r="D4588" s="116">
        <v>125.35</v>
      </c>
      <c r="E4588" s="117">
        <v>45550</v>
      </c>
      <c r="F4588" s="116">
        <f>COUNTIFS($A$3:A12838,A4588,$B$3:B12838,B4588)</f>
        <v>1</v>
      </c>
      <c r="G4588" s="116"/>
    </row>
    <row r="4589" spans="1:7" x14ac:dyDescent="0.2">
      <c r="A4589" s="116">
        <f>IF(ISNUMBER(Tabela2[[#This Row],[CT-e/NFS]])=TRUE,(IF(B4589&gt;30000,4,IF(B4589&lt;1000,"ND",0))),"-")</f>
        <v>4</v>
      </c>
      <c r="B4589" s="116">
        <v>48801</v>
      </c>
      <c r="C4589" s="117">
        <v>45536</v>
      </c>
      <c r="D4589" s="116">
        <v>532.16999999999996</v>
      </c>
      <c r="E4589" s="117">
        <v>45550</v>
      </c>
      <c r="F4589" s="116">
        <f>COUNTIFS($A$3:A12839,A4589,$B$3:B12839,B4589)</f>
        <v>1</v>
      </c>
      <c r="G4589" s="116"/>
    </row>
    <row r="4590" spans="1:7" x14ac:dyDescent="0.2">
      <c r="A4590" s="116">
        <f>IF(ISNUMBER(Tabela2[[#This Row],[CT-e/NFS]])=TRUE,(IF(B4590&gt;30000,4,IF(B4590&lt;1000,"ND",0))),"-")</f>
        <v>4</v>
      </c>
      <c r="B4590" s="116">
        <v>48805</v>
      </c>
      <c r="C4590" s="117">
        <v>45536</v>
      </c>
      <c r="D4590" s="116">
        <v>125.16</v>
      </c>
      <c r="E4590" s="117">
        <v>45550</v>
      </c>
      <c r="F4590" s="116">
        <f>COUNTIFS($A$3:A12840,A4590,$B$3:B12840,B4590)</f>
        <v>1</v>
      </c>
      <c r="G4590" s="116"/>
    </row>
    <row r="4591" spans="1:7" x14ac:dyDescent="0.2">
      <c r="A4591" s="116">
        <f>IF(ISNUMBER(Tabela2[[#This Row],[CT-e/NFS]])=TRUE,(IF(B4591&gt;30000,4,IF(B4591&lt;1000,"ND",0))),"-")</f>
        <v>4</v>
      </c>
      <c r="B4591" s="116">
        <v>48802</v>
      </c>
      <c r="C4591" s="117">
        <v>45536</v>
      </c>
      <c r="D4591" s="116">
        <v>125.07</v>
      </c>
      <c r="E4591" s="117">
        <v>45550</v>
      </c>
      <c r="F4591" s="116">
        <f>COUNTIFS($A$3:A12841,A4591,$B$3:B12841,B4591)</f>
        <v>1</v>
      </c>
      <c r="G4591" s="116"/>
    </row>
    <row r="4592" spans="1:7" x14ac:dyDescent="0.2">
      <c r="A4592" s="116">
        <f>IF(ISNUMBER(Tabela2[[#This Row],[CT-e/NFS]])=TRUE,(IF(B4592&gt;30000,4,IF(B4592&lt;1000,"ND",0))),"-")</f>
        <v>4</v>
      </c>
      <c r="B4592" s="116">
        <v>48803</v>
      </c>
      <c r="C4592" s="117">
        <v>45536</v>
      </c>
      <c r="D4592" s="116">
        <v>123.86</v>
      </c>
      <c r="E4592" s="117">
        <v>45550</v>
      </c>
      <c r="F4592" s="116">
        <f>COUNTIFS($A$3:A12842,A4592,$B$3:B12842,B4592)</f>
        <v>1</v>
      </c>
      <c r="G4592" s="116"/>
    </row>
    <row r="4593" spans="1:7" x14ac:dyDescent="0.2">
      <c r="A4593" s="116">
        <f>IF(ISNUMBER(Tabela2[[#This Row],[CT-e/NFS]])=TRUE,(IF(B4593&gt;30000,4,IF(B4593&lt;1000,"ND",0))),"-")</f>
        <v>4</v>
      </c>
      <c r="B4593" s="116">
        <v>48797</v>
      </c>
      <c r="C4593" s="117">
        <v>45536</v>
      </c>
      <c r="D4593" s="116">
        <v>125.57</v>
      </c>
      <c r="E4593" s="117">
        <v>45550</v>
      </c>
      <c r="F4593" s="116">
        <f>COUNTIFS($A$3:A12843,A4593,$B$3:B12843,B4593)</f>
        <v>1</v>
      </c>
      <c r="G4593" s="116"/>
    </row>
    <row r="4594" spans="1:7" x14ac:dyDescent="0.2">
      <c r="A4594" s="116">
        <f>IF(ISNUMBER(Tabela2[[#This Row],[CT-e/NFS]])=TRUE,(IF(B4594&gt;30000,4,IF(B4594&lt;1000,"ND",0))),"-")</f>
        <v>4</v>
      </c>
      <c r="B4594" s="116">
        <v>48798</v>
      </c>
      <c r="C4594" s="117">
        <v>45536</v>
      </c>
      <c r="D4594" s="116">
        <v>172.43</v>
      </c>
      <c r="E4594" s="117">
        <v>45550</v>
      </c>
      <c r="F4594" s="116">
        <f>COUNTIFS($A$3:A12844,A4594,$B$3:B12844,B4594)</f>
        <v>1</v>
      </c>
      <c r="G4594" s="116"/>
    </row>
    <row r="4595" spans="1:7" x14ac:dyDescent="0.2">
      <c r="A4595" s="116">
        <f>IF(ISNUMBER(Tabela2[[#This Row],[CT-e/NFS]])=TRUE,(IF(B4595&gt;30000,4,IF(B4595&lt;1000,"ND",0))),"-")</f>
        <v>4</v>
      </c>
      <c r="B4595" s="116">
        <v>48808</v>
      </c>
      <c r="C4595" s="117">
        <v>45536</v>
      </c>
      <c r="D4595" s="116">
        <v>702.1</v>
      </c>
      <c r="E4595" s="117">
        <v>45550</v>
      </c>
      <c r="F4595" s="116">
        <f>COUNTIFS($A$3:A12845,A4595,$B$3:B12845,B4595)</f>
        <v>1</v>
      </c>
      <c r="G4595" s="116"/>
    </row>
    <row r="4596" spans="1:7" x14ac:dyDescent="0.2">
      <c r="A4596" s="116">
        <f>IF(ISNUMBER(Tabela2[[#This Row],[CT-e/NFS]])=TRUE,(IF(B4596&gt;30000,4,IF(B4596&lt;1000,"ND",0))),"-")</f>
        <v>4</v>
      </c>
      <c r="B4596" s="116">
        <v>48796</v>
      </c>
      <c r="C4596" s="117">
        <v>45536</v>
      </c>
      <c r="D4596" s="116">
        <v>227.08</v>
      </c>
      <c r="E4596" s="117">
        <v>45550</v>
      </c>
      <c r="F4596" s="116">
        <f>COUNTIFS($A$3:A12846,A4596,$B$3:B12846,B4596)</f>
        <v>1</v>
      </c>
      <c r="G4596" s="116"/>
    </row>
    <row r="4597" spans="1:7" x14ac:dyDescent="0.2">
      <c r="A4597" s="116">
        <f>IF(ISNUMBER(Tabela2[[#This Row],[CT-e/NFS]])=TRUE,(IF(B4597&gt;30000,4,IF(B4597&lt;1000,"ND",0))),"-")</f>
        <v>4</v>
      </c>
      <c r="B4597" s="116">
        <v>48795</v>
      </c>
      <c r="C4597" s="117">
        <v>45536</v>
      </c>
      <c r="D4597" s="116">
        <v>123.92</v>
      </c>
      <c r="E4597" s="117">
        <v>45550</v>
      </c>
      <c r="F4597" s="116">
        <f>COUNTIFS($A$3:A12847,A4597,$B$3:B12847,B4597)</f>
        <v>1</v>
      </c>
      <c r="G4597" s="116"/>
    </row>
    <row r="4598" spans="1:7" x14ac:dyDescent="0.2">
      <c r="A4598" s="116">
        <f>IF(ISNUMBER(Tabela2[[#This Row],[CT-e/NFS]])=TRUE,(IF(B4598&gt;30000,4,IF(B4598&lt;1000,"ND",0))),"-")</f>
        <v>4</v>
      </c>
      <c r="B4598" s="116">
        <v>48800</v>
      </c>
      <c r="C4598" s="117">
        <v>45536</v>
      </c>
      <c r="D4598" s="116">
        <v>126.67</v>
      </c>
      <c r="E4598" s="117">
        <v>45550</v>
      </c>
      <c r="F4598" s="116">
        <f>COUNTIFS($A$3:A12848,A4598,$B$3:B12848,B4598)</f>
        <v>1</v>
      </c>
      <c r="G4598" s="116"/>
    </row>
    <row r="4599" spans="1:7" x14ac:dyDescent="0.2">
      <c r="A4599" s="116">
        <f>IF(ISNUMBER(Tabela2[[#This Row],[CT-e/NFS]])=TRUE,(IF(B4599&gt;30000,4,IF(B4599&lt;1000,"ND",0))),"-")</f>
        <v>4</v>
      </c>
      <c r="B4599" s="116">
        <v>48799</v>
      </c>
      <c r="C4599" s="117">
        <v>45536</v>
      </c>
      <c r="D4599" s="116">
        <v>165.85</v>
      </c>
      <c r="E4599" s="117">
        <v>45550</v>
      </c>
      <c r="F4599" s="116">
        <f>COUNTIFS($A$3:A12849,A4599,$B$3:B12849,B4599)</f>
        <v>1</v>
      </c>
      <c r="G4599" s="116"/>
    </row>
    <row r="4600" spans="1:7" x14ac:dyDescent="0.2">
      <c r="A4600" s="116">
        <f>IF(ISNUMBER(Tabela2[[#This Row],[CT-e/NFS]])=TRUE,(IF(B4600&gt;30000,4,IF(B4600&lt;1000,"ND",0))),"-")</f>
        <v>4</v>
      </c>
      <c r="B4600" s="116">
        <v>48809</v>
      </c>
      <c r="C4600" s="117">
        <v>45536</v>
      </c>
      <c r="D4600" s="116">
        <v>1245.6099999999999</v>
      </c>
      <c r="E4600" s="117">
        <v>45550</v>
      </c>
      <c r="F4600" s="116">
        <f>COUNTIFS($A$3:A12850,A4600,$B$3:B12850,B4600)</f>
        <v>1</v>
      </c>
      <c r="G4600" s="116"/>
    </row>
    <row r="4601" spans="1:7" x14ac:dyDescent="0.2">
      <c r="A4601" s="116">
        <f>IF(ISNUMBER(Tabela2[[#This Row],[CT-e/NFS]])=TRUE,(IF(B4601&gt;30000,4,IF(B4601&lt;1000,"ND",0))),"-")</f>
        <v>4</v>
      </c>
      <c r="B4601" s="116">
        <v>48794</v>
      </c>
      <c r="C4601" s="117">
        <v>45536</v>
      </c>
      <c r="D4601" s="116">
        <v>123.9</v>
      </c>
      <c r="E4601" s="117">
        <v>45550</v>
      </c>
      <c r="F4601" s="116">
        <f>COUNTIFS($A$3:A12851,A4601,$B$3:B12851,B4601)</f>
        <v>1</v>
      </c>
      <c r="G4601" s="116"/>
    </row>
    <row r="4602" spans="1:7" x14ac:dyDescent="0.2">
      <c r="A4602" s="116">
        <f>IF(ISNUMBER(Tabela2[[#This Row],[CT-e/NFS]])=TRUE,(IF(B4602&gt;30000,4,IF(B4602&lt;1000,"ND",0))),"-")</f>
        <v>4</v>
      </c>
      <c r="B4602" s="116">
        <v>48813</v>
      </c>
      <c r="C4602" s="117">
        <v>45536</v>
      </c>
      <c r="D4602" s="116">
        <v>10378.35</v>
      </c>
      <c r="E4602" s="117">
        <v>45550</v>
      </c>
      <c r="F4602" s="116">
        <f>COUNTIFS($A$3:A12852,A4602,$B$3:B12852,B4602)</f>
        <v>1</v>
      </c>
      <c r="G4602" s="116"/>
    </row>
    <row r="4603" spans="1:7" x14ac:dyDescent="0.2">
      <c r="A4603" s="116">
        <f>IF(ISNUMBER(Tabela2[[#This Row],[CT-e/NFS]])=TRUE,(IF(B4603&gt;30000,4,IF(B4603&lt;1000,"ND",0))),"-")</f>
        <v>4</v>
      </c>
      <c r="B4603" s="116">
        <v>48814</v>
      </c>
      <c r="C4603" s="117">
        <v>45536</v>
      </c>
      <c r="D4603" s="116">
        <v>7963.98</v>
      </c>
      <c r="E4603" s="117">
        <v>45550</v>
      </c>
      <c r="F4603" s="116">
        <f>COUNTIFS($A$3:A12853,A4603,$B$3:B12853,B4603)</f>
        <v>1</v>
      </c>
      <c r="G4603" s="116"/>
    </row>
    <row r="4604" spans="1:7" x14ac:dyDescent="0.2">
      <c r="A4604" s="116">
        <f>IF(ISNUMBER(Tabela2[[#This Row],[CT-e/NFS]])=TRUE,(IF(B4604&gt;30000,4,IF(B4604&lt;1000,"ND",0))),"-")</f>
        <v>4</v>
      </c>
      <c r="B4604" s="116">
        <v>48818</v>
      </c>
      <c r="C4604" s="117">
        <v>45536</v>
      </c>
      <c r="D4604" s="116">
        <v>1137.73</v>
      </c>
      <c r="E4604" s="117">
        <v>45550</v>
      </c>
      <c r="F4604" s="116">
        <f>COUNTIFS($A$3:A12854,A4604,$B$3:B12854,B4604)</f>
        <v>1</v>
      </c>
      <c r="G4604" s="116"/>
    </row>
    <row r="4605" spans="1:7" x14ac:dyDescent="0.2">
      <c r="A4605" s="116">
        <f>IF(ISNUMBER(Tabela2[[#This Row],[CT-e/NFS]])=TRUE,(IF(B4605&gt;30000,4,IF(B4605&lt;1000,"ND",0))),"-")</f>
        <v>4</v>
      </c>
      <c r="B4605" s="116">
        <v>48819</v>
      </c>
      <c r="C4605" s="117">
        <v>45536</v>
      </c>
      <c r="D4605" s="116">
        <v>260.72000000000003</v>
      </c>
      <c r="E4605" s="117">
        <v>45550</v>
      </c>
      <c r="F4605" s="116">
        <f>COUNTIFS($A$3:A12855,A4605,$B$3:B12855,B4605)</f>
        <v>1</v>
      </c>
      <c r="G4605" s="116"/>
    </row>
    <row r="4606" spans="1:7" x14ac:dyDescent="0.2">
      <c r="A4606" s="116">
        <f>IF(ISNUMBER(Tabela2[[#This Row],[CT-e/NFS]])=TRUE,(IF(B4606&gt;30000,4,IF(B4606&lt;1000,"ND",0))),"-")</f>
        <v>4</v>
      </c>
      <c r="B4606" s="116">
        <v>48820</v>
      </c>
      <c r="C4606" s="117">
        <v>45536</v>
      </c>
      <c r="D4606" s="116">
        <v>62.53</v>
      </c>
      <c r="E4606" s="117">
        <v>45550</v>
      </c>
      <c r="F4606" s="116">
        <f>COUNTIFS($A$3:A12856,A4606,$B$3:B12856,B4606)</f>
        <v>1</v>
      </c>
      <c r="G4606" s="116"/>
    </row>
    <row r="4607" spans="1:7" x14ac:dyDescent="0.2">
      <c r="A4607" s="116">
        <f>IF(ISNUMBER(Tabela2[[#This Row],[CT-e/NFS]])=TRUE,(IF(B4607&gt;30000,4,IF(B4607&lt;1000,"ND",0))),"-")</f>
        <v>4</v>
      </c>
      <c r="B4607" s="116">
        <v>48822</v>
      </c>
      <c r="C4607" s="117">
        <v>45536</v>
      </c>
      <c r="D4607" s="116">
        <v>112.56</v>
      </c>
      <c r="E4607" s="117">
        <v>45550</v>
      </c>
      <c r="F4607" s="116">
        <f>COUNTIFS($A$3:A12857,A4607,$B$3:B12857,B4607)</f>
        <v>1</v>
      </c>
      <c r="G4607" s="116"/>
    </row>
    <row r="4608" spans="1:7" x14ac:dyDescent="0.2">
      <c r="A4608" s="116">
        <f>IF(ISNUMBER(Tabela2[[#This Row],[CT-e/NFS]])=TRUE,(IF(B4608&gt;30000,4,IF(B4608&lt;1000,"ND",0))),"-")</f>
        <v>4</v>
      </c>
      <c r="B4608" s="116">
        <v>48829</v>
      </c>
      <c r="C4608" s="117">
        <v>45536</v>
      </c>
      <c r="D4608" s="116">
        <v>124.59</v>
      </c>
      <c r="E4608" s="117">
        <v>45550</v>
      </c>
      <c r="F4608" s="116">
        <f>COUNTIFS($A$3:A12858,A4608,$B$3:B12858,B4608)</f>
        <v>1</v>
      </c>
      <c r="G4608" s="116"/>
    </row>
    <row r="4609" spans="1:7" x14ac:dyDescent="0.2">
      <c r="A4609" s="116">
        <f>IF(ISNUMBER(Tabela2[[#This Row],[CT-e/NFS]])=TRUE,(IF(B4609&gt;30000,4,IF(B4609&lt;1000,"ND",0))),"-")</f>
        <v>4</v>
      </c>
      <c r="B4609" s="116">
        <v>48825</v>
      </c>
      <c r="C4609" s="117">
        <v>45536</v>
      </c>
      <c r="D4609" s="116">
        <v>239.03</v>
      </c>
      <c r="E4609" s="117">
        <v>45550</v>
      </c>
      <c r="F4609" s="116">
        <f>COUNTIFS($A$3:A12859,A4609,$B$3:B12859,B4609)</f>
        <v>1</v>
      </c>
      <c r="G4609" s="116"/>
    </row>
    <row r="4610" spans="1:7" x14ac:dyDescent="0.2">
      <c r="A4610" s="116">
        <f>IF(ISNUMBER(Tabela2[[#This Row],[CT-e/NFS]])=TRUE,(IF(B4610&gt;30000,4,IF(B4610&lt;1000,"ND",0))),"-")</f>
        <v>4</v>
      </c>
      <c r="B4610" s="116">
        <v>48823</v>
      </c>
      <c r="C4610" s="117">
        <v>45536</v>
      </c>
      <c r="D4610" s="116">
        <v>126.02</v>
      </c>
      <c r="E4610" s="117">
        <v>45550</v>
      </c>
      <c r="F4610" s="116">
        <f>COUNTIFS($A$3:A12860,A4610,$B$3:B12860,B4610)</f>
        <v>1</v>
      </c>
      <c r="G4610" s="116"/>
    </row>
    <row r="4611" spans="1:7" x14ac:dyDescent="0.2">
      <c r="A4611" s="116">
        <f>IF(ISNUMBER(Tabela2[[#This Row],[CT-e/NFS]])=TRUE,(IF(B4611&gt;30000,4,IF(B4611&lt;1000,"ND",0))),"-")</f>
        <v>4</v>
      </c>
      <c r="B4611" s="116">
        <v>48821</v>
      </c>
      <c r="C4611" s="117">
        <v>45536</v>
      </c>
      <c r="D4611" s="116">
        <v>174.41</v>
      </c>
      <c r="E4611" s="117">
        <v>45550</v>
      </c>
      <c r="F4611" s="116">
        <f>COUNTIFS($A$3:A12861,A4611,$B$3:B12861,B4611)</f>
        <v>1</v>
      </c>
      <c r="G4611" s="116"/>
    </row>
    <row r="4612" spans="1:7" x14ac:dyDescent="0.2">
      <c r="A4612" s="116">
        <f>IF(ISNUMBER(Tabela2[[#This Row],[CT-e/NFS]])=TRUE,(IF(B4612&gt;30000,4,IF(B4612&lt;1000,"ND",0))),"-")</f>
        <v>4</v>
      </c>
      <c r="B4612" s="116">
        <v>48827</v>
      </c>
      <c r="C4612" s="117">
        <v>45536</v>
      </c>
      <c r="D4612" s="116">
        <v>196.42</v>
      </c>
      <c r="E4612" s="117">
        <v>45550</v>
      </c>
      <c r="F4612" s="116">
        <f>COUNTIFS($A$3:A12862,A4612,$B$3:B12862,B4612)</f>
        <v>1</v>
      </c>
      <c r="G4612" s="116"/>
    </row>
    <row r="4613" spans="1:7" x14ac:dyDescent="0.2">
      <c r="A4613" s="116">
        <f>IF(ISNUMBER(Tabela2[[#This Row],[CT-e/NFS]])=TRUE,(IF(B4613&gt;30000,4,IF(B4613&lt;1000,"ND",0))),"-")</f>
        <v>4</v>
      </c>
      <c r="B4613" s="116">
        <v>48831</v>
      </c>
      <c r="C4613" s="117">
        <v>45536</v>
      </c>
      <c r="D4613" s="116">
        <v>126.65</v>
      </c>
      <c r="E4613" s="117">
        <v>45550</v>
      </c>
      <c r="F4613" s="116">
        <f>COUNTIFS($A$3:A12863,A4613,$B$3:B12863,B4613)</f>
        <v>1</v>
      </c>
      <c r="G4613" s="116"/>
    </row>
    <row r="4614" spans="1:7" x14ac:dyDescent="0.2">
      <c r="A4614" s="116">
        <f>IF(ISNUMBER(Tabela2[[#This Row],[CT-e/NFS]])=TRUE,(IF(B4614&gt;30000,4,IF(B4614&lt;1000,"ND",0))),"-")</f>
        <v>4</v>
      </c>
      <c r="B4614" s="116">
        <v>48826</v>
      </c>
      <c r="C4614" s="117">
        <v>45536</v>
      </c>
      <c r="D4614" s="116">
        <v>172.34</v>
      </c>
      <c r="E4614" s="117">
        <v>45550</v>
      </c>
      <c r="F4614" s="116">
        <f>COUNTIFS($A$3:A12864,A4614,$B$3:B12864,B4614)</f>
        <v>1</v>
      </c>
      <c r="G4614" s="116"/>
    </row>
    <row r="4615" spans="1:7" x14ac:dyDescent="0.2">
      <c r="A4615" s="116">
        <f>IF(ISNUMBER(Tabela2[[#This Row],[CT-e/NFS]])=TRUE,(IF(B4615&gt;30000,4,IF(B4615&lt;1000,"ND",0))),"-")</f>
        <v>4</v>
      </c>
      <c r="B4615" s="116">
        <v>48828</v>
      </c>
      <c r="C4615" s="117">
        <v>45536</v>
      </c>
      <c r="D4615" s="116">
        <v>124.53</v>
      </c>
      <c r="E4615" s="117">
        <v>45550</v>
      </c>
      <c r="F4615" s="116">
        <f>COUNTIFS($A$3:A12865,A4615,$B$3:B12865,B4615)</f>
        <v>1</v>
      </c>
      <c r="G4615" s="116"/>
    </row>
    <row r="4616" spans="1:7" x14ac:dyDescent="0.2">
      <c r="A4616" s="116">
        <f>IF(ISNUMBER(Tabela2[[#This Row],[CT-e/NFS]])=TRUE,(IF(B4616&gt;30000,4,IF(B4616&lt;1000,"ND",0))),"-")</f>
        <v>4</v>
      </c>
      <c r="B4616" s="116">
        <v>48830</v>
      </c>
      <c r="C4616" s="117">
        <v>45536</v>
      </c>
      <c r="D4616" s="116">
        <v>1974.9</v>
      </c>
      <c r="E4616" s="117">
        <v>45550</v>
      </c>
      <c r="F4616" s="116">
        <f>COUNTIFS($A$3:A12866,A4616,$B$3:B12866,B4616)</f>
        <v>1</v>
      </c>
      <c r="G4616" s="116"/>
    </row>
    <row r="4617" spans="1:7" x14ac:dyDescent="0.2">
      <c r="A4617" s="116">
        <f>IF(ISNUMBER(Tabela2[[#This Row],[CT-e/NFS]])=TRUE,(IF(B4617&gt;30000,4,IF(B4617&lt;1000,"ND",0))),"-")</f>
        <v>4</v>
      </c>
      <c r="B4617" s="116">
        <v>48824</v>
      </c>
      <c r="C4617" s="117">
        <v>45536</v>
      </c>
      <c r="D4617" s="116">
        <v>238.68</v>
      </c>
      <c r="E4617" s="117">
        <v>45550</v>
      </c>
      <c r="F4617" s="116">
        <f>COUNTIFS($A$3:A12867,A4617,$B$3:B12867,B4617)</f>
        <v>1</v>
      </c>
      <c r="G4617" s="116"/>
    </row>
    <row r="4618" spans="1:7" x14ac:dyDescent="0.2">
      <c r="A4618" s="116">
        <f>IF(ISNUMBER(Tabela2[[#This Row],[CT-e/NFS]])=TRUE,(IF(B4618&gt;30000,4,IF(B4618&lt;1000,"ND",0))),"-")</f>
        <v>4</v>
      </c>
      <c r="B4618" s="116">
        <v>48836</v>
      </c>
      <c r="C4618" s="117">
        <v>45536</v>
      </c>
      <c r="D4618" s="116">
        <v>926.57</v>
      </c>
      <c r="E4618" s="117">
        <v>45550</v>
      </c>
      <c r="F4618" s="116">
        <f>COUNTIFS($A$3:A12868,A4618,$B$3:B12868,B4618)</f>
        <v>1</v>
      </c>
      <c r="G4618" s="116"/>
    </row>
    <row r="4619" spans="1:7" x14ac:dyDescent="0.2">
      <c r="A4619" s="116">
        <f>IF(ISNUMBER(Tabela2[[#This Row],[CT-e/NFS]])=TRUE,(IF(B4619&gt;30000,4,IF(B4619&lt;1000,"ND",0))),"-")</f>
        <v>4</v>
      </c>
      <c r="B4619" s="116">
        <v>48834</v>
      </c>
      <c r="C4619" s="117">
        <v>45536</v>
      </c>
      <c r="D4619" s="116">
        <v>280.89</v>
      </c>
      <c r="E4619" s="117">
        <v>45550</v>
      </c>
      <c r="F4619" s="116">
        <f>COUNTIFS($A$3:A12869,A4619,$B$3:B12869,B4619)</f>
        <v>1</v>
      </c>
      <c r="G4619" s="116"/>
    </row>
    <row r="4620" spans="1:7" x14ac:dyDescent="0.2">
      <c r="A4620" s="116">
        <f>IF(ISNUMBER(Tabela2[[#This Row],[CT-e/NFS]])=TRUE,(IF(B4620&gt;30000,4,IF(B4620&lt;1000,"ND",0))),"-")</f>
        <v>4</v>
      </c>
      <c r="B4620" s="116">
        <v>48835</v>
      </c>
      <c r="C4620" s="117">
        <v>45536</v>
      </c>
      <c r="D4620" s="116">
        <v>269.94</v>
      </c>
      <c r="E4620" s="117">
        <v>45550</v>
      </c>
      <c r="F4620" s="116">
        <f>COUNTIFS($A$3:A12870,A4620,$B$3:B12870,B4620)</f>
        <v>1</v>
      </c>
      <c r="G4620" s="116"/>
    </row>
    <row r="4621" spans="1:7" x14ac:dyDescent="0.2">
      <c r="A4621" s="116">
        <f>IF(ISNUMBER(Tabela2[[#This Row],[CT-e/NFS]])=TRUE,(IF(B4621&gt;30000,4,IF(B4621&lt;1000,"ND",0))),"-")</f>
        <v>4</v>
      </c>
      <c r="B4621" s="116">
        <v>48833</v>
      </c>
      <c r="C4621" s="117">
        <v>45536</v>
      </c>
      <c r="D4621" s="116">
        <v>280.89</v>
      </c>
      <c r="E4621" s="117">
        <v>45550</v>
      </c>
      <c r="F4621" s="116">
        <f>COUNTIFS($A$3:A12871,A4621,$B$3:B12871,B4621)</f>
        <v>1</v>
      </c>
      <c r="G4621" s="116"/>
    </row>
    <row r="4622" spans="1:7" x14ac:dyDescent="0.2">
      <c r="A4622" s="116">
        <f>IF(ISNUMBER(Tabela2[[#This Row],[CT-e/NFS]])=TRUE,(IF(B4622&gt;30000,4,IF(B4622&lt;1000,"ND",0))),"-")</f>
        <v>4</v>
      </c>
      <c r="B4622" s="116">
        <v>48853</v>
      </c>
      <c r="C4622" s="117">
        <v>45536</v>
      </c>
      <c r="D4622" s="116">
        <v>553.33000000000004</v>
      </c>
      <c r="E4622" s="117">
        <v>45550</v>
      </c>
      <c r="F4622" s="116">
        <f>COUNTIFS($A$3:A12872,A4622,$B$3:B12872,B4622)</f>
        <v>1</v>
      </c>
      <c r="G4622" s="116"/>
    </row>
    <row r="4623" spans="1:7" x14ac:dyDescent="0.2">
      <c r="A4623" s="116">
        <f>IF(ISNUMBER(Tabela2[[#This Row],[CT-e/NFS]])=TRUE,(IF(B4623&gt;30000,4,IF(B4623&lt;1000,"ND",0))),"-")</f>
        <v>4</v>
      </c>
      <c r="B4623" s="116">
        <v>48852</v>
      </c>
      <c r="C4623" s="117">
        <v>45536</v>
      </c>
      <c r="D4623" s="116">
        <v>584.4</v>
      </c>
      <c r="E4623" s="117">
        <v>45550</v>
      </c>
      <c r="F4623" s="116">
        <f>COUNTIFS($A$3:A12873,A4623,$B$3:B12873,B4623)</f>
        <v>1</v>
      </c>
      <c r="G4623" s="116"/>
    </row>
    <row r="4624" spans="1:7" x14ac:dyDescent="0.2">
      <c r="A4624" s="116">
        <f>IF(ISNUMBER(Tabela2[[#This Row],[CT-e/NFS]])=TRUE,(IF(B4624&gt;30000,4,IF(B4624&lt;1000,"ND",0))),"-")</f>
        <v>4</v>
      </c>
      <c r="B4624" s="116">
        <v>48854</v>
      </c>
      <c r="C4624" s="117">
        <v>45536</v>
      </c>
      <c r="D4624" s="116">
        <v>238.73</v>
      </c>
      <c r="E4624" s="117">
        <v>45550</v>
      </c>
      <c r="F4624" s="116">
        <f>COUNTIFS($A$3:A12874,A4624,$B$3:B12874,B4624)</f>
        <v>1</v>
      </c>
      <c r="G4624" s="116"/>
    </row>
    <row r="4625" spans="1:7" x14ac:dyDescent="0.2">
      <c r="A4625" s="116">
        <f>IF(ISNUMBER(Tabela2[[#This Row],[CT-e/NFS]])=TRUE,(IF(B4625&gt;30000,4,IF(B4625&lt;1000,"ND",0))),"-")</f>
        <v>4</v>
      </c>
      <c r="B4625" s="116">
        <v>48855</v>
      </c>
      <c r="C4625" s="117">
        <v>45536</v>
      </c>
      <c r="D4625" s="116">
        <v>124.03</v>
      </c>
      <c r="E4625" s="117">
        <v>45550</v>
      </c>
      <c r="F4625" s="116">
        <f>COUNTIFS($A$3:A12875,A4625,$B$3:B12875,B4625)</f>
        <v>1</v>
      </c>
      <c r="G4625" s="116"/>
    </row>
    <row r="4626" spans="1:7" x14ac:dyDescent="0.2">
      <c r="A4626" s="116">
        <f>IF(ISNUMBER(Tabela2[[#This Row],[CT-e/NFS]])=TRUE,(IF(B4626&gt;30000,4,IF(B4626&lt;1000,"ND",0))),"-")</f>
        <v>4</v>
      </c>
      <c r="B4626" s="116">
        <v>48851</v>
      </c>
      <c r="C4626" s="117">
        <v>45536</v>
      </c>
      <c r="D4626" s="116">
        <v>124.03</v>
      </c>
      <c r="E4626" s="117">
        <v>45550</v>
      </c>
      <c r="F4626" s="116">
        <f>COUNTIFS($A$3:A12876,A4626,$B$3:B12876,B4626)</f>
        <v>1</v>
      </c>
      <c r="G4626" s="116"/>
    </row>
    <row r="4627" spans="1:7" x14ac:dyDescent="0.2">
      <c r="A4627" s="116">
        <f>IF(ISNUMBER(Tabela2[[#This Row],[CT-e/NFS]])=TRUE,(IF(B4627&gt;30000,4,IF(B4627&lt;1000,"ND",0))),"-")</f>
        <v>4</v>
      </c>
      <c r="B4627" s="116">
        <v>48848</v>
      </c>
      <c r="C4627" s="117">
        <v>45536</v>
      </c>
      <c r="D4627" s="116">
        <v>124.05</v>
      </c>
      <c r="E4627" s="117">
        <v>45550</v>
      </c>
      <c r="F4627" s="116">
        <f>COUNTIFS($A$3:A12877,A4627,$B$3:B12877,B4627)</f>
        <v>1</v>
      </c>
      <c r="G4627" s="116"/>
    </row>
    <row r="4628" spans="1:7" x14ac:dyDescent="0.2">
      <c r="A4628" s="116">
        <f>IF(ISNUMBER(Tabela2[[#This Row],[CT-e/NFS]])=TRUE,(IF(B4628&gt;30000,4,IF(B4628&lt;1000,"ND",0))),"-")</f>
        <v>4</v>
      </c>
      <c r="B4628" s="116">
        <v>48850</v>
      </c>
      <c r="C4628" s="117">
        <v>45536</v>
      </c>
      <c r="D4628" s="116">
        <v>124.09</v>
      </c>
      <c r="E4628" s="117">
        <v>45550</v>
      </c>
      <c r="F4628" s="116">
        <f>COUNTIFS($A$3:A12878,A4628,$B$3:B12878,B4628)</f>
        <v>1</v>
      </c>
      <c r="G4628" s="116"/>
    </row>
    <row r="4629" spans="1:7" x14ac:dyDescent="0.2">
      <c r="A4629" s="116">
        <f>IF(ISNUMBER(Tabela2[[#This Row],[CT-e/NFS]])=TRUE,(IF(B4629&gt;30000,4,IF(B4629&lt;1000,"ND",0))),"-")</f>
        <v>4</v>
      </c>
      <c r="B4629" s="116">
        <v>48846</v>
      </c>
      <c r="C4629" s="117">
        <v>45536</v>
      </c>
      <c r="D4629" s="116">
        <v>126.6</v>
      </c>
      <c r="E4629" s="117">
        <v>45550</v>
      </c>
      <c r="F4629" s="116">
        <f>COUNTIFS($A$3:A12879,A4629,$B$3:B12879,B4629)</f>
        <v>1</v>
      </c>
      <c r="G4629" s="116"/>
    </row>
    <row r="4630" spans="1:7" x14ac:dyDescent="0.2">
      <c r="A4630" s="116">
        <f>IF(ISNUMBER(Tabela2[[#This Row],[CT-e/NFS]])=TRUE,(IF(B4630&gt;30000,4,IF(B4630&lt;1000,"ND",0))),"-")</f>
        <v>4</v>
      </c>
      <c r="B4630" s="116">
        <v>48841</v>
      </c>
      <c r="C4630" s="117">
        <v>45536</v>
      </c>
      <c r="D4630" s="116">
        <v>333.05</v>
      </c>
      <c r="E4630" s="117">
        <v>45550</v>
      </c>
      <c r="F4630" s="116">
        <f>COUNTIFS($A$3:A12880,A4630,$B$3:B12880,B4630)</f>
        <v>1</v>
      </c>
      <c r="G4630" s="116"/>
    </row>
    <row r="4631" spans="1:7" x14ac:dyDescent="0.2">
      <c r="A4631" s="116">
        <f>IF(ISNUMBER(Tabela2[[#This Row],[CT-e/NFS]])=TRUE,(IF(B4631&gt;30000,4,IF(B4631&lt;1000,"ND",0))),"-")</f>
        <v>4</v>
      </c>
      <c r="B4631" s="116">
        <v>48849</v>
      </c>
      <c r="C4631" s="117">
        <v>45536</v>
      </c>
      <c r="D4631" s="116">
        <v>123.05</v>
      </c>
      <c r="E4631" s="117">
        <v>45550</v>
      </c>
      <c r="F4631" s="116">
        <f>COUNTIFS($A$3:A12881,A4631,$B$3:B12881,B4631)</f>
        <v>1</v>
      </c>
      <c r="G4631" s="116"/>
    </row>
    <row r="4632" spans="1:7" x14ac:dyDescent="0.2">
      <c r="A4632" s="116">
        <f>IF(ISNUMBER(Tabela2[[#This Row],[CT-e/NFS]])=TRUE,(IF(B4632&gt;30000,4,IF(B4632&lt;1000,"ND",0))),"-")</f>
        <v>4</v>
      </c>
      <c r="B4632" s="116">
        <v>48839</v>
      </c>
      <c r="C4632" s="117">
        <v>45536</v>
      </c>
      <c r="D4632" s="116">
        <v>122.82</v>
      </c>
      <c r="E4632" s="117">
        <v>45550</v>
      </c>
      <c r="F4632" s="116">
        <f>COUNTIFS($A$3:A12882,A4632,$B$3:B12882,B4632)</f>
        <v>1</v>
      </c>
      <c r="G4632" s="116"/>
    </row>
    <row r="4633" spans="1:7" x14ac:dyDescent="0.2">
      <c r="A4633" s="116">
        <f>IF(ISNUMBER(Tabela2[[#This Row],[CT-e/NFS]])=TRUE,(IF(B4633&gt;30000,4,IF(B4633&lt;1000,"ND",0))),"-")</f>
        <v>4</v>
      </c>
      <c r="B4633" s="116">
        <v>48837</v>
      </c>
      <c r="C4633" s="117">
        <v>45536</v>
      </c>
      <c r="D4633" s="116">
        <v>165.82</v>
      </c>
      <c r="E4633" s="117">
        <v>45550</v>
      </c>
      <c r="F4633" s="116">
        <f>COUNTIFS($A$3:A12883,A4633,$B$3:B12883,B4633)</f>
        <v>1</v>
      </c>
      <c r="G4633" s="116"/>
    </row>
    <row r="4634" spans="1:7" x14ac:dyDescent="0.2">
      <c r="A4634" s="116">
        <f>IF(ISNUMBER(Tabela2[[#This Row],[CT-e/NFS]])=TRUE,(IF(B4634&gt;30000,4,IF(B4634&lt;1000,"ND",0))),"-")</f>
        <v>4</v>
      </c>
      <c r="B4634" s="116">
        <v>48838</v>
      </c>
      <c r="C4634" s="117">
        <v>45536</v>
      </c>
      <c r="D4634" s="116">
        <v>122.81</v>
      </c>
      <c r="E4634" s="117">
        <v>45550</v>
      </c>
      <c r="F4634" s="116">
        <f>COUNTIFS($A$3:A12884,A4634,$B$3:B12884,B4634)</f>
        <v>1</v>
      </c>
      <c r="G4634" s="116"/>
    </row>
    <row r="4635" spans="1:7" x14ac:dyDescent="0.2">
      <c r="A4635" s="116">
        <f>IF(ISNUMBER(Tabela2[[#This Row],[CT-e/NFS]])=TRUE,(IF(B4635&gt;30000,4,IF(B4635&lt;1000,"ND",0))),"-")</f>
        <v>4</v>
      </c>
      <c r="B4635" s="116">
        <v>48840</v>
      </c>
      <c r="C4635" s="117">
        <v>45536</v>
      </c>
      <c r="D4635" s="116">
        <v>124.32</v>
      </c>
      <c r="E4635" s="117">
        <v>45550</v>
      </c>
      <c r="F4635" s="116">
        <f>COUNTIFS($A$3:A12885,A4635,$B$3:B12885,B4635)</f>
        <v>1</v>
      </c>
      <c r="G4635" s="116"/>
    </row>
    <row r="4636" spans="1:7" x14ac:dyDescent="0.2">
      <c r="A4636" s="116">
        <f>IF(ISNUMBER(Tabela2[[#This Row],[CT-e/NFS]])=TRUE,(IF(B4636&gt;30000,4,IF(B4636&lt;1000,"ND",0))),"-")</f>
        <v>4</v>
      </c>
      <c r="B4636" s="116">
        <v>48847</v>
      </c>
      <c r="C4636" s="117">
        <v>45536</v>
      </c>
      <c r="D4636" s="116">
        <v>124.42</v>
      </c>
      <c r="E4636" s="117">
        <v>45550</v>
      </c>
      <c r="F4636" s="116">
        <f>COUNTIFS($A$3:A12886,A4636,$B$3:B12886,B4636)</f>
        <v>1</v>
      </c>
      <c r="G4636" s="116"/>
    </row>
    <row r="4637" spans="1:7" x14ac:dyDescent="0.2">
      <c r="A4637" s="116">
        <f>IF(ISNUMBER(Tabela2[[#This Row],[CT-e/NFS]])=TRUE,(IF(B4637&gt;30000,4,IF(B4637&lt;1000,"ND",0))),"-")</f>
        <v>4</v>
      </c>
      <c r="B4637" s="116">
        <v>48810</v>
      </c>
      <c r="C4637" s="117">
        <v>45536</v>
      </c>
      <c r="D4637" s="116">
        <v>1137.73</v>
      </c>
      <c r="E4637" s="117">
        <v>45550</v>
      </c>
      <c r="F4637" s="116">
        <f>COUNTIFS($A$3:A12887,A4637,$B$3:B12887,B4637)</f>
        <v>1</v>
      </c>
      <c r="G4637" s="116"/>
    </row>
    <row r="4638" spans="1:7" x14ac:dyDescent="0.2">
      <c r="A4638" s="116">
        <f>IF(ISNUMBER(Tabela2[[#This Row],[CT-e/NFS]])=TRUE,(IF(B4638&gt;30000,4,IF(B4638&lt;1000,"ND",0))),"-")</f>
        <v>4</v>
      </c>
      <c r="B4638" s="116">
        <v>48845</v>
      </c>
      <c r="C4638" s="117">
        <v>45536</v>
      </c>
      <c r="D4638" s="116">
        <v>124.42</v>
      </c>
      <c r="E4638" s="117">
        <v>45550</v>
      </c>
      <c r="F4638" s="116">
        <f>COUNTIFS($A$3:A12888,A4638,$B$3:B12888,B4638)</f>
        <v>1</v>
      </c>
      <c r="G4638" s="116"/>
    </row>
    <row r="4639" spans="1:7" x14ac:dyDescent="0.2">
      <c r="A4639" s="116">
        <f>IF(ISNUMBER(Tabela2[[#This Row],[CT-e/NFS]])=TRUE,(IF(B4639&gt;30000,4,IF(B4639&lt;1000,"ND",0))),"-")</f>
        <v>4</v>
      </c>
      <c r="B4639" s="116">
        <v>48844</v>
      </c>
      <c r="C4639" s="117">
        <v>45536</v>
      </c>
      <c r="D4639" s="116">
        <v>123.9</v>
      </c>
      <c r="E4639" s="117">
        <v>45550</v>
      </c>
      <c r="F4639" s="116">
        <f>COUNTIFS($A$3:A12889,A4639,$B$3:B12889,B4639)</f>
        <v>1</v>
      </c>
      <c r="G4639" s="116"/>
    </row>
    <row r="4640" spans="1:7" x14ac:dyDescent="0.2">
      <c r="A4640" s="116">
        <f>IF(ISNUMBER(Tabela2[[#This Row],[CT-e/NFS]])=TRUE,(IF(B4640&gt;30000,4,IF(B4640&lt;1000,"ND",0))),"-")</f>
        <v>4</v>
      </c>
      <c r="B4640" s="116">
        <v>48843</v>
      </c>
      <c r="C4640" s="117">
        <v>45536</v>
      </c>
      <c r="D4640" s="116">
        <v>238.84</v>
      </c>
      <c r="E4640" s="117">
        <v>45550</v>
      </c>
      <c r="F4640" s="116">
        <f>COUNTIFS($A$3:A12890,A4640,$B$3:B12890,B4640)</f>
        <v>1</v>
      </c>
      <c r="G4640" s="116"/>
    </row>
    <row r="4641" spans="1:7" x14ac:dyDescent="0.2">
      <c r="A4641" s="116">
        <f>IF(ISNUMBER(Tabela2[[#This Row],[CT-e/NFS]])=TRUE,(IF(B4641&gt;30000,4,IF(B4641&lt;1000,"ND",0))),"-")</f>
        <v>4</v>
      </c>
      <c r="B4641" s="116">
        <v>48856</v>
      </c>
      <c r="C4641" s="117">
        <v>45536</v>
      </c>
      <c r="D4641" s="116">
        <v>248.07</v>
      </c>
      <c r="E4641" s="117">
        <v>45550</v>
      </c>
      <c r="F4641" s="116">
        <f>COUNTIFS($A$3:A12891,A4641,$B$3:B12891,B4641)</f>
        <v>1</v>
      </c>
      <c r="G4641" s="116"/>
    </row>
    <row r="4642" spans="1:7" x14ac:dyDescent="0.2">
      <c r="A4642" s="116">
        <f>IF(ISNUMBER(Tabela2[[#This Row],[CT-e/NFS]])=TRUE,(IF(B4642&gt;30000,4,IF(B4642&lt;1000,"ND",0))),"-")</f>
        <v>4</v>
      </c>
      <c r="B4642" s="116">
        <v>48857</v>
      </c>
      <c r="C4642" s="117">
        <v>45536</v>
      </c>
      <c r="D4642" s="116">
        <v>124.03</v>
      </c>
      <c r="E4642" s="117">
        <v>45550</v>
      </c>
      <c r="F4642" s="116">
        <f>COUNTIFS($A$3:A12892,A4642,$B$3:B12892,B4642)</f>
        <v>1</v>
      </c>
      <c r="G4642" s="116"/>
    </row>
    <row r="4643" spans="1:7" x14ac:dyDescent="0.2">
      <c r="A4643" s="116">
        <f>IF(ISNUMBER(Tabela2[[#This Row],[CT-e/NFS]])=TRUE,(IF(B4643&gt;30000,4,IF(B4643&lt;1000,"ND",0))),"-")</f>
        <v>4</v>
      </c>
      <c r="B4643" s="116">
        <v>48858</v>
      </c>
      <c r="C4643" s="117">
        <v>45536</v>
      </c>
      <c r="D4643" s="116">
        <v>224.03</v>
      </c>
      <c r="E4643" s="117">
        <v>45550</v>
      </c>
      <c r="F4643" s="116">
        <f>COUNTIFS($A$3:A12893,A4643,$B$3:B12893,B4643)</f>
        <v>1</v>
      </c>
      <c r="G4643" s="116"/>
    </row>
    <row r="4644" spans="1:7" x14ac:dyDescent="0.2">
      <c r="A4644" s="116">
        <f>IF(ISNUMBER(Tabela2[[#This Row],[CT-e/NFS]])=TRUE,(IF(B4644&gt;30000,4,IF(B4644&lt;1000,"ND",0))),"-")</f>
        <v>4</v>
      </c>
      <c r="B4644" s="116">
        <v>48859</v>
      </c>
      <c r="C4644" s="117">
        <v>45536</v>
      </c>
      <c r="D4644" s="116">
        <v>959.44</v>
      </c>
      <c r="E4644" s="117">
        <v>45550</v>
      </c>
      <c r="F4644" s="116">
        <f>COUNTIFS($A$3:A12894,A4644,$B$3:B12894,B4644)</f>
        <v>1</v>
      </c>
      <c r="G4644" s="116"/>
    </row>
    <row r="4645" spans="1:7" x14ac:dyDescent="0.2">
      <c r="A4645" s="116">
        <f>IF(ISNUMBER(Tabela2[[#This Row],[CT-e/NFS]])=TRUE,(IF(B4645&gt;30000,4,IF(B4645&lt;1000,"ND",0))),"-")</f>
        <v>4</v>
      </c>
      <c r="B4645" s="116">
        <v>48815</v>
      </c>
      <c r="C4645" s="117">
        <v>45536</v>
      </c>
      <c r="D4645" s="116">
        <v>419.38</v>
      </c>
      <c r="E4645" s="117">
        <v>45550</v>
      </c>
      <c r="F4645" s="116">
        <f>COUNTIFS($A$3:A12895,A4645,$B$3:B12895,B4645)</f>
        <v>1</v>
      </c>
      <c r="G4645" s="116"/>
    </row>
    <row r="4646" spans="1:7" x14ac:dyDescent="0.2">
      <c r="A4646" s="116">
        <f>IF(ISNUMBER(Tabela2[[#This Row],[CT-e/NFS]])=TRUE,(IF(B4646&gt;30000,4,IF(B4646&lt;1000,"ND",0))),"-")</f>
        <v>4</v>
      </c>
      <c r="B4646" s="116">
        <v>48816</v>
      </c>
      <c r="C4646" s="117">
        <v>45536</v>
      </c>
      <c r="D4646" s="116">
        <v>756.8</v>
      </c>
      <c r="E4646" s="117">
        <v>45550</v>
      </c>
      <c r="F4646" s="116">
        <f>COUNTIFS($A$3:A12896,A4646,$B$3:B12896,B4646)</f>
        <v>1</v>
      </c>
      <c r="G4646" s="116"/>
    </row>
    <row r="4647" spans="1:7" x14ac:dyDescent="0.2">
      <c r="A4647" s="116">
        <f>IF(ISNUMBER(Tabela2[[#This Row],[CT-e/NFS]])=TRUE,(IF(B4647&gt;30000,4,IF(B4647&lt;1000,"ND",0))),"-")</f>
        <v>4</v>
      </c>
      <c r="B4647" s="116">
        <v>48861</v>
      </c>
      <c r="C4647" s="117">
        <v>45536</v>
      </c>
      <c r="D4647" s="116">
        <v>122.86</v>
      </c>
      <c r="E4647" s="117">
        <v>45550</v>
      </c>
      <c r="F4647" s="116">
        <f>COUNTIFS($A$3:A12897,A4647,$B$3:B12897,B4647)</f>
        <v>1</v>
      </c>
      <c r="G4647" s="116"/>
    </row>
    <row r="4648" spans="1:7" x14ac:dyDescent="0.2">
      <c r="A4648" s="116">
        <f>IF(ISNUMBER(Tabela2[[#This Row],[CT-e/NFS]])=TRUE,(IF(B4648&gt;30000,4,IF(B4648&lt;1000,"ND",0))),"-")</f>
        <v>4</v>
      </c>
      <c r="B4648" s="116">
        <v>48864</v>
      </c>
      <c r="C4648" s="117">
        <v>45536</v>
      </c>
      <c r="D4648" s="116">
        <v>126.58</v>
      </c>
      <c r="E4648" s="117">
        <v>45550</v>
      </c>
      <c r="F4648" s="116">
        <f>COUNTIFS($A$3:A12898,A4648,$B$3:B12898,B4648)</f>
        <v>1</v>
      </c>
      <c r="G4648" s="116"/>
    </row>
    <row r="4649" spans="1:7" x14ac:dyDescent="0.2">
      <c r="A4649" s="116">
        <f>IF(ISNUMBER(Tabela2[[#This Row],[CT-e/NFS]])=TRUE,(IF(B4649&gt;30000,4,IF(B4649&lt;1000,"ND",0))),"-")</f>
        <v>4</v>
      </c>
      <c r="B4649" s="116">
        <v>48863</v>
      </c>
      <c r="C4649" s="117">
        <v>45536</v>
      </c>
      <c r="D4649" s="116">
        <v>238.73</v>
      </c>
      <c r="E4649" s="117">
        <v>45550</v>
      </c>
      <c r="F4649" s="116">
        <f>COUNTIFS($A$3:A12899,A4649,$B$3:B12899,B4649)</f>
        <v>1</v>
      </c>
      <c r="G4649" s="116"/>
    </row>
    <row r="4650" spans="1:7" x14ac:dyDescent="0.2">
      <c r="A4650" s="116">
        <f>IF(ISNUMBER(Tabela2[[#This Row],[CT-e/NFS]])=TRUE,(IF(B4650&gt;30000,4,IF(B4650&lt;1000,"ND",0))),"-")</f>
        <v>4</v>
      </c>
      <c r="B4650" s="116">
        <v>48862</v>
      </c>
      <c r="C4650" s="117">
        <v>45536</v>
      </c>
      <c r="D4650" s="116">
        <v>240.47</v>
      </c>
      <c r="E4650" s="117">
        <v>45550</v>
      </c>
      <c r="F4650" s="116">
        <f>COUNTIFS($A$3:A12900,A4650,$B$3:B12900,B4650)</f>
        <v>1</v>
      </c>
      <c r="G4650" s="116"/>
    </row>
    <row r="4651" spans="1:7" x14ac:dyDescent="0.2">
      <c r="A4651" s="116">
        <f>IF(ISNUMBER(Tabela2[[#This Row],[CT-e/NFS]])=TRUE,(IF(B4651&gt;30000,4,IF(B4651&lt;1000,"ND",0))),"-")</f>
        <v>4</v>
      </c>
      <c r="B4651" s="116">
        <v>48872</v>
      </c>
      <c r="C4651" s="117">
        <v>45536</v>
      </c>
      <c r="D4651" s="116">
        <v>63.3</v>
      </c>
      <c r="E4651" s="117">
        <v>45550</v>
      </c>
      <c r="F4651" s="116">
        <f>COUNTIFS($A$3:A12901,A4651,$B$3:B12901,B4651)</f>
        <v>1</v>
      </c>
      <c r="G4651" s="116"/>
    </row>
    <row r="4652" spans="1:7" x14ac:dyDescent="0.2">
      <c r="A4652" s="116">
        <f>IF(ISNUMBER(Tabela2[[#This Row],[CT-e/NFS]])=TRUE,(IF(B4652&gt;30000,4,IF(B4652&lt;1000,"ND",0))),"-")</f>
        <v>4</v>
      </c>
      <c r="B4652" s="116">
        <v>48874</v>
      </c>
      <c r="C4652" s="117">
        <v>45536</v>
      </c>
      <c r="D4652" s="116">
        <v>62.2</v>
      </c>
      <c r="E4652" s="117">
        <v>45550</v>
      </c>
      <c r="F4652" s="116">
        <f>COUNTIFS($A$3:A12902,A4652,$B$3:B12902,B4652)</f>
        <v>1</v>
      </c>
      <c r="G4652" s="116"/>
    </row>
    <row r="4653" spans="1:7" x14ac:dyDescent="0.2">
      <c r="A4653" s="116">
        <f>IF(ISNUMBER(Tabela2[[#This Row],[CT-e/NFS]])=TRUE,(IF(B4653&gt;30000,4,IF(B4653&lt;1000,"ND",0))),"-")</f>
        <v>4</v>
      </c>
      <c r="B4653" s="116">
        <v>48869</v>
      </c>
      <c r="C4653" s="117">
        <v>45536</v>
      </c>
      <c r="D4653" s="116">
        <v>122.76</v>
      </c>
      <c r="E4653" s="117">
        <v>45550</v>
      </c>
      <c r="F4653" s="116">
        <f>COUNTIFS($A$3:A12903,A4653,$B$3:B12903,B4653)</f>
        <v>1</v>
      </c>
      <c r="G4653" s="116"/>
    </row>
    <row r="4654" spans="1:7" x14ac:dyDescent="0.2">
      <c r="A4654" s="116">
        <f>IF(ISNUMBER(Tabela2[[#This Row],[CT-e/NFS]])=TRUE,(IF(B4654&gt;30000,4,IF(B4654&lt;1000,"ND",0))),"-")</f>
        <v>4</v>
      </c>
      <c r="B4654" s="116">
        <v>48817</v>
      </c>
      <c r="C4654" s="117">
        <v>45536</v>
      </c>
      <c r="D4654" s="116">
        <v>1676.1</v>
      </c>
      <c r="E4654" s="117">
        <v>45550</v>
      </c>
      <c r="F4654" s="116">
        <f>COUNTIFS($A$3:A12904,A4654,$B$3:B12904,B4654)</f>
        <v>1</v>
      </c>
      <c r="G4654" s="116"/>
    </row>
    <row r="4655" spans="1:7" x14ac:dyDescent="0.2">
      <c r="A4655" s="116">
        <f>IF(ISNUMBER(Tabela2[[#This Row],[CT-e/NFS]])=TRUE,(IF(B4655&gt;30000,4,IF(B4655&lt;1000,"ND",0))),"-")</f>
        <v>4</v>
      </c>
      <c r="B4655" s="116">
        <v>48867</v>
      </c>
      <c r="C4655" s="117">
        <v>45536</v>
      </c>
      <c r="D4655" s="116">
        <v>126.66</v>
      </c>
      <c r="E4655" s="117">
        <v>45550</v>
      </c>
      <c r="F4655" s="116">
        <f>COUNTIFS($A$3:A12905,A4655,$B$3:B12905,B4655)</f>
        <v>1</v>
      </c>
      <c r="G4655" s="116"/>
    </row>
    <row r="4656" spans="1:7" x14ac:dyDescent="0.2">
      <c r="A4656" s="116">
        <f>IF(ISNUMBER(Tabela2[[#This Row],[CT-e/NFS]])=TRUE,(IF(B4656&gt;30000,4,IF(B4656&lt;1000,"ND",0))),"-")</f>
        <v>4</v>
      </c>
      <c r="B4656" s="116">
        <v>48866</v>
      </c>
      <c r="C4656" s="117">
        <v>45536</v>
      </c>
      <c r="D4656" s="116">
        <v>126.65</v>
      </c>
      <c r="E4656" s="117">
        <v>45550</v>
      </c>
      <c r="F4656" s="116">
        <f>COUNTIFS($A$3:A12906,A4656,$B$3:B12906,B4656)</f>
        <v>1</v>
      </c>
      <c r="G4656" s="116"/>
    </row>
    <row r="4657" spans="1:7" x14ac:dyDescent="0.2">
      <c r="A4657" s="116">
        <f>IF(ISNUMBER(Tabela2[[#This Row],[CT-e/NFS]])=TRUE,(IF(B4657&gt;30000,4,IF(B4657&lt;1000,"ND",0))),"-")</f>
        <v>4</v>
      </c>
      <c r="B4657" s="116">
        <v>48871</v>
      </c>
      <c r="C4657" s="117">
        <v>45536</v>
      </c>
      <c r="D4657" s="116">
        <v>122.89</v>
      </c>
      <c r="E4657" s="117">
        <v>45550</v>
      </c>
      <c r="F4657" s="116">
        <f>COUNTIFS($A$3:A12907,A4657,$B$3:B12907,B4657)</f>
        <v>1</v>
      </c>
      <c r="G4657" s="116"/>
    </row>
    <row r="4658" spans="1:7" x14ac:dyDescent="0.2">
      <c r="A4658" s="116">
        <f>IF(ISNUMBER(Tabela2[[#This Row],[CT-e/NFS]])=TRUE,(IF(B4658&gt;30000,4,IF(B4658&lt;1000,"ND",0))),"-")</f>
        <v>4</v>
      </c>
      <c r="B4658" s="116">
        <v>48878</v>
      </c>
      <c r="C4658" s="117">
        <v>45536</v>
      </c>
      <c r="D4658" s="116">
        <v>122.73</v>
      </c>
      <c r="E4658" s="117">
        <v>45550</v>
      </c>
      <c r="F4658" s="116">
        <f>COUNTIFS($A$3:A12908,A4658,$B$3:B12908,B4658)</f>
        <v>1</v>
      </c>
      <c r="G4658" s="116"/>
    </row>
    <row r="4659" spans="1:7" x14ac:dyDescent="0.2">
      <c r="A4659" s="116">
        <f>IF(ISNUMBER(Tabela2[[#This Row],[CT-e/NFS]])=TRUE,(IF(B4659&gt;30000,4,IF(B4659&lt;1000,"ND",0))),"-")</f>
        <v>4</v>
      </c>
      <c r="B4659" s="116">
        <v>48873</v>
      </c>
      <c r="C4659" s="117">
        <v>45536</v>
      </c>
      <c r="D4659" s="116">
        <v>114.33</v>
      </c>
      <c r="E4659" s="117">
        <v>45550</v>
      </c>
      <c r="F4659" s="116">
        <f>COUNTIFS($A$3:A12909,A4659,$B$3:B12909,B4659)</f>
        <v>1</v>
      </c>
      <c r="G4659" s="116"/>
    </row>
    <row r="4660" spans="1:7" x14ac:dyDescent="0.2">
      <c r="A4660" s="116">
        <f>IF(ISNUMBER(Tabela2[[#This Row],[CT-e/NFS]])=TRUE,(IF(B4660&gt;30000,4,IF(B4660&lt;1000,"ND",0))),"-")</f>
        <v>4</v>
      </c>
      <c r="B4660" s="116">
        <v>48870</v>
      </c>
      <c r="C4660" s="117">
        <v>45536</v>
      </c>
      <c r="D4660" s="116">
        <v>126.2</v>
      </c>
      <c r="E4660" s="117">
        <v>45550</v>
      </c>
      <c r="F4660" s="116">
        <f>COUNTIFS($A$3:A12910,A4660,$B$3:B12910,B4660)</f>
        <v>1</v>
      </c>
      <c r="G4660" s="116"/>
    </row>
    <row r="4661" spans="1:7" x14ac:dyDescent="0.2">
      <c r="A4661" s="116">
        <f>IF(ISNUMBER(Tabela2[[#This Row],[CT-e/NFS]])=TRUE,(IF(B4661&gt;30000,4,IF(B4661&lt;1000,"ND",0))),"-")</f>
        <v>4</v>
      </c>
      <c r="B4661" s="116">
        <v>48875</v>
      </c>
      <c r="C4661" s="117">
        <v>45536</v>
      </c>
      <c r="D4661" s="116">
        <v>112.15</v>
      </c>
      <c r="E4661" s="117">
        <v>45550</v>
      </c>
      <c r="F4661" s="116">
        <f>COUNTIFS($A$3:A12911,A4661,$B$3:B12911,B4661)</f>
        <v>1</v>
      </c>
      <c r="G4661" s="116"/>
    </row>
    <row r="4662" spans="1:7" x14ac:dyDescent="0.2">
      <c r="A4662" s="116">
        <f>IF(ISNUMBER(Tabela2[[#This Row],[CT-e/NFS]])=TRUE,(IF(B4662&gt;30000,4,IF(B4662&lt;1000,"ND",0))),"-")</f>
        <v>4</v>
      </c>
      <c r="B4662" s="116">
        <v>48880</v>
      </c>
      <c r="C4662" s="117">
        <v>45536</v>
      </c>
      <c r="D4662" s="116">
        <v>406.5</v>
      </c>
      <c r="E4662" s="117">
        <v>45550</v>
      </c>
      <c r="F4662" s="116">
        <f>COUNTIFS($A$3:A12912,A4662,$B$3:B12912,B4662)</f>
        <v>1</v>
      </c>
      <c r="G4662" s="116"/>
    </row>
    <row r="4663" spans="1:7" x14ac:dyDescent="0.2">
      <c r="A4663" s="116">
        <f>IF(ISNUMBER(Tabela2[[#This Row],[CT-e/NFS]])=TRUE,(IF(B4663&gt;30000,4,IF(B4663&lt;1000,"ND",0))),"-")</f>
        <v>4</v>
      </c>
      <c r="B4663" s="116">
        <v>48882</v>
      </c>
      <c r="C4663" s="117">
        <v>45536</v>
      </c>
      <c r="D4663" s="116">
        <v>126</v>
      </c>
      <c r="E4663" s="117">
        <v>45550</v>
      </c>
      <c r="F4663" s="116">
        <f>COUNTIFS($A$3:A12913,A4663,$B$3:B12913,B4663)</f>
        <v>1</v>
      </c>
      <c r="G4663" s="116"/>
    </row>
    <row r="4664" spans="1:7" x14ac:dyDescent="0.2">
      <c r="A4664" s="116">
        <f>IF(ISNUMBER(Tabela2[[#This Row],[CT-e/NFS]])=TRUE,(IF(B4664&gt;30000,4,IF(B4664&lt;1000,"ND",0))),"-")</f>
        <v>4</v>
      </c>
      <c r="B4664" s="116">
        <v>48883</v>
      </c>
      <c r="C4664" s="117">
        <v>45536</v>
      </c>
      <c r="D4664" s="116">
        <v>326.01</v>
      </c>
      <c r="E4664" s="117">
        <v>45550</v>
      </c>
      <c r="F4664" s="116">
        <f>COUNTIFS($A$3:A12914,A4664,$B$3:B12914,B4664)</f>
        <v>1</v>
      </c>
      <c r="G4664" s="116"/>
    </row>
    <row r="4665" spans="1:7" x14ac:dyDescent="0.2">
      <c r="A4665" s="116">
        <f>IF(ISNUMBER(Tabela2[[#This Row],[CT-e/NFS]])=TRUE,(IF(B4665&gt;30000,4,IF(B4665&lt;1000,"ND",0))),"-")</f>
        <v>4</v>
      </c>
      <c r="B4665" s="116">
        <v>48884</v>
      </c>
      <c r="C4665" s="117">
        <v>45536</v>
      </c>
      <c r="D4665" s="116">
        <v>62.26</v>
      </c>
      <c r="E4665" s="117">
        <v>45550</v>
      </c>
      <c r="F4665" s="116">
        <f>COUNTIFS($A$3:A12915,A4665,$B$3:B12915,B4665)</f>
        <v>1</v>
      </c>
      <c r="G4665" s="116"/>
    </row>
    <row r="4666" spans="1:7" x14ac:dyDescent="0.2">
      <c r="A4666" s="116">
        <f>IF(ISNUMBER(Tabela2[[#This Row],[CT-e/NFS]])=TRUE,(IF(B4666&gt;30000,4,IF(B4666&lt;1000,"ND",0))),"-")</f>
        <v>4</v>
      </c>
      <c r="B4666" s="116">
        <v>48885</v>
      </c>
      <c r="C4666" s="117">
        <v>45536</v>
      </c>
      <c r="D4666" s="116">
        <v>112.26</v>
      </c>
      <c r="E4666" s="117">
        <v>45550</v>
      </c>
      <c r="F4666" s="116">
        <f>COUNTIFS($A$3:A12916,A4666,$B$3:B12916,B4666)</f>
        <v>1</v>
      </c>
      <c r="G4666" s="116"/>
    </row>
    <row r="4667" spans="1:7" x14ac:dyDescent="0.2">
      <c r="A4667" s="116">
        <f>IF(ISNUMBER(Tabela2[[#This Row],[CT-e/NFS]])=TRUE,(IF(B4667&gt;30000,4,IF(B4667&lt;1000,"ND",0))),"-")</f>
        <v>4</v>
      </c>
      <c r="B4667" s="116">
        <v>48860</v>
      </c>
      <c r="C4667" s="117">
        <v>45536</v>
      </c>
      <c r="D4667" s="116">
        <v>2906.31</v>
      </c>
      <c r="E4667" s="117">
        <v>45550</v>
      </c>
      <c r="F4667" s="116">
        <f>COUNTIFS($A$3:A12917,A4667,$B$3:B12917,B4667)</f>
        <v>1</v>
      </c>
      <c r="G4667" s="116"/>
    </row>
    <row r="4668" spans="1:7" x14ac:dyDescent="0.2">
      <c r="A4668" s="116">
        <f>IF(ISNUMBER(Tabela2[[#This Row],[CT-e/NFS]])=TRUE,(IF(B4668&gt;30000,4,IF(B4668&lt;1000,"ND",0))),"-")</f>
        <v>4</v>
      </c>
      <c r="B4668" s="116">
        <v>48877</v>
      </c>
      <c r="C4668" s="117">
        <v>45536</v>
      </c>
      <c r="D4668" s="116">
        <v>492.66</v>
      </c>
      <c r="E4668" s="117">
        <v>45550</v>
      </c>
      <c r="F4668" s="116">
        <f>COUNTIFS($A$3:A12918,A4668,$B$3:B12918,B4668)</f>
        <v>1</v>
      </c>
      <c r="G4668" s="116"/>
    </row>
    <row r="4669" spans="1:7" x14ac:dyDescent="0.2">
      <c r="A4669" s="116">
        <f>IF(ISNUMBER(Tabela2[[#This Row],[CT-e/NFS]])=TRUE,(IF(B4669&gt;30000,4,IF(B4669&lt;1000,"ND",0))),"-")</f>
        <v>4</v>
      </c>
      <c r="B4669" s="116">
        <v>48868</v>
      </c>
      <c r="C4669" s="117">
        <v>45536</v>
      </c>
      <c r="D4669" s="116">
        <v>160.86000000000001</v>
      </c>
      <c r="E4669" s="117">
        <v>45550</v>
      </c>
      <c r="F4669" s="116">
        <f>COUNTIFS($A$3:A12919,A4669,$B$3:B12919,B4669)</f>
        <v>1</v>
      </c>
      <c r="G4669" s="116"/>
    </row>
    <row r="4670" spans="1:7" x14ac:dyDescent="0.2">
      <c r="A4670" s="116">
        <f>IF(ISNUMBER(Tabela2[[#This Row],[CT-e/NFS]])=TRUE,(IF(B4670&gt;30000,4,IF(B4670&lt;1000,"ND",0))),"-")</f>
        <v>4</v>
      </c>
      <c r="B4670" s="116">
        <v>48842</v>
      </c>
      <c r="C4670" s="117">
        <v>45536</v>
      </c>
      <c r="D4670" s="116">
        <v>2404.42</v>
      </c>
      <c r="E4670" s="117">
        <v>45550</v>
      </c>
      <c r="F4670" s="116">
        <f>COUNTIFS($A$3:A12920,A4670,$B$3:B12920,B4670)</f>
        <v>1</v>
      </c>
      <c r="G4670" s="116"/>
    </row>
    <row r="4671" spans="1:7" x14ac:dyDescent="0.2">
      <c r="A4671" s="116">
        <f>IF(ISNUMBER(Tabela2[[#This Row],[CT-e/NFS]])=TRUE,(IF(B4671&gt;30000,4,IF(B4671&lt;1000,"ND",0))),"-")</f>
        <v>4</v>
      </c>
      <c r="B4671" s="116">
        <v>48899</v>
      </c>
      <c r="C4671" s="117">
        <v>45546</v>
      </c>
      <c r="D4671" s="116">
        <v>396.44</v>
      </c>
      <c r="E4671" s="117">
        <v>45550</v>
      </c>
      <c r="F4671" s="116">
        <f>COUNTIFS($A$3:A12921,A4671,$B$3:B12921,B4671)</f>
        <v>1</v>
      </c>
      <c r="G4671" s="116"/>
    </row>
    <row r="4672" spans="1:7" x14ac:dyDescent="0.2">
      <c r="A4672" s="116">
        <f>IF(ISNUMBER(Tabela2[[#This Row],[CT-e/NFS]])=TRUE,(IF(B4672&gt;30000,4,IF(B4672&lt;1000,"ND",0))),"-")</f>
        <v>4</v>
      </c>
      <c r="B4672" s="116">
        <v>48892</v>
      </c>
      <c r="C4672" s="117">
        <v>45546</v>
      </c>
      <c r="D4672" s="116">
        <v>241.56</v>
      </c>
      <c r="E4672" s="117">
        <v>45550</v>
      </c>
      <c r="F4672" s="116">
        <f>COUNTIFS($A$3:A12922,A4672,$B$3:B12922,B4672)</f>
        <v>1</v>
      </c>
      <c r="G4672" s="116"/>
    </row>
    <row r="4673" spans="1:7" x14ac:dyDescent="0.2">
      <c r="A4673" s="116">
        <f>IF(ISNUMBER(Tabela2[[#This Row],[CT-e/NFS]])=TRUE,(IF(B4673&gt;30000,4,IF(B4673&lt;1000,"ND",0))),"-")</f>
        <v>4</v>
      </c>
      <c r="B4673" s="116">
        <v>48888</v>
      </c>
      <c r="C4673" s="117">
        <v>45546</v>
      </c>
      <c r="D4673" s="116">
        <v>124.02</v>
      </c>
      <c r="E4673" s="117">
        <v>45550</v>
      </c>
      <c r="F4673" s="116">
        <f>COUNTIFS($A$3:A12923,A4673,$B$3:B12923,B4673)</f>
        <v>1</v>
      </c>
      <c r="G4673" s="116"/>
    </row>
    <row r="4674" spans="1:7" x14ac:dyDescent="0.2">
      <c r="A4674" s="116">
        <f>IF(ISNUMBER(Tabela2[[#This Row],[CT-e/NFS]])=TRUE,(IF(B4674&gt;30000,4,IF(B4674&lt;1000,"ND",0))),"-")</f>
        <v>4</v>
      </c>
      <c r="B4674" s="116">
        <v>48891</v>
      </c>
      <c r="C4674" s="117">
        <v>45546</v>
      </c>
      <c r="D4674" s="116">
        <v>122.77</v>
      </c>
      <c r="E4674" s="117">
        <v>45550</v>
      </c>
      <c r="F4674" s="116">
        <f>COUNTIFS($A$3:A12924,A4674,$B$3:B12924,B4674)</f>
        <v>1</v>
      </c>
      <c r="G4674" s="116"/>
    </row>
    <row r="4675" spans="1:7" x14ac:dyDescent="0.2">
      <c r="A4675" s="116">
        <f>IF(ISNUMBER(Tabela2[[#This Row],[CT-e/NFS]])=TRUE,(IF(B4675&gt;30000,4,IF(B4675&lt;1000,"ND",0))),"-")</f>
        <v>4</v>
      </c>
      <c r="B4675" s="116">
        <v>48890</v>
      </c>
      <c r="C4675" s="117">
        <v>45546</v>
      </c>
      <c r="D4675" s="116">
        <v>123.52</v>
      </c>
      <c r="E4675" s="117">
        <v>45550</v>
      </c>
      <c r="F4675" s="116">
        <f>COUNTIFS($A$3:A12925,A4675,$B$3:B12925,B4675)</f>
        <v>1</v>
      </c>
      <c r="G4675" s="116"/>
    </row>
    <row r="4676" spans="1:7" x14ac:dyDescent="0.2">
      <c r="A4676" s="116">
        <f>IF(ISNUMBER(Tabela2[[#This Row],[CT-e/NFS]])=TRUE,(IF(B4676&gt;30000,4,IF(B4676&lt;1000,"ND",0))),"-")</f>
        <v>4</v>
      </c>
      <c r="B4676" s="116">
        <v>48887</v>
      </c>
      <c r="C4676" s="117">
        <v>45546</v>
      </c>
      <c r="D4676" s="116">
        <v>206.92</v>
      </c>
      <c r="E4676" s="117">
        <v>45550</v>
      </c>
      <c r="F4676" s="116">
        <f>COUNTIFS($A$3:A12926,A4676,$B$3:B12926,B4676)</f>
        <v>1</v>
      </c>
      <c r="G4676" s="116"/>
    </row>
    <row r="4677" spans="1:7" x14ac:dyDescent="0.2">
      <c r="A4677" s="116">
        <f>IF(ISNUMBER(Tabela2[[#This Row],[CT-e/NFS]])=TRUE,(IF(B4677&gt;30000,4,IF(B4677&lt;1000,"ND",0))),"-")</f>
        <v>4</v>
      </c>
      <c r="B4677" s="116">
        <v>48889</v>
      </c>
      <c r="C4677" s="117">
        <v>45546</v>
      </c>
      <c r="D4677" s="116">
        <v>845.8</v>
      </c>
      <c r="E4677" s="117">
        <v>45550</v>
      </c>
      <c r="F4677" s="116">
        <f>COUNTIFS($A$3:A12927,A4677,$B$3:B12927,B4677)</f>
        <v>1</v>
      </c>
      <c r="G4677" s="116"/>
    </row>
    <row r="4678" spans="1:7" x14ac:dyDescent="0.2">
      <c r="A4678" s="116">
        <f>IF(ISNUMBER(Tabela2[[#This Row],[CT-e/NFS]])=TRUE,(IF(B4678&gt;30000,4,IF(B4678&lt;1000,"ND",0))),"-")</f>
        <v>4</v>
      </c>
      <c r="B4678" s="116">
        <v>48903</v>
      </c>
      <c r="C4678" s="117">
        <v>45546</v>
      </c>
      <c r="D4678" s="116">
        <v>122.9</v>
      </c>
      <c r="E4678" s="117">
        <v>45550</v>
      </c>
      <c r="F4678" s="116">
        <f>COUNTIFS($A$3:A12928,A4678,$B$3:B12928,B4678)</f>
        <v>1</v>
      </c>
      <c r="G4678" s="116"/>
    </row>
    <row r="4679" spans="1:7" x14ac:dyDescent="0.2">
      <c r="A4679" s="116">
        <f>IF(ISNUMBER(Tabela2[[#This Row],[CT-e/NFS]])=TRUE,(IF(B4679&gt;30000,4,IF(B4679&lt;1000,"ND",0))),"-")</f>
        <v>4</v>
      </c>
      <c r="B4679" s="116">
        <v>48894</v>
      </c>
      <c r="C4679" s="117">
        <v>45546</v>
      </c>
      <c r="D4679" s="116">
        <v>616.4</v>
      </c>
      <c r="E4679" s="117">
        <v>45550</v>
      </c>
      <c r="F4679" s="116">
        <f>COUNTIFS($A$3:A12929,A4679,$B$3:B12929,B4679)</f>
        <v>1</v>
      </c>
      <c r="G4679" s="116"/>
    </row>
    <row r="4680" spans="1:7" x14ac:dyDescent="0.2">
      <c r="A4680" s="116">
        <f>IF(ISNUMBER(Tabela2[[#This Row],[CT-e/NFS]])=TRUE,(IF(B4680&gt;30000,4,IF(B4680&lt;1000,"ND",0))),"-")</f>
        <v>4</v>
      </c>
      <c r="B4680" s="116">
        <v>48896</v>
      </c>
      <c r="C4680" s="117">
        <v>45546</v>
      </c>
      <c r="D4680" s="116">
        <v>126.27</v>
      </c>
      <c r="E4680" s="117">
        <v>45550</v>
      </c>
      <c r="F4680" s="116">
        <f>COUNTIFS($A$3:A12930,A4680,$B$3:B12930,B4680)</f>
        <v>1</v>
      </c>
      <c r="G4680" s="116"/>
    </row>
    <row r="4681" spans="1:7" x14ac:dyDescent="0.2">
      <c r="A4681" s="116">
        <f>IF(ISNUMBER(Tabela2[[#This Row],[CT-e/NFS]])=TRUE,(IF(B4681&gt;30000,4,IF(B4681&lt;1000,"ND",0))),"-")</f>
        <v>4</v>
      </c>
      <c r="B4681" s="116">
        <v>48886</v>
      </c>
      <c r="C4681" s="117">
        <v>45546</v>
      </c>
      <c r="D4681" s="116">
        <v>123.1</v>
      </c>
      <c r="E4681" s="117">
        <v>45550</v>
      </c>
      <c r="F4681" s="116">
        <f>COUNTIFS($A$3:A12931,A4681,$B$3:B12931,B4681)</f>
        <v>1</v>
      </c>
      <c r="G4681" s="116"/>
    </row>
    <row r="4682" spans="1:7" x14ac:dyDescent="0.2">
      <c r="A4682" s="116">
        <f>IF(ISNUMBER(Tabela2[[#This Row],[CT-e/NFS]])=TRUE,(IF(B4682&gt;30000,4,IF(B4682&lt;1000,"ND",0))),"-")</f>
        <v>4</v>
      </c>
      <c r="B4682" s="116">
        <v>48898</v>
      </c>
      <c r="C4682" s="117">
        <v>45546</v>
      </c>
      <c r="D4682" s="116">
        <v>123.81</v>
      </c>
      <c r="E4682" s="117">
        <v>45550</v>
      </c>
      <c r="F4682" s="116">
        <f>COUNTIFS($A$3:A12932,A4682,$B$3:B12932,B4682)</f>
        <v>1</v>
      </c>
      <c r="G4682" s="116"/>
    </row>
    <row r="4683" spans="1:7" x14ac:dyDescent="0.2">
      <c r="A4683" s="116">
        <f>IF(ISNUMBER(Tabela2[[#This Row],[CT-e/NFS]])=TRUE,(IF(B4683&gt;30000,4,IF(B4683&lt;1000,"ND",0))),"-")</f>
        <v>4</v>
      </c>
      <c r="B4683" s="116">
        <v>48895</v>
      </c>
      <c r="C4683" s="117">
        <v>45546</v>
      </c>
      <c r="D4683" s="116">
        <v>163.18</v>
      </c>
      <c r="E4683" s="117">
        <v>45550</v>
      </c>
      <c r="F4683" s="116">
        <f>COUNTIFS($A$3:A12933,A4683,$B$3:B12933,B4683)</f>
        <v>1</v>
      </c>
      <c r="G4683" s="116"/>
    </row>
    <row r="4684" spans="1:7" x14ac:dyDescent="0.2">
      <c r="A4684" s="116">
        <f>IF(ISNUMBER(Tabela2[[#This Row],[CT-e/NFS]])=TRUE,(IF(B4684&gt;30000,4,IF(B4684&lt;1000,"ND",0))),"-")</f>
        <v>4</v>
      </c>
      <c r="B4684" s="116">
        <v>48897</v>
      </c>
      <c r="C4684" s="117">
        <v>45546</v>
      </c>
      <c r="D4684" s="116">
        <v>123.52</v>
      </c>
      <c r="E4684" s="117">
        <v>45550</v>
      </c>
      <c r="F4684" s="116">
        <f>COUNTIFS($A$3:A12934,A4684,$B$3:B12934,B4684)</f>
        <v>1</v>
      </c>
      <c r="G4684" s="116"/>
    </row>
    <row r="4685" spans="1:7" x14ac:dyDescent="0.2">
      <c r="A4685" s="116">
        <f>IF(ISNUMBER(Tabela2[[#This Row],[CT-e/NFS]])=TRUE,(IF(B4685&gt;30000,4,IF(B4685&lt;1000,"ND",0))),"-")</f>
        <v>4</v>
      </c>
      <c r="B4685" s="116">
        <v>48893</v>
      </c>
      <c r="C4685" s="117">
        <v>45546</v>
      </c>
      <c r="D4685" s="116">
        <v>3544.77</v>
      </c>
      <c r="E4685" s="117">
        <v>45550</v>
      </c>
      <c r="F4685" s="116">
        <f>COUNTIFS($A$3:A12935,A4685,$B$3:B12935,B4685)</f>
        <v>1</v>
      </c>
      <c r="G4685" s="116"/>
    </row>
    <row r="4686" spans="1:7" x14ac:dyDescent="0.2">
      <c r="A4686" s="116">
        <f>IF(ISNUMBER(Tabela2[[#This Row],[CT-e/NFS]])=TRUE,(IF(B4686&gt;30000,4,IF(B4686&lt;1000,"ND",0))),"-")</f>
        <v>4</v>
      </c>
      <c r="B4686" s="116">
        <v>48908</v>
      </c>
      <c r="C4686" s="117">
        <v>45546</v>
      </c>
      <c r="D4686" s="116">
        <v>126.11</v>
      </c>
      <c r="E4686" s="117">
        <v>45550</v>
      </c>
      <c r="F4686" s="116">
        <f>COUNTIFS($A$3:A12936,A4686,$B$3:B12936,B4686)</f>
        <v>1</v>
      </c>
      <c r="G4686" s="116"/>
    </row>
    <row r="4687" spans="1:7" x14ac:dyDescent="0.2">
      <c r="A4687" s="116">
        <f>IF(ISNUMBER(Tabela2[[#This Row],[CT-e/NFS]])=TRUE,(IF(B4687&gt;30000,4,IF(B4687&lt;1000,"ND",0))),"-")</f>
        <v>4</v>
      </c>
      <c r="B4687" s="116">
        <v>48907</v>
      </c>
      <c r="C4687" s="117">
        <v>45546</v>
      </c>
      <c r="D4687" s="116">
        <v>124.17</v>
      </c>
      <c r="E4687" s="117">
        <v>45550</v>
      </c>
      <c r="F4687" s="116">
        <f>COUNTIFS($A$3:A12937,A4687,$B$3:B12937,B4687)</f>
        <v>1</v>
      </c>
      <c r="G4687" s="116"/>
    </row>
    <row r="4688" spans="1:7" x14ac:dyDescent="0.2">
      <c r="A4688" s="116">
        <f>IF(ISNUMBER(Tabela2[[#This Row],[CT-e/NFS]])=TRUE,(IF(B4688&gt;30000,4,IF(B4688&lt;1000,"ND",0))),"-")</f>
        <v>4</v>
      </c>
      <c r="B4688" s="116">
        <v>48900</v>
      </c>
      <c r="C4688" s="117">
        <v>45546</v>
      </c>
      <c r="D4688" s="116">
        <v>679.58</v>
      </c>
      <c r="E4688" s="117">
        <v>45550</v>
      </c>
      <c r="F4688" s="116">
        <f>COUNTIFS($A$3:A12938,A4688,$B$3:B12938,B4688)</f>
        <v>1</v>
      </c>
      <c r="G4688" s="116"/>
    </row>
    <row r="4689" spans="1:7" x14ac:dyDescent="0.2">
      <c r="A4689" s="116">
        <f>IF(ISNUMBER(Tabela2[[#This Row],[CT-e/NFS]])=TRUE,(IF(B4689&gt;30000,4,IF(B4689&lt;1000,"ND",0))),"-")</f>
        <v>0</v>
      </c>
      <c r="B4689" s="116">
        <v>22027</v>
      </c>
      <c r="C4689" s="117">
        <v>45546</v>
      </c>
      <c r="D4689" s="116">
        <v>1136.99</v>
      </c>
      <c r="E4689" s="117">
        <v>45550</v>
      </c>
      <c r="F4689" s="116">
        <f>COUNTIFS($A$3:A12939,A4689,$B$3:B12939,B4689)</f>
        <v>1</v>
      </c>
      <c r="G4689" s="116"/>
    </row>
    <row r="4690" spans="1:7" x14ac:dyDescent="0.2">
      <c r="A4690" s="116">
        <f>IF(ISNUMBER(Tabela2[[#This Row],[CT-e/NFS]])=TRUE,(IF(B4690&gt;30000,4,IF(B4690&lt;1000,"ND",0))),"-")</f>
        <v>0</v>
      </c>
      <c r="B4690" s="116">
        <v>22026</v>
      </c>
      <c r="C4690" s="117">
        <v>45546</v>
      </c>
      <c r="D4690" s="116">
        <v>844.29</v>
      </c>
      <c r="E4690" s="117">
        <v>45550</v>
      </c>
      <c r="F4690" s="116">
        <f>COUNTIFS($A$3:A12940,A4690,$B$3:B12940,B4690)</f>
        <v>1</v>
      </c>
      <c r="G4690" s="116"/>
    </row>
    <row r="4691" spans="1:7" x14ac:dyDescent="0.2">
      <c r="A4691" s="116">
        <f>IF(ISNUMBER(Tabela2[[#This Row],[CT-e/NFS]])=TRUE,(IF(B4691&gt;30000,4,IF(B4691&lt;1000,"ND",0))),"-")</f>
        <v>0</v>
      </c>
      <c r="B4691" s="116">
        <v>22025</v>
      </c>
      <c r="C4691" s="117">
        <v>45546</v>
      </c>
      <c r="D4691" s="116">
        <v>76.27</v>
      </c>
      <c r="E4691" s="117">
        <v>45550</v>
      </c>
      <c r="F4691" s="116">
        <f>COUNTIFS($A$3:A12941,A4691,$B$3:B12941,B4691)</f>
        <v>1</v>
      </c>
      <c r="G4691" s="116"/>
    </row>
    <row r="4692" spans="1:7" x14ac:dyDescent="0.2">
      <c r="A4692" s="116">
        <f>IF(ISNUMBER(Tabela2[[#This Row],[CT-e/NFS]])=TRUE,(IF(B4692&gt;30000,4,IF(B4692&lt;1000,"ND",0))),"-")</f>
        <v>0</v>
      </c>
      <c r="B4692" s="116">
        <v>22024</v>
      </c>
      <c r="C4692" s="117">
        <v>45546</v>
      </c>
      <c r="D4692" s="116">
        <v>77.08</v>
      </c>
      <c r="E4692" s="117">
        <v>45550</v>
      </c>
      <c r="F4692" s="116">
        <f>COUNTIFS($A$3:A12942,A4692,$B$3:B12942,B4692)</f>
        <v>1</v>
      </c>
      <c r="G4692" s="116"/>
    </row>
    <row r="4693" spans="1:7" x14ac:dyDescent="0.2">
      <c r="A4693" s="116">
        <f>IF(ISNUMBER(Tabela2[[#This Row],[CT-e/NFS]])=TRUE,(IF(B4693&gt;30000,4,IF(B4693&lt;1000,"ND",0))),"-")</f>
        <v>0</v>
      </c>
      <c r="B4693" s="116">
        <v>22023</v>
      </c>
      <c r="C4693" s="117">
        <v>45546</v>
      </c>
      <c r="D4693" s="116">
        <v>77.099999999999994</v>
      </c>
      <c r="E4693" s="117">
        <v>45550</v>
      </c>
      <c r="F4693" s="116">
        <f>COUNTIFS($A$3:A12943,A4693,$B$3:B12943,B4693)</f>
        <v>1</v>
      </c>
      <c r="G4693" s="116"/>
    </row>
    <row r="4694" spans="1:7" x14ac:dyDescent="0.2">
      <c r="A4694" s="116">
        <f>IF(ISNUMBER(Tabela2[[#This Row],[CT-e/NFS]])=TRUE,(IF(B4694&gt;30000,4,IF(B4694&lt;1000,"ND",0))),"-")</f>
        <v>0</v>
      </c>
      <c r="B4694" s="116">
        <v>22022</v>
      </c>
      <c r="C4694" s="117">
        <v>45546</v>
      </c>
      <c r="D4694" s="116">
        <v>75.8</v>
      </c>
      <c r="E4694" s="117">
        <v>45550</v>
      </c>
      <c r="F4694" s="116">
        <f>COUNTIFS($A$3:A12944,A4694,$B$3:B12944,B4694)</f>
        <v>1</v>
      </c>
      <c r="G4694" s="116"/>
    </row>
    <row r="4695" spans="1:7" x14ac:dyDescent="0.2">
      <c r="A4695" s="116">
        <f>IF(ISNUMBER(Tabela2[[#This Row],[CT-e/NFS]])=TRUE,(IF(B4695&gt;30000,4,IF(B4695&lt;1000,"ND",0))),"-")</f>
        <v>0</v>
      </c>
      <c r="B4695" s="116">
        <v>22021</v>
      </c>
      <c r="C4695" s="117">
        <v>45546</v>
      </c>
      <c r="D4695" s="116">
        <v>75.81</v>
      </c>
      <c r="E4695" s="117">
        <v>45550</v>
      </c>
      <c r="F4695" s="116">
        <f>COUNTIFS($A$3:A12945,A4695,$B$3:B12945,B4695)</f>
        <v>1</v>
      </c>
      <c r="G4695" s="116"/>
    </row>
    <row r="4696" spans="1:7" x14ac:dyDescent="0.2">
      <c r="A4696" s="116">
        <f>IF(ISNUMBER(Tabela2[[#This Row],[CT-e/NFS]])=TRUE,(IF(B4696&gt;30000,4,IF(B4696&lt;1000,"ND",0))),"-")</f>
        <v>0</v>
      </c>
      <c r="B4696" s="116">
        <v>22019</v>
      </c>
      <c r="C4696" s="117">
        <v>45546</v>
      </c>
      <c r="D4696" s="116">
        <v>75.7</v>
      </c>
      <c r="E4696" s="117">
        <v>45550</v>
      </c>
      <c r="F4696" s="116">
        <f>COUNTIFS($A$3:A12946,A4696,$B$3:B12946,B4696)</f>
        <v>1</v>
      </c>
      <c r="G4696" s="116"/>
    </row>
    <row r="4697" spans="1:7" x14ac:dyDescent="0.2">
      <c r="A4697" s="116">
        <f>IF(ISNUMBER(Tabela2[[#This Row],[CT-e/NFS]])=TRUE,(IF(B4697&gt;30000,4,IF(B4697&lt;1000,"ND",0))),"-")</f>
        <v>0</v>
      </c>
      <c r="B4697" s="116">
        <v>22020</v>
      </c>
      <c r="C4697" s="117">
        <v>45546</v>
      </c>
      <c r="D4697" s="116">
        <v>75.599999999999994</v>
      </c>
      <c r="E4697" s="117">
        <v>45550</v>
      </c>
      <c r="F4697" s="116">
        <f>COUNTIFS($A$3:A12947,A4697,$B$3:B12947,B4697)</f>
        <v>1</v>
      </c>
      <c r="G4697" s="116"/>
    </row>
    <row r="4698" spans="1:7" x14ac:dyDescent="0.2">
      <c r="A4698" s="116">
        <f>IF(ISNUMBER(Tabela2[[#This Row],[CT-e/NFS]])=TRUE,(IF(B4698&gt;30000,4,IF(B4698&lt;1000,"ND",0))),"-")</f>
        <v>0</v>
      </c>
      <c r="B4698" s="116">
        <v>22018</v>
      </c>
      <c r="C4698" s="117">
        <v>45546</v>
      </c>
      <c r="D4698" s="116">
        <v>75.680000000000007</v>
      </c>
      <c r="E4698" s="117">
        <v>45550</v>
      </c>
      <c r="F4698" s="116">
        <f>COUNTIFS($A$3:A12948,A4698,$B$3:B12948,B4698)</f>
        <v>1</v>
      </c>
      <c r="G4698" s="116"/>
    </row>
    <row r="4699" spans="1:7" x14ac:dyDescent="0.2">
      <c r="A4699" s="116">
        <f>IF(ISNUMBER(Tabela2[[#This Row],[CT-e/NFS]])=TRUE,(IF(B4699&gt;30000,4,IF(B4699&lt;1000,"ND",0))),"-")</f>
        <v>0</v>
      </c>
      <c r="B4699" s="116">
        <v>22017</v>
      </c>
      <c r="C4699" s="117">
        <v>45546</v>
      </c>
      <c r="D4699" s="116">
        <v>76.36</v>
      </c>
      <c r="E4699" s="117">
        <v>45550</v>
      </c>
      <c r="F4699" s="116">
        <f>COUNTIFS($A$3:A12949,A4699,$B$3:B12949,B4699)</f>
        <v>1</v>
      </c>
      <c r="G4699" s="116"/>
    </row>
    <row r="4700" spans="1:7" x14ac:dyDescent="0.2">
      <c r="A4700" s="116">
        <f>IF(ISNUMBER(Tabela2[[#This Row],[CT-e/NFS]])=TRUE,(IF(B4700&gt;30000,4,IF(B4700&lt;1000,"ND",0))),"-")</f>
        <v>0</v>
      </c>
      <c r="B4700" s="116">
        <v>22016</v>
      </c>
      <c r="C4700" s="117">
        <v>45546</v>
      </c>
      <c r="D4700" s="116">
        <v>78.08</v>
      </c>
      <c r="E4700" s="117">
        <v>45550</v>
      </c>
      <c r="F4700" s="116">
        <f>COUNTIFS($A$3:A12950,A4700,$B$3:B12950,B4700)</f>
        <v>1</v>
      </c>
      <c r="G4700" s="116"/>
    </row>
    <row r="4701" spans="1:7" x14ac:dyDescent="0.2">
      <c r="A4701" s="116">
        <f>IF(ISNUMBER(Tabela2[[#This Row],[CT-e/NFS]])=TRUE,(IF(B4701&gt;30000,4,IF(B4701&lt;1000,"ND",0))),"-")</f>
        <v>0</v>
      </c>
      <c r="B4701" s="116">
        <v>22015</v>
      </c>
      <c r="C4701" s="117">
        <v>45546</v>
      </c>
      <c r="D4701" s="116">
        <v>76.58</v>
      </c>
      <c r="E4701" s="117">
        <v>45550</v>
      </c>
      <c r="F4701" s="116">
        <f>COUNTIFS($A$3:A12951,A4701,$B$3:B12951,B4701)</f>
        <v>1</v>
      </c>
      <c r="G4701" s="116"/>
    </row>
    <row r="4702" spans="1:7" x14ac:dyDescent="0.2">
      <c r="A4702" s="116">
        <f>IF(ISNUMBER(Tabela2[[#This Row],[CT-e/NFS]])=TRUE,(IF(B4702&gt;30000,4,IF(B4702&lt;1000,"ND",0))),"-")</f>
        <v>0</v>
      </c>
      <c r="B4702" s="116">
        <v>22014</v>
      </c>
      <c r="C4702" s="117">
        <v>45546</v>
      </c>
      <c r="D4702" s="116">
        <v>77.16</v>
      </c>
      <c r="E4702" s="117">
        <v>45550</v>
      </c>
      <c r="F4702" s="116">
        <f>COUNTIFS($A$3:A12952,A4702,$B$3:B12952,B4702)</f>
        <v>1</v>
      </c>
      <c r="G4702" s="116"/>
    </row>
    <row r="4703" spans="1:7" x14ac:dyDescent="0.2">
      <c r="A4703" s="116">
        <f>IF(ISNUMBER(Tabela2[[#This Row],[CT-e/NFS]])=TRUE,(IF(B4703&gt;30000,4,IF(B4703&lt;1000,"ND",0))),"-")</f>
        <v>0</v>
      </c>
      <c r="B4703" s="116">
        <v>22011</v>
      </c>
      <c r="C4703" s="117">
        <v>45546</v>
      </c>
      <c r="D4703" s="116">
        <v>76.28</v>
      </c>
      <c r="E4703" s="117">
        <v>45550</v>
      </c>
      <c r="F4703" s="116">
        <f>COUNTIFS($A$3:A12953,A4703,$B$3:B12953,B4703)</f>
        <v>1</v>
      </c>
      <c r="G4703" s="116"/>
    </row>
    <row r="4704" spans="1:7" x14ac:dyDescent="0.2">
      <c r="A4704" s="116">
        <f>IF(ISNUMBER(Tabela2[[#This Row],[CT-e/NFS]])=TRUE,(IF(B4704&gt;30000,4,IF(B4704&lt;1000,"ND",0))),"-")</f>
        <v>0</v>
      </c>
      <c r="B4704" s="116">
        <v>22013</v>
      </c>
      <c r="C4704" s="117">
        <v>45546</v>
      </c>
      <c r="D4704" s="116">
        <v>149.30000000000001</v>
      </c>
      <c r="E4704" s="117">
        <v>45550</v>
      </c>
      <c r="F4704" s="116">
        <f>COUNTIFS($A$3:A12954,A4704,$B$3:B12954,B4704)</f>
        <v>1</v>
      </c>
      <c r="G4704" s="116"/>
    </row>
    <row r="4705" spans="1:7" x14ac:dyDescent="0.2">
      <c r="A4705" s="116">
        <f>IF(ISNUMBER(Tabela2[[#This Row],[CT-e/NFS]])=TRUE,(IF(B4705&gt;30000,4,IF(B4705&lt;1000,"ND",0))),"-")</f>
        <v>0</v>
      </c>
      <c r="B4705" s="116">
        <v>22012</v>
      </c>
      <c r="C4705" s="117">
        <v>45546</v>
      </c>
      <c r="D4705" s="116">
        <v>76.27</v>
      </c>
      <c r="E4705" s="117">
        <v>45550</v>
      </c>
      <c r="F4705" s="116">
        <f>COUNTIFS($A$3:A12955,A4705,$B$3:B12955,B4705)</f>
        <v>1</v>
      </c>
      <c r="G4705" s="116"/>
    </row>
    <row r="4706" spans="1:7" x14ac:dyDescent="0.2">
      <c r="A4706" s="116">
        <f>IF(ISNUMBER(Tabela2[[#This Row],[CT-e/NFS]])=TRUE,(IF(B4706&gt;30000,4,IF(B4706&lt;1000,"ND",0))),"-")</f>
        <v>0</v>
      </c>
      <c r="B4706" s="116">
        <v>22009</v>
      </c>
      <c r="C4706" s="117">
        <v>45546</v>
      </c>
      <c r="D4706" s="116">
        <v>75.7</v>
      </c>
      <c r="E4706" s="117">
        <v>45550</v>
      </c>
      <c r="F4706" s="116">
        <f>COUNTIFS($A$3:A12956,A4706,$B$3:B12956,B4706)</f>
        <v>1</v>
      </c>
      <c r="G4706" s="116"/>
    </row>
    <row r="4707" spans="1:7" x14ac:dyDescent="0.2">
      <c r="A4707" s="116">
        <f>IF(ISNUMBER(Tabela2[[#This Row],[CT-e/NFS]])=TRUE,(IF(B4707&gt;30000,4,IF(B4707&lt;1000,"ND",0))),"-")</f>
        <v>0</v>
      </c>
      <c r="B4707" s="116">
        <v>22008</v>
      </c>
      <c r="C4707" s="117">
        <v>45546</v>
      </c>
      <c r="D4707" s="116">
        <v>348.37</v>
      </c>
      <c r="E4707" s="117">
        <v>45550</v>
      </c>
      <c r="F4707" s="116">
        <f>COUNTIFS($A$3:A12957,A4707,$B$3:B12957,B4707)</f>
        <v>1</v>
      </c>
      <c r="G4707" s="116"/>
    </row>
    <row r="4708" spans="1:7" x14ac:dyDescent="0.2">
      <c r="A4708" s="116">
        <f>IF(ISNUMBER(Tabela2[[#This Row],[CT-e/NFS]])=TRUE,(IF(B4708&gt;30000,4,IF(B4708&lt;1000,"ND",0))),"-")</f>
        <v>4</v>
      </c>
      <c r="B4708" s="116">
        <v>48911</v>
      </c>
      <c r="C4708" s="117">
        <v>45546</v>
      </c>
      <c r="D4708" s="116">
        <v>2906.31</v>
      </c>
      <c r="E4708" s="117">
        <v>45550</v>
      </c>
      <c r="F4708" s="116">
        <f>COUNTIFS($A$3:A12958,A4708,$B$3:B12958,B4708)</f>
        <v>1</v>
      </c>
      <c r="G4708" s="116"/>
    </row>
    <row r="4709" spans="1:7" x14ac:dyDescent="0.2">
      <c r="A4709" s="116">
        <f>IF(ISNUMBER(Tabela2[[#This Row],[CT-e/NFS]])=TRUE,(IF(B4709&gt;30000,4,IF(B4709&lt;1000,"ND",0))),"-")</f>
        <v>4</v>
      </c>
      <c r="B4709" s="116">
        <v>48912</v>
      </c>
      <c r="C4709" s="117">
        <v>45546</v>
      </c>
      <c r="D4709" s="116">
        <v>710.23</v>
      </c>
      <c r="E4709" s="117">
        <v>45550</v>
      </c>
      <c r="F4709" s="116">
        <f>COUNTIFS($A$3:A12959,A4709,$B$3:B12959,B4709)</f>
        <v>1</v>
      </c>
      <c r="G4709" s="116"/>
    </row>
    <row r="4710" spans="1:7" x14ac:dyDescent="0.2">
      <c r="A4710" s="116">
        <f>IF(ISNUMBER(Tabela2[[#This Row],[CT-e/NFS]])=TRUE,(IF(B4710&gt;30000,4,IF(B4710&lt;1000,"ND",0))),"-")</f>
        <v>4</v>
      </c>
      <c r="B4710" s="116">
        <v>48915</v>
      </c>
      <c r="C4710" s="117">
        <v>45546</v>
      </c>
      <c r="D4710" s="116">
        <v>573.35</v>
      </c>
      <c r="E4710" s="117">
        <v>45550</v>
      </c>
      <c r="F4710" s="116">
        <f>COUNTIFS($A$3:A12960,A4710,$B$3:B12960,B4710)</f>
        <v>1</v>
      </c>
      <c r="G4710" s="116"/>
    </row>
    <row r="4711" spans="1:7" x14ac:dyDescent="0.2">
      <c r="A4711" s="116">
        <f>IF(ISNUMBER(Tabela2[[#This Row],[CT-e/NFS]])=TRUE,(IF(B4711&gt;30000,4,IF(B4711&lt;1000,"ND",0))),"-")</f>
        <v>4</v>
      </c>
      <c r="B4711" s="116">
        <v>48913</v>
      </c>
      <c r="C4711" s="117">
        <v>45546</v>
      </c>
      <c r="D4711" s="116">
        <v>596.29999999999995</v>
      </c>
      <c r="E4711" s="117">
        <v>45550</v>
      </c>
      <c r="F4711" s="116">
        <f>COUNTIFS($A$3:A12961,A4711,$B$3:B12961,B4711)</f>
        <v>1</v>
      </c>
      <c r="G4711" s="116"/>
    </row>
    <row r="4712" spans="1:7" x14ac:dyDescent="0.2">
      <c r="A4712" s="116">
        <f>IF(ISNUMBER(Tabela2[[#This Row],[CT-e/NFS]])=TRUE,(IF(B4712&gt;30000,4,IF(B4712&lt;1000,"ND",0))),"-")</f>
        <v>4</v>
      </c>
      <c r="B4712" s="116">
        <v>48914</v>
      </c>
      <c r="C4712" s="117">
        <v>45546</v>
      </c>
      <c r="D4712" s="116">
        <v>588.65</v>
      </c>
      <c r="E4712" s="117">
        <v>45550</v>
      </c>
      <c r="F4712" s="116">
        <f>COUNTIFS($A$3:A12962,A4712,$B$3:B12962,B4712)</f>
        <v>1</v>
      </c>
      <c r="G4712" s="116"/>
    </row>
    <row r="4713" spans="1:7" x14ac:dyDescent="0.2">
      <c r="A4713" s="116">
        <f>IF(ISNUMBER(Tabela2[[#This Row],[CT-e/NFS]])=TRUE,(IF(B4713&gt;30000,4,IF(B4713&lt;1000,"ND",0))),"-")</f>
        <v>4</v>
      </c>
      <c r="B4713" s="116">
        <v>48918</v>
      </c>
      <c r="C4713" s="117">
        <v>45546</v>
      </c>
      <c r="D4713" s="116">
        <v>659.82</v>
      </c>
      <c r="E4713" s="117">
        <v>45550</v>
      </c>
      <c r="F4713" s="116">
        <f>COUNTIFS($A$3:A12963,A4713,$B$3:B12963,B4713)</f>
        <v>1</v>
      </c>
      <c r="G4713" s="116"/>
    </row>
    <row r="4714" spans="1:7" x14ac:dyDescent="0.2">
      <c r="A4714" s="116">
        <f>IF(ISNUMBER(Tabela2[[#This Row],[CT-e/NFS]])=TRUE,(IF(B4714&gt;30000,4,IF(B4714&lt;1000,"ND",0))),"-")</f>
        <v>4</v>
      </c>
      <c r="B4714" s="116">
        <v>48916</v>
      </c>
      <c r="C4714" s="117">
        <v>45546</v>
      </c>
      <c r="D4714" s="116">
        <v>257.08999999999997</v>
      </c>
      <c r="E4714" s="117">
        <v>45550</v>
      </c>
      <c r="F4714" s="116">
        <f>COUNTIFS($A$3:A12964,A4714,$B$3:B12964,B4714)</f>
        <v>1</v>
      </c>
      <c r="G4714" s="116"/>
    </row>
    <row r="4715" spans="1:7" x14ac:dyDescent="0.2">
      <c r="A4715" s="116">
        <f>IF(ISNUMBER(Tabela2[[#This Row],[CT-e/NFS]])=TRUE,(IF(B4715&gt;30000,4,IF(B4715&lt;1000,"ND",0))),"-")</f>
        <v>4</v>
      </c>
      <c r="B4715" s="116">
        <v>48917</v>
      </c>
      <c r="C4715" s="117">
        <v>45546</v>
      </c>
      <c r="D4715" s="116">
        <v>220.82</v>
      </c>
      <c r="E4715" s="117">
        <v>45550</v>
      </c>
      <c r="F4715" s="116">
        <f>COUNTIFS($A$3:A12965,A4715,$B$3:B12965,B4715)</f>
        <v>1</v>
      </c>
      <c r="G4715" s="116"/>
    </row>
    <row r="4716" spans="1:7" x14ac:dyDescent="0.2">
      <c r="A4716" s="116">
        <f>IF(ISNUMBER(Tabela2[[#This Row],[CT-e/NFS]])=TRUE,(IF(B4716&gt;30000,4,IF(B4716&lt;1000,"ND",0))),"-")</f>
        <v>4</v>
      </c>
      <c r="B4716" s="116">
        <v>48932</v>
      </c>
      <c r="C4716" s="117">
        <v>45546</v>
      </c>
      <c r="D4716" s="116">
        <v>122.73</v>
      </c>
      <c r="E4716" s="117">
        <v>45550</v>
      </c>
      <c r="F4716" s="116">
        <f>COUNTIFS($A$3:A12966,A4716,$B$3:B12966,B4716)</f>
        <v>1</v>
      </c>
      <c r="G4716" s="116"/>
    </row>
    <row r="4717" spans="1:7" x14ac:dyDescent="0.2">
      <c r="A4717" s="116">
        <f>IF(ISNUMBER(Tabela2[[#This Row],[CT-e/NFS]])=TRUE,(IF(B4717&gt;30000,4,IF(B4717&lt;1000,"ND",0))),"-")</f>
        <v>4</v>
      </c>
      <c r="B4717" s="116">
        <v>48928</v>
      </c>
      <c r="C4717" s="117">
        <v>45546</v>
      </c>
      <c r="D4717" s="116">
        <v>61.39</v>
      </c>
      <c r="E4717" s="117">
        <v>45550</v>
      </c>
      <c r="F4717" s="116">
        <f>COUNTIFS($A$3:A12967,A4717,$B$3:B12967,B4717)</f>
        <v>1</v>
      </c>
      <c r="G4717" s="116"/>
    </row>
    <row r="4718" spans="1:7" x14ac:dyDescent="0.2">
      <c r="A4718" s="116">
        <f>IF(ISNUMBER(Tabela2[[#This Row],[CT-e/NFS]])=TRUE,(IF(B4718&gt;30000,4,IF(B4718&lt;1000,"ND",0))),"-")</f>
        <v>4</v>
      </c>
      <c r="B4718" s="116">
        <v>48923</v>
      </c>
      <c r="C4718" s="117">
        <v>45546</v>
      </c>
      <c r="D4718" s="116">
        <v>125.36</v>
      </c>
      <c r="E4718" s="117">
        <v>45550</v>
      </c>
      <c r="F4718" s="116">
        <f>COUNTIFS($A$3:A12968,A4718,$B$3:B12968,B4718)</f>
        <v>1</v>
      </c>
      <c r="G4718" s="116"/>
    </row>
    <row r="4719" spans="1:7" x14ac:dyDescent="0.2">
      <c r="A4719" s="116">
        <f>IF(ISNUMBER(Tabela2[[#This Row],[CT-e/NFS]])=TRUE,(IF(B4719&gt;30000,4,IF(B4719&lt;1000,"ND",0))),"-")</f>
        <v>4</v>
      </c>
      <c r="B4719" s="116">
        <v>48922</v>
      </c>
      <c r="C4719" s="117">
        <v>45546</v>
      </c>
      <c r="D4719" s="116">
        <v>125.03</v>
      </c>
      <c r="E4719" s="117">
        <v>45550</v>
      </c>
      <c r="F4719" s="116">
        <f>COUNTIFS($A$3:A12969,A4719,$B$3:B12969,B4719)</f>
        <v>1</v>
      </c>
      <c r="G4719" s="116"/>
    </row>
    <row r="4720" spans="1:7" x14ac:dyDescent="0.2">
      <c r="A4720" s="116">
        <f>IF(ISNUMBER(Tabela2[[#This Row],[CT-e/NFS]])=TRUE,(IF(B4720&gt;30000,4,IF(B4720&lt;1000,"ND",0))),"-")</f>
        <v>4</v>
      </c>
      <c r="B4720" s="116">
        <v>48920</v>
      </c>
      <c r="C4720" s="117">
        <v>45546</v>
      </c>
      <c r="D4720" s="116">
        <v>123.9</v>
      </c>
      <c r="E4720" s="117">
        <v>45550</v>
      </c>
      <c r="F4720" s="116">
        <f>COUNTIFS($A$3:A12970,A4720,$B$3:B12970,B4720)</f>
        <v>1</v>
      </c>
      <c r="G4720" s="116"/>
    </row>
    <row r="4721" spans="1:7" x14ac:dyDescent="0.2">
      <c r="A4721" s="116">
        <f>IF(ISNUMBER(Tabela2[[#This Row],[CT-e/NFS]])=TRUE,(IF(B4721&gt;30000,4,IF(B4721&lt;1000,"ND",0))),"-")</f>
        <v>4</v>
      </c>
      <c r="B4721" s="116">
        <v>48930</v>
      </c>
      <c r="C4721" s="117">
        <v>45546</v>
      </c>
      <c r="D4721" s="116">
        <v>61.76</v>
      </c>
      <c r="E4721" s="117">
        <v>45550</v>
      </c>
      <c r="F4721" s="116">
        <f>COUNTIFS($A$3:A12971,A4721,$B$3:B12971,B4721)</f>
        <v>1</v>
      </c>
      <c r="G4721" s="116"/>
    </row>
    <row r="4722" spans="1:7" x14ac:dyDescent="0.2">
      <c r="A4722" s="116">
        <f>IF(ISNUMBER(Tabela2[[#This Row],[CT-e/NFS]])=TRUE,(IF(B4722&gt;30000,4,IF(B4722&lt;1000,"ND",0))),"-")</f>
        <v>4</v>
      </c>
      <c r="B4722" s="116">
        <v>48933</v>
      </c>
      <c r="C4722" s="117">
        <v>45546</v>
      </c>
      <c r="D4722" s="116">
        <v>122.75</v>
      </c>
      <c r="E4722" s="117">
        <v>45550</v>
      </c>
      <c r="F4722" s="116">
        <f>COUNTIFS($A$3:A12972,A4722,$B$3:B12972,B4722)</f>
        <v>1</v>
      </c>
      <c r="G4722" s="116"/>
    </row>
    <row r="4723" spans="1:7" x14ac:dyDescent="0.2">
      <c r="A4723" s="116">
        <f>IF(ISNUMBER(Tabela2[[#This Row],[CT-e/NFS]])=TRUE,(IF(B4723&gt;30000,4,IF(B4723&lt;1000,"ND",0))),"-")</f>
        <v>4</v>
      </c>
      <c r="B4723" s="116">
        <v>48929</v>
      </c>
      <c r="C4723" s="117">
        <v>45546</v>
      </c>
      <c r="D4723" s="116">
        <v>110.5</v>
      </c>
      <c r="E4723" s="117">
        <v>45550</v>
      </c>
      <c r="F4723" s="116">
        <f>COUNTIFS($A$3:A12973,A4723,$B$3:B12973,B4723)</f>
        <v>1</v>
      </c>
      <c r="G4723" s="116"/>
    </row>
    <row r="4724" spans="1:7" x14ac:dyDescent="0.2">
      <c r="A4724" s="116">
        <f>IF(ISNUMBER(Tabela2[[#This Row],[CT-e/NFS]])=TRUE,(IF(B4724&gt;30000,4,IF(B4724&lt;1000,"ND",0))),"-")</f>
        <v>4</v>
      </c>
      <c r="B4724" s="116">
        <v>48926</v>
      </c>
      <c r="C4724" s="117">
        <v>45546</v>
      </c>
      <c r="D4724" s="116">
        <v>523.29999999999995</v>
      </c>
      <c r="E4724" s="117">
        <v>45550</v>
      </c>
      <c r="F4724" s="116">
        <f>COUNTIFS($A$3:A12974,A4724,$B$3:B12974,B4724)</f>
        <v>1</v>
      </c>
      <c r="G4724" s="116"/>
    </row>
    <row r="4725" spans="1:7" x14ac:dyDescent="0.2">
      <c r="A4725" s="116">
        <f>IF(ISNUMBER(Tabela2[[#This Row],[CT-e/NFS]])=TRUE,(IF(B4725&gt;30000,4,IF(B4725&lt;1000,"ND",0))),"-")</f>
        <v>4</v>
      </c>
      <c r="B4725" s="116">
        <v>48921</v>
      </c>
      <c r="C4725" s="117">
        <v>45546</v>
      </c>
      <c r="D4725" s="116">
        <v>122.77</v>
      </c>
      <c r="E4725" s="117">
        <v>45550</v>
      </c>
      <c r="F4725" s="116">
        <f>COUNTIFS($A$3:A12975,A4725,$B$3:B12975,B4725)</f>
        <v>1</v>
      </c>
      <c r="G4725" s="116"/>
    </row>
    <row r="4726" spans="1:7" x14ac:dyDescent="0.2">
      <c r="A4726" s="116">
        <f>IF(ISNUMBER(Tabela2[[#This Row],[CT-e/NFS]])=TRUE,(IF(B4726&gt;30000,4,IF(B4726&lt;1000,"ND",0))),"-")</f>
        <v>4</v>
      </c>
      <c r="B4726" s="116">
        <v>48919</v>
      </c>
      <c r="C4726" s="117">
        <v>45546</v>
      </c>
      <c r="D4726" s="116">
        <v>122.93</v>
      </c>
      <c r="E4726" s="117">
        <v>45550</v>
      </c>
      <c r="F4726" s="116">
        <f>COUNTIFS($A$3:A12976,A4726,$B$3:B12976,B4726)</f>
        <v>1</v>
      </c>
      <c r="G4726" s="116"/>
    </row>
    <row r="4727" spans="1:7" x14ac:dyDescent="0.2">
      <c r="A4727" s="116">
        <f>IF(ISNUMBER(Tabela2[[#This Row],[CT-e/NFS]])=TRUE,(IF(B4727&gt;30000,4,IF(B4727&lt;1000,"ND",0))),"-")</f>
        <v>4</v>
      </c>
      <c r="B4727" s="116">
        <v>48925</v>
      </c>
      <c r="C4727" s="117">
        <v>45546</v>
      </c>
      <c r="D4727" s="116">
        <v>225.23</v>
      </c>
      <c r="E4727" s="117">
        <v>45550</v>
      </c>
      <c r="F4727" s="116">
        <f>COUNTIFS($A$3:A12977,A4727,$B$3:B12977,B4727)</f>
        <v>1</v>
      </c>
      <c r="G4727" s="116"/>
    </row>
    <row r="4728" spans="1:7" x14ac:dyDescent="0.2">
      <c r="A4728" s="116">
        <f>IF(ISNUMBER(Tabela2[[#This Row],[CT-e/NFS]])=TRUE,(IF(B4728&gt;30000,4,IF(B4728&lt;1000,"ND",0))),"-")</f>
        <v>4</v>
      </c>
      <c r="B4728" s="116">
        <v>48924</v>
      </c>
      <c r="C4728" s="117">
        <v>45546</v>
      </c>
      <c r="D4728" s="116">
        <v>124.15</v>
      </c>
      <c r="E4728" s="117">
        <v>45550</v>
      </c>
      <c r="F4728" s="116">
        <f>COUNTIFS($A$3:A12978,A4728,$B$3:B12978,B4728)</f>
        <v>1</v>
      </c>
      <c r="G4728" s="116"/>
    </row>
    <row r="4729" spans="1:7" x14ac:dyDescent="0.2">
      <c r="A4729" s="116">
        <f>IF(ISNUMBER(Tabela2[[#This Row],[CT-e/NFS]])=TRUE,(IF(B4729&gt;30000,4,IF(B4729&lt;1000,"ND",0))),"-")</f>
        <v>4</v>
      </c>
      <c r="B4729" s="116">
        <v>48931</v>
      </c>
      <c r="C4729" s="117">
        <v>45546</v>
      </c>
      <c r="D4729" s="116">
        <v>111.25</v>
      </c>
      <c r="E4729" s="117">
        <v>45550</v>
      </c>
      <c r="F4729" s="116">
        <f>COUNTIFS($A$3:A12979,A4729,$B$3:B12979,B4729)</f>
        <v>1</v>
      </c>
      <c r="G4729" s="116"/>
    </row>
    <row r="4730" spans="1:7" x14ac:dyDescent="0.2">
      <c r="A4730" s="116">
        <f>IF(ISNUMBER(Tabela2[[#This Row],[CT-e/NFS]])=TRUE,(IF(B4730&gt;30000,4,IF(B4730&lt;1000,"ND",0))),"-")</f>
        <v>0</v>
      </c>
      <c r="B4730" s="116">
        <v>22029</v>
      </c>
      <c r="C4730" s="117">
        <v>45546</v>
      </c>
      <c r="D4730" s="116">
        <v>82.04</v>
      </c>
      <c r="E4730" s="117">
        <v>45550</v>
      </c>
      <c r="F4730" s="116">
        <f>COUNTIFS($A$3:A12980,A4730,$B$3:B12980,B4730)</f>
        <v>1</v>
      </c>
      <c r="G4730" s="116"/>
    </row>
    <row r="4731" spans="1:7" x14ac:dyDescent="0.2">
      <c r="A4731" s="116">
        <f>IF(ISNUMBER(Tabela2[[#This Row],[CT-e/NFS]])=TRUE,(IF(B4731&gt;30000,4,IF(B4731&lt;1000,"ND",0))),"-")</f>
        <v>0</v>
      </c>
      <c r="B4731" s="116">
        <v>22032</v>
      </c>
      <c r="C4731" s="117">
        <v>45546</v>
      </c>
      <c r="D4731" s="116">
        <v>76.95</v>
      </c>
      <c r="E4731" s="117">
        <v>45550</v>
      </c>
      <c r="F4731" s="116">
        <f>COUNTIFS($A$3:A12981,A4731,$B$3:B12981,B4731)</f>
        <v>1</v>
      </c>
      <c r="G4731" s="116"/>
    </row>
    <row r="4732" spans="1:7" x14ac:dyDescent="0.2">
      <c r="A4732" s="116">
        <f>IF(ISNUMBER(Tabela2[[#This Row],[CT-e/NFS]])=TRUE,(IF(B4732&gt;30000,4,IF(B4732&lt;1000,"ND",0))),"-")</f>
        <v>0</v>
      </c>
      <c r="B4732" s="116">
        <v>22031</v>
      </c>
      <c r="C4732" s="117">
        <v>45546</v>
      </c>
      <c r="D4732" s="116">
        <v>76.34</v>
      </c>
      <c r="E4732" s="117">
        <v>45550</v>
      </c>
      <c r="F4732" s="116">
        <f>COUNTIFS($A$3:A12982,A4732,$B$3:B12982,B4732)</f>
        <v>1</v>
      </c>
      <c r="G4732" s="116"/>
    </row>
    <row r="4733" spans="1:7" x14ac:dyDescent="0.2">
      <c r="A4733" s="116">
        <f>IF(ISNUMBER(Tabela2[[#This Row],[CT-e/NFS]])=TRUE,(IF(B4733&gt;30000,4,IF(B4733&lt;1000,"ND",0))),"-")</f>
        <v>0</v>
      </c>
      <c r="B4733" s="116">
        <v>22030</v>
      </c>
      <c r="C4733" s="117">
        <v>45546</v>
      </c>
      <c r="D4733" s="116">
        <v>76.19</v>
      </c>
      <c r="E4733" s="117">
        <v>45550</v>
      </c>
      <c r="F4733" s="116">
        <f>COUNTIFS($A$3:A12983,A4733,$B$3:B12983,B4733)</f>
        <v>1</v>
      </c>
      <c r="G4733" s="116"/>
    </row>
    <row r="4734" spans="1:7" x14ac:dyDescent="0.2">
      <c r="A4734" s="116">
        <f>IF(ISNUMBER(Tabela2[[#This Row],[CT-e/NFS]])=TRUE,(IF(B4734&gt;30000,4,IF(B4734&lt;1000,"ND",0))),"-")</f>
        <v>4</v>
      </c>
      <c r="B4734" s="116">
        <v>48941</v>
      </c>
      <c r="C4734" s="117">
        <v>45546</v>
      </c>
      <c r="D4734" s="116">
        <v>242.34</v>
      </c>
      <c r="E4734" s="117">
        <v>45550</v>
      </c>
      <c r="F4734" s="116">
        <f>COUNTIFS($A$3:A12984,A4734,$B$3:B12984,B4734)</f>
        <v>1</v>
      </c>
      <c r="G4734" s="116"/>
    </row>
    <row r="4735" spans="1:7" x14ac:dyDescent="0.2">
      <c r="A4735" s="116">
        <f>IF(ISNUMBER(Tabela2[[#This Row],[CT-e/NFS]])=TRUE,(IF(B4735&gt;30000,4,IF(B4735&lt;1000,"ND",0))),"-")</f>
        <v>4</v>
      </c>
      <c r="B4735" s="116">
        <v>48942</v>
      </c>
      <c r="C4735" s="117">
        <v>45546</v>
      </c>
      <c r="D4735" s="116">
        <v>124.35</v>
      </c>
      <c r="E4735" s="117">
        <v>45550</v>
      </c>
      <c r="F4735" s="116">
        <f>COUNTIFS($A$3:A12985,A4735,$B$3:B12985,B4735)</f>
        <v>1</v>
      </c>
      <c r="G4735" s="116"/>
    </row>
    <row r="4736" spans="1:7" x14ac:dyDescent="0.2">
      <c r="A4736" s="116">
        <f>IF(ISNUMBER(Tabela2[[#This Row],[CT-e/NFS]])=TRUE,(IF(B4736&gt;30000,4,IF(B4736&lt;1000,"ND",0))),"-")</f>
        <v>4</v>
      </c>
      <c r="B4736" s="116">
        <v>48943</v>
      </c>
      <c r="C4736" s="117">
        <v>45546</v>
      </c>
      <c r="D4736" s="116">
        <v>1245.6099999999999</v>
      </c>
      <c r="E4736" s="117">
        <v>45550</v>
      </c>
      <c r="F4736" s="116">
        <f>COUNTIFS($A$3:A12986,A4736,$B$3:B12986,B4736)</f>
        <v>1</v>
      </c>
      <c r="G4736" s="116"/>
    </row>
    <row r="4737" spans="1:7" x14ac:dyDescent="0.2">
      <c r="A4737" s="116">
        <f>IF(ISNUMBER(Tabela2[[#This Row],[CT-e/NFS]])=TRUE,(IF(B4737&gt;30000,4,IF(B4737&lt;1000,"ND",0))),"-")</f>
        <v>4</v>
      </c>
      <c r="B4737" s="116">
        <v>48940</v>
      </c>
      <c r="C4737" s="117">
        <v>45546</v>
      </c>
      <c r="D4737" s="116">
        <v>295.44</v>
      </c>
      <c r="E4737" s="117">
        <v>45550</v>
      </c>
      <c r="F4737" s="116">
        <f>COUNTIFS($A$3:A12987,A4737,$B$3:B12987,B4737)</f>
        <v>1</v>
      </c>
      <c r="G4737" s="116"/>
    </row>
    <row r="4738" spans="1:7" x14ac:dyDescent="0.2">
      <c r="A4738" s="116">
        <f>IF(ISNUMBER(Tabela2[[#This Row],[CT-e/NFS]])=TRUE,(IF(B4738&gt;30000,4,IF(B4738&lt;1000,"ND",0))),"-")</f>
        <v>4</v>
      </c>
      <c r="B4738" s="116">
        <v>48936</v>
      </c>
      <c r="C4738" s="117">
        <v>45546</v>
      </c>
      <c r="D4738" s="116">
        <v>123.5</v>
      </c>
      <c r="E4738" s="117">
        <v>45550</v>
      </c>
      <c r="F4738" s="116">
        <f>COUNTIFS($A$3:A12988,A4738,$B$3:B12988,B4738)</f>
        <v>1</v>
      </c>
      <c r="G4738" s="116"/>
    </row>
    <row r="4739" spans="1:7" x14ac:dyDescent="0.2">
      <c r="A4739" s="116">
        <f>IF(ISNUMBER(Tabela2[[#This Row],[CT-e/NFS]])=TRUE,(IF(B4739&gt;30000,4,IF(B4739&lt;1000,"ND",0))),"-")</f>
        <v>4</v>
      </c>
      <c r="B4739" s="116">
        <v>48937</v>
      </c>
      <c r="C4739" s="117">
        <v>45546</v>
      </c>
      <c r="D4739" s="116">
        <v>240.26</v>
      </c>
      <c r="E4739" s="117">
        <v>45550</v>
      </c>
      <c r="F4739" s="116">
        <f>COUNTIFS($A$3:A12989,A4739,$B$3:B12989,B4739)</f>
        <v>1</v>
      </c>
      <c r="G4739" s="116"/>
    </row>
    <row r="4740" spans="1:7" x14ac:dyDescent="0.2">
      <c r="A4740" s="116">
        <f>IF(ISNUMBER(Tabela2[[#This Row],[CT-e/NFS]])=TRUE,(IF(B4740&gt;30000,4,IF(B4740&lt;1000,"ND",0))),"-")</f>
        <v>4</v>
      </c>
      <c r="B4740" s="116">
        <v>48938</v>
      </c>
      <c r="C4740" s="117">
        <v>45546</v>
      </c>
      <c r="D4740" s="116">
        <v>469.5</v>
      </c>
      <c r="E4740" s="117">
        <v>45550</v>
      </c>
      <c r="F4740" s="116">
        <f>COUNTIFS($A$3:A12990,A4740,$B$3:B12990,B4740)</f>
        <v>1</v>
      </c>
      <c r="G4740" s="116"/>
    </row>
    <row r="4741" spans="1:7" x14ac:dyDescent="0.2">
      <c r="A4741" s="116">
        <f>IF(ISNUMBER(Tabela2[[#This Row],[CT-e/NFS]])=TRUE,(IF(B4741&gt;30000,4,IF(B4741&lt;1000,"ND",0))),"-")</f>
        <v>4</v>
      </c>
      <c r="B4741" s="116">
        <v>48939</v>
      </c>
      <c r="C4741" s="117">
        <v>45546</v>
      </c>
      <c r="D4741" s="116">
        <v>135.97999999999999</v>
      </c>
      <c r="E4741" s="117">
        <v>45550</v>
      </c>
      <c r="F4741" s="116">
        <f>COUNTIFS($A$3:A12991,A4741,$B$3:B12991,B4741)</f>
        <v>1</v>
      </c>
      <c r="G4741" s="116"/>
    </row>
    <row r="4742" spans="1:7" x14ac:dyDescent="0.2">
      <c r="A4742" s="116">
        <f>IF(ISNUMBER(Tabela2[[#This Row],[CT-e/NFS]])=TRUE,(IF(B4742&gt;30000,4,IF(B4742&lt;1000,"ND",0))),"-")</f>
        <v>4</v>
      </c>
      <c r="B4742" s="116">
        <v>48944</v>
      </c>
      <c r="C4742" s="117">
        <v>45546</v>
      </c>
      <c r="D4742" s="116">
        <v>1563.7</v>
      </c>
      <c r="E4742" s="117">
        <v>45550</v>
      </c>
      <c r="F4742" s="116">
        <f>COUNTIFS($A$3:A12992,A4742,$B$3:B12992,B4742)</f>
        <v>1</v>
      </c>
      <c r="G4742" s="116"/>
    </row>
    <row r="4743" spans="1:7" x14ac:dyDescent="0.2">
      <c r="A4743" s="116">
        <f>IF(ISNUMBER(Tabela2[[#This Row],[CT-e/NFS]])=TRUE,(IF(B4743&gt;30000,4,IF(B4743&lt;1000,"ND",0))),"-")</f>
        <v>0</v>
      </c>
      <c r="B4743" s="116">
        <v>22034</v>
      </c>
      <c r="C4743" s="117">
        <v>45546</v>
      </c>
      <c r="D4743" s="116">
        <v>75.7</v>
      </c>
      <c r="E4743" s="117">
        <v>45550</v>
      </c>
      <c r="F4743" s="116">
        <f>COUNTIFS($A$3:A12993,A4743,$B$3:B12993,B4743)</f>
        <v>1</v>
      </c>
      <c r="G4743" s="116"/>
    </row>
    <row r="4744" spans="1:7" x14ac:dyDescent="0.2">
      <c r="A4744" s="116">
        <f>IF(ISNUMBER(Tabela2[[#This Row],[CT-e/NFS]])=TRUE,(IF(B4744&gt;30000,4,IF(B4744&lt;1000,"ND",0))),"-")</f>
        <v>0</v>
      </c>
      <c r="B4744" s="116">
        <v>22036</v>
      </c>
      <c r="C4744" s="117">
        <v>45546</v>
      </c>
      <c r="D4744" s="116">
        <v>76.2</v>
      </c>
      <c r="E4744" s="117">
        <v>45550</v>
      </c>
      <c r="F4744" s="116">
        <f>COUNTIFS($A$3:A12994,A4744,$B$3:B12994,B4744)</f>
        <v>1</v>
      </c>
      <c r="G4744" s="116"/>
    </row>
    <row r="4745" spans="1:7" x14ac:dyDescent="0.2">
      <c r="A4745" s="116">
        <f>IF(ISNUMBER(Tabela2[[#This Row],[CT-e/NFS]])=TRUE,(IF(B4745&gt;30000,4,IF(B4745&lt;1000,"ND",0))),"-")</f>
        <v>0</v>
      </c>
      <c r="B4745" s="116">
        <v>22035</v>
      </c>
      <c r="C4745" s="117">
        <v>45546</v>
      </c>
      <c r="D4745" s="116">
        <v>75.61</v>
      </c>
      <c r="E4745" s="117">
        <v>45550</v>
      </c>
      <c r="F4745" s="116">
        <f>COUNTIFS($A$3:A12995,A4745,$B$3:B12995,B4745)</f>
        <v>1</v>
      </c>
      <c r="G4745" s="116"/>
    </row>
    <row r="4746" spans="1:7" x14ac:dyDescent="0.2">
      <c r="A4746" s="116">
        <f>IF(ISNUMBER(Tabela2[[#This Row],[CT-e/NFS]])=TRUE,(IF(B4746&gt;30000,4,IF(B4746&lt;1000,"ND",0))),"-")</f>
        <v>4</v>
      </c>
      <c r="B4746" s="116">
        <v>48948</v>
      </c>
      <c r="C4746" s="117">
        <v>45546</v>
      </c>
      <c r="D4746" s="116">
        <v>568.28</v>
      </c>
      <c r="E4746" s="117">
        <v>45550</v>
      </c>
      <c r="F4746" s="116">
        <f>COUNTIFS($A$3:A12996,A4746,$B$3:B12996,B4746)</f>
        <v>1</v>
      </c>
      <c r="G4746" s="116"/>
    </row>
    <row r="4747" spans="1:7" x14ac:dyDescent="0.2">
      <c r="A4747" s="116">
        <f>IF(ISNUMBER(Tabela2[[#This Row],[CT-e/NFS]])=TRUE,(IF(B4747&gt;30000,4,IF(B4747&lt;1000,"ND",0))),"-")</f>
        <v>4</v>
      </c>
      <c r="B4747" s="116">
        <v>48949</v>
      </c>
      <c r="C4747" s="117">
        <v>45546</v>
      </c>
      <c r="D4747" s="116">
        <v>569.44000000000005</v>
      </c>
      <c r="E4747" s="117">
        <v>45550</v>
      </c>
      <c r="F4747" s="116">
        <f>COUNTIFS($A$3:A12997,A4747,$B$3:B12997,B4747)</f>
        <v>1</v>
      </c>
      <c r="G4747" s="116"/>
    </row>
    <row r="4748" spans="1:7" x14ac:dyDescent="0.2">
      <c r="A4748" s="116">
        <f>IF(ISNUMBER(Tabela2[[#This Row],[CT-e/NFS]])=TRUE,(IF(B4748&gt;30000,4,IF(B4748&lt;1000,"ND",0))),"-")</f>
        <v>4</v>
      </c>
      <c r="B4748" s="116">
        <v>48935</v>
      </c>
      <c r="C4748" s="117">
        <v>45546</v>
      </c>
      <c r="D4748" s="116">
        <v>1758.3</v>
      </c>
      <c r="E4748" s="117">
        <v>45550</v>
      </c>
      <c r="F4748" s="116">
        <f>COUNTIFS($A$3:A12998,A4748,$B$3:B12998,B4748)</f>
        <v>1</v>
      </c>
      <c r="G4748" s="116"/>
    </row>
    <row r="4749" spans="1:7" x14ac:dyDescent="0.2">
      <c r="A4749" s="116">
        <f>IF(ISNUMBER(Tabela2[[#This Row],[CT-e/NFS]])=TRUE,(IF(B4749&gt;30000,4,IF(B4749&lt;1000,"ND",0))),"-")</f>
        <v>4</v>
      </c>
      <c r="B4749" s="116">
        <v>48961</v>
      </c>
      <c r="C4749" s="117">
        <v>45546</v>
      </c>
      <c r="D4749" s="116">
        <v>147.72</v>
      </c>
      <c r="E4749" s="117">
        <v>45550</v>
      </c>
      <c r="F4749" s="116">
        <f>COUNTIFS($A$3:A12999,A4749,$B$3:B12999,B4749)</f>
        <v>1</v>
      </c>
      <c r="G4749" s="116"/>
    </row>
    <row r="4750" spans="1:7" x14ac:dyDescent="0.2">
      <c r="A4750" s="116">
        <f>IF(ISNUMBER(Tabela2[[#This Row],[CT-e/NFS]])=TRUE,(IF(B4750&gt;30000,4,IF(B4750&lt;1000,"ND",0))),"-")</f>
        <v>4</v>
      </c>
      <c r="B4750" s="116">
        <v>48960</v>
      </c>
      <c r="C4750" s="117">
        <v>45546</v>
      </c>
      <c r="D4750" s="116">
        <v>124.36</v>
      </c>
      <c r="E4750" s="117">
        <v>45550</v>
      </c>
      <c r="F4750" s="116">
        <f>COUNTIFS($A$3:A13000,A4750,$B$3:B13000,B4750)</f>
        <v>1</v>
      </c>
      <c r="G4750" s="116"/>
    </row>
    <row r="4751" spans="1:7" x14ac:dyDescent="0.2">
      <c r="A4751" s="116">
        <f>IF(ISNUMBER(Tabela2[[#This Row],[CT-e/NFS]])=TRUE,(IF(B4751&gt;30000,4,IF(B4751&lt;1000,"ND",0))),"-")</f>
        <v>4</v>
      </c>
      <c r="B4751" s="116">
        <v>48962</v>
      </c>
      <c r="C4751" s="117">
        <v>45546</v>
      </c>
      <c r="D4751" s="116">
        <v>266.75</v>
      </c>
      <c r="E4751" s="117">
        <v>45550</v>
      </c>
      <c r="F4751" s="116">
        <f>COUNTIFS($A$3:A13001,A4751,$B$3:B13001,B4751)</f>
        <v>1</v>
      </c>
      <c r="G4751" s="116"/>
    </row>
    <row r="4752" spans="1:7" x14ac:dyDescent="0.2">
      <c r="A4752" s="116">
        <f>IF(ISNUMBER(Tabela2[[#This Row],[CT-e/NFS]])=TRUE,(IF(B4752&gt;30000,4,IF(B4752&lt;1000,"ND",0))),"-")</f>
        <v>4</v>
      </c>
      <c r="B4752" s="116">
        <v>48959</v>
      </c>
      <c r="C4752" s="117">
        <v>45546</v>
      </c>
      <c r="D4752" s="116">
        <v>123.89</v>
      </c>
      <c r="E4752" s="117">
        <v>45550</v>
      </c>
      <c r="F4752" s="116">
        <f>COUNTIFS($A$3:A13002,A4752,$B$3:B13002,B4752)</f>
        <v>1</v>
      </c>
      <c r="G4752" s="116"/>
    </row>
    <row r="4753" spans="1:7" x14ac:dyDescent="0.2">
      <c r="A4753" s="116">
        <f>IF(ISNUMBER(Tabela2[[#This Row],[CT-e/NFS]])=TRUE,(IF(B4753&gt;30000,4,IF(B4753&lt;1000,"ND",0))),"-")</f>
        <v>4</v>
      </c>
      <c r="B4753" s="116">
        <v>48963</v>
      </c>
      <c r="C4753" s="117">
        <v>45546</v>
      </c>
      <c r="D4753" s="116">
        <v>121.17</v>
      </c>
      <c r="E4753" s="117">
        <v>45550</v>
      </c>
      <c r="F4753" s="116">
        <f>COUNTIFS($A$3:A13003,A4753,$B$3:B13003,B4753)</f>
        <v>1</v>
      </c>
      <c r="G4753" s="116"/>
    </row>
    <row r="4754" spans="1:7" x14ac:dyDescent="0.2">
      <c r="A4754" s="116">
        <f>IF(ISNUMBER(Tabela2[[#This Row],[CT-e/NFS]])=TRUE,(IF(B4754&gt;30000,4,IF(B4754&lt;1000,"ND",0))),"-")</f>
        <v>4</v>
      </c>
      <c r="B4754" s="116">
        <v>48953</v>
      </c>
      <c r="C4754" s="117">
        <v>45546</v>
      </c>
      <c r="D4754" s="116">
        <v>242.3</v>
      </c>
      <c r="E4754" s="117">
        <v>45550</v>
      </c>
      <c r="F4754" s="116">
        <f>COUNTIFS($A$3:A13004,A4754,$B$3:B13004,B4754)</f>
        <v>1</v>
      </c>
      <c r="G4754" s="116"/>
    </row>
    <row r="4755" spans="1:7" x14ac:dyDescent="0.2">
      <c r="A4755" s="116">
        <f>IF(ISNUMBER(Tabela2[[#This Row],[CT-e/NFS]])=TRUE,(IF(B4755&gt;30000,4,IF(B4755&lt;1000,"ND",0))),"-")</f>
        <v>4</v>
      </c>
      <c r="B4755" s="116">
        <v>48958</v>
      </c>
      <c r="C4755" s="117">
        <v>45546</v>
      </c>
      <c r="D4755" s="116">
        <v>123.51</v>
      </c>
      <c r="E4755" s="117">
        <v>45550</v>
      </c>
      <c r="F4755" s="116">
        <f>COUNTIFS($A$3:A13005,A4755,$B$3:B13005,B4755)</f>
        <v>1</v>
      </c>
      <c r="G4755" s="116"/>
    </row>
    <row r="4756" spans="1:7" x14ac:dyDescent="0.2">
      <c r="A4756" s="116">
        <f>IF(ISNUMBER(Tabela2[[#This Row],[CT-e/NFS]])=TRUE,(IF(B4756&gt;30000,4,IF(B4756&lt;1000,"ND",0))),"-")</f>
        <v>4</v>
      </c>
      <c r="B4756" s="116">
        <v>48952</v>
      </c>
      <c r="C4756" s="117">
        <v>45546</v>
      </c>
      <c r="D4756" s="116">
        <v>122.92</v>
      </c>
      <c r="E4756" s="117">
        <v>45550</v>
      </c>
      <c r="F4756" s="116">
        <f>COUNTIFS($A$3:A13006,A4756,$B$3:B13006,B4756)</f>
        <v>1</v>
      </c>
      <c r="G4756" s="116"/>
    </row>
    <row r="4757" spans="1:7" x14ac:dyDescent="0.2">
      <c r="A4757" s="116">
        <f>IF(ISNUMBER(Tabela2[[#This Row],[CT-e/NFS]])=TRUE,(IF(B4757&gt;30000,4,IF(B4757&lt;1000,"ND",0))),"-")</f>
        <v>4</v>
      </c>
      <c r="B4757" s="116">
        <v>48951</v>
      </c>
      <c r="C4757" s="117">
        <v>45546</v>
      </c>
      <c r="D4757" s="116">
        <v>238.73</v>
      </c>
      <c r="E4757" s="117">
        <v>45550</v>
      </c>
      <c r="F4757" s="116">
        <f>COUNTIFS($A$3:A13007,A4757,$B$3:B13007,B4757)</f>
        <v>1</v>
      </c>
      <c r="G4757" s="116"/>
    </row>
    <row r="4758" spans="1:7" x14ac:dyDescent="0.2">
      <c r="A4758" s="116">
        <f>IF(ISNUMBER(Tabela2[[#This Row],[CT-e/NFS]])=TRUE,(IF(B4758&gt;30000,4,IF(B4758&lt;1000,"ND",0))),"-")</f>
        <v>4</v>
      </c>
      <c r="B4758" s="116">
        <v>48950</v>
      </c>
      <c r="C4758" s="117">
        <v>45546</v>
      </c>
      <c r="D4758" s="116">
        <v>131.9</v>
      </c>
      <c r="E4758" s="117">
        <v>45550</v>
      </c>
      <c r="F4758" s="116">
        <f>COUNTIFS($A$3:A13008,A4758,$B$3:B13008,B4758)</f>
        <v>1</v>
      </c>
      <c r="G4758" s="116"/>
    </row>
    <row r="4759" spans="1:7" x14ac:dyDescent="0.2">
      <c r="A4759" s="116">
        <f>IF(ISNUMBER(Tabela2[[#This Row],[CT-e/NFS]])=TRUE,(IF(B4759&gt;30000,4,IF(B4759&lt;1000,"ND",0))),"-")</f>
        <v>4</v>
      </c>
      <c r="B4759" s="116">
        <v>48964</v>
      </c>
      <c r="C4759" s="117">
        <v>45546</v>
      </c>
      <c r="D4759" s="116">
        <v>218.48</v>
      </c>
      <c r="E4759" s="117">
        <v>45550</v>
      </c>
      <c r="F4759" s="116">
        <f>COUNTIFS($A$3:A13009,A4759,$B$3:B13009,B4759)</f>
        <v>1</v>
      </c>
      <c r="G4759" s="116"/>
    </row>
    <row r="4760" spans="1:7" x14ac:dyDescent="0.2">
      <c r="A4760" s="116">
        <f>IF(ISNUMBER(Tabela2[[#This Row],[CT-e/NFS]])=TRUE,(IF(B4760&gt;30000,4,IF(B4760&lt;1000,"ND",0))),"-")</f>
        <v>4</v>
      </c>
      <c r="B4760" s="116">
        <v>48956</v>
      </c>
      <c r="C4760" s="117">
        <v>45546</v>
      </c>
      <c r="D4760" s="116">
        <v>126.53</v>
      </c>
      <c r="E4760" s="117">
        <v>45550</v>
      </c>
      <c r="F4760" s="116">
        <f>COUNTIFS($A$3:A13010,A4760,$B$3:B13010,B4760)</f>
        <v>1</v>
      </c>
      <c r="G4760" s="116"/>
    </row>
    <row r="4761" spans="1:7" x14ac:dyDescent="0.2">
      <c r="A4761" s="116">
        <f>IF(ISNUMBER(Tabela2[[#This Row],[CT-e/NFS]])=TRUE,(IF(B4761&gt;30000,4,IF(B4761&lt;1000,"ND",0))),"-")</f>
        <v>4</v>
      </c>
      <c r="B4761" s="116">
        <v>48957</v>
      </c>
      <c r="C4761" s="117">
        <v>45546</v>
      </c>
      <c r="D4761" s="116">
        <v>124.61</v>
      </c>
      <c r="E4761" s="117">
        <v>45550</v>
      </c>
      <c r="F4761" s="116">
        <f>COUNTIFS($A$3:A13011,A4761,$B$3:B13011,B4761)</f>
        <v>1</v>
      </c>
      <c r="G4761" s="116"/>
    </row>
    <row r="4762" spans="1:7" x14ac:dyDescent="0.2">
      <c r="A4762" s="116">
        <f>IF(ISNUMBER(Tabela2[[#This Row],[CT-e/NFS]])=TRUE,(IF(B4762&gt;30000,4,IF(B4762&lt;1000,"ND",0))),"-")</f>
        <v>4</v>
      </c>
      <c r="B4762" s="116">
        <v>48955</v>
      </c>
      <c r="C4762" s="117">
        <v>45546</v>
      </c>
      <c r="D4762" s="116">
        <v>4318.18</v>
      </c>
      <c r="E4762" s="117">
        <v>45550</v>
      </c>
      <c r="F4762" s="116">
        <f>COUNTIFS($A$3:A13012,A4762,$B$3:B13012,B4762)</f>
        <v>1</v>
      </c>
      <c r="G4762" s="116"/>
    </row>
    <row r="4763" spans="1:7" x14ac:dyDescent="0.2">
      <c r="A4763" s="116">
        <f>IF(ISNUMBER(Tabela2[[#This Row],[CT-e/NFS]])=TRUE,(IF(B4763&gt;30000,4,IF(B4763&lt;1000,"ND",0))),"-")</f>
        <v>4</v>
      </c>
      <c r="B4763" s="116">
        <v>48954</v>
      </c>
      <c r="C4763" s="117">
        <v>45546</v>
      </c>
      <c r="D4763" s="116">
        <v>702.1</v>
      </c>
      <c r="E4763" s="117">
        <v>45550</v>
      </c>
      <c r="F4763" s="116">
        <f>COUNTIFS($A$3:A13013,A4763,$B$3:B13013,B4763)</f>
        <v>1</v>
      </c>
      <c r="G4763" s="116"/>
    </row>
    <row r="4764" spans="1:7" x14ac:dyDescent="0.2">
      <c r="A4764" s="116">
        <f>IF(ISNUMBER(Tabela2[[#This Row],[CT-e/NFS]])=TRUE,(IF(B4764&gt;30000,4,IF(B4764&lt;1000,"ND",0))),"-")</f>
        <v>0</v>
      </c>
      <c r="B4764" s="116">
        <v>22038</v>
      </c>
      <c r="C4764" s="117">
        <v>45546</v>
      </c>
      <c r="D4764" s="116">
        <v>159.24</v>
      </c>
      <c r="E4764" s="117">
        <v>45550</v>
      </c>
      <c r="F4764" s="116">
        <f>COUNTIFS($A$3:A13014,A4764,$B$3:B13014,B4764)</f>
        <v>1</v>
      </c>
      <c r="G4764" s="116"/>
    </row>
    <row r="4765" spans="1:7" x14ac:dyDescent="0.2">
      <c r="A4765" s="116">
        <f>IF(ISNUMBER(Tabela2[[#This Row],[CT-e/NFS]])=TRUE,(IF(B4765&gt;30000,4,IF(B4765&lt;1000,"ND",0))),"-")</f>
        <v>0</v>
      </c>
      <c r="B4765" s="116">
        <v>22045</v>
      </c>
      <c r="C4765" s="117">
        <v>45546</v>
      </c>
      <c r="D4765" s="116">
        <v>76.8</v>
      </c>
      <c r="E4765" s="117">
        <v>45550</v>
      </c>
      <c r="F4765" s="116">
        <f>COUNTIFS($A$3:A13015,A4765,$B$3:B13015,B4765)</f>
        <v>1</v>
      </c>
      <c r="G4765" s="116"/>
    </row>
    <row r="4766" spans="1:7" x14ac:dyDescent="0.2">
      <c r="A4766" s="116">
        <f>IF(ISNUMBER(Tabela2[[#This Row],[CT-e/NFS]])=TRUE,(IF(B4766&gt;30000,4,IF(B4766&lt;1000,"ND",0))),"-")</f>
        <v>0</v>
      </c>
      <c r="B4766" s="116">
        <v>22044</v>
      </c>
      <c r="C4766" s="117">
        <v>45546</v>
      </c>
      <c r="D4766" s="116">
        <v>76.5</v>
      </c>
      <c r="E4766" s="117">
        <v>45550</v>
      </c>
      <c r="F4766" s="116">
        <f>COUNTIFS($A$3:A13016,A4766,$B$3:B13016,B4766)</f>
        <v>1</v>
      </c>
      <c r="G4766" s="116"/>
    </row>
    <row r="4767" spans="1:7" x14ac:dyDescent="0.2">
      <c r="A4767" s="116">
        <f>IF(ISNUMBER(Tabela2[[#This Row],[CT-e/NFS]])=TRUE,(IF(B4767&gt;30000,4,IF(B4767&lt;1000,"ND",0))),"-")</f>
        <v>0</v>
      </c>
      <c r="B4767" s="116">
        <v>22043</v>
      </c>
      <c r="C4767" s="117">
        <v>45546</v>
      </c>
      <c r="D4767" s="116">
        <v>76.34</v>
      </c>
      <c r="E4767" s="117">
        <v>45550</v>
      </c>
      <c r="F4767" s="116">
        <f>COUNTIFS($A$3:A13017,A4767,$B$3:B13017,B4767)</f>
        <v>1</v>
      </c>
      <c r="G4767" s="116"/>
    </row>
    <row r="4768" spans="1:7" x14ac:dyDescent="0.2">
      <c r="A4768" s="116">
        <f>IF(ISNUMBER(Tabela2[[#This Row],[CT-e/NFS]])=TRUE,(IF(B4768&gt;30000,4,IF(B4768&lt;1000,"ND",0))),"-")</f>
        <v>0</v>
      </c>
      <c r="B4768" s="116">
        <v>22039</v>
      </c>
      <c r="C4768" s="117">
        <v>45546</v>
      </c>
      <c r="D4768" s="116">
        <v>134.66999999999999</v>
      </c>
      <c r="E4768" s="117">
        <v>45550</v>
      </c>
      <c r="F4768" s="116">
        <f>COUNTIFS($A$3:A13018,A4768,$B$3:B13018,B4768)</f>
        <v>1</v>
      </c>
      <c r="G4768" s="116"/>
    </row>
    <row r="4769" spans="1:7" x14ac:dyDescent="0.2">
      <c r="A4769" s="116">
        <f>IF(ISNUMBER(Tabela2[[#This Row],[CT-e/NFS]])=TRUE,(IF(B4769&gt;30000,4,IF(B4769&lt;1000,"ND",0))),"-")</f>
        <v>0</v>
      </c>
      <c r="B4769" s="116">
        <v>22042</v>
      </c>
      <c r="C4769" s="117">
        <v>45546</v>
      </c>
      <c r="D4769" s="116">
        <v>77.63</v>
      </c>
      <c r="E4769" s="117">
        <v>45550</v>
      </c>
      <c r="F4769" s="116">
        <f>COUNTIFS($A$3:A13019,A4769,$B$3:B13019,B4769)</f>
        <v>1</v>
      </c>
      <c r="G4769" s="116"/>
    </row>
    <row r="4770" spans="1:7" x14ac:dyDescent="0.2">
      <c r="A4770" s="116">
        <f>IF(ISNUMBER(Tabela2[[#This Row],[CT-e/NFS]])=TRUE,(IF(B4770&gt;30000,4,IF(B4770&lt;1000,"ND",0))),"-")</f>
        <v>0</v>
      </c>
      <c r="B4770" s="116">
        <v>22041</v>
      </c>
      <c r="C4770" s="117">
        <v>45546</v>
      </c>
      <c r="D4770" s="116">
        <v>77.680000000000007</v>
      </c>
      <c r="E4770" s="117">
        <v>45550</v>
      </c>
      <c r="F4770" s="116">
        <f>COUNTIFS($A$3:A13020,A4770,$B$3:B13020,B4770)</f>
        <v>1</v>
      </c>
      <c r="G4770" s="116"/>
    </row>
    <row r="4771" spans="1:7" x14ac:dyDescent="0.2">
      <c r="A4771" s="116">
        <f>IF(ISNUMBER(Tabela2[[#This Row],[CT-e/NFS]])=TRUE,(IF(B4771&gt;30000,4,IF(B4771&lt;1000,"ND",0))),"-")</f>
        <v>0</v>
      </c>
      <c r="B4771" s="116">
        <v>22040</v>
      </c>
      <c r="C4771" s="117">
        <v>45546</v>
      </c>
      <c r="D4771" s="116">
        <v>76.38</v>
      </c>
      <c r="E4771" s="117">
        <v>45550</v>
      </c>
      <c r="F4771" s="116">
        <f>COUNTIFS($A$3:A13021,A4771,$B$3:B13021,B4771)</f>
        <v>1</v>
      </c>
      <c r="G4771" s="116"/>
    </row>
    <row r="4772" spans="1:7" x14ac:dyDescent="0.2">
      <c r="A4772" s="116">
        <f>IF(ISNUMBER(Tabela2[[#This Row],[CT-e/NFS]])=TRUE,(IF(B4772&gt;30000,4,IF(B4772&lt;1000,"ND",0))),"-")</f>
        <v>4</v>
      </c>
      <c r="B4772" s="116">
        <v>48985</v>
      </c>
      <c r="C4772" s="117">
        <v>45546</v>
      </c>
      <c r="D4772" s="116">
        <v>122.89</v>
      </c>
      <c r="E4772" s="117">
        <v>45550</v>
      </c>
      <c r="F4772" s="116">
        <f>COUNTIFS($A$3:A13022,A4772,$B$3:B13022,B4772)</f>
        <v>1</v>
      </c>
      <c r="G4772" s="116"/>
    </row>
    <row r="4773" spans="1:7" x14ac:dyDescent="0.2">
      <c r="A4773" s="116">
        <f>IF(ISNUMBER(Tabela2[[#This Row],[CT-e/NFS]])=TRUE,(IF(B4773&gt;30000,4,IF(B4773&lt;1000,"ND",0))),"-")</f>
        <v>4</v>
      </c>
      <c r="B4773" s="116">
        <v>48970</v>
      </c>
      <c r="C4773" s="117">
        <v>45546</v>
      </c>
      <c r="D4773" s="116">
        <v>125.36</v>
      </c>
      <c r="E4773" s="117">
        <v>45550</v>
      </c>
      <c r="F4773" s="116">
        <f>COUNTIFS($A$3:A13023,A4773,$B$3:B13023,B4773)</f>
        <v>1</v>
      </c>
      <c r="G4773" s="116"/>
    </row>
    <row r="4774" spans="1:7" x14ac:dyDescent="0.2">
      <c r="A4774" s="116">
        <f>IF(ISNUMBER(Tabela2[[#This Row],[CT-e/NFS]])=TRUE,(IF(B4774&gt;30000,4,IF(B4774&lt;1000,"ND",0))),"-")</f>
        <v>4</v>
      </c>
      <c r="B4774" s="116">
        <v>48968</v>
      </c>
      <c r="C4774" s="117">
        <v>45546</v>
      </c>
      <c r="D4774" s="116">
        <v>124.2</v>
      </c>
      <c r="E4774" s="117">
        <v>45550</v>
      </c>
      <c r="F4774" s="116">
        <f>COUNTIFS($A$3:A13024,A4774,$B$3:B13024,B4774)</f>
        <v>1</v>
      </c>
      <c r="G4774" s="116"/>
    </row>
    <row r="4775" spans="1:7" x14ac:dyDescent="0.2">
      <c r="A4775" s="116">
        <f>IF(ISNUMBER(Tabela2[[#This Row],[CT-e/NFS]])=TRUE,(IF(B4775&gt;30000,4,IF(B4775&lt;1000,"ND",0))),"-")</f>
        <v>4</v>
      </c>
      <c r="B4775" s="116">
        <v>48981</v>
      </c>
      <c r="C4775" s="117">
        <v>45546</v>
      </c>
      <c r="D4775" s="116">
        <v>448.32</v>
      </c>
      <c r="E4775" s="117">
        <v>45550</v>
      </c>
      <c r="F4775" s="116">
        <f>COUNTIFS($A$3:A13025,A4775,$B$3:B13025,B4775)</f>
        <v>1</v>
      </c>
      <c r="G4775" s="116"/>
    </row>
    <row r="4776" spans="1:7" x14ac:dyDescent="0.2">
      <c r="A4776" s="116">
        <f>IF(ISNUMBER(Tabela2[[#This Row],[CT-e/NFS]])=TRUE,(IF(B4776&gt;30000,4,IF(B4776&lt;1000,"ND",0))),"-")</f>
        <v>4</v>
      </c>
      <c r="B4776" s="116">
        <v>48983</v>
      </c>
      <c r="C4776" s="117">
        <v>45546</v>
      </c>
      <c r="D4776" s="116">
        <v>476.64</v>
      </c>
      <c r="E4776" s="117">
        <v>45550</v>
      </c>
      <c r="F4776" s="116">
        <f>COUNTIFS($A$3:A13026,A4776,$B$3:B13026,B4776)</f>
        <v>1</v>
      </c>
      <c r="G4776" s="116"/>
    </row>
    <row r="4777" spans="1:7" x14ac:dyDescent="0.2">
      <c r="A4777" s="116">
        <f>IF(ISNUMBER(Tabela2[[#This Row],[CT-e/NFS]])=TRUE,(IF(B4777&gt;30000,4,IF(B4777&lt;1000,"ND",0))),"-")</f>
        <v>4</v>
      </c>
      <c r="B4777" s="116">
        <v>48969</v>
      </c>
      <c r="C4777" s="117">
        <v>45546</v>
      </c>
      <c r="D4777" s="116">
        <v>272.13</v>
      </c>
      <c r="E4777" s="117">
        <v>45550</v>
      </c>
      <c r="F4777" s="116">
        <f>COUNTIFS($A$3:A13027,A4777,$B$3:B13027,B4777)</f>
        <v>1</v>
      </c>
      <c r="G4777" s="116"/>
    </row>
    <row r="4778" spans="1:7" x14ac:dyDescent="0.2">
      <c r="A4778" s="116">
        <f>IF(ISNUMBER(Tabela2[[#This Row],[CT-e/NFS]])=TRUE,(IF(B4778&gt;30000,4,IF(B4778&lt;1000,"ND",0))),"-")</f>
        <v>4</v>
      </c>
      <c r="B4778" s="116">
        <v>48982</v>
      </c>
      <c r="C4778" s="117">
        <v>45546</v>
      </c>
      <c r="D4778" s="116">
        <v>881.17</v>
      </c>
      <c r="E4778" s="117">
        <v>45550</v>
      </c>
      <c r="F4778" s="116">
        <f>COUNTIFS($A$3:A13028,A4778,$B$3:B13028,B4778)</f>
        <v>1</v>
      </c>
      <c r="G4778" s="116"/>
    </row>
    <row r="4779" spans="1:7" x14ac:dyDescent="0.2">
      <c r="A4779" s="116">
        <f>IF(ISNUMBER(Tabela2[[#This Row],[CT-e/NFS]])=TRUE,(IF(B4779&gt;30000,4,IF(B4779&lt;1000,"ND",0))),"-")</f>
        <v>4</v>
      </c>
      <c r="B4779" s="116">
        <v>48980</v>
      </c>
      <c r="C4779" s="117">
        <v>45546</v>
      </c>
      <c r="D4779" s="116">
        <v>440.91</v>
      </c>
      <c r="E4779" s="117">
        <v>45550</v>
      </c>
      <c r="F4779" s="116">
        <f>COUNTIFS($A$3:A13029,A4779,$B$3:B13029,B4779)</f>
        <v>1</v>
      </c>
      <c r="G4779" s="116"/>
    </row>
    <row r="4780" spans="1:7" x14ac:dyDescent="0.2">
      <c r="A4780" s="116">
        <f>IF(ISNUMBER(Tabela2[[#This Row],[CT-e/NFS]])=TRUE,(IF(B4780&gt;30000,4,IF(B4780&lt;1000,"ND",0))),"-")</f>
        <v>4</v>
      </c>
      <c r="B4780" s="116">
        <v>48979</v>
      </c>
      <c r="C4780" s="117">
        <v>45546</v>
      </c>
      <c r="D4780" s="116">
        <v>1137.73</v>
      </c>
      <c r="E4780" s="117">
        <v>45550</v>
      </c>
      <c r="F4780" s="116">
        <f>COUNTIFS($A$3:A13030,A4780,$B$3:B13030,B4780)</f>
        <v>1</v>
      </c>
      <c r="G4780" s="116"/>
    </row>
    <row r="4781" spans="1:7" x14ac:dyDescent="0.2">
      <c r="A4781" s="116">
        <f>IF(ISNUMBER(Tabela2[[#This Row],[CT-e/NFS]])=TRUE,(IF(B4781&gt;30000,4,IF(B4781&lt;1000,"ND",0))),"-")</f>
        <v>4</v>
      </c>
      <c r="B4781" s="116">
        <v>48972</v>
      </c>
      <c r="C4781" s="117">
        <v>45546</v>
      </c>
      <c r="D4781" s="116">
        <v>313.92</v>
      </c>
      <c r="E4781" s="117">
        <v>45550</v>
      </c>
      <c r="F4781" s="116">
        <f>COUNTIFS($A$3:A13031,A4781,$B$3:B13031,B4781)</f>
        <v>1</v>
      </c>
      <c r="G4781" s="116"/>
    </row>
    <row r="4782" spans="1:7" x14ac:dyDescent="0.2">
      <c r="A4782" s="116">
        <f>IF(ISNUMBER(Tabela2[[#This Row],[CT-e/NFS]])=TRUE,(IF(B4782&gt;30000,4,IF(B4782&lt;1000,"ND",0))),"-")</f>
        <v>4</v>
      </c>
      <c r="B4782" s="116">
        <v>48976</v>
      </c>
      <c r="C4782" s="117">
        <v>45546</v>
      </c>
      <c r="D4782" s="116">
        <v>124.2</v>
      </c>
      <c r="E4782" s="117">
        <v>45550</v>
      </c>
      <c r="F4782" s="116">
        <f>COUNTIFS($A$3:A13032,A4782,$B$3:B13032,B4782)</f>
        <v>1</v>
      </c>
      <c r="G4782" s="116"/>
    </row>
    <row r="4783" spans="1:7" x14ac:dyDescent="0.2">
      <c r="A4783" s="116">
        <f>IF(ISNUMBER(Tabela2[[#This Row],[CT-e/NFS]])=TRUE,(IF(B4783&gt;30000,4,IF(B4783&lt;1000,"ND",0))),"-")</f>
        <v>4</v>
      </c>
      <c r="B4783" s="116">
        <v>48977</v>
      </c>
      <c r="C4783" s="117">
        <v>45546</v>
      </c>
      <c r="D4783" s="116">
        <v>124.15</v>
      </c>
      <c r="E4783" s="117">
        <v>45550</v>
      </c>
      <c r="F4783" s="116">
        <f>COUNTIFS($A$3:A13033,A4783,$B$3:B13033,B4783)</f>
        <v>1</v>
      </c>
      <c r="G4783" s="116"/>
    </row>
    <row r="4784" spans="1:7" x14ac:dyDescent="0.2">
      <c r="A4784" s="116">
        <f>IF(ISNUMBER(Tabela2[[#This Row],[CT-e/NFS]])=TRUE,(IF(B4784&gt;30000,4,IF(B4784&lt;1000,"ND",0))),"-")</f>
        <v>4</v>
      </c>
      <c r="B4784" s="116">
        <v>48973</v>
      </c>
      <c r="C4784" s="117">
        <v>45546</v>
      </c>
      <c r="D4784" s="116">
        <v>124.35</v>
      </c>
      <c r="E4784" s="117">
        <v>45550</v>
      </c>
      <c r="F4784" s="116">
        <f>COUNTIFS($A$3:A13034,A4784,$B$3:B13034,B4784)</f>
        <v>1</v>
      </c>
      <c r="G4784" s="116"/>
    </row>
    <row r="4785" spans="1:7" x14ac:dyDescent="0.2">
      <c r="A4785" s="116">
        <f>IF(ISNUMBER(Tabela2[[#This Row],[CT-e/NFS]])=TRUE,(IF(B4785&gt;30000,4,IF(B4785&lt;1000,"ND",0))),"-")</f>
        <v>4</v>
      </c>
      <c r="B4785" s="116">
        <v>48974</v>
      </c>
      <c r="C4785" s="117">
        <v>45546</v>
      </c>
      <c r="D4785" s="116">
        <v>126.22</v>
      </c>
      <c r="E4785" s="117">
        <v>45550</v>
      </c>
      <c r="F4785" s="116">
        <f>COUNTIFS($A$3:A13035,A4785,$B$3:B13035,B4785)</f>
        <v>1</v>
      </c>
      <c r="G4785" s="116"/>
    </row>
    <row r="4786" spans="1:7" x14ac:dyDescent="0.2">
      <c r="A4786" s="116">
        <f>IF(ISNUMBER(Tabela2[[#This Row],[CT-e/NFS]])=TRUE,(IF(B4786&gt;30000,4,IF(B4786&lt;1000,"ND",0))),"-")</f>
        <v>4</v>
      </c>
      <c r="B4786" s="116">
        <v>48975</v>
      </c>
      <c r="C4786" s="117">
        <v>45546</v>
      </c>
      <c r="D4786" s="116">
        <v>126.67</v>
      </c>
      <c r="E4786" s="117">
        <v>45550</v>
      </c>
      <c r="F4786" s="116">
        <f>COUNTIFS($A$3:A13036,A4786,$B$3:B13036,B4786)</f>
        <v>1</v>
      </c>
      <c r="G4786" s="116"/>
    </row>
    <row r="4787" spans="1:7" x14ac:dyDescent="0.2">
      <c r="A4787" s="116">
        <f>IF(ISNUMBER(Tabela2[[#This Row],[CT-e/NFS]])=TRUE,(IF(B4787&gt;30000,4,IF(B4787&lt;1000,"ND",0))),"-")</f>
        <v>4</v>
      </c>
      <c r="B4787" s="116">
        <v>48978</v>
      </c>
      <c r="C4787" s="117">
        <v>45546</v>
      </c>
      <c r="D4787" s="116">
        <v>124.66</v>
      </c>
      <c r="E4787" s="117">
        <v>45550</v>
      </c>
      <c r="F4787" s="116">
        <f>COUNTIFS($A$3:A13037,A4787,$B$3:B13037,B4787)</f>
        <v>1</v>
      </c>
      <c r="G4787" s="116"/>
    </row>
    <row r="4788" spans="1:7" x14ac:dyDescent="0.2">
      <c r="A4788" s="116">
        <f>IF(ISNUMBER(Tabela2[[#This Row],[CT-e/NFS]])=TRUE,(IF(B4788&gt;30000,4,IF(B4788&lt;1000,"ND",0))),"-")</f>
        <v>4</v>
      </c>
      <c r="B4788" s="116">
        <v>48986</v>
      </c>
      <c r="C4788" s="117">
        <v>45546</v>
      </c>
      <c r="D4788" s="116">
        <v>122.73</v>
      </c>
      <c r="E4788" s="117">
        <v>45550</v>
      </c>
      <c r="F4788" s="116">
        <f>COUNTIFS($A$3:A13038,A4788,$B$3:B13038,B4788)</f>
        <v>1</v>
      </c>
      <c r="G4788" s="116"/>
    </row>
    <row r="4789" spans="1:7" x14ac:dyDescent="0.2">
      <c r="A4789" s="116">
        <f>IF(ISNUMBER(Tabela2[[#This Row],[CT-e/NFS]])=TRUE,(IF(B4789&gt;30000,4,IF(B4789&lt;1000,"ND",0))),"-")</f>
        <v>4</v>
      </c>
      <c r="B4789" s="116">
        <v>48989</v>
      </c>
      <c r="C4789" s="117">
        <v>45546</v>
      </c>
      <c r="D4789" s="116">
        <v>609.98</v>
      </c>
      <c r="E4789" s="117">
        <v>45550</v>
      </c>
      <c r="F4789" s="116">
        <f>COUNTIFS($A$3:A13039,A4789,$B$3:B13039,B4789)</f>
        <v>1</v>
      </c>
      <c r="G4789" s="116"/>
    </row>
    <row r="4790" spans="1:7" x14ac:dyDescent="0.2">
      <c r="A4790" s="116">
        <f>IF(ISNUMBER(Tabela2[[#This Row],[CT-e/NFS]])=TRUE,(IF(B4790&gt;30000,4,IF(B4790&lt;1000,"ND",0))),"-")</f>
        <v>0</v>
      </c>
      <c r="B4790" s="116">
        <v>22048</v>
      </c>
      <c r="C4790" s="117">
        <v>45546</v>
      </c>
      <c r="D4790" s="116">
        <v>76.58</v>
      </c>
      <c r="E4790" s="117">
        <v>45550</v>
      </c>
      <c r="F4790" s="116">
        <f>COUNTIFS($A$3:A13040,A4790,$B$3:B13040,B4790)</f>
        <v>1</v>
      </c>
      <c r="G4790" s="116"/>
    </row>
    <row r="4791" spans="1:7" x14ac:dyDescent="0.2">
      <c r="A4791" s="116">
        <f>IF(ISNUMBER(Tabela2[[#This Row],[CT-e/NFS]])=TRUE,(IF(B4791&gt;30000,4,IF(B4791&lt;1000,"ND",0))),"-")</f>
        <v>0</v>
      </c>
      <c r="B4791" s="116">
        <v>22056</v>
      </c>
      <c r="C4791" s="117">
        <v>45546</v>
      </c>
      <c r="D4791" s="116">
        <v>76.53</v>
      </c>
      <c r="E4791" s="117">
        <v>45550</v>
      </c>
      <c r="F4791" s="116">
        <f>COUNTIFS($A$3:A13041,A4791,$B$3:B13041,B4791)</f>
        <v>1</v>
      </c>
      <c r="G4791" s="116"/>
    </row>
    <row r="4792" spans="1:7" x14ac:dyDescent="0.2">
      <c r="A4792" s="116">
        <f>IF(ISNUMBER(Tabela2[[#This Row],[CT-e/NFS]])=TRUE,(IF(B4792&gt;30000,4,IF(B4792&lt;1000,"ND",0))),"-")</f>
        <v>0</v>
      </c>
      <c r="B4792" s="116">
        <v>22055</v>
      </c>
      <c r="C4792" s="117">
        <v>45546</v>
      </c>
      <c r="D4792" s="116">
        <v>515.41</v>
      </c>
      <c r="E4792" s="117">
        <v>45550</v>
      </c>
      <c r="F4792" s="116">
        <f>COUNTIFS($A$3:A13042,A4792,$B$3:B13042,B4792)</f>
        <v>1</v>
      </c>
      <c r="G4792" s="116"/>
    </row>
    <row r="4793" spans="1:7" x14ac:dyDescent="0.2">
      <c r="A4793" s="116">
        <f>IF(ISNUMBER(Tabela2[[#This Row],[CT-e/NFS]])=TRUE,(IF(B4793&gt;30000,4,IF(B4793&lt;1000,"ND",0))),"-")</f>
        <v>0</v>
      </c>
      <c r="B4793" s="116">
        <v>22057</v>
      </c>
      <c r="C4793" s="117">
        <v>45546</v>
      </c>
      <c r="D4793" s="116">
        <v>143.79</v>
      </c>
      <c r="E4793" s="117">
        <v>45550</v>
      </c>
      <c r="F4793" s="116">
        <f>COUNTIFS($A$3:A13043,A4793,$B$3:B13043,B4793)</f>
        <v>1</v>
      </c>
      <c r="G4793" s="116"/>
    </row>
    <row r="4794" spans="1:7" x14ac:dyDescent="0.2">
      <c r="A4794" s="116">
        <f>IF(ISNUMBER(Tabela2[[#This Row],[CT-e/NFS]])=TRUE,(IF(B4794&gt;30000,4,IF(B4794&lt;1000,"ND",0))),"-")</f>
        <v>0</v>
      </c>
      <c r="B4794" s="116">
        <v>22054</v>
      </c>
      <c r="C4794" s="117">
        <v>45546</v>
      </c>
      <c r="D4794" s="116">
        <v>162.80000000000001</v>
      </c>
      <c r="E4794" s="117">
        <v>45550</v>
      </c>
      <c r="F4794" s="116">
        <f>COUNTIFS($A$3:A13044,A4794,$B$3:B13044,B4794)</f>
        <v>1</v>
      </c>
      <c r="G4794" s="116"/>
    </row>
    <row r="4795" spans="1:7" x14ac:dyDescent="0.2">
      <c r="A4795" s="116">
        <f>IF(ISNUMBER(Tabela2[[#This Row],[CT-e/NFS]])=TRUE,(IF(B4795&gt;30000,4,IF(B4795&lt;1000,"ND",0))),"-")</f>
        <v>0</v>
      </c>
      <c r="B4795" s="116">
        <v>22053</v>
      </c>
      <c r="C4795" s="117">
        <v>45546</v>
      </c>
      <c r="D4795" s="116">
        <v>439.3</v>
      </c>
      <c r="E4795" s="117">
        <v>45550</v>
      </c>
      <c r="F4795" s="116">
        <f>COUNTIFS($A$3:A13045,A4795,$B$3:B13045,B4795)</f>
        <v>1</v>
      </c>
      <c r="G4795" s="116"/>
    </row>
    <row r="4796" spans="1:7" x14ac:dyDescent="0.2">
      <c r="A4796" s="116">
        <f>IF(ISNUMBER(Tabela2[[#This Row],[CT-e/NFS]])=TRUE,(IF(B4796&gt;30000,4,IF(B4796&lt;1000,"ND",0))),"-")</f>
        <v>4</v>
      </c>
      <c r="B4796" s="116">
        <v>48967</v>
      </c>
      <c r="C4796" s="117">
        <v>45546</v>
      </c>
      <c r="D4796" s="116">
        <v>359.02</v>
      </c>
      <c r="E4796" s="117">
        <v>45550</v>
      </c>
      <c r="F4796" s="116">
        <f>COUNTIFS($A$3:A13046,A4796,$B$3:B13046,B4796)</f>
        <v>1</v>
      </c>
      <c r="G4796" s="116"/>
    </row>
    <row r="4797" spans="1:7" x14ac:dyDescent="0.2">
      <c r="A4797" s="116">
        <f>IF(ISNUMBER(Tabela2[[#This Row],[CT-e/NFS]])=TRUE,(IF(B4797&gt;30000,4,IF(B4797&lt;1000,"ND",0))),"-")</f>
        <v>4</v>
      </c>
      <c r="B4797" s="116">
        <v>48966</v>
      </c>
      <c r="C4797" s="117">
        <v>45546</v>
      </c>
      <c r="D4797" s="116">
        <v>187.1</v>
      </c>
      <c r="E4797" s="117">
        <v>45550</v>
      </c>
      <c r="F4797" s="116">
        <f>COUNTIFS($A$3:A13047,A4797,$B$3:B13047,B4797)</f>
        <v>1</v>
      </c>
      <c r="G4797" s="116"/>
    </row>
    <row r="4798" spans="1:7" x14ac:dyDescent="0.2">
      <c r="A4798" s="116">
        <f>IF(ISNUMBER(Tabela2[[#This Row],[CT-e/NFS]])=TRUE,(IF(B4798&gt;30000,4,IF(B4798&lt;1000,"ND",0))),"-")</f>
        <v>4</v>
      </c>
      <c r="B4798" s="116">
        <v>48992</v>
      </c>
      <c r="C4798" s="117">
        <v>45546</v>
      </c>
      <c r="D4798" s="116">
        <v>154.15</v>
      </c>
      <c r="E4798" s="117">
        <v>45550</v>
      </c>
      <c r="F4798" s="116">
        <f>COUNTIFS($A$3:A13048,A4798,$B$3:B13048,B4798)</f>
        <v>1</v>
      </c>
      <c r="G4798" s="116"/>
    </row>
    <row r="4799" spans="1:7" x14ac:dyDescent="0.2">
      <c r="A4799" s="116">
        <f>IF(ISNUMBER(Tabela2[[#This Row],[CT-e/NFS]])=TRUE,(IF(B4799&gt;30000,4,IF(B4799&lt;1000,"ND",0))),"-")</f>
        <v>4</v>
      </c>
      <c r="B4799" s="116">
        <v>48993</v>
      </c>
      <c r="C4799" s="117">
        <v>45546</v>
      </c>
      <c r="D4799" s="116">
        <v>240.26</v>
      </c>
      <c r="E4799" s="117">
        <v>45550</v>
      </c>
      <c r="F4799" s="116">
        <f>COUNTIFS($A$3:A13049,A4799,$B$3:B13049,B4799)</f>
        <v>1</v>
      </c>
      <c r="G4799" s="116"/>
    </row>
    <row r="4800" spans="1:7" x14ac:dyDescent="0.2">
      <c r="A4800" s="116">
        <f>IF(ISNUMBER(Tabela2[[#This Row],[CT-e/NFS]])=TRUE,(IF(B4800&gt;30000,4,IF(B4800&lt;1000,"ND",0))),"-")</f>
        <v>4</v>
      </c>
      <c r="B4800" s="116">
        <v>48994</v>
      </c>
      <c r="C4800" s="117">
        <v>45546</v>
      </c>
      <c r="D4800" s="116">
        <v>124.16</v>
      </c>
      <c r="E4800" s="117">
        <v>45550</v>
      </c>
      <c r="F4800" s="116">
        <f>COUNTIFS($A$3:A13050,A4800,$B$3:B13050,B4800)</f>
        <v>1</v>
      </c>
      <c r="G4800" s="116"/>
    </row>
    <row r="4801" spans="1:7" x14ac:dyDescent="0.2">
      <c r="A4801" s="116">
        <f>IF(ISNUMBER(Tabela2[[#This Row],[CT-e/NFS]])=TRUE,(IF(B4801&gt;30000,4,IF(B4801&lt;1000,"ND",0))),"-")</f>
        <v>4</v>
      </c>
      <c r="B4801" s="116">
        <v>48991</v>
      </c>
      <c r="C4801" s="117">
        <v>45546</v>
      </c>
      <c r="D4801" s="116">
        <v>240.1</v>
      </c>
      <c r="E4801" s="117">
        <v>45550</v>
      </c>
      <c r="F4801" s="116">
        <f>COUNTIFS($A$3:A13051,A4801,$B$3:B13051,B4801)</f>
        <v>1</v>
      </c>
      <c r="G4801" s="116"/>
    </row>
    <row r="4802" spans="1:7" x14ac:dyDescent="0.2">
      <c r="A4802" s="116">
        <f>IF(ISNUMBER(Tabela2[[#This Row],[CT-e/NFS]])=TRUE,(IF(B4802&gt;30000,4,IF(B4802&lt;1000,"ND",0))),"-")</f>
        <v>4</v>
      </c>
      <c r="B4802" s="116">
        <v>49005</v>
      </c>
      <c r="C4802" s="117">
        <v>45546</v>
      </c>
      <c r="D4802" s="116">
        <v>702.11</v>
      </c>
      <c r="E4802" s="117">
        <v>45550</v>
      </c>
      <c r="F4802" s="116">
        <f>COUNTIFS($A$3:A13052,A4802,$B$3:B13052,B4802)</f>
        <v>1</v>
      </c>
      <c r="G4802" s="116"/>
    </row>
    <row r="4803" spans="1:7" x14ac:dyDescent="0.2">
      <c r="A4803" s="116">
        <f>IF(ISNUMBER(Tabela2[[#This Row],[CT-e/NFS]])=TRUE,(IF(B4803&gt;30000,4,IF(B4803&lt;1000,"ND",0))),"-")</f>
        <v>4</v>
      </c>
      <c r="B4803" s="116">
        <v>49007</v>
      </c>
      <c r="C4803" s="117">
        <v>45546</v>
      </c>
      <c r="D4803" s="116">
        <v>454.19</v>
      </c>
      <c r="E4803" s="117">
        <v>45550</v>
      </c>
      <c r="F4803" s="116">
        <f>COUNTIFS($A$3:A13053,A4803,$B$3:B13053,B4803)</f>
        <v>1</v>
      </c>
      <c r="G4803" s="116"/>
    </row>
    <row r="4804" spans="1:7" x14ac:dyDescent="0.2">
      <c r="A4804" s="116">
        <f>IF(ISNUMBER(Tabela2[[#This Row],[CT-e/NFS]])=TRUE,(IF(B4804&gt;30000,4,IF(B4804&lt;1000,"ND",0))),"-")</f>
        <v>4</v>
      </c>
      <c r="B4804" s="116">
        <v>49002</v>
      </c>
      <c r="C4804" s="117">
        <v>45546</v>
      </c>
      <c r="D4804" s="116">
        <v>239.15</v>
      </c>
      <c r="E4804" s="117">
        <v>45550</v>
      </c>
      <c r="F4804" s="116">
        <f>COUNTIFS($A$3:A13054,A4804,$B$3:B13054,B4804)</f>
        <v>1</v>
      </c>
      <c r="G4804" s="116"/>
    </row>
    <row r="4805" spans="1:7" x14ac:dyDescent="0.2">
      <c r="A4805" s="116">
        <f>IF(ISNUMBER(Tabela2[[#This Row],[CT-e/NFS]])=TRUE,(IF(B4805&gt;30000,4,IF(B4805&lt;1000,"ND",0))),"-")</f>
        <v>4</v>
      </c>
      <c r="B4805" s="116">
        <v>49003</v>
      </c>
      <c r="C4805" s="117">
        <v>45546</v>
      </c>
      <c r="D4805" s="116">
        <v>1245.6099999999999</v>
      </c>
      <c r="E4805" s="117">
        <v>45550</v>
      </c>
      <c r="F4805" s="116">
        <f>COUNTIFS($A$3:A13055,A4805,$B$3:B13055,B4805)</f>
        <v>1</v>
      </c>
      <c r="G4805" s="116"/>
    </row>
    <row r="4806" spans="1:7" x14ac:dyDescent="0.2">
      <c r="A4806" s="116">
        <f>IF(ISNUMBER(Tabela2[[#This Row],[CT-e/NFS]])=TRUE,(IF(B4806&gt;30000,4,IF(B4806&lt;1000,"ND",0))),"-")</f>
        <v>4</v>
      </c>
      <c r="B4806" s="116">
        <v>49004</v>
      </c>
      <c r="C4806" s="117">
        <v>45546</v>
      </c>
      <c r="D4806" s="116">
        <v>1137.73</v>
      </c>
      <c r="E4806" s="117">
        <v>45550</v>
      </c>
      <c r="F4806" s="116">
        <f>COUNTIFS($A$3:A13056,A4806,$B$3:B13056,B4806)</f>
        <v>1</v>
      </c>
      <c r="G4806" s="116"/>
    </row>
    <row r="4807" spans="1:7" x14ac:dyDescent="0.2">
      <c r="A4807" s="116">
        <f>IF(ISNUMBER(Tabela2[[#This Row],[CT-e/NFS]])=TRUE,(IF(B4807&gt;30000,4,IF(B4807&lt;1000,"ND",0))),"-")</f>
        <v>4</v>
      </c>
      <c r="B4807" s="116">
        <v>49001</v>
      </c>
      <c r="C4807" s="117">
        <v>45546</v>
      </c>
      <c r="D4807" s="116">
        <v>168.92</v>
      </c>
      <c r="E4807" s="117">
        <v>45550</v>
      </c>
      <c r="F4807" s="116">
        <f>COUNTIFS($A$3:A13057,A4807,$B$3:B13057,B4807)</f>
        <v>1</v>
      </c>
      <c r="G4807" s="116"/>
    </row>
    <row r="4808" spans="1:7" x14ac:dyDescent="0.2">
      <c r="A4808" s="116">
        <f>IF(ISNUMBER(Tabela2[[#This Row],[CT-e/NFS]])=TRUE,(IF(B4808&gt;30000,4,IF(B4808&lt;1000,"ND",0))),"-")</f>
        <v>4</v>
      </c>
      <c r="B4808" s="116">
        <v>48999</v>
      </c>
      <c r="C4808" s="117">
        <v>45546</v>
      </c>
      <c r="D4808" s="116">
        <v>125.16</v>
      </c>
      <c r="E4808" s="117">
        <v>45550</v>
      </c>
      <c r="F4808" s="116">
        <f>COUNTIFS($A$3:A13058,A4808,$B$3:B13058,B4808)</f>
        <v>1</v>
      </c>
      <c r="G4808" s="116"/>
    </row>
    <row r="4809" spans="1:7" x14ac:dyDescent="0.2">
      <c r="A4809" s="116">
        <f>IF(ISNUMBER(Tabela2[[#This Row],[CT-e/NFS]])=TRUE,(IF(B4809&gt;30000,4,IF(B4809&lt;1000,"ND",0))),"-")</f>
        <v>4</v>
      </c>
      <c r="B4809" s="116">
        <v>48997</v>
      </c>
      <c r="C4809" s="117">
        <v>45546</v>
      </c>
      <c r="D4809" s="116">
        <v>122.77</v>
      </c>
      <c r="E4809" s="117">
        <v>45550</v>
      </c>
      <c r="F4809" s="116">
        <f>COUNTIFS($A$3:A13059,A4809,$B$3:B13059,B4809)</f>
        <v>1</v>
      </c>
      <c r="G4809" s="116"/>
    </row>
    <row r="4810" spans="1:7" x14ac:dyDescent="0.2">
      <c r="A4810" s="116">
        <f>IF(ISNUMBER(Tabela2[[#This Row],[CT-e/NFS]])=TRUE,(IF(B4810&gt;30000,4,IF(B4810&lt;1000,"ND",0))),"-")</f>
        <v>4</v>
      </c>
      <c r="B4810" s="116">
        <v>48998</v>
      </c>
      <c r="C4810" s="117">
        <v>45546</v>
      </c>
      <c r="D4810" s="116">
        <v>124.25</v>
      </c>
      <c r="E4810" s="117">
        <v>45550</v>
      </c>
      <c r="F4810" s="116">
        <f>COUNTIFS($A$3:A13060,A4810,$B$3:B13060,B4810)</f>
        <v>1</v>
      </c>
      <c r="G4810" s="116"/>
    </row>
    <row r="4811" spans="1:7" x14ac:dyDescent="0.2">
      <c r="A4811" s="116">
        <f>IF(ISNUMBER(Tabela2[[#This Row],[CT-e/NFS]])=TRUE,(IF(B4811&gt;30000,4,IF(B4811&lt;1000,"ND",0))),"-")</f>
        <v>4</v>
      </c>
      <c r="B4811" s="116">
        <v>48996</v>
      </c>
      <c r="C4811" s="117">
        <v>45546</v>
      </c>
      <c r="D4811" s="116">
        <v>123.32</v>
      </c>
      <c r="E4811" s="117">
        <v>45550</v>
      </c>
      <c r="F4811" s="116">
        <f>COUNTIFS($A$3:A13061,A4811,$B$3:B13061,B4811)</f>
        <v>1</v>
      </c>
      <c r="G4811" s="116"/>
    </row>
    <row r="4812" spans="1:7" x14ac:dyDescent="0.2">
      <c r="A4812" s="116">
        <f>IF(ISNUMBER(Tabela2[[#This Row],[CT-e/NFS]])=TRUE,(IF(B4812&gt;30000,4,IF(B4812&lt;1000,"ND",0))),"-")</f>
        <v>4</v>
      </c>
      <c r="B4812" s="116">
        <v>48995</v>
      </c>
      <c r="C4812" s="117">
        <v>45546</v>
      </c>
      <c r="D4812" s="116">
        <v>246.33</v>
      </c>
      <c r="E4812" s="117">
        <v>45550</v>
      </c>
      <c r="F4812" s="116">
        <f>COUNTIFS($A$3:A13062,A4812,$B$3:B13062,B4812)</f>
        <v>1</v>
      </c>
      <c r="G4812" s="116"/>
    </row>
    <row r="4813" spans="1:7" x14ac:dyDescent="0.2">
      <c r="A4813" s="116">
        <f>IF(ISNUMBER(Tabela2[[#This Row],[CT-e/NFS]])=TRUE,(IF(B4813&gt;30000,4,IF(B4813&lt;1000,"ND",0))),"-")</f>
        <v>4</v>
      </c>
      <c r="B4813" s="116">
        <v>49000</v>
      </c>
      <c r="C4813" s="117">
        <v>45546</v>
      </c>
      <c r="D4813" s="116">
        <v>125.25</v>
      </c>
      <c r="E4813" s="117">
        <v>45550</v>
      </c>
      <c r="F4813" s="116">
        <f>COUNTIFS($A$3:A13063,A4813,$B$3:B13063,B4813)</f>
        <v>1</v>
      </c>
      <c r="G4813" s="116"/>
    </row>
    <row r="4814" spans="1:7" x14ac:dyDescent="0.2">
      <c r="A4814" s="116">
        <f>IF(ISNUMBER(Tabela2[[#This Row],[CT-e/NFS]])=TRUE,(IF(B4814&gt;30000,4,IF(B4814&lt;1000,"ND",0))),"-")</f>
        <v>4</v>
      </c>
      <c r="B4814" s="116">
        <v>48971</v>
      </c>
      <c r="C4814" s="117">
        <v>45546</v>
      </c>
      <c r="D4814" s="116">
        <v>840.68</v>
      </c>
      <c r="E4814" s="117">
        <v>45550</v>
      </c>
      <c r="F4814" s="116">
        <f>COUNTIFS($A$3:A13064,A4814,$B$3:B13064,B4814)</f>
        <v>1</v>
      </c>
      <c r="G4814" s="116"/>
    </row>
    <row r="4815" spans="1:7" x14ac:dyDescent="0.2">
      <c r="A4815" s="116">
        <f>IF(ISNUMBER(Tabela2[[#This Row],[CT-e/NFS]])=TRUE,(IF(B4815&gt;30000,4,IF(B4815&lt;1000,"ND",0))),"-")</f>
        <v>4</v>
      </c>
      <c r="B4815" s="116">
        <v>48988</v>
      </c>
      <c r="C4815" s="117">
        <v>45546</v>
      </c>
      <c r="D4815" s="116">
        <v>1143.6400000000001</v>
      </c>
      <c r="E4815" s="117">
        <v>45550</v>
      </c>
      <c r="F4815" s="116">
        <f>COUNTIFS($A$3:A13065,A4815,$B$3:B13065,B4815)</f>
        <v>1</v>
      </c>
      <c r="G4815" s="116"/>
    </row>
    <row r="4816" spans="1:7" x14ac:dyDescent="0.2">
      <c r="A4816" s="116">
        <f>IF(ISNUMBER(Tabela2[[#This Row],[CT-e/NFS]])=TRUE,(IF(B4816&gt;30000,4,IF(B4816&lt;1000,"ND",0))),"-")</f>
        <v>0</v>
      </c>
      <c r="B4816" s="116">
        <v>22028</v>
      </c>
      <c r="C4816" s="117">
        <v>45546</v>
      </c>
      <c r="D4816" s="116">
        <v>139.97</v>
      </c>
      <c r="E4816" s="117">
        <v>45550</v>
      </c>
      <c r="F4816" s="116">
        <f>COUNTIFS($A$3:A13066,A4816,$B$3:B13066,B4816)</f>
        <v>1</v>
      </c>
      <c r="G4816" s="116"/>
    </row>
    <row r="4817" spans="1:7" x14ac:dyDescent="0.2">
      <c r="A4817" s="116">
        <f>IF(ISNUMBER(Tabela2[[#This Row],[CT-e/NFS]])=TRUE,(IF(B4817&gt;30000,4,IF(B4817&lt;1000,"ND",0))),"-")</f>
        <v>4</v>
      </c>
      <c r="B4817" s="116">
        <v>49011</v>
      </c>
      <c r="C4817" s="117">
        <v>45546</v>
      </c>
      <c r="D4817" s="116">
        <v>428.44</v>
      </c>
      <c r="E4817" s="117">
        <v>45550</v>
      </c>
      <c r="F4817" s="116">
        <f>COUNTIFS($A$3:A13067,A4817,$B$3:B13067,B4817)</f>
        <v>1</v>
      </c>
      <c r="G4817" s="116"/>
    </row>
    <row r="4818" spans="1:7" x14ac:dyDescent="0.2">
      <c r="A4818" s="116">
        <f>IF(ISNUMBER(Tabela2[[#This Row],[CT-e/NFS]])=TRUE,(IF(B4818&gt;30000,4,IF(B4818&lt;1000,"ND",0))),"-")</f>
        <v>4</v>
      </c>
      <c r="B4818" s="116">
        <v>49012</v>
      </c>
      <c r="C4818" s="117">
        <v>45546</v>
      </c>
      <c r="D4818" s="116">
        <v>428.44</v>
      </c>
      <c r="E4818" s="117">
        <v>45550</v>
      </c>
      <c r="F4818" s="116">
        <f>COUNTIFS($A$3:A13068,A4818,$B$3:B13068,B4818)</f>
        <v>1</v>
      </c>
      <c r="G4818" s="116"/>
    </row>
    <row r="4819" spans="1:7" x14ac:dyDescent="0.2">
      <c r="A4819" s="116">
        <f>IF(ISNUMBER(Tabela2[[#This Row],[CT-e/NFS]])=TRUE,(IF(B4819&gt;30000,4,IF(B4819&lt;1000,"ND",0))),"-")</f>
        <v>4</v>
      </c>
      <c r="B4819" s="116">
        <v>49010</v>
      </c>
      <c r="C4819" s="117">
        <v>45546</v>
      </c>
      <c r="D4819" s="116">
        <v>901.41</v>
      </c>
      <c r="E4819" s="117">
        <v>45550</v>
      </c>
      <c r="F4819" s="116">
        <f>COUNTIFS($A$3:A13069,A4819,$B$3:B13069,B4819)</f>
        <v>1</v>
      </c>
      <c r="G4819" s="116"/>
    </row>
    <row r="4820" spans="1:7" x14ac:dyDescent="0.2">
      <c r="A4820" s="116">
        <f>IF(ISNUMBER(Tabela2[[#This Row],[CT-e/NFS]])=TRUE,(IF(B4820&gt;30000,4,IF(B4820&lt;1000,"ND",0))),"-")</f>
        <v>0</v>
      </c>
      <c r="B4820" s="116">
        <v>22064</v>
      </c>
      <c r="C4820" s="117">
        <v>45546</v>
      </c>
      <c r="D4820" s="116">
        <v>75.8</v>
      </c>
      <c r="E4820" s="117">
        <v>45550</v>
      </c>
      <c r="F4820" s="116">
        <f>COUNTIFS($A$3:A13070,A4820,$B$3:B13070,B4820)</f>
        <v>1</v>
      </c>
      <c r="G4820" s="116"/>
    </row>
    <row r="4821" spans="1:7" x14ac:dyDescent="0.2">
      <c r="A4821" s="116">
        <f>IF(ISNUMBER(Tabela2[[#This Row],[CT-e/NFS]])=TRUE,(IF(B4821&gt;30000,4,IF(B4821&lt;1000,"ND",0))),"-")</f>
        <v>4</v>
      </c>
      <c r="B4821" s="116">
        <v>49013</v>
      </c>
      <c r="C4821" s="117">
        <v>45546</v>
      </c>
      <c r="D4821" s="116">
        <v>1758.3</v>
      </c>
      <c r="E4821" s="117">
        <v>45550</v>
      </c>
      <c r="F4821" s="116">
        <f>COUNTIFS($A$3:A13071,A4821,$B$3:B13071,B4821)</f>
        <v>1</v>
      </c>
      <c r="G4821" s="116"/>
    </row>
    <row r="4822" spans="1:7" x14ac:dyDescent="0.2">
      <c r="A4822" s="116">
        <f>IF(ISNUMBER(Tabela2[[#This Row],[CT-e/NFS]])=TRUE,(IF(B4822&gt;30000,4,IF(B4822&lt;1000,"ND",0))),"-")</f>
        <v>4</v>
      </c>
      <c r="B4822" s="116">
        <v>49016</v>
      </c>
      <c r="C4822" s="117">
        <v>45546</v>
      </c>
      <c r="D4822" s="116">
        <v>492.66</v>
      </c>
      <c r="E4822" s="117">
        <v>45550</v>
      </c>
      <c r="F4822" s="116">
        <f>COUNTIFS($A$3:A13072,A4822,$B$3:B13072,B4822)</f>
        <v>1</v>
      </c>
      <c r="G4822" s="116"/>
    </row>
    <row r="4823" spans="1:7" x14ac:dyDescent="0.2">
      <c r="A4823" s="116">
        <f>IF(ISNUMBER(Tabela2[[#This Row],[CT-e/NFS]])=TRUE,(IF(B4823&gt;30000,4,IF(B4823&lt;1000,"ND",0))),"-")</f>
        <v>4</v>
      </c>
      <c r="B4823" s="116">
        <v>48990</v>
      </c>
      <c r="C4823" s="117">
        <v>45546</v>
      </c>
      <c r="D4823" s="116">
        <v>454.19</v>
      </c>
      <c r="E4823" s="117">
        <v>45550</v>
      </c>
      <c r="F4823" s="116">
        <f>COUNTIFS($A$3:A13073,A4823,$B$3:B13073,B4823)</f>
        <v>1</v>
      </c>
      <c r="G4823" s="116"/>
    </row>
    <row r="4824" spans="1:7" x14ac:dyDescent="0.2">
      <c r="A4824" s="116">
        <f>IF(ISNUMBER(Tabela2[[#This Row],[CT-e/NFS]])=TRUE,(IF(B4824&gt;30000,4,IF(B4824&lt;1000,"ND",0))),"-")</f>
        <v>4</v>
      </c>
      <c r="B4824" s="116">
        <v>49018</v>
      </c>
      <c r="C4824" s="117">
        <v>45546</v>
      </c>
      <c r="D4824" s="116">
        <v>1086.24</v>
      </c>
      <c r="E4824" s="117">
        <v>45550</v>
      </c>
      <c r="F4824" s="116">
        <f>COUNTIFS($A$3:A13074,A4824,$B$3:B13074,B4824)</f>
        <v>1</v>
      </c>
      <c r="G4824" s="116"/>
    </row>
    <row r="4825" spans="1:7" x14ac:dyDescent="0.2">
      <c r="A4825" s="116">
        <f>IF(ISNUMBER(Tabela2[[#This Row],[CT-e/NFS]])=TRUE,(IF(B4825&gt;30000,4,IF(B4825&lt;1000,"ND",0))),"-")</f>
        <v>4</v>
      </c>
      <c r="B4825" s="116">
        <v>49020</v>
      </c>
      <c r="C4825" s="117">
        <v>45546</v>
      </c>
      <c r="D4825" s="116">
        <v>130.06</v>
      </c>
      <c r="E4825" s="117">
        <v>45550</v>
      </c>
      <c r="F4825" s="116">
        <f>COUNTIFS($A$3:A13075,A4825,$B$3:B13075,B4825)</f>
        <v>1</v>
      </c>
      <c r="G4825" s="116"/>
    </row>
    <row r="4826" spans="1:7" x14ac:dyDescent="0.2">
      <c r="A4826" s="116">
        <f>IF(ISNUMBER(Tabela2[[#This Row],[CT-e/NFS]])=TRUE,(IF(B4826&gt;30000,4,IF(B4826&lt;1000,"ND",0))),"-")</f>
        <v>4</v>
      </c>
      <c r="B4826" s="116">
        <v>49021</v>
      </c>
      <c r="C4826" s="117">
        <v>45546</v>
      </c>
      <c r="D4826" s="116">
        <v>208.17</v>
      </c>
      <c r="E4826" s="117">
        <v>45550</v>
      </c>
      <c r="F4826" s="116">
        <f>COUNTIFS($A$3:A13076,A4826,$B$3:B13076,B4826)</f>
        <v>1</v>
      </c>
      <c r="G4826" s="116"/>
    </row>
    <row r="4827" spans="1:7" x14ac:dyDescent="0.2">
      <c r="A4827" s="116">
        <f>IF(ISNUMBER(Tabela2[[#This Row],[CT-e/NFS]])=TRUE,(IF(B4827&gt;30000,4,IF(B4827&lt;1000,"ND",0))),"-")</f>
        <v>4</v>
      </c>
      <c r="B4827" s="116">
        <v>49025</v>
      </c>
      <c r="C4827" s="117">
        <v>45546</v>
      </c>
      <c r="D4827" s="116">
        <v>186.05</v>
      </c>
      <c r="E4827" s="117">
        <v>45550</v>
      </c>
      <c r="F4827" s="116">
        <f>COUNTIFS($A$3:A13077,A4827,$B$3:B13077,B4827)</f>
        <v>1</v>
      </c>
      <c r="G4827" s="116"/>
    </row>
    <row r="4828" spans="1:7" x14ac:dyDescent="0.2">
      <c r="A4828" s="116">
        <f>IF(ISNUMBER(Tabela2[[#This Row],[CT-e/NFS]])=TRUE,(IF(B4828&gt;30000,4,IF(B4828&lt;1000,"ND",0))),"-")</f>
        <v>4</v>
      </c>
      <c r="B4828" s="116">
        <v>49022</v>
      </c>
      <c r="C4828" s="117">
        <v>45546</v>
      </c>
      <c r="D4828" s="116">
        <v>282.2</v>
      </c>
      <c r="E4828" s="117">
        <v>45550</v>
      </c>
      <c r="F4828" s="116">
        <f>COUNTIFS($A$3:A13078,A4828,$B$3:B13078,B4828)</f>
        <v>1</v>
      </c>
      <c r="G4828" s="116"/>
    </row>
    <row r="4829" spans="1:7" x14ac:dyDescent="0.2">
      <c r="A4829" s="116">
        <f>IF(ISNUMBER(Tabela2[[#This Row],[CT-e/NFS]])=TRUE,(IF(B4829&gt;30000,4,IF(B4829&lt;1000,"ND",0))),"-")</f>
        <v>4</v>
      </c>
      <c r="B4829" s="116">
        <v>49023</v>
      </c>
      <c r="C4829" s="117">
        <v>45546</v>
      </c>
      <c r="D4829" s="116">
        <v>124.16</v>
      </c>
      <c r="E4829" s="117">
        <v>45550</v>
      </c>
      <c r="F4829" s="116">
        <f>COUNTIFS($A$3:A13079,A4829,$B$3:B13079,B4829)</f>
        <v>1</v>
      </c>
      <c r="G4829" s="116"/>
    </row>
    <row r="4830" spans="1:7" x14ac:dyDescent="0.2">
      <c r="A4830" s="116">
        <f>IF(ISNUMBER(Tabela2[[#This Row],[CT-e/NFS]])=TRUE,(IF(B4830&gt;30000,4,IF(B4830&lt;1000,"ND",0))),"-")</f>
        <v>0</v>
      </c>
      <c r="B4830" s="116">
        <v>22063</v>
      </c>
      <c r="C4830" s="117">
        <v>45546</v>
      </c>
      <c r="D4830" s="116">
        <v>75.680000000000007</v>
      </c>
      <c r="E4830" s="117">
        <v>45550</v>
      </c>
      <c r="F4830" s="116">
        <f>COUNTIFS($A$3:A13080,A4830,$B$3:B13080,B4830)</f>
        <v>1</v>
      </c>
      <c r="G4830" s="116"/>
    </row>
    <row r="4831" spans="1:7" x14ac:dyDescent="0.2">
      <c r="A4831" s="116">
        <f>IF(ISNUMBER(Tabela2[[#This Row],[CT-e/NFS]])=TRUE,(IF(B4831&gt;30000,4,IF(B4831&lt;1000,"ND",0))),"-")</f>
        <v>4</v>
      </c>
      <c r="B4831" s="116">
        <v>49028</v>
      </c>
      <c r="C4831" s="117">
        <v>45546</v>
      </c>
      <c r="D4831" s="116">
        <v>609.98</v>
      </c>
      <c r="E4831" s="117">
        <v>45550</v>
      </c>
      <c r="F4831" s="116">
        <f>COUNTIFS($A$3:A13081,A4831,$B$3:B13081,B4831)</f>
        <v>1</v>
      </c>
      <c r="G4831" s="116"/>
    </row>
    <row r="4832" spans="1:7" x14ac:dyDescent="0.2">
      <c r="A4832" s="116">
        <f>IF(ISNUMBER(Tabela2[[#This Row],[CT-e/NFS]])=TRUE,(IF(B4832&gt;30000,4,IF(B4832&lt;1000,"ND",0))),"-")</f>
        <v>0</v>
      </c>
      <c r="B4832" s="116">
        <v>22070</v>
      </c>
      <c r="C4832" s="117">
        <v>45546</v>
      </c>
      <c r="D4832" s="116">
        <v>76.95</v>
      </c>
      <c r="E4832" s="117">
        <v>45550</v>
      </c>
      <c r="F4832" s="116">
        <f>COUNTIFS($A$3:A13082,A4832,$B$3:B13082,B4832)</f>
        <v>1</v>
      </c>
      <c r="G4832" s="116"/>
    </row>
    <row r="4833" spans="1:7" x14ac:dyDescent="0.2">
      <c r="A4833" s="116">
        <f>IF(ISNUMBER(Tabela2[[#This Row],[CT-e/NFS]])=TRUE,(IF(B4833&gt;30000,4,IF(B4833&lt;1000,"ND",0))),"-")</f>
        <v>0</v>
      </c>
      <c r="B4833" s="116">
        <v>22069</v>
      </c>
      <c r="C4833" s="117">
        <v>45546</v>
      </c>
      <c r="D4833" s="116">
        <v>77.31</v>
      </c>
      <c r="E4833" s="117">
        <v>45550</v>
      </c>
      <c r="F4833" s="116">
        <f>COUNTIFS($A$3:A13083,A4833,$B$3:B13083,B4833)</f>
        <v>1</v>
      </c>
      <c r="G4833" s="116"/>
    </row>
    <row r="4834" spans="1:7" x14ac:dyDescent="0.2">
      <c r="A4834" s="116">
        <f>IF(ISNUMBER(Tabela2[[#This Row],[CT-e/NFS]])=TRUE,(IF(B4834&gt;30000,4,IF(B4834&lt;1000,"ND",0))),"-")</f>
        <v>0</v>
      </c>
      <c r="B4834" s="116">
        <v>22068</v>
      </c>
      <c r="C4834" s="117">
        <v>45546</v>
      </c>
      <c r="D4834" s="116">
        <v>76.349999999999994</v>
      </c>
      <c r="E4834" s="117">
        <v>45550</v>
      </c>
      <c r="F4834" s="116">
        <f>COUNTIFS($A$3:A13084,A4834,$B$3:B13084,B4834)</f>
        <v>1</v>
      </c>
      <c r="G4834" s="116"/>
    </row>
    <row r="4835" spans="1:7" x14ac:dyDescent="0.2">
      <c r="A4835" s="116">
        <f>IF(ISNUMBER(Tabela2[[#This Row],[CT-e/NFS]])=TRUE,(IF(B4835&gt;30000,4,IF(B4835&lt;1000,"ND",0))),"-")</f>
        <v>0</v>
      </c>
      <c r="B4835" s="116">
        <v>22067</v>
      </c>
      <c r="C4835" s="117">
        <v>45546</v>
      </c>
      <c r="D4835" s="116">
        <v>75.760000000000005</v>
      </c>
      <c r="E4835" s="117">
        <v>45550</v>
      </c>
      <c r="F4835" s="116">
        <f>COUNTIFS($A$3:A13085,A4835,$B$3:B13085,B4835)</f>
        <v>1</v>
      </c>
      <c r="G4835" s="116"/>
    </row>
    <row r="4836" spans="1:7" x14ac:dyDescent="0.2">
      <c r="A4836" s="116">
        <f>IF(ISNUMBER(Tabela2[[#This Row],[CT-e/NFS]])=TRUE,(IF(B4836&gt;30000,4,IF(B4836&lt;1000,"ND",0))),"-")</f>
        <v>4</v>
      </c>
      <c r="B4836" s="116">
        <v>49029</v>
      </c>
      <c r="C4836" s="117">
        <v>45546</v>
      </c>
      <c r="D4836" s="116">
        <v>2906.31</v>
      </c>
      <c r="E4836" s="117">
        <v>45550</v>
      </c>
      <c r="F4836" s="116">
        <f>COUNTIFS($A$3:A13086,A4836,$B$3:B13086,B4836)</f>
        <v>1</v>
      </c>
      <c r="G4836" s="116"/>
    </row>
    <row r="4837" spans="1:7" x14ac:dyDescent="0.2">
      <c r="A4837" s="116">
        <f>IF(ISNUMBER(Tabela2[[#This Row],[CT-e/NFS]])=TRUE,(IF(B4837&gt;30000,4,IF(B4837&lt;1000,"ND",0))),"-")</f>
        <v>4</v>
      </c>
      <c r="B4837" s="116">
        <v>49030</v>
      </c>
      <c r="C4837" s="117">
        <v>45546</v>
      </c>
      <c r="D4837" s="116">
        <v>1920.68</v>
      </c>
      <c r="E4837" s="117">
        <v>45550</v>
      </c>
      <c r="F4837" s="116">
        <f>COUNTIFS($A$3:A13087,A4837,$B$3:B13087,B4837)</f>
        <v>1</v>
      </c>
      <c r="G4837" s="116"/>
    </row>
    <row r="4838" spans="1:7" x14ac:dyDescent="0.2">
      <c r="A4838" s="116">
        <f>IF(ISNUMBER(Tabela2[[#This Row],[CT-e/NFS]])=TRUE,(IF(B4838&gt;30000,4,IF(B4838&lt;1000,"ND",0))),"-")</f>
        <v>0</v>
      </c>
      <c r="B4838" s="116">
        <v>22066</v>
      </c>
      <c r="C4838" s="117">
        <v>45546</v>
      </c>
      <c r="D4838" s="116">
        <v>348.37</v>
      </c>
      <c r="E4838" s="117">
        <v>45550</v>
      </c>
      <c r="F4838" s="116">
        <f>COUNTIFS($A$3:A13088,A4838,$B$3:B13088,B4838)</f>
        <v>1</v>
      </c>
      <c r="G4838" s="116"/>
    </row>
    <row r="4839" spans="1:7" x14ac:dyDescent="0.2">
      <c r="A4839" s="116">
        <f>IF(ISNUMBER(Tabela2[[#This Row],[CT-e/NFS]])=TRUE,(IF(B4839&gt;30000,4,IF(B4839&lt;1000,"ND",0))),"-")</f>
        <v>0</v>
      </c>
      <c r="B4839" s="116">
        <v>22052</v>
      </c>
      <c r="C4839" s="117">
        <v>45546</v>
      </c>
      <c r="D4839" s="116">
        <v>38.4</v>
      </c>
      <c r="E4839" s="117">
        <v>45550</v>
      </c>
      <c r="F4839" s="116">
        <f>COUNTIFS($A$3:A13089,A4839,$B$3:B13089,B4839)</f>
        <v>1</v>
      </c>
      <c r="G4839" s="116"/>
    </row>
    <row r="4840" spans="1:7" x14ac:dyDescent="0.2">
      <c r="A4840" s="116">
        <f>IF(ISNUMBER(Tabela2[[#This Row],[CT-e/NFS]])=TRUE,(IF(B4840&gt;30000,4,IF(B4840&lt;1000,"ND",0))),"-")</f>
        <v>0</v>
      </c>
      <c r="B4840" s="116">
        <v>22050</v>
      </c>
      <c r="C4840" s="117">
        <v>45546</v>
      </c>
      <c r="D4840" s="116">
        <v>38.25</v>
      </c>
      <c r="E4840" s="117">
        <v>45550</v>
      </c>
      <c r="F4840" s="116">
        <f>COUNTIFS($A$3:A13090,A4840,$B$3:B13090,B4840)</f>
        <v>1</v>
      </c>
      <c r="G4840" s="116"/>
    </row>
    <row r="4841" spans="1:7" x14ac:dyDescent="0.2">
      <c r="A4841" s="116">
        <f>IF(ISNUMBER(Tabela2[[#This Row],[CT-e/NFS]])=TRUE,(IF(B4841&gt;30000,4,IF(B4841&lt;1000,"ND",0))),"-")</f>
        <v>0</v>
      </c>
      <c r="B4841" s="116">
        <v>22049</v>
      </c>
      <c r="C4841" s="117">
        <v>45546</v>
      </c>
      <c r="D4841" s="116">
        <v>38.17</v>
      </c>
      <c r="E4841" s="117">
        <v>45550</v>
      </c>
      <c r="F4841" s="116">
        <f>COUNTIFS($A$3:A13091,A4841,$B$3:B13091,B4841)</f>
        <v>1</v>
      </c>
      <c r="G4841" s="116"/>
    </row>
    <row r="4842" spans="1:7" x14ac:dyDescent="0.2">
      <c r="A4842" s="116">
        <f>IF(ISNUMBER(Tabela2[[#This Row],[CT-e/NFS]])=TRUE,(IF(B4842&gt;30000,4,IF(B4842&lt;1000,"ND",0))),"-")</f>
        <v>0</v>
      </c>
      <c r="B4842" s="116">
        <v>22047</v>
      </c>
      <c r="C4842" s="117">
        <v>45546</v>
      </c>
      <c r="D4842" s="116">
        <v>68.78</v>
      </c>
      <c r="E4842" s="117">
        <v>45550</v>
      </c>
      <c r="F4842" s="116">
        <f>COUNTIFS($A$3:A13092,A4842,$B$3:B13092,B4842)</f>
        <v>1</v>
      </c>
      <c r="G4842" s="116"/>
    </row>
    <row r="4843" spans="1:7" x14ac:dyDescent="0.2">
      <c r="A4843" s="116">
        <f>IF(ISNUMBER(Tabela2[[#This Row],[CT-e/NFS]])=TRUE,(IF(B4843&gt;30000,4,IF(B4843&lt;1000,"ND",0))),"-")</f>
        <v>0</v>
      </c>
      <c r="B4843" s="116">
        <v>22051</v>
      </c>
      <c r="C4843" s="117">
        <v>45546</v>
      </c>
      <c r="D4843" s="116">
        <v>69.239999999999995</v>
      </c>
      <c r="E4843" s="117">
        <v>45550</v>
      </c>
      <c r="F4843" s="116">
        <f>COUNTIFS($A$3:A13093,A4843,$B$3:B13093,B4843)</f>
        <v>1</v>
      </c>
      <c r="G4843" s="116"/>
    </row>
    <row r="4844" spans="1:7" x14ac:dyDescent="0.2">
      <c r="A4844" s="116">
        <f>IF(ISNUMBER(Tabela2[[#This Row],[CT-e/NFS]])=TRUE,(IF(B4844&gt;30000,4,IF(B4844&lt;1000,"ND",0))),"-")</f>
        <v>0</v>
      </c>
      <c r="B4844" s="116">
        <v>22010</v>
      </c>
      <c r="C4844" s="117">
        <v>45546</v>
      </c>
      <c r="D4844" s="116">
        <v>844.3</v>
      </c>
      <c r="E4844" s="117">
        <v>45550</v>
      </c>
      <c r="F4844" s="116">
        <f>COUNTIFS($A$3:A13094,A4844,$B$3:B13094,B4844)</f>
        <v>1</v>
      </c>
      <c r="G4844" s="116"/>
    </row>
    <row r="4845" spans="1:7" x14ac:dyDescent="0.2">
      <c r="A4845" s="116">
        <f>IF(ISNUMBER(Tabela2[[#This Row],[CT-e/NFS]])=TRUE,(IF(B4845&gt;30000,4,IF(B4845&lt;1000,"ND",0))),"-")</f>
        <v>0</v>
      </c>
      <c r="B4845" s="116">
        <v>22058</v>
      </c>
      <c r="C4845" s="117">
        <v>45546</v>
      </c>
      <c r="D4845" s="116">
        <v>515.41</v>
      </c>
      <c r="E4845" s="117">
        <v>45550</v>
      </c>
      <c r="F4845" s="116">
        <f>COUNTIFS($A$3:A13095,A4845,$B$3:B13095,B4845)</f>
        <v>1</v>
      </c>
      <c r="G4845" s="116"/>
    </row>
    <row r="4846" spans="1:7" x14ac:dyDescent="0.2">
      <c r="A4846" s="116">
        <f>IF(ISNUMBER(Tabela2[[#This Row],[CT-e/NFS]])=TRUE,(IF(B4846&gt;30000,4,IF(B4846&lt;1000,"ND",0))),"-")</f>
        <v>0</v>
      </c>
      <c r="B4846" s="116">
        <v>22065</v>
      </c>
      <c r="C4846" s="117">
        <v>45546</v>
      </c>
      <c r="D4846" s="116">
        <v>515.41</v>
      </c>
      <c r="E4846" s="117">
        <v>45550</v>
      </c>
      <c r="F4846" s="116">
        <f>COUNTIFS($A$3:A13096,A4846,$B$3:B13096,B4846)</f>
        <v>1</v>
      </c>
      <c r="G4846" s="116"/>
    </row>
    <row r="4847" spans="1:7" x14ac:dyDescent="0.2">
      <c r="A4847" s="116">
        <f>IF(ISNUMBER(Tabela2[[#This Row],[CT-e/NFS]])=TRUE,(IF(B4847&gt;30000,4,IF(B4847&lt;1000,"ND",0))),"-")</f>
        <v>0</v>
      </c>
      <c r="B4847" s="116">
        <v>22046</v>
      </c>
      <c r="C4847" s="117">
        <v>45546</v>
      </c>
      <c r="D4847" s="116">
        <v>68.94</v>
      </c>
      <c r="E4847" s="117">
        <v>45550</v>
      </c>
      <c r="F4847" s="116">
        <f>COUNTIFS($A$3:A13097,A4847,$B$3:B13097,B4847)</f>
        <v>1</v>
      </c>
      <c r="G4847" s="116"/>
    </row>
    <row r="4848" spans="1:7" x14ac:dyDescent="0.2">
      <c r="A4848" s="116" t="str">
        <f>IF(ISNUMBER(Tabela2[[#This Row],[CT-e/NFS]])=TRUE,(IF(B4848&gt;30000,4,IF(B4848&lt;1000,"ND",0))),"-")</f>
        <v>ND</v>
      </c>
      <c r="B4848" s="116">
        <v>231</v>
      </c>
      <c r="C4848" s="117">
        <v>45546</v>
      </c>
      <c r="D4848" s="116">
        <v>252.44</v>
      </c>
      <c r="E4848" s="117">
        <v>45550</v>
      </c>
      <c r="F4848" s="116">
        <f>COUNTIFS($A$3:A13098,A4848,$B$3:B13098,B4848)</f>
        <v>1</v>
      </c>
      <c r="G4848" s="116"/>
    </row>
    <row r="4849" spans="1:7" x14ac:dyDescent="0.2">
      <c r="A4849" s="116">
        <f>IF(ISNUMBER(Tabela2[[#This Row],[CT-e/NFS]])=TRUE,(IF(B4849&gt;30000,4,IF(B4849&lt;1000,"ND",0))),"-")</f>
        <v>4</v>
      </c>
      <c r="B4849" s="116">
        <v>49957</v>
      </c>
      <c r="C4849" s="117">
        <v>45555</v>
      </c>
      <c r="D4849" s="116">
        <v>228.11</v>
      </c>
      <c r="E4849" s="117">
        <v>45550</v>
      </c>
      <c r="F4849" s="116">
        <f>COUNTIFS($A$3:A13099,A4849,$B$3:B13099,B4849)</f>
        <v>1</v>
      </c>
      <c r="G4849" s="116"/>
    </row>
    <row r="4850" spans="1:7" x14ac:dyDescent="0.2">
      <c r="A4850" s="116">
        <f>IF(ISNUMBER(Tabela2[[#This Row],[CT-e/NFS]])=TRUE,(IF(B4850&gt;30000,4,IF(B4850&lt;1000,"ND",0))),"-")</f>
        <v>4</v>
      </c>
      <c r="B4850" s="116">
        <v>49880</v>
      </c>
      <c r="C4850" s="117">
        <v>45555</v>
      </c>
      <c r="D4850" s="116">
        <v>573.54999999999995</v>
      </c>
      <c r="E4850" s="117">
        <v>45550</v>
      </c>
      <c r="F4850" s="116">
        <f>COUNTIFS($A$3:A13100,A4850,$B$3:B13100,B4850)</f>
        <v>1</v>
      </c>
      <c r="G4850" s="116"/>
    </row>
    <row r="4851" spans="1:7" x14ac:dyDescent="0.2">
      <c r="A4851" s="116">
        <f>IF(ISNUMBER(Tabela2[[#This Row],[CT-e/NFS]])=TRUE,(IF(B4851&gt;30000,4,IF(B4851&lt;1000,"ND",0))),"-")</f>
        <v>4</v>
      </c>
      <c r="B4851" s="116">
        <v>49854</v>
      </c>
      <c r="C4851" s="117">
        <v>45555</v>
      </c>
      <c r="D4851" s="116">
        <v>127.17</v>
      </c>
      <c r="E4851" s="117">
        <v>45550</v>
      </c>
      <c r="F4851" s="116">
        <f>COUNTIFS($A$3:A13101,A4851,$B$3:B13101,B4851)</f>
        <v>1</v>
      </c>
      <c r="G4851" s="116"/>
    </row>
    <row r="4852" spans="1:7" x14ac:dyDescent="0.2">
      <c r="A4852" s="116">
        <f>IF(ISNUMBER(Tabela2[[#This Row],[CT-e/NFS]])=TRUE,(IF(B4852&gt;30000,4,IF(B4852&lt;1000,"ND",0))),"-")</f>
        <v>4</v>
      </c>
      <c r="B4852" s="116">
        <v>49814</v>
      </c>
      <c r="C4852" s="117">
        <v>45555</v>
      </c>
      <c r="D4852" s="116">
        <v>104.17</v>
      </c>
      <c r="E4852" s="117">
        <v>45550</v>
      </c>
      <c r="F4852" s="116">
        <f>COUNTIFS($A$3:A13102,A4852,$B$3:B13102,B4852)</f>
        <v>1</v>
      </c>
      <c r="G4852" s="116"/>
    </row>
    <row r="4853" spans="1:7" x14ac:dyDescent="0.2">
      <c r="A4853" s="116">
        <f>IF(ISNUMBER(Tabela2[[#This Row],[CT-e/NFS]])=TRUE,(IF(B4853&gt;30000,4,IF(B4853&lt;1000,"ND",0))),"-")</f>
        <v>4</v>
      </c>
      <c r="B4853" s="116">
        <v>49733</v>
      </c>
      <c r="C4853" s="117">
        <v>45555</v>
      </c>
      <c r="D4853" s="116">
        <v>107.34</v>
      </c>
      <c r="E4853" s="117">
        <v>45550</v>
      </c>
      <c r="F4853" s="116">
        <f>COUNTIFS($A$3:A13103,A4853,$B$3:B13103,B4853)</f>
        <v>1</v>
      </c>
      <c r="G4853" s="116"/>
    </row>
    <row r="4854" spans="1:7" x14ac:dyDescent="0.2">
      <c r="A4854" s="116">
        <f>IF(ISNUMBER(Tabela2[[#This Row],[CT-e/NFS]])=TRUE,(IF(B4854&gt;30000,4,IF(B4854&lt;1000,"ND",0))),"-")</f>
        <v>4</v>
      </c>
      <c r="B4854" s="116">
        <v>49711</v>
      </c>
      <c r="C4854" s="117">
        <v>45540</v>
      </c>
      <c r="D4854" s="116">
        <v>586.42999999999995</v>
      </c>
      <c r="E4854" s="117">
        <v>45550</v>
      </c>
      <c r="F4854" s="116">
        <f>COUNTIFS($A$3:A13104,A4854,$B$3:B13104,B4854)</f>
        <v>1</v>
      </c>
      <c r="G4854" s="116"/>
    </row>
    <row r="4855" spans="1:7" x14ac:dyDescent="0.2">
      <c r="A4855" s="116">
        <f>IF(ISNUMBER(Tabela2[[#This Row],[CT-e/NFS]])=TRUE,(IF(B4855&gt;30000,4,IF(B4855&lt;1000,"ND",0))),"-")</f>
        <v>4</v>
      </c>
      <c r="B4855" s="116">
        <v>49660</v>
      </c>
      <c r="C4855" s="117">
        <v>45540</v>
      </c>
      <c r="D4855" s="116">
        <v>327.61</v>
      </c>
      <c r="E4855" s="117">
        <v>45550</v>
      </c>
      <c r="F4855" s="116">
        <f>COUNTIFS($A$3:A13105,A4855,$B$3:B13105,B4855)</f>
        <v>1</v>
      </c>
      <c r="G4855" s="116"/>
    </row>
    <row r="4856" spans="1:7" x14ac:dyDescent="0.2">
      <c r="A4856" s="116">
        <f>IF(ISNUMBER(Tabela2[[#This Row],[CT-e/NFS]])=TRUE,(IF(B4856&gt;30000,4,IF(B4856&lt;1000,"ND",0))),"-")</f>
        <v>4</v>
      </c>
      <c r="B4856" s="116">
        <v>49648</v>
      </c>
      <c r="C4856" s="117">
        <v>45540</v>
      </c>
      <c r="D4856" s="116">
        <v>571.4</v>
      </c>
      <c r="E4856" s="117">
        <v>45550</v>
      </c>
      <c r="F4856" s="116">
        <f>COUNTIFS($A$3:A13106,A4856,$B$3:B13106,B4856)</f>
        <v>1</v>
      </c>
      <c r="G4856" s="116"/>
    </row>
    <row r="4857" spans="1:7" x14ac:dyDescent="0.2">
      <c r="A4857" s="116">
        <f>IF(ISNUMBER(Tabela2[[#This Row],[CT-e/NFS]])=TRUE,(IF(B4857&gt;30000,4,IF(B4857&lt;1000,"ND",0))),"-")</f>
        <v>4</v>
      </c>
      <c r="B4857" s="116">
        <v>49622</v>
      </c>
      <c r="C4857" s="117">
        <v>45540</v>
      </c>
      <c r="D4857" s="116">
        <v>256.58</v>
      </c>
      <c r="E4857" s="117">
        <v>45550</v>
      </c>
      <c r="F4857" s="116">
        <f>COUNTIFS($A$3:A13107,A4857,$B$3:B13107,B4857)</f>
        <v>1</v>
      </c>
      <c r="G4857" s="116"/>
    </row>
    <row r="4858" spans="1:7" x14ac:dyDescent="0.2">
      <c r="A4858" s="116">
        <f>IF(ISNUMBER(Tabela2[[#This Row],[CT-e/NFS]])=TRUE,(IF(B4858&gt;30000,4,IF(B4858&lt;1000,"ND",0))),"-")</f>
        <v>4</v>
      </c>
      <c r="B4858" s="116">
        <v>49618</v>
      </c>
      <c r="C4858" s="117">
        <v>45540</v>
      </c>
      <c r="D4858" s="116">
        <v>175.42</v>
      </c>
      <c r="E4858" s="117">
        <v>45550</v>
      </c>
      <c r="F4858" s="116">
        <f>COUNTIFS($A$3:A13108,A4858,$B$3:B13108,B4858)</f>
        <v>1</v>
      </c>
      <c r="G4858" s="116"/>
    </row>
    <row r="4859" spans="1:7" x14ac:dyDescent="0.2">
      <c r="A4859" s="116">
        <f>IF(ISNUMBER(Tabela2[[#This Row],[CT-e/NFS]])=TRUE,(IF(B4859&gt;30000,4,IF(B4859&lt;1000,"ND",0))),"-")</f>
        <v>4</v>
      </c>
      <c r="B4859" s="116">
        <v>49599</v>
      </c>
      <c r="C4859" s="117">
        <v>45540</v>
      </c>
      <c r="D4859" s="116">
        <v>512.19000000000005</v>
      </c>
      <c r="E4859" s="117">
        <v>45550</v>
      </c>
      <c r="F4859" s="116">
        <f>COUNTIFS($A$3:A13109,A4859,$B$3:B13109,B4859)</f>
        <v>1</v>
      </c>
      <c r="G4859" s="116"/>
    </row>
    <row r="4860" spans="1:7" x14ac:dyDescent="0.2">
      <c r="A4860" s="116">
        <f>IF(ISNUMBER(Tabela2[[#This Row],[CT-e/NFS]])=TRUE,(IF(B4860&gt;30000,4,IF(B4860&lt;1000,"ND",0))),"-")</f>
        <v>4</v>
      </c>
      <c r="B4860" s="116">
        <v>49594</v>
      </c>
      <c r="C4860" s="117">
        <v>45547</v>
      </c>
      <c r="D4860" s="116">
        <v>590.27</v>
      </c>
      <c r="E4860" s="117">
        <v>45550</v>
      </c>
      <c r="F4860" s="116">
        <f>COUNTIFS($A$3:A13110,A4860,$B$3:B13110,B4860)</f>
        <v>1</v>
      </c>
      <c r="G4860" s="116"/>
    </row>
    <row r="4861" spans="1:7" x14ac:dyDescent="0.2">
      <c r="A4861" s="116">
        <f>IF(ISNUMBER(Tabela2[[#This Row],[CT-e/NFS]])=TRUE,(IF(B4861&gt;30000,4,IF(B4861&lt;1000,"ND",0))),"-")</f>
        <v>4</v>
      </c>
      <c r="B4861" s="116">
        <v>49583</v>
      </c>
      <c r="C4861" s="117">
        <v>45540</v>
      </c>
      <c r="D4861" s="116">
        <v>584.80999999999995</v>
      </c>
      <c r="E4861" s="117">
        <v>45550</v>
      </c>
      <c r="F4861" s="116">
        <f>COUNTIFS($A$3:A13111,A4861,$B$3:B13111,B4861)</f>
        <v>1</v>
      </c>
      <c r="G4861" s="116"/>
    </row>
    <row r="4862" spans="1:7" x14ac:dyDescent="0.2">
      <c r="A4862" s="116">
        <f>IF(ISNUMBER(Tabela2[[#This Row],[CT-e/NFS]])=TRUE,(IF(B4862&gt;30000,4,IF(B4862&lt;1000,"ND",0))),"-")</f>
        <v>4</v>
      </c>
      <c r="B4862" s="116">
        <v>49558</v>
      </c>
      <c r="C4862" s="117">
        <v>45547</v>
      </c>
      <c r="D4862" s="116">
        <v>671.05</v>
      </c>
      <c r="E4862" s="117">
        <v>45550</v>
      </c>
      <c r="F4862" s="116">
        <f>COUNTIFS($A$3:A13112,A4862,$B$3:B13112,B4862)</f>
        <v>1</v>
      </c>
      <c r="G4862" s="116"/>
    </row>
    <row r="4863" spans="1:7" x14ac:dyDescent="0.2">
      <c r="A4863" s="116">
        <f>IF(ISNUMBER(Tabela2[[#This Row],[CT-e/NFS]])=TRUE,(IF(B4863&gt;30000,4,IF(B4863&lt;1000,"ND",0))),"-")</f>
        <v>4</v>
      </c>
      <c r="B4863" s="116">
        <v>49529</v>
      </c>
      <c r="C4863" s="117">
        <v>45547</v>
      </c>
      <c r="D4863" s="116">
        <v>989.11</v>
      </c>
      <c r="E4863" s="117">
        <v>45550</v>
      </c>
      <c r="F4863" s="116">
        <f>COUNTIFS($A$3:A13113,A4863,$B$3:B13113,B4863)</f>
        <v>1</v>
      </c>
      <c r="G4863" s="116"/>
    </row>
    <row r="4864" spans="1:7" x14ac:dyDescent="0.2">
      <c r="A4864" s="116">
        <f>IF(ISNUMBER(Tabela2[[#This Row],[CT-e/NFS]])=TRUE,(IF(B4864&gt;30000,4,IF(B4864&lt;1000,"ND",0))),"-")</f>
        <v>4</v>
      </c>
      <c r="B4864" s="116">
        <v>49524</v>
      </c>
      <c r="C4864" s="117">
        <v>45540</v>
      </c>
      <c r="D4864" s="116">
        <v>111.03</v>
      </c>
      <c r="E4864" s="117">
        <v>45550</v>
      </c>
      <c r="F4864" s="116">
        <f>COUNTIFS($A$3:A13114,A4864,$B$3:B13114,B4864)</f>
        <v>1</v>
      </c>
      <c r="G4864" s="116"/>
    </row>
    <row r="4865" spans="1:7" x14ac:dyDescent="0.2">
      <c r="A4865" s="116">
        <f>IF(ISNUMBER(Tabela2[[#This Row],[CT-e/NFS]])=TRUE,(IF(B4865&gt;30000,4,IF(B4865&lt;1000,"ND",0))),"-")</f>
        <v>4</v>
      </c>
      <c r="B4865" s="116">
        <v>49523</v>
      </c>
      <c r="C4865" s="117">
        <v>45540</v>
      </c>
      <c r="D4865" s="116">
        <v>112.5</v>
      </c>
      <c r="E4865" s="117">
        <v>45550</v>
      </c>
      <c r="F4865" s="116">
        <f>COUNTIFS($A$3:A13115,A4865,$B$3:B13115,B4865)</f>
        <v>1</v>
      </c>
      <c r="G4865" s="116"/>
    </row>
    <row r="4866" spans="1:7" x14ac:dyDescent="0.2">
      <c r="A4866" s="116">
        <f>IF(ISNUMBER(Tabela2[[#This Row],[CT-e/NFS]])=TRUE,(IF(B4866&gt;30000,4,IF(B4866&lt;1000,"ND",0))),"-")</f>
        <v>4</v>
      </c>
      <c r="B4866" s="116">
        <v>49503</v>
      </c>
      <c r="C4866" s="117">
        <v>45540</v>
      </c>
      <c r="D4866" s="116">
        <v>105.89</v>
      </c>
      <c r="E4866" s="117">
        <v>45550</v>
      </c>
      <c r="F4866" s="116">
        <f>COUNTIFS($A$3:A13116,A4866,$B$3:B13116,B4866)</f>
        <v>1</v>
      </c>
      <c r="G4866" s="116"/>
    </row>
    <row r="4867" spans="1:7" x14ac:dyDescent="0.2">
      <c r="A4867" s="116">
        <f>IF(ISNUMBER(Tabela2[[#This Row],[CT-e/NFS]])=TRUE,(IF(B4867&gt;30000,4,IF(B4867&lt;1000,"ND",0))),"-")</f>
        <v>4</v>
      </c>
      <c r="B4867" s="116">
        <v>49501</v>
      </c>
      <c r="C4867" s="117">
        <v>45547</v>
      </c>
      <c r="D4867" s="116">
        <v>352.82</v>
      </c>
      <c r="E4867" s="117">
        <v>45550</v>
      </c>
      <c r="F4867" s="116">
        <f>COUNTIFS($A$3:A13117,A4867,$B$3:B13117,B4867)</f>
        <v>1</v>
      </c>
      <c r="G4867" s="116"/>
    </row>
    <row r="4868" spans="1:7" x14ac:dyDescent="0.2">
      <c r="A4868" s="116">
        <f>IF(ISNUMBER(Tabela2[[#This Row],[CT-e/NFS]])=TRUE,(IF(B4868&gt;30000,4,IF(B4868&lt;1000,"ND",0))),"-")</f>
        <v>4</v>
      </c>
      <c r="B4868" s="116">
        <v>49500</v>
      </c>
      <c r="C4868" s="117">
        <v>45547</v>
      </c>
      <c r="D4868" s="116">
        <v>244.25</v>
      </c>
      <c r="E4868" s="117">
        <v>45550</v>
      </c>
      <c r="F4868" s="116">
        <f>COUNTIFS($A$3:A13118,A4868,$B$3:B13118,B4868)</f>
        <v>1</v>
      </c>
      <c r="G4868" s="116"/>
    </row>
    <row r="4869" spans="1:7" x14ac:dyDescent="0.2">
      <c r="A4869" s="116">
        <f>IF(ISNUMBER(Tabela2[[#This Row],[CT-e/NFS]])=TRUE,(IF(B4869&gt;30000,4,IF(B4869&lt;1000,"ND",0))),"-")</f>
        <v>4</v>
      </c>
      <c r="B4869" s="116">
        <v>49476</v>
      </c>
      <c r="C4869" s="117">
        <v>45540</v>
      </c>
      <c r="D4869" s="116">
        <v>553.53</v>
      </c>
      <c r="E4869" s="117">
        <v>45550</v>
      </c>
      <c r="F4869" s="116">
        <f>COUNTIFS($A$3:A13119,A4869,$B$3:B13119,B4869)</f>
        <v>1</v>
      </c>
      <c r="G4869" s="116"/>
    </row>
    <row r="4870" spans="1:7" x14ac:dyDescent="0.2">
      <c r="A4870" s="116">
        <f>IF(ISNUMBER(Tabela2[[#This Row],[CT-e/NFS]])=TRUE,(IF(B4870&gt;30000,4,IF(B4870&lt;1000,"ND",0))),"-")</f>
        <v>4</v>
      </c>
      <c r="B4870" s="116">
        <v>49475</v>
      </c>
      <c r="C4870" s="117">
        <v>45540</v>
      </c>
      <c r="D4870" s="116">
        <v>151.26</v>
      </c>
      <c r="E4870" s="117">
        <v>45550</v>
      </c>
      <c r="F4870" s="116">
        <f>COUNTIFS($A$3:A13120,A4870,$B$3:B13120,B4870)</f>
        <v>1</v>
      </c>
      <c r="G4870" s="116"/>
    </row>
    <row r="4871" spans="1:7" x14ac:dyDescent="0.2">
      <c r="A4871" s="116">
        <f>IF(ISNUMBER(Tabela2[[#This Row],[CT-e/NFS]])=TRUE,(IF(B4871&gt;30000,4,IF(B4871&lt;1000,"ND",0))),"-")</f>
        <v>4</v>
      </c>
      <c r="B4871" s="116">
        <v>49470</v>
      </c>
      <c r="C4871" s="117">
        <v>45540</v>
      </c>
      <c r="D4871" s="116">
        <v>488.51</v>
      </c>
      <c r="E4871" s="117">
        <v>45550</v>
      </c>
      <c r="F4871" s="116">
        <f>COUNTIFS($A$3:A13121,A4871,$B$3:B13121,B4871)</f>
        <v>1</v>
      </c>
      <c r="G4871" s="116"/>
    </row>
    <row r="4872" spans="1:7" x14ac:dyDescent="0.2">
      <c r="A4872" s="116">
        <f>IF(ISNUMBER(Tabela2[[#This Row],[CT-e/NFS]])=TRUE,(IF(B4872&gt;30000,4,IF(B4872&lt;1000,"ND",0))),"-")</f>
        <v>4</v>
      </c>
      <c r="B4872" s="116">
        <v>49468</v>
      </c>
      <c r="C4872" s="117">
        <v>45540</v>
      </c>
      <c r="D4872" s="116">
        <v>142.61000000000001</v>
      </c>
      <c r="E4872" s="117">
        <v>45550</v>
      </c>
      <c r="F4872" s="116">
        <f>COUNTIFS($A$3:A13122,A4872,$B$3:B13122,B4872)</f>
        <v>1</v>
      </c>
      <c r="G4872" s="116"/>
    </row>
    <row r="4873" spans="1:7" x14ac:dyDescent="0.2">
      <c r="A4873" s="116">
        <f>IF(ISNUMBER(Tabela2[[#This Row],[CT-e/NFS]])=TRUE,(IF(B4873&gt;30000,4,IF(B4873&lt;1000,"ND",0))),"-")</f>
        <v>4</v>
      </c>
      <c r="B4873" s="116">
        <v>49467</v>
      </c>
      <c r="C4873" s="117">
        <v>45540</v>
      </c>
      <c r="D4873" s="116">
        <v>901.64</v>
      </c>
      <c r="E4873" s="117">
        <v>45550</v>
      </c>
      <c r="F4873" s="116">
        <f>COUNTIFS($A$3:A13123,A4873,$B$3:B13123,B4873)</f>
        <v>1</v>
      </c>
      <c r="G4873" s="116"/>
    </row>
    <row r="4874" spans="1:7" x14ac:dyDescent="0.2">
      <c r="A4874" s="116">
        <f>IF(ISNUMBER(Tabela2[[#This Row],[CT-e/NFS]])=TRUE,(IF(B4874&gt;30000,4,IF(B4874&lt;1000,"ND",0))),"-")</f>
        <v>4</v>
      </c>
      <c r="B4874" s="116">
        <v>49466</v>
      </c>
      <c r="C4874" s="117">
        <v>45540</v>
      </c>
      <c r="D4874" s="116">
        <v>168.45</v>
      </c>
      <c r="E4874" s="117">
        <v>45550</v>
      </c>
      <c r="F4874" s="116">
        <f>COUNTIFS($A$3:A13124,A4874,$B$3:B13124,B4874)</f>
        <v>1</v>
      </c>
      <c r="G4874" s="116"/>
    </row>
    <row r="4875" spans="1:7" x14ac:dyDescent="0.2">
      <c r="A4875" s="116">
        <f>IF(ISNUMBER(Tabela2[[#This Row],[CT-e/NFS]])=TRUE,(IF(B4875&gt;30000,4,IF(B4875&lt;1000,"ND",0))),"-")</f>
        <v>4</v>
      </c>
      <c r="B4875" s="116">
        <v>49450</v>
      </c>
      <c r="C4875" s="117">
        <v>45540</v>
      </c>
      <c r="D4875" s="116">
        <v>326.97000000000003</v>
      </c>
      <c r="E4875" s="117">
        <v>45550</v>
      </c>
      <c r="F4875" s="116">
        <f>COUNTIFS($A$3:A13125,A4875,$B$3:B13125,B4875)</f>
        <v>1</v>
      </c>
      <c r="G4875" s="116"/>
    </row>
    <row r="4876" spans="1:7" x14ac:dyDescent="0.2">
      <c r="A4876" s="116">
        <f>IF(ISNUMBER(Tabela2[[#This Row],[CT-e/NFS]])=TRUE,(IF(B4876&gt;30000,4,IF(B4876&lt;1000,"ND",0))),"-")</f>
        <v>4</v>
      </c>
      <c r="B4876" s="116">
        <v>49430</v>
      </c>
      <c r="C4876" s="117">
        <v>45540</v>
      </c>
      <c r="D4876" s="116">
        <v>150.34</v>
      </c>
      <c r="E4876" s="117">
        <v>45550</v>
      </c>
      <c r="F4876" s="116">
        <f>COUNTIFS($A$3:A13126,A4876,$B$3:B13126,B4876)</f>
        <v>1</v>
      </c>
      <c r="G4876" s="116"/>
    </row>
    <row r="4877" spans="1:7" x14ac:dyDescent="0.2">
      <c r="A4877" s="116">
        <f>IF(ISNUMBER(Tabela2[[#This Row],[CT-e/NFS]])=TRUE,(IF(B4877&gt;30000,4,IF(B4877&lt;1000,"ND",0))),"-")</f>
        <v>4</v>
      </c>
      <c r="B4877" s="116">
        <v>49429</v>
      </c>
      <c r="C4877" s="117">
        <v>45540</v>
      </c>
      <c r="D4877" s="116">
        <v>104.17</v>
      </c>
      <c r="E4877" s="117">
        <v>45550</v>
      </c>
      <c r="F4877" s="116">
        <f>COUNTIFS($A$3:A13127,A4877,$B$3:B13127,B4877)</f>
        <v>1</v>
      </c>
      <c r="G4877" s="116"/>
    </row>
    <row r="4878" spans="1:7" x14ac:dyDescent="0.2">
      <c r="A4878" s="116">
        <f>IF(ISNUMBER(Tabela2[[#This Row],[CT-e/NFS]])=TRUE,(IF(B4878&gt;30000,4,IF(B4878&lt;1000,"ND",0))),"-")</f>
        <v>4</v>
      </c>
      <c r="B4878" s="116">
        <v>49428</v>
      </c>
      <c r="C4878" s="117">
        <v>45540</v>
      </c>
      <c r="D4878" s="116">
        <v>54.33</v>
      </c>
      <c r="E4878" s="117">
        <v>45550</v>
      </c>
      <c r="F4878" s="116">
        <f>COUNTIFS($A$3:A13128,A4878,$B$3:B13128,B4878)</f>
        <v>1</v>
      </c>
      <c r="G4878" s="116"/>
    </row>
    <row r="4879" spans="1:7" x14ac:dyDescent="0.2">
      <c r="A4879" s="116">
        <f>IF(ISNUMBER(Tabela2[[#This Row],[CT-e/NFS]])=TRUE,(IF(B4879&gt;30000,4,IF(B4879&lt;1000,"ND",0))),"-")</f>
        <v>4</v>
      </c>
      <c r="B4879" s="116">
        <v>49402</v>
      </c>
      <c r="C4879" s="117">
        <v>45540</v>
      </c>
      <c r="D4879" s="116">
        <v>416.19</v>
      </c>
      <c r="E4879" s="117">
        <v>45550</v>
      </c>
      <c r="F4879" s="116">
        <f>COUNTIFS($A$3:A13129,A4879,$B$3:B13129,B4879)</f>
        <v>1</v>
      </c>
      <c r="G4879" s="116"/>
    </row>
    <row r="4880" spans="1:7" x14ac:dyDescent="0.2">
      <c r="A4880" s="116">
        <f>IF(ISNUMBER(Tabela2[[#This Row],[CT-e/NFS]])=TRUE,(IF(B4880&gt;30000,4,IF(B4880&lt;1000,"ND",0))),"-")</f>
        <v>4</v>
      </c>
      <c r="B4880" s="116">
        <v>49352</v>
      </c>
      <c r="C4880" s="117">
        <v>45533</v>
      </c>
      <c r="D4880" s="116">
        <v>117.2</v>
      </c>
      <c r="E4880" s="117">
        <v>45550</v>
      </c>
      <c r="F4880" s="116">
        <f>COUNTIFS($A$3:A13130,A4880,$B$3:B13130,B4880)</f>
        <v>1</v>
      </c>
      <c r="G4880" s="116"/>
    </row>
    <row r="4881" spans="1:7" x14ac:dyDescent="0.2">
      <c r="A4881" s="116">
        <f>IF(ISNUMBER(Tabela2[[#This Row],[CT-e/NFS]])=TRUE,(IF(B4881&gt;30000,4,IF(B4881&lt;1000,"ND",0))),"-")</f>
        <v>4</v>
      </c>
      <c r="B4881" s="116">
        <v>49329</v>
      </c>
      <c r="C4881" s="117">
        <v>45533</v>
      </c>
      <c r="D4881" s="116">
        <v>609.98</v>
      </c>
      <c r="E4881" s="117">
        <v>45550</v>
      </c>
      <c r="F4881" s="116">
        <f>COUNTIFS($A$3:A13131,A4881,$B$3:B13131,B4881)</f>
        <v>1</v>
      </c>
      <c r="G4881" s="116"/>
    </row>
    <row r="4882" spans="1:7" x14ac:dyDescent="0.2">
      <c r="A4882" s="116">
        <f>IF(ISNUMBER(Tabela2[[#This Row],[CT-e/NFS]])=TRUE,(IF(B4882&gt;30000,4,IF(B4882&lt;1000,"ND",0))),"-")</f>
        <v>4</v>
      </c>
      <c r="B4882" s="116">
        <v>49326</v>
      </c>
      <c r="C4882" s="117">
        <v>45533</v>
      </c>
      <c r="D4882" s="116">
        <v>106.65</v>
      </c>
      <c r="E4882" s="117">
        <v>45550</v>
      </c>
      <c r="F4882" s="116">
        <f>COUNTIFS($A$3:A13132,A4882,$B$3:B13132,B4882)</f>
        <v>1</v>
      </c>
      <c r="G4882" s="116"/>
    </row>
    <row r="4883" spans="1:7" x14ac:dyDescent="0.2">
      <c r="A4883" s="116">
        <f>IF(ISNUMBER(Tabela2[[#This Row],[CT-e/NFS]])=TRUE,(IF(B4883&gt;30000,4,IF(B4883&lt;1000,"ND",0))),"-")</f>
        <v>4</v>
      </c>
      <c r="B4883" s="116">
        <v>49293</v>
      </c>
      <c r="C4883" s="117">
        <v>45533</v>
      </c>
      <c r="D4883" s="116">
        <v>318.93</v>
      </c>
      <c r="E4883" s="117">
        <v>45550</v>
      </c>
      <c r="F4883" s="116">
        <f>COUNTIFS($A$3:A13133,A4883,$B$3:B13133,B4883)</f>
        <v>1</v>
      </c>
      <c r="G4883" s="116"/>
    </row>
    <row r="4884" spans="1:7" x14ac:dyDescent="0.2">
      <c r="A4884" s="116">
        <f>IF(ISNUMBER(Tabela2[[#This Row],[CT-e/NFS]])=TRUE,(IF(B4884&gt;30000,4,IF(B4884&lt;1000,"ND",0))),"-")</f>
        <v>4</v>
      </c>
      <c r="B4884" s="116">
        <v>49292</v>
      </c>
      <c r="C4884" s="117">
        <v>45533</v>
      </c>
      <c r="D4884" s="116">
        <v>234.43</v>
      </c>
      <c r="E4884" s="117">
        <v>45550</v>
      </c>
      <c r="F4884" s="116">
        <f>COUNTIFS($A$3:A13134,A4884,$B$3:B13134,B4884)</f>
        <v>1</v>
      </c>
      <c r="G4884" s="116"/>
    </row>
    <row r="4885" spans="1:7" x14ac:dyDescent="0.2">
      <c r="A4885" s="116">
        <f>IF(ISNUMBER(Tabela2[[#This Row],[CT-e/NFS]])=TRUE,(IF(B4885&gt;30000,4,IF(B4885&lt;1000,"ND",0))),"-")</f>
        <v>4</v>
      </c>
      <c r="B4885" s="116">
        <v>49277</v>
      </c>
      <c r="C4885" s="117">
        <v>45533</v>
      </c>
      <c r="D4885" s="116">
        <v>494.94</v>
      </c>
      <c r="E4885" s="117">
        <v>45550</v>
      </c>
      <c r="F4885" s="116">
        <f>COUNTIFS($A$3:A13135,A4885,$B$3:B13135,B4885)</f>
        <v>1</v>
      </c>
      <c r="G4885" s="116"/>
    </row>
    <row r="4886" spans="1:7" x14ac:dyDescent="0.2">
      <c r="A4886" s="116">
        <f>IF(ISNUMBER(Tabela2[[#This Row],[CT-e/NFS]])=TRUE,(IF(B4886&gt;30000,4,IF(B4886&lt;1000,"ND",0))),"-")</f>
        <v>4</v>
      </c>
      <c r="B4886" s="116">
        <v>49219</v>
      </c>
      <c r="C4886" s="117">
        <v>45523</v>
      </c>
      <c r="D4886" s="116">
        <v>183.83</v>
      </c>
      <c r="E4886" s="117">
        <v>45550</v>
      </c>
      <c r="F4886" s="116">
        <f>COUNTIFS($A$3:A13136,A4886,$B$3:B13136,B4886)</f>
        <v>1</v>
      </c>
      <c r="G4886" s="116"/>
    </row>
    <row r="4887" spans="1:7" x14ac:dyDescent="0.2">
      <c r="A4887" s="116">
        <f>IF(ISNUMBER(Tabela2[[#This Row],[CT-e/NFS]])=TRUE,(IF(B4887&gt;30000,4,IF(B4887&lt;1000,"ND",0))),"-")</f>
        <v>4</v>
      </c>
      <c r="B4887" s="116">
        <v>49213</v>
      </c>
      <c r="C4887" s="117">
        <v>45526</v>
      </c>
      <c r="D4887" s="116">
        <v>352.82</v>
      </c>
      <c r="E4887" s="117">
        <v>45550</v>
      </c>
      <c r="F4887" s="116">
        <f>COUNTIFS($A$3:A13137,A4887,$B$3:B13137,B4887)</f>
        <v>1</v>
      </c>
      <c r="G4887" s="116"/>
    </row>
    <row r="4888" spans="1:7" x14ac:dyDescent="0.2">
      <c r="A4888" s="116">
        <f>IF(ISNUMBER(Tabela2[[#This Row],[CT-e/NFS]])=TRUE,(IF(B4888&gt;30000,4,IF(B4888&lt;1000,"ND",0))),"-")</f>
        <v>4</v>
      </c>
      <c r="B4888" s="116">
        <v>49179</v>
      </c>
      <c r="C4888" s="117">
        <v>45526</v>
      </c>
      <c r="D4888" s="116">
        <v>494.94</v>
      </c>
      <c r="E4888" s="117">
        <v>45550</v>
      </c>
      <c r="F4888" s="116">
        <f>COUNTIFS($A$3:A13138,A4888,$B$3:B13138,B4888)</f>
        <v>1</v>
      </c>
      <c r="G4888" s="116"/>
    </row>
    <row r="4889" spans="1:7" x14ac:dyDescent="0.2">
      <c r="A4889" s="116">
        <f>IF(ISNUMBER(Tabela2[[#This Row],[CT-e/NFS]])=TRUE,(IF(B4889&gt;30000,4,IF(B4889&lt;1000,"ND",0))),"-")</f>
        <v>4</v>
      </c>
      <c r="B4889" s="116">
        <v>49178</v>
      </c>
      <c r="C4889" s="117">
        <v>45526</v>
      </c>
      <c r="D4889" s="116">
        <v>925.63</v>
      </c>
      <c r="E4889" s="117">
        <v>45550</v>
      </c>
      <c r="F4889" s="116">
        <f>COUNTIFS($A$3:A13139,A4889,$B$3:B13139,B4889)</f>
        <v>1</v>
      </c>
      <c r="G4889" s="116"/>
    </row>
    <row r="4890" spans="1:7" x14ac:dyDescent="0.2">
      <c r="A4890" s="116">
        <f>IF(ISNUMBER(Tabela2[[#This Row],[CT-e/NFS]])=TRUE,(IF(B4890&gt;30000,4,IF(B4890&lt;1000,"ND",0))),"-")</f>
        <v>4</v>
      </c>
      <c r="B4890" s="116">
        <v>49176</v>
      </c>
      <c r="C4890" s="117">
        <v>45526</v>
      </c>
      <c r="D4890" s="116">
        <v>259.88</v>
      </c>
      <c r="E4890" s="117">
        <v>45550</v>
      </c>
      <c r="F4890" s="116">
        <f>COUNTIFS($A$3:A13140,A4890,$B$3:B13140,B4890)</f>
        <v>1</v>
      </c>
      <c r="G4890" s="116"/>
    </row>
    <row r="4891" spans="1:7" x14ac:dyDescent="0.2">
      <c r="A4891" s="116">
        <f>IF(ISNUMBER(Tabela2[[#This Row],[CT-e/NFS]])=TRUE,(IF(B4891&gt;30000,4,IF(B4891&lt;1000,"ND",0))),"-")</f>
        <v>4</v>
      </c>
      <c r="B4891" s="116">
        <v>49174</v>
      </c>
      <c r="C4891" s="117">
        <v>45526</v>
      </c>
      <c r="D4891" s="116">
        <v>494.94</v>
      </c>
      <c r="E4891" s="117">
        <v>45550</v>
      </c>
      <c r="F4891" s="116">
        <f>COUNTIFS($A$3:A13141,A4891,$B$3:B13141,B4891)</f>
        <v>1</v>
      </c>
      <c r="G4891" s="116"/>
    </row>
    <row r="4892" spans="1:7" x14ac:dyDescent="0.2">
      <c r="A4892" s="116">
        <f>IF(ISNUMBER(Tabela2[[#This Row],[CT-e/NFS]])=TRUE,(IF(B4892&gt;30000,4,IF(B4892&lt;1000,"ND",0))),"-")</f>
        <v>4</v>
      </c>
      <c r="B4892" s="116">
        <v>49146</v>
      </c>
      <c r="C4892" s="117">
        <v>45526</v>
      </c>
      <c r="D4892" s="116">
        <v>352.82</v>
      </c>
      <c r="E4892" s="117">
        <v>45550</v>
      </c>
      <c r="F4892" s="116">
        <f>COUNTIFS($A$3:A13142,A4892,$B$3:B13142,B4892)</f>
        <v>1</v>
      </c>
      <c r="G4892" s="116"/>
    </row>
    <row r="4893" spans="1:7" x14ac:dyDescent="0.2">
      <c r="A4893" s="116">
        <f>IF(ISNUMBER(Tabela2[[#This Row],[CT-e/NFS]])=TRUE,(IF(B4893&gt;30000,4,IF(B4893&lt;1000,"ND",0))),"-")</f>
        <v>4</v>
      </c>
      <c r="B4893" s="116">
        <v>49115</v>
      </c>
      <c r="C4893" s="117">
        <v>45526</v>
      </c>
      <c r="D4893" s="116">
        <v>572.20000000000005</v>
      </c>
      <c r="E4893" s="117">
        <v>45550</v>
      </c>
      <c r="F4893" s="116">
        <f>COUNTIFS($A$3:A13143,A4893,$B$3:B13143,B4893)</f>
        <v>1</v>
      </c>
      <c r="G4893" s="116"/>
    </row>
    <row r="4894" spans="1:7" x14ac:dyDescent="0.2">
      <c r="A4894" s="116">
        <f>IF(ISNUMBER(Tabela2[[#This Row],[CT-e/NFS]])=TRUE,(IF(B4894&gt;30000,4,IF(B4894&lt;1000,"ND",0))),"-")</f>
        <v>4</v>
      </c>
      <c r="B4894" s="116">
        <v>49114</v>
      </c>
      <c r="C4894" s="117">
        <v>45526</v>
      </c>
      <c r="D4894" s="116">
        <v>569.91999999999996</v>
      </c>
      <c r="E4894" s="117">
        <v>45550</v>
      </c>
      <c r="F4894" s="116">
        <f>COUNTIFS($A$3:A13144,A4894,$B$3:B13144,B4894)</f>
        <v>1</v>
      </c>
      <c r="G4894" s="116"/>
    </row>
    <row r="4895" spans="1:7" x14ac:dyDescent="0.2">
      <c r="A4895" s="116">
        <f>IF(ISNUMBER(Tabela2[[#This Row],[CT-e/NFS]])=TRUE,(IF(B4895&gt;30000,4,IF(B4895&lt;1000,"ND",0))),"-")</f>
        <v>4</v>
      </c>
      <c r="B4895" s="116">
        <v>49015</v>
      </c>
      <c r="C4895" s="117">
        <v>45519</v>
      </c>
      <c r="D4895" s="116">
        <v>2110.0500000000002</v>
      </c>
      <c r="E4895" s="117">
        <v>45550</v>
      </c>
      <c r="F4895" s="116">
        <f>COUNTIFS($A$3:A13145,A4895,$B$3:B13145,B4895)</f>
        <v>1</v>
      </c>
      <c r="G4895" s="116"/>
    </row>
    <row r="4896" spans="1:7" x14ac:dyDescent="0.2">
      <c r="A4896" s="116">
        <f>IF(ISNUMBER(Tabela2[[#This Row],[CT-e/NFS]])=TRUE,(IF(B4896&gt;30000,4,IF(B4896&lt;1000,"ND",0))),"-")</f>
        <v>4</v>
      </c>
      <c r="B4896" s="116">
        <v>49014</v>
      </c>
      <c r="C4896" s="117">
        <v>45519</v>
      </c>
      <c r="D4896" s="116">
        <v>1136.6600000000001</v>
      </c>
      <c r="E4896" s="117">
        <v>45550</v>
      </c>
      <c r="F4896" s="116">
        <f>COUNTIFS($A$3:A13146,A4896,$B$3:B13146,B4896)</f>
        <v>1</v>
      </c>
      <c r="G4896" s="116"/>
    </row>
    <row r="4897" spans="1:7" x14ac:dyDescent="0.2">
      <c r="A4897" s="116">
        <f>IF(ISNUMBER(Tabela2[[#This Row],[CT-e/NFS]])=TRUE,(IF(B4897&gt;30000,4,IF(B4897&lt;1000,"ND",0))),"-")</f>
        <v>4</v>
      </c>
      <c r="B4897" s="116">
        <v>49008</v>
      </c>
      <c r="C4897" s="117">
        <v>45519</v>
      </c>
      <c r="D4897" s="116">
        <v>2110.0500000000002</v>
      </c>
      <c r="E4897" s="117">
        <v>45550</v>
      </c>
      <c r="F4897" s="116">
        <f>COUNTIFS($A$3:A13147,A4897,$B$3:B13147,B4897)</f>
        <v>1</v>
      </c>
      <c r="G4897" s="116"/>
    </row>
    <row r="4898" spans="1:7" x14ac:dyDescent="0.2">
      <c r="A4898" s="116">
        <f>IF(ISNUMBER(Tabela2[[#This Row],[CT-e/NFS]])=TRUE,(IF(B4898&gt;30000,4,IF(B4898&lt;1000,"ND",0))),"-")</f>
        <v>4</v>
      </c>
      <c r="B4898" s="116">
        <v>48987</v>
      </c>
      <c r="C4898" s="117">
        <v>45512</v>
      </c>
      <c r="D4898" s="116">
        <v>804.55</v>
      </c>
      <c r="E4898" s="117">
        <v>45550</v>
      </c>
      <c r="F4898" s="116">
        <f>COUNTIFS($A$3:A13148,A4898,$B$3:B13148,B4898)</f>
        <v>1</v>
      </c>
      <c r="G4898" s="116"/>
    </row>
    <row r="4899" spans="1:7" x14ac:dyDescent="0.2">
      <c r="A4899" s="116">
        <f>IF(ISNUMBER(Tabela2[[#This Row],[CT-e/NFS]])=TRUE,(IF(B4899&gt;30000,4,IF(B4899&lt;1000,"ND",0))),"-")</f>
        <v>4</v>
      </c>
      <c r="B4899" s="116">
        <v>48947</v>
      </c>
      <c r="C4899" s="117">
        <v>45512</v>
      </c>
      <c r="D4899" s="116">
        <v>566.59</v>
      </c>
      <c r="E4899" s="117">
        <v>45550</v>
      </c>
      <c r="F4899" s="116">
        <f>COUNTIFS($A$3:A13149,A4899,$B$3:B13149,B4899)</f>
        <v>1</v>
      </c>
      <c r="G4899" s="116"/>
    </row>
    <row r="4900" spans="1:7" x14ac:dyDescent="0.2">
      <c r="A4900" s="116">
        <f>IF(ISNUMBER(Tabela2[[#This Row],[CT-e/NFS]])=TRUE,(IF(B4900&gt;30000,4,IF(B4900&lt;1000,"ND",0))),"-")</f>
        <v>4</v>
      </c>
      <c r="B4900" s="116">
        <v>48945</v>
      </c>
      <c r="C4900" s="117">
        <v>45512</v>
      </c>
      <c r="D4900" s="116">
        <v>488.51</v>
      </c>
      <c r="E4900" s="117">
        <v>45550</v>
      </c>
      <c r="F4900" s="116">
        <f>COUNTIFS($A$3:A13150,A4900,$B$3:B13150,B4900)</f>
        <v>1</v>
      </c>
      <c r="G4900" s="116"/>
    </row>
    <row r="4901" spans="1:7" x14ac:dyDescent="0.2">
      <c r="A4901" s="116">
        <f>IF(ISNUMBER(Tabela2[[#This Row],[CT-e/NFS]])=TRUE,(IF(B4901&gt;30000,4,IF(B4901&lt;1000,"ND",0))),"-")</f>
        <v>4</v>
      </c>
      <c r="B4901" s="116">
        <v>48910</v>
      </c>
      <c r="C4901" s="117">
        <v>45512</v>
      </c>
      <c r="D4901" s="116">
        <v>136.80000000000001</v>
      </c>
      <c r="E4901" s="117">
        <v>45550</v>
      </c>
      <c r="F4901" s="116">
        <f>COUNTIFS($A$3:A13151,A4901,$B$3:B13151,B4901)</f>
        <v>1</v>
      </c>
      <c r="G4901" s="116"/>
    </row>
    <row r="4902" spans="1:7" x14ac:dyDescent="0.2">
      <c r="A4902" s="116">
        <f>IF(ISNUMBER(Tabela2[[#This Row],[CT-e/NFS]])=TRUE,(IF(B4902&gt;30000,4,IF(B4902&lt;1000,"ND",0))),"-")</f>
        <v>4</v>
      </c>
      <c r="B4902" s="116">
        <v>48902</v>
      </c>
      <c r="C4902" s="117">
        <v>45512</v>
      </c>
      <c r="D4902" s="116">
        <v>131.16</v>
      </c>
      <c r="E4902" s="117">
        <v>45550</v>
      </c>
      <c r="F4902" s="116">
        <f>COUNTIFS($A$3:A13152,A4902,$B$3:B13152,B4902)</f>
        <v>1</v>
      </c>
      <c r="G4902" s="116"/>
    </row>
    <row r="4903" spans="1:7" x14ac:dyDescent="0.2">
      <c r="A4903" s="116">
        <f>IF(ISNUMBER(Tabela2[[#This Row],[CT-e/NFS]])=TRUE,(IF(B4903&gt;30000,4,IF(B4903&lt;1000,"ND",0))),"-")</f>
        <v>4</v>
      </c>
      <c r="B4903" s="116">
        <v>48881</v>
      </c>
      <c r="C4903" s="117">
        <v>45492</v>
      </c>
      <c r="D4903" s="116">
        <v>141.38999999999999</v>
      </c>
      <c r="E4903" s="117">
        <v>45550</v>
      </c>
      <c r="F4903" s="116">
        <f>COUNTIFS($A$3:A13153,A4903,$B$3:B13153,B4903)</f>
        <v>1</v>
      </c>
      <c r="G4903" s="116"/>
    </row>
    <row r="4904" spans="1:7" x14ac:dyDescent="0.2">
      <c r="A4904" s="116">
        <f>IF(ISNUMBER(Tabela2[[#This Row],[CT-e/NFS]])=TRUE,(IF(B4904&gt;30000,4,IF(B4904&lt;1000,"ND",0))),"-")</f>
        <v>4</v>
      </c>
      <c r="B4904" s="116">
        <v>48879</v>
      </c>
      <c r="C4904" s="117">
        <v>45505</v>
      </c>
      <c r="D4904" s="116">
        <v>989.11</v>
      </c>
      <c r="E4904" s="117">
        <v>45550</v>
      </c>
      <c r="F4904" s="116">
        <f>COUNTIFS($A$3:A13154,A4904,$B$3:B13154,B4904)</f>
        <v>1</v>
      </c>
      <c r="G4904" s="116"/>
    </row>
    <row r="4905" spans="1:7" x14ac:dyDescent="0.2">
      <c r="A4905" s="116">
        <f>IF(ISNUMBER(Tabela2[[#This Row],[CT-e/NFS]])=TRUE,(IF(B4905&gt;30000,4,IF(B4905&lt;1000,"ND",0))),"-")</f>
        <v>4</v>
      </c>
      <c r="B4905" s="116">
        <v>48876</v>
      </c>
      <c r="C4905" s="117">
        <v>45492</v>
      </c>
      <c r="D4905" s="116">
        <v>130.91999999999999</v>
      </c>
      <c r="E4905" s="117">
        <v>45550</v>
      </c>
      <c r="F4905" s="116">
        <f>COUNTIFS($A$3:A13155,A4905,$B$3:B13155,B4905)</f>
        <v>1</v>
      </c>
      <c r="G4905" s="116"/>
    </row>
    <row r="4906" spans="1:7" x14ac:dyDescent="0.2">
      <c r="A4906" s="116">
        <f>IF(ISNUMBER(Tabela2[[#This Row],[CT-e/NFS]])=TRUE,(IF(B4906&gt;30000,4,IF(B4906&lt;1000,"ND",0))),"-")</f>
        <v>4</v>
      </c>
      <c r="B4906" s="116">
        <v>48832</v>
      </c>
      <c r="C4906" s="117">
        <v>45505</v>
      </c>
      <c r="D4906" s="116">
        <v>244.17</v>
      </c>
      <c r="E4906" s="117">
        <v>45550</v>
      </c>
      <c r="F4906" s="116">
        <f>COUNTIFS($A$3:A13156,A4906,$B$3:B13156,B4906)</f>
        <v>1</v>
      </c>
      <c r="G4906" s="116"/>
    </row>
    <row r="4907" spans="1:7" x14ac:dyDescent="0.2">
      <c r="A4907" s="116">
        <f>IF(ISNUMBER(Tabela2[[#This Row],[CT-e/NFS]])=TRUE,(IF(B4907&gt;30000,4,IF(B4907&lt;1000,"ND",0))),"-")</f>
        <v>4</v>
      </c>
      <c r="B4907" s="116">
        <v>48812</v>
      </c>
      <c r="C4907" s="117">
        <v>45505</v>
      </c>
      <c r="D4907" s="116">
        <v>2108.31</v>
      </c>
      <c r="E4907" s="117">
        <v>45550</v>
      </c>
      <c r="F4907" s="116">
        <f>COUNTIFS($A$3:A13157,A4907,$B$3:B13157,B4907)</f>
        <v>1</v>
      </c>
      <c r="G4907" s="116"/>
    </row>
    <row r="4908" spans="1:7" x14ac:dyDescent="0.2">
      <c r="A4908" s="116">
        <f>IF(ISNUMBER(Tabela2[[#This Row],[CT-e/NFS]])=TRUE,(IF(B4908&gt;30000,4,IF(B4908&lt;1000,"ND",0))),"-")</f>
        <v>4</v>
      </c>
      <c r="B4908" s="116">
        <v>48811</v>
      </c>
      <c r="C4908" s="117">
        <v>45505</v>
      </c>
      <c r="D4908" s="116">
        <v>1134.92</v>
      </c>
      <c r="E4908" s="117">
        <v>45550</v>
      </c>
      <c r="F4908" s="116">
        <f>COUNTIFS($A$3:A13158,A4908,$B$3:B13158,B4908)</f>
        <v>1</v>
      </c>
      <c r="G4908" s="116"/>
    </row>
    <row r="4909" spans="1:7" x14ac:dyDescent="0.2">
      <c r="A4909" s="116">
        <f>IF(ISNUMBER(Tabela2[[#This Row],[CT-e/NFS]])=TRUE,(IF(B4909&gt;30000,4,IF(B4909&lt;1000,"ND",0))),"-")</f>
        <v>4</v>
      </c>
      <c r="B4909" s="116">
        <v>48806</v>
      </c>
      <c r="C4909" s="117">
        <v>45505</v>
      </c>
      <c r="D4909" s="116">
        <v>517.83000000000004</v>
      </c>
      <c r="E4909" s="117">
        <v>45550</v>
      </c>
      <c r="F4909" s="116">
        <f>COUNTIFS($A$3:A13159,A4909,$B$3:B13159,B4909)</f>
        <v>1</v>
      </c>
      <c r="G4909" s="116"/>
    </row>
    <row r="4910" spans="1:7" x14ac:dyDescent="0.2">
      <c r="A4910" s="116">
        <f>IF(ISNUMBER(Tabela2[[#This Row],[CT-e/NFS]])=TRUE,(IF(B4910&gt;30000,4,IF(B4910&lt;1000,"ND",0))),"-")</f>
        <v>4</v>
      </c>
      <c r="B4910" s="116">
        <v>48793</v>
      </c>
      <c r="C4910" s="117">
        <v>45505</v>
      </c>
      <c r="D4910" s="116">
        <v>2108.31</v>
      </c>
      <c r="E4910" s="117">
        <v>45550</v>
      </c>
      <c r="F4910" s="116">
        <f>COUNTIFS($A$3:A13160,A4910,$B$3:B13160,B4910)</f>
        <v>1</v>
      </c>
      <c r="G4910" s="116"/>
    </row>
    <row r="4911" spans="1:7" x14ac:dyDescent="0.2">
      <c r="A4911" s="116">
        <f>IF(ISNUMBER(Tabela2[[#This Row],[CT-e/NFS]])=TRUE,(IF(B4911&gt;30000,4,IF(B4911&lt;1000,"ND",0))),"-")</f>
        <v>4</v>
      </c>
      <c r="B4911" s="116">
        <v>48792</v>
      </c>
      <c r="C4911" s="117">
        <v>45505</v>
      </c>
      <c r="D4911" s="116">
        <v>261.16000000000003</v>
      </c>
      <c r="E4911" s="117">
        <v>45550</v>
      </c>
      <c r="F4911" s="116">
        <f>COUNTIFS($A$3:A13161,A4911,$B$3:B13161,B4911)</f>
        <v>1</v>
      </c>
      <c r="G4911" s="116"/>
    </row>
    <row r="4912" spans="1:7" x14ac:dyDescent="0.2">
      <c r="A4912" s="116">
        <f>IF(ISNUMBER(Tabela2[[#This Row],[CT-e/NFS]])=TRUE,(IF(B4912&gt;30000,4,IF(B4912&lt;1000,"ND",0))),"-")</f>
        <v>4</v>
      </c>
      <c r="B4912" s="116">
        <v>48790</v>
      </c>
      <c r="C4912" s="117">
        <v>45492</v>
      </c>
      <c r="D4912" s="116">
        <v>584.57000000000005</v>
      </c>
      <c r="E4912" s="117">
        <v>45550</v>
      </c>
      <c r="F4912" s="116">
        <f>COUNTIFS($A$3:A13162,A4912,$B$3:B13162,B4912)</f>
        <v>1</v>
      </c>
      <c r="G4912" s="116"/>
    </row>
    <row r="4913" spans="1:7" x14ac:dyDescent="0.2">
      <c r="A4913" s="116">
        <f>IF(ISNUMBER(Tabela2[[#This Row],[CT-e/NFS]])=TRUE,(IF(B4913&gt;30000,4,IF(B4913&lt;1000,"ND",0))),"-")</f>
        <v>4</v>
      </c>
      <c r="B4913" s="116">
        <v>48777</v>
      </c>
      <c r="C4913" s="117">
        <v>45492</v>
      </c>
      <c r="D4913" s="116">
        <v>130.91999999999999</v>
      </c>
      <c r="E4913" s="117">
        <v>45550</v>
      </c>
      <c r="F4913" s="116">
        <f>COUNTIFS($A$3:A13163,A4913,$B$3:B13163,B4913)</f>
        <v>1</v>
      </c>
      <c r="G4913" s="116"/>
    </row>
    <row r="4914" spans="1:7" x14ac:dyDescent="0.2">
      <c r="A4914" s="116">
        <f>IF(ISNUMBER(Tabela2[[#This Row],[CT-e/NFS]])=TRUE,(IF(B4914&gt;30000,4,IF(B4914&lt;1000,"ND",0))),"-")</f>
        <v>4</v>
      </c>
      <c r="B4914" s="116">
        <v>48716</v>
      </c>
      <c r="C4914" s="117">
        <v>45492</v>
      </c>
      <c r="D4914" s="116">
        <v>504.43</v>
      </c>
      <c r="E4914" s="117">
        <v>45550</v>
      </c>
      <c r="F4914" s="116">
        <f>COUNTIFS($A$3:A13164,A4914,$B$3:B13164,B4914)</f>
        <v>1</v>
      </c>
      <c r="G4914" s="116"/>
    </row>
    <row r="4915" spans="1:7" x14ac:dyDescent="0.2">
      <c r="A4915" s="116">
        <f>IF(ISNUMBER(Tabela2[[#This Row],[CT-e/NFS]])=TRUE,(IF(B4915&gt;30000,4,IF(B4915&lt;1000,"ND",0))),"-")</f>
        <v>4</v>
      </c>
      <c r="B4915" s="116">
        <v>48688</v>
      </c>
      <c r="C4915" s="117">
        <v>45491</v>
      </c>
      <c r="D4915" s="116">
        <v>981.34</v>
      </c>
      <c r="E4915" s="117">
        <v>45550</v>
      </c>
      <c r="F4915" s="116">
        <f>COUNTIFS($A$3:A13165,A4915,$B$3:B13165,B4915)</f>
        <v>1</v>
      </c>
      <c r="G4915" s="116"/>
    </row>
    <row r="4916" spans="1:7" x14ac:dyDescent="0.2">
      <c r="A4916" s="116">
        <f>IF(ISNUMBER(Tabela2[[#This Row],[CT-e/NFS]])=TRUE,(IF(B4916&gt;30000,4,IF(B4916&lt;1000,"ND",0))),"-")</f>
        <v>4</v>
      </c>
      <c r="B4916" s="116">
        <v>48682</v>
      </c>
      <c r="C4916" s="117">
        <v>45491</v>
      </c>
      <c r="D4916" s="116">
        <v>893.97</v>
      </c>
      <c r="E4916" s="117">
        <v>45550</v>
      </c>
      <c r="F4916" s="116">
        <f>COUNTIFS($A$3:A13166,A4916,$B$3:B13166,B4916)</f>
        <v>1</v>
      </c>
      <c r="G4916" s="116"/>
    </row>
    <row r="4917" spans="1:7" x14ac:dyDescent="0.2">
      <c r="A4917" s="116">
        <f>IF(ISNUMBER(Tabela2[[#This Row],[CT-e/NFS]])=TRUE,(IF(B4917&gt;30000,4,IF(B4917&lt;1000,"ND",0))),"-")</f>
        <v>4</v>
      </c>
      <c r="B4917" s="116">
        <v>48654</v>
      </c>
      <c r="C4917" s="117">
        <v>45491</v>
      </c>
      <c r="D4917" s="116">
        <v>352.82</v>
      </c>
      <c r="E4917" s="117">
        <v>45550</v>
      </c>
      <c r="F4917" s="116">
        <f>COUNTIFS($A$3:A13167,A4917,$B$3:B13167,B4917)</f>
        <v>1</v>
      </c>
      <c r="G4917" s="116"/>
    </row>
    <row r="4918" spans="1:7" x14ac:dyDescent="0.2">
      <c r="A4918" s="116">
        <f>IF(ISNUMBER(Tabela2[[#This Row],[CT-e/NFS]])=TRUE,(IF(B4918&gt;30000,4,IF(B4918&lt;1000,"ND",0))),"-")</f>
        <v>4</v>
      </c>
      <c r="B4918" s="116">
        <v>48635</v>
      </c>
      <c r="C4918" s="117">
        <v>45491</v>
      </c>
      <c r="D4918" s="116">
        <v>104.93</v>
      </c>
      <c r="E4918" s="117">
        <v>45550</v>
      </c>
      <c r="F4918" s="116">
        <f>COUNTIFS($A$3:A13168,A4918,$B$3:B13168,B4918)</f>
        <v>1</v>
      </c>
      <c r="G4918" s="116"/>
    </row>
    <row r="4919" spans="1:7" x14ac:dyDescent="0.2">
      <c r="A4919" s="116">
        <f>IF(ISNUMBER(Tabela2[[#This Row],[CT-e/NFS]])=TRUE,(IF(B4919&gt;30000,4,IF(B4919&lt;1000,"ND",0))),"-")</f>
        <v>4</v>
      </c>
      <c r="B4919" s="116">
        <v>48563</v>
      </c>
      <c r="C4919" s="117">
        <v>45491</v>
      </c>
      <c r="D4919" s="116">
        <v>99.99</v>
      </c>
      <c r="E4919" s="117">
        <v>45550</v>
      </c>
      <c r="F4919" s="116">
        <f>COUNTIFS($A$3:A13169,A4919,$B$3:B13169,B4919)</f>
        <v>1</v>
      </c>
      <c r="G4919" s="116"/>
    </row>
    <row r="4920" spans="1:7" x14ac:dyDescent="0.2">
      <c r="A4920" s="116">
        <f>IF(ISNUMBER(Tabela2[[#This Row],[CT-e/NFS]])=TRUE,(IF(B4920&gt;30000,4,IF(B4920&lt;1000,"ND",0))),"-")</f>
        <v>4</v>
      </c>
      <c r="B4920" s="116">
        <v>48557</v>
      </c>
      <c r="C4920" s="117">
        <v>45491</v>
      </c>
      <c r="D4920" s="116">
        <v>588.64</v>
      </c>
      <c r="E4920" s="117">
        <v>45550</v>
      </c>
      <c r="F4920" s="116">
        <f>COUNTIFS($A$3:A13170,A4920,$B$3:B13170,B4920)</f>
        <v>1</v>
      </c>
      <c r="G4920" s="116"/>
    </row>
    <row r="4921" spans="1:7" x14ac:dyDescent="0.2">
      <c r="A4921" s="116">
        <f>IF(ISNUMBER(Tabela2[[#This Row],[CT-e/NFS]])=TRUE,(IF(B4921&gt;30000,4,IF(B4921&lt;1000,"ND",0))),"-")</f>
        <v>4</v>
      </c>
      <c r="B4921" s="116">
        <v>48528</v>
      </c>
      <c r="C4921" s="117">
        <v>45491</v>
      </c>
      <c r="D4921" s="116">
        <v>102.25</v>
      </c>
      <c r="E4921" s="117">
        <v>45550</v>
      </c>
      <c r="F4921" s="116">
        <f>COUNTIFS($A$3:A13171,A4921,$B$3:B13171,B4921)</f>
        <v>1</v>
      </c>
      <c r="G4921" s="116"/>
    </row>
    <row r="4922" spans="1:7" x14ac:dyDescent="0.2">
      <c r="A4922" s="116">
        <f>IF(ISNUMBER(Tabela2[[#This Row],[CT-e/NFS]])=TRUE,(IF(B4922&gt;30000,4,IF(B4922&lt;1000,"ND",0))),"-")</f>
        <v>0</v>
      </c>
      <c r="B4922" s="116">
        <v>22275</v>
      </c>
      <c r="C4922" s="117">
        <v>45555</v>
      </c>
      <c r="D4922" s="116">
        <v>97.06</v>
      </c>
      <c r="E4922" s="117">
        <v>45550</v>
      </c>
      <c r="F4922" s="116">
        <f>COUNTIFS($A$3:A13172,A4922,$B$3:B13172,B4922)</f>
        <v>1</v>
      </c>
      <c r="G4922" s="116"/>
    </row>
    <row r="4923" spans="1:7" x14ac:dyDescent="0.2">
      <c r="A4923" s="116">
        <f>IF(ISNUMBER(Tabela2[[#This Row],[CT-e/NFS]])=TRUE,(IF(B4923&gt;30000,4,IF(B4923&lt;1000,"ND",0))),"-")</f>
        <v>0</v>
      </c>
      <c r="B4923" s="116">
        <v>22274</v>
      </c>
      <c r="C4923" s="117">
        <v>45555</v>
      </c>
      <c r="D4923" s="116">
        <v>101.45</v>
      </c>
      <c r="E4923" s="117">
        <v>45550</v>
      </c>
      <c r="F4923" s="116">
        <f>COUNTIFS($A$3:A13173,A4923,$B$3:B13173,B4923)</f>
        <v>1</v>
      </c>
      <c r="G4923" s="116"/>
    </row>
    <row r="4924" spans="1:7" x14ac:dyDescent="0.2">
      <c r="A4924" s="116">
        <f>IF(ISNUMBER(Tabela2[[#This Row],[CT-e/NFS]])=TRUE,(IF(B4924&gt;30000,4,IF(B4924&lt;1000,"ND",0))),"-")</f>
        <v>0</v>
      </c>
      <c r="B4924" s="116">
        <v>22264</v>
      </c>
      <c r="C4924" s="117">
        <v>45555</v>
      </c>
      <c r="D4924" s="116">
        <v>98.54</v>
      </c>
      <c r="E4924" s="117">
        <v>45550</v>
      </c>
      <c r="F4924" s="116">
        <f>COUNTIFS($A$3:A13174,A4924,$B$3:B13174,B4924)</f>
        <v>1</v>
      </c>
      <c r="G4924" s="116"/>
    </row>
    <row r="4925" spans="1:7" x14ac:dyDescent="0.2">
      <c r="A4925" s="116">
        <f>IF(ISNUMBER(Tabela2[[#This Row],[CT-e/NFS]])=TRUE,(IF(B4925&gt;30000,4,IF(B4925&lt;1000,"ND",0))),"-")</f>
        <v>0</v>
      </c>
      <c r="B4925" s="116">
        <v>22249</v>
      </c>
      <c r="C4925" s="117">
        <v>45555</v>
      </c>
      <c r="D4925" s="116">
        <v>115.31</v>
      </c>
      <c r="E4925" s="117">
        <v>45550</v>
      </c>
      <c r="F4925" s="116">
        <f>COUNTIFS($A$3:A13175,A4925,$B$3:B13175,B4925)</f>
        <v>1</v>
      </c>
      <c r="G4925" s="116"/>
    </row>
    <row r="4926" spans="1:7" x14ac:dyDescent="0.2">
      <c r="A4926" s="116">
        <f>IF(ISNUMBER(Tabela2[[#This Row],[CT-e/NFS]])=TRUE,(IF(B4926&gt;30000,4,IF(B4926&lt;1000,"ND",0))),"-")</f>
        <v>0</v>
      </c>
      <c r="B4926" s="116">
        <v>22250</v>
      </c>
      <c r="C4926" s="117">
        <v>45555</v>
      </c>
      <c r="D4926" s="116">
        <v>291.66000000000003</v>
      </c>
      <c r="E4926" s="117">
        <v>45550</v>
      </c>
      <c r="F4926" s="116">
        <f>COUNTIFS($A$3:A13176,A4926,$B$3:B13176,B4926)</f>
        <v>1</v>
      </c>
      <c r="G4926" s="116"/>
    </row>
    <row r="4927" spans="1:7" x14ac:dyDescent="0.2">
      <c r="A4927" s="116">
        <f>IF(ISNUMBER(Tabela2[[#This Row],[CT-e/NFS]])=TRUE,(IF(B4927&gt;30000,4,IF(B4927&lt;1000,"ND",0))),"-")</f>
        <v>0</v>
      </c>
      <c r="B4927" s="116">
        <v>22241</v>
      </c>
      <c r="C4927" s="117">
        <v>45555</v>
      </c>
      <c r="D4927" s="116">
        <v>101.45</v>
      </c>
      <c r="E4927" s="117">
        <v>45550</v>
      </c>
      <c r="F4927" s="116">
        <f>COUNTIFS($A$3:A13177,A4927,$B$3:B13177,B4927)</f>
        <v>1</v>
      </c>
      <c r="G4927" s="116"/>
    </row>
    <row r="4928" spans="1:7" x14ac:dyDescent="0.2">
      <c r="A4928" s="116">
        <f>IF(ISNUMBER(Tabela2[[#This Row],[CT-e/NFS]])=TRUE,(IF(B4928&gt;30000,4,IF(B4928&lt;1000,"ND",0))),"-")</f>
        <v>0</v>
      </c>
      <c r="B4928" s="116">
        <v>22224</v>
      </c>
      <c r="C4928" s="117">
        <v>45540</v>
      </c>
      <c r="D4928" s="116">
        <v>99.26</v>
      </c>
      <c r="E4928" s="117">
        <v>45550</v>
      </c>
      <c r="F4928" s="116">
        <f>COUNTIFS($A$3:A13178,A4928,$B$3:B13178,B4928)</f>
        <v>1</v>
      </c>
      <c r="G4928" s="116"/>
    </row>
    <row r="4929" spans="1:7" x14ac:dyDescent="0.2">
      <c r="A4929" s="116">
        <f>IF(ISNUMBER(Tabela2[[#This Row],[CT-e/NFS]])=TRUE,(IF(B4929&gt;30000,4,IF(B4929&lt;1000,"ND",0))),"-")</f>
        <v>0</v>
      </c>
      <c r="B4929" s="116">
        <v>22206</v>
      </c>
      <c r="C4929" s="117">
        <v>45544</v>
      </c>
      <c r="D4929" s="116">
        <v>131.31</v>
      </c>
      <c r="E4929" s="117">
        <v>45550</v>
      </c>
      <c r="F4929" s="116">
        <f>COUNTIFS($A$3:A13179,A4929,$B$3:B13179,B4929)</f>
        <v>1</v>
      </c>
      <c r="G4929" s="116"/>
    </row>
    <row r="4930" spans="1:7" x14ac:dyDescent="0.2">
      <c r="A4930" s="116">
        <f>IF(ISNUMBER(Tabela2[[#This Row],[CT-e/NFS]])=TRUE,(IF(B4930&gt;30000,4,IF(B4930&lt;1000,"ND",0))),"-")</f>
        <v>0</v>
      </c>
      <c r="B4930" s="116">
        <v>22153</v>
      </c>
      <c r="C4930" s="117">
        <v>45540</v>
      </c>
      <c r="D4930" s="116">
        <v>300.94</v>
      </c>
      <c r="E4930" s="117">
        <v>45550</v>
      </c>
      <c r="F4930" s="116">
        <f>COUNTIFS($A$3:A13180,A4930,$B$3:B13180,B4930)</f>
        <v>1</v>
      </c>
      <c r="G4930" s="116"/>
    </row>
    <row r="4931" spans="1:7" x14ac:dyDescent="0.2">
      <c r="A4931" s="116">
        <f>IF(ISNUMBER(Tabela2[[#This Row],[CT-e/NFS]])=TRUE,(IF(B4931&gt;30000,4,IF(B4931&lt;1000,"ND",0))),"-")</f>
        <v>0</v>
      </c>
      <c r="B4931" s="116">
        <v>22149</v>
      </c>
      <c r="C4931" s="117">
        <v>45533</v>
      </c>
      <c r="D4931" s="116">
        <v>523.86</v>
      </c>
      <c r="E4931" s="117">
        <v>45550</v>
      </c>
      <c r="F4931" s="116">
        <f>COUNTIFS($A$3:A13181,A4931,$B$3:B13181,B4931)</f>
        <v>1</v>
      </c>
      <c r="G4931" s="116"/>
    </row>
    <row r="4932" spans="1:7" x14ac:dyDescent="0.2">
      <c r="A4932" s="116">
        <f>IF(ISNUMBER(Tabela2[[#This Row],[CT-e/NFS]])=TRUE,(IF(B4932&gt;30000,4,IF(B4932&lt;1000,"ND",0))),"-")</f>
        <v>0</v>
      </c>
      <c r="B4932" s="116">
        <v>22140</v>
      </c>
      <c r="C4932" s="117">
        <v>45533</v>
      </c>
      <c r="D4932" s="116">
        <v>91.3</v>
      </c>
      <c r="E4932" s="117">
        <v>45550</v>
      </c>
      <c r="F4932" s="116">
        <f>COUNTIFS($A$3:A13182,A4932,$B$3:B13182,B4932)</f>
        <v>1</v>
      </c>
      <c r="G4932" s="116"/>
    </row>
    <row r="4933" spans="1:7" x14ac:dyDescent="0.2">
      <c r="A4933" s="116">
        <f>IF(ISNUMBER(Tabela2[[#This Row],[CT-e/NFS]])=TRUE,(IF(B4933&gt;30000,4,IF(B4933&lt;1000,"ND",0))),"-")</f>
        <v>0</v>
      </c>
      <c r="B4933" s="116">
        <v>22106</v>
      </c>
      <c r="C4933" s="117">
        <v>45526</v>
      </c>
      <c r="D4933" s="116">
        <v>450.51</v>
      </c>
      <c r="E4933" s="117">
        <v>45550</v>
      </c>
      <c r="F4933" s="116">
        <f>COUNTIFS($A$3:A13183,A4933,$B$3:B13183,B4933)</f>
        <v>1</v>
      </c>
      <c r="G4933" s="116"/>
    </row>
    <row r="4934" spans="1:7" x14ac:dyDescent="0.2">
      <c r="A4934" s="116">
        <f>IF(ISNUMBER(Tabela2[[#This Row],[CT-e/NFS]])=TRUE,(IF(B4934&gt;30000,4,IF(B4934&lt;1000,"ND",0))),"-")</f>
        <v>0</v>
      </c>
      <c r="B4934" s="116">
        <v>22059</v>
      </c>
      <c r="C4934" s="117">
        <v>45512</v>
      </c>
      <c r="D4934" s="116">
        <v>88.3</v>
      </c>
      <c r="E4934" s="117">
        <v>45550</v>
      </c>
      <c r="F4934" s="116">
        <f>COUNTIFS($A$3:A13184,A4934,$B$3:B13184,B4934)</f>
        <v>1</v>
      </c>
      <c r="G4934" s="116"/>
    </row>
    <row r="4935" spans="1:7" x14ac:dyDescent="0.2">
      <c r="A4935" s="116">
        <f>IF(ISNUMBER(Tabela2[[#This Row],[CT-e/NFS]])=TRUE,(IF(B4935&gt;30000,4,IF(B4935&lt;1000,"ND",0))),"-")</f>
        <v>0</v>
      </c>
      <c r="B4935" s="116">
        <v>22007</v>
      </c>
      <c r="C4935" s="117">
        <v>45512</v>
      </c>
      <c r="D4935" s="116">
        <v>697.94</v>
      </c>
      <c r="E4935" s="117">
        <v>45550</v>
      </c>
      <c r="F4935" s="116">
        <f>COUNTIFS($A$3:A13185,A4935,$B$3:B13185,B4935)</f>
        <v>1</v>
      </c>
      <c r="G4935" s="116"/>
    </row>
    <row r="4936" spans="1:7" x14ac:dyDescent="0.2">
      <c r="A4936" s="116">
        <f>IF(ISNUMBER(Tabela2[[#This Row],[CT-e/NFS]])=TRUE,(IF(B4936&gt;30000,4,IF(B4936&lt;1000,"ND",0))),"-")</f>
        <v>0</v>
      </c>
      <c r="B4936" s="116">
        <v>22004</v>
      </c>
      <c r="C4936" s="117">
        <v>45512</v>
      </c>
      <c r="D4936" s="116">
        <v>96.33</v>
      </c>
      <c r="E4936" s="117">
        <v>45550</v>
      </c>
      <c r="F4936" s="116">
        <f>COUNTIFS($A$3:A13186,A4936,$B$3:B13186,B4936)</f>
        <v>1</v>
      </c>
      <c r="G4936" s="116"/>
    </row>
    <row r="4937" spans="1:7" x14ac:dyDescent="0.2">
      <c r="A4937" s="116">
        <f>IF(ISNUMBER(Tabela2[[#This Row],[CT-e/NFS]])=TRUE,(IF(B4937&gt;30000,4,IF(B4937&lt;1000,"ND",0))),"-")</f>
        <v>0</v>
      </c>
      <c r="B4937" s="116">
        <v>22003</v>
      </c>
      <c r="C4937" s="117">
        <v>45512</v>
      </c>
      <c r="D4937" s="116">
        <v>90.84</v>
      </c>
      <c r="E4937" s="117">
        <v>45550</v>
      </c>
      <c r="F4937" s="116">
        <f>COUNTIFS($A$3:A13187,A4937,$B$3:B13187,B4937)</f>
        <v>1</v>
      </c>
      <c r="G4937" s="116"/>
    </row>
    <row r="4938" spans="1:7" x14ac:dyDescent="0.2">
      <c r="A4938" s="116">
        <f>IF(ISNUMBER(Tabela2[[#This Row],[CT-e/NFS]])=TRUE,(IF(B4938&gt;30000,4,IF(B4938&lt;1000,"ND",0))),"-")</f>
        <v>4</v>
      </c>
      <c r="B4938" s="116">
        <v>49032</v>
      </c>
      <c r="C4938" s="117">
        <v>45556</v>
      </c>
      <c r="D4938" s="116">
        <v>126.35</v>
      </c>
      <c r="E4938" s="117">
        <v>45565</v>
      </c>
      <c r="F4938" s="116">
        <f>COUNTIFS($A$3:A13188,A4938,$B$3:B13188,B4938)</f>
        <v>1</v>
      </c>
      <c r="G4938" s="116"/>
    </row>
    <row r="4939" spans="1:7" x14ac:dyDescent="0.2">
      <c r="A4939" s="116">
        <f>IF(ISNUMBER(Tabela2[[#This Row],[CT-e/NFS]])=TRUE,(IF(B4939&gt;30000,4,IF(B4939&lt;1000,"ND",0))),"-")</f>
        <v>4</v>
      </c>
      <c r="B4939" s="116">
        <v>49034</v>
      </c>
      <c r="C4939" s="117">
        <v>45556</v>
      </c>
      <c r="D4939" s="116">
        <v>591.70000000000005</v>
      </c>
      <c r="E4939" s="117">
        <v>45565</v>
      </c>
      <c r="F4939" s="116">
        <f>COUNTIFS($A$3:A13189,A4939,$B$3:B13189,B4939)</f>
        <v>1</v>
      </c>
      <c r="G4939" s="116"/>
    </row>
    <row r="4940" spans="1:7" x14ac:dyDescent="0.2">
      <c r="A4940" s="116">
        <f>IF(ISNUMBER(Tabela2[[#This Row],[CT-e/NFS]])=TRUE,(IF(B4940&gt;30000,4,IF(B4940&lt;1000,"ND",0))),"-")</f>
        <v>4</v>
      </c>
      <c r="B4940" s="116">
        <v>49033</v>
      </c>
      <c r="C4940" s="117">
        <v>45556</v>
      </c>
      <c r="D4940" s="116">
        <v>125.36</v>
      </c>
      <c r="E4940" s="117">
        <v>45565</v>
      </c>
      <c r="F4940" s="116">
        <f>COUNTIFS($A$3:A13190,A4940,$B$3:B13190,B4940)</f>
        <v>1</v>
      </c>
      <c r="G4940" s="116"/>
    </row>
    <row r="4941" spans="1:7" x14ac:dyDescent="0.2">
      <c r="A4941" s="116">
        <f>IF(ISNUMBER(Tabela2[[#This Row],[CT-e/NFS]])=TRUE,(IF(B4941&gt;30000,4,IF(B4941&lt;1000,"ND",0))),"-")</f>
        <v>4</v>
      </c>
      <c r="B4941" s="116">
        <v>49035</v>
      </c>
      <c r="C4941" s="117">
        <v>45556</v>
      </c>
      <c r="D4941" s="116">
        <v>396.44</v>
      </c>
      <c r="E4941" s="117">
        <v>45565</v>
      </c>
      <c r="F4941" s="116">
        <f>COUNTIFS($A$3:A13191,A4941,$B$3:B13191,B4941)</f>
        <v>1</v>
      </c>
      <c r="G4941" s="116"/>
    </row>
    <row r="4942" spans="1:7" x14ac:dyDescent="0.2">
      <c r="A4942" s="116">
        <f>IF(ISNUMBER(Tabela2[[#This Row],[CT-e/NFS]])=TRUE,(IF(B4942&gt;30000,4,IF(B4942&lt;1000,"ND",0))),"-")</f>
        <v>4</v>
      </c>
      <c r="B4942" s="116">
        <v>49031</v>
      </c>
      <c r="C4942" s="117">
        <v>45556</v>
      </c>
      <c r="D4942" s="116">
        <v>123.51</v>
      </c>
      <c r="E4942" s="117">
        <v>45565</v>
      </c>
      <c r="F4942" s="116">
        <f>COUNTIFS($A$3:A13192,A4942,$B$3:B13192,B4942)</f>
        <v>1</v>
      </c>
      <c r="G4942" s="116"/>
    </row>
    <row r="4943" spans="1:7" x14ac:dyDescent="0.2">
      <c r="A4943" s="116">
        <f>IF(ISNUMBER(Tabela2[[#This Row],[CT-e/NFS]])=TRUE,(IF(B4943&gt;30000,4,IF(B4943&lt;1000,"ND",0))),"-")</f>
        <v>4</v>
      </c>
      <c r="B4943" s="116">
        <v>49052</v>
      </c>
      <c r="C4943" s="117">
        <v>45556</v>
      </c>
      <c r="D4943" s="116">
        <v>125.63</v>
      </c>
      <c r="E4943" s="117">
        <v>45565</v>
      </c>
      <c r="F4943" s="116">
        <f>COUNTIFS($A$3:A13193,A4943,$B$3:B13193,B4943)</f>
        <v>1</v>
      </c>
      <c r="G4943" s="116"/>
    </row>
    <row r="4944" spans="1:7" x14ac:dyDescent="0.2">
      <c r="A4944" s="116">
        <f>IF(ISNUMBER(Tabela2[[#This Row],[CT-e/NFS]])=TRUE,(IF(B4944&gt;30000,4,IF(B4944&lt;1000,"ND",0))),"-")</f>
        <v>4</v>
      </c>
      <c r="B4944" s="116">
        <v>49051</v>
      </c>
      <c r="C4944" s="117">
        <v>45556</v>
      </c>
      <c r="D4944" s="116">
        <v>124.53</v>
      </c>
      <c r="E4944" s="117">
        <v>45565</v>
      </c>
      <c r="F4944" s="116">
        <f>COUNTIFS($A$3:A13194,A4944,$B$3:B13194,B4944)</f>
        <v>1</v>
      </c>
      <c r="G4944" s="116"/>
    </row>
    <row r="4945" spans="1:7" x14ac:dyDescent="0.2">
      <c r="A4945" s="116">
        <f>IF(ISNUMBER(Tabela2[[#This Row],[CT-e/NFS]])=TRUE,(IF(B4945&gt;30000,4,IF(B4945&lt;1000,"ND",0))),"-")</f>
        <v>4</v>
      </c>
      <c r="B4945" s="116">
        <v>49048</v>
      </c>
      <c r="C4945" s="117">
        <v>45556</v>
      </c>
      <c r="D4945" s="116">
        <v>124.1</v>
      </c>
      <c r="E4945" s="117">
        <v>45565</v>
      </c>
      <c r="F4945" s="116">
        <f>COUNTIFS($A$3:A13195,A4945,$B$3:B13195,B4945)</f>
        <v>1</v>
      </c>
      <c r="G4945" s="116"/>
    </row>
    <row r="4946" spans="1:7" x14ac:dyDescent="0.2">
      <c r="A4946" s="116">
        <f>IF(ISNUMBER(Tabela2[[#This Row],[CT-e/NFS]])=TRUE,(IF(B4946&gt;30000,4,IF(B4946&lt;1000,"ND",0))),"-")</f>
        <v>4</v>
      </c>
      <c r="B4946" s="116">
        <v>49050</v>
      </c>
      <c r="C4946" s="117">
        <v>45556</v>
      </c>
      <c r="D4946" s="116">
        <v>124.38</v>
      </c>
      <c r="E4946" s="117">
        <v>45565</v>
      </c>
      <c r="F4946" s="116">
        <f>COUNTIFS($A$3:A13196,A4946,$B$3:B13196,B4946)</f>
        <v>1</v>
      </c>
      <c r="G4946" s="116"/>
    </row>
    <row r="4947" spans="1:7" x14ac:dyDescent="0.2">
      <c r="A4947" s="116">
        <f>IF(ISNUMBER(Tabela2[[#This Row],[CT-e/NFS]])=TRUE,(IF(B4947&gt;30000,4,IF(B4947&lt;1000,"ND",0))),"-")</f>
        <v>4</v>
      </c>
      <c r="B4947" s="116">
        <v>49046</v>
      </c>
      <c r="C4947" s="117">
        <v>45556</v>
      </c>
      <c r="D4947" s="116">
        <v>122.89</v>
      </c>
      <c r="E4947" s="117">
        <v>45565</v>
      </c>
      <c r="F4947" s="116">
        <f>COUNTIFS($A$3:A13197,A4947,$B$3:B13197,B4947)</f>
        <v>1</v>
      </c>
      <c r="G4947" s="116"/>
    </row>
    <row r="4948" spans="1:7" x14ac:dyDescent="0.2">
      <c r="A4948" s="116">
        <f>IF(ISNUMBER(Tabela2[[#This Row],[CT-e/NFS]])=TRUE,(IF(B4948&gt;30000,4,IF(B4948&lt;1000,"ND",0))),"-")</f>
        <v>4</v>
      </c>
      <c r="B4948" s="116">
        <v>49039</v>
      </c>
      <c r="C4948" s="117">
        <v>45556</v>
      </c>
      <c r="D4948" s="116">
        <v>702.11</v>
      </c>
      <c r="E4948" s="117">
        <v>45565</v>
      </c>
      <c r="F4948" s="116">
        <f>COUNTIFS($A$3:A13198,A4948,$B$3:B13198,B4948)</f>
        <v>1</v>
      </c>
      <c r="G4948" s="116"/>
    </row>
    <row r="4949" spans="1:7" x14ac:dyDescent="0.2">
      <c r="A4949" s="116">
        <f>IF(ISNUMBER(Tabela2[[#This Row],[CT-e/NFS]])=TRUE,(IF(B4949&gt;30000,4,IF(B4949&lt;1000,"ND",0))),"-")</f>
        <v>4</v>
      </c>
      <c r="B4949" s="116">
        <v>49038</v>
      </c>
      <c r="C4949" s="117">
        <v>45556</v>
      </c>
      <c r="D4949" s="116">
        <v>124.2</v>
      </c>
      <c r="E4949" s="117">
        <v>45565</v>
      </c>
      <c r="F4949" s="116">
        <f>COUNTIFS($A$3:A13199,A4949,$B$3:B13199,B4949)</f>
        <v>1</v>
      </c>
      <c r="G4949" s="116"/>
    </row>
    <row r="4950" spans="1:7" x14ac:dyDescent="0.2">
      <c r="A4950" s="116">
        <f>IF(ISNUMBER(Tabela2[[#This Row],[CT-e/NFS]])=TRUE,(IF(B4950&gt;30000,4,IF(B4950&lt;1000,"ND",0))),"-")</f>
        <v>4</v>
      </c>
      <c r="B4950" s="116">
        <v>49036</v>
      </c>
      <c r="C4950" s="117">
        <v>45556</v>
      </c>
      <c r="D4950" s="116">
        <v>125.25</v>
      </c>
      <c r="E4950" s="117">
        <v>45565</v>
      </c>
      <c r="F4950" s="116">
        <f>COUNTIFS($A$3:A13200,A4950,$B$3:B13200,B4950)</f>
        <v>1</v>
      </c>
      <c r="G4950" s="116"/>
    </row>
    <row r="4951" spans="1:7" x14ac:dyDescent="0.2">
      <c r="A4951" s="116">
        <f>IF(ISNUMBER(Tabela2[[#This Row],[CT-e/NFS]])=TRUE,(IF(B4951&gt;30000,4,IF(B4951&lt;1000,"ND",0))),"-")</f>
        <v>4</v>
      </c>
      <c r="B4951" s="116">
        <v>49054</v>
      </c>
      <c r="C4951" s="117">
        <v>45556</v>
      </c>
      <c r="D4951" s="116">
        <v>122.76</v>
      </c>
      <c r="E4951" s="117">
        <v>45565</v>
      </c>
      <c r="F4951" s="116">
        <f>COUNTIFS($A$3:A13201,A4951,$B$3:B13201,B4951)</f>
        <v>1</v>
      </c>
      <c r="G4951" s="116"/>
    </row>
    <row r="4952" spans="1:7" x14ac:dyDescent="0.2">
      <c r="A4952" s="116">
        <f>IF(ISNUMBER(Tabela2[[#This Row],[CT-e/NFS]])=TRUE,(IF(B4952&gt;30000,4,IF(B4952&lt;1000,"ND",0))),"-")</f>
        <v>4</v>
      </c>
      <c r="B4952" s="116">
        <v>49042</v>
      </c>
      <c r="C4952" s="117">
        <v>45556</v>
      </c>
      <c r="D4952" s="116">
        <v>123.91</v>
      </c>
      <c r="E4952" s="117">
        <v>45565</v>
      </c>
      <c r="F4952" s="116">
        <f>COUNTIFS($A$3:A13202,A4952,$B$3:B13202,B4952)</f>
        <v>1</v>
      </c>
      <c r="G4952" s="116"/>
    </row>
    <row r="4953" spans="1:7" x14ac:dyDescent="0.2">
      <c r="A4953" s="116">
        <f>IF(ISNUMBER(Tabela2[[#This Row],[CT-e/NFS]])=TRUE,(IF(B4953&gt;30000,4,IF(B4953&lt;1000,"ND",0))),"-")</f>
        <v>4</v>
      </c>
      <c r="B4953" s="116">
        <v>49040</v>
      </c>
      <c r="C4953" s="117">
        <v>45556</v>
      </c>
      <c r="D4953" s="116">
        <v>738.99</v>
      </c>
      <c r="E4953" s="117">
        <v>45565</v>
      </c>
      <c r="F4953" s="116">
        <f>COUNTIFS($A$3:A13203,A4953,$B$3:B13203,B4953)</f>
        <v>1</v>
      </c>
      <c r="G4953" s="116"/>
    </row>
    <row r="4954" spans="1:7" x14ac:dyDescent="0.2">
      <c r="A4954" s="116">
        <f>IF(ISNUMBER(Tabela2[[#This Row],[CT-e/NFS]])=TRUE,(IF(B4954&gt;30000,4,IF(B4954&lt;1000,"ND",0))),"-")</f>
        <v>4</v>
      </c>
      <c r="B4954" s="116">
        <v>49049</v>
      </c>
      <c r="C4954" s="117">
        <v>45556</v>
      </c>
      <c r="D4954" s="116">
        <v>126.11</v>
      </c>
      <c r="E4954" s="117">
        <v>45565</v>
      </c>
      <c r="F4954" s="116">
        <f>COUNTIFS($A$3:A13204,A4954,$B$3:B13204,B4954)</f>
        <v>1</v>
      </c>
      <c r="G4954" s="116"/>
    </row>
    <row r="4955" spans="1:7" x14ac:dyDescent="0.2">
      <c r="A4955" s="116">
        <f>IF(ISNUMBER(Tabela2[[#This Row],[CT-e/NFS]])=TRUE,(IF(B4955&gt;30000,4,IF(B4955&lt;1000,"ND",0))),"-")</f>
        <v>4</v>
      </c>
      <c r="B4955" s="116">
        <v>49041</v>
      </c>
      <c r="C4955" s="117">
        <v>45556</v>
      </c>
      <c r="D4955" s="116">
        <v>125.48</v>
      </c>
      <c r="E4955" s="117">
        <v>45565</v>
      </c>
      <c r="F4955" s="116">
        <f>COUNTIFS($A$3:A13205,A4955,$B$3:B13205,B4955)</f>
        <v>1</v>
      </c>
      <c r="G4955" s="116"/>
    </row>
    <row r="4956" spans="1:7" x14ac:dyDescent="0.2">
      <c r="A4956" s="116">
        <f>IF(ISNUMBER(Tabela2[[#This Row],[CT-e/NFS]])=TRUE,(IF(B4956&gt;30000,4,IF(B4956&lt;1000,"ND",0))),"-")</f>
        <v>4</v>
      </c>
      <c r="B4956" s="116">
        <v>49047</v>
      </c>
      <c r="C4956" s="117">
        <v>45556</v>
      </c>
      <c r="D4956" s="116">
        <v>123.94</v>
      </c>
      <c r="E4956" s="117">
        <v>45565</v>
      </c>
      <c r="F4956" s="116">
        <f>COUNTIFS($A$3:A13206,A4956,$B$3:B13206,B4956)</f>
        <v>1</v>
      </c>
      <c r="G4956" s="116"/>
    </row>
    <row r="4957" spans="1:7" x14ac:dyDescent="0.2">
      <c r="A4957" s="116">
        <f>IF(ISNUMBER(Tabela2[[#This Row],[CT-e/NFS]])=TRUE,(IF(B4957&gt;30000,4,IF(B4957&lt;1000,"ND",0))),"-")</f>
        <v>4</v>
      </c>
      <c r="B4957" s="116">
        <v>49043</v>
      </c>
      <c r="C4957" s="117">
        <v>45556</v>
      </c>
      <c r="D4957" s="116">
        <v>168.92</v>
      </c>
      <c r="E4957" s="117">
        <v>45565</v>
      </c>
      <c r="F4957" s="116">
        <f>COUNTIFS($A$3:A13207,A4957,$B$3:B13207,B4957)</f>
        <v>1</v>
      </c>
      <c r="G4957" s="116"/>
    </row>
    <row r="4958" spans="1:7" x14ac:dyDescent="0.2">
      <c r="A4958" s="116">
        <f>IF(ISNUMBER(Tabela2[[#This Row],[CT-e/NFS]])=TRUE,(IF(B4958&gt;30000,4,IF(B4958&lt;1000,"ND",0))),"-")</f>
        <v>4</v>
      </c>
      <c r="B4958" s="116">
        <v>49044</v>
      </c>
      <c r="C4958" s="117">
        <v>45556</v>
      </c>
      <c r="D4958" s="116">
        <v>126.01</v>
      </c>
      <c r="E4958" s="117">
        <v>45565</v>
      </c>
      <c r="F4958" s="116">
        <f>COUNTIFS($A$3:A13208,A4958,$B$3:B13208,B4958)</f>
        <v>1</v>
      </c>
      <c r="G4958" s="116"/>
    </row>
    <row r="4959" spans="1:7" x14ac:dyDescent="0.2">
      <c r="A4959" s="116">
        <f>IF(ISNUMBER(Tabela2[[#This Row],[CT-e/NFS]])=TRUE,(IF(B4959&gt;30000,4,IF(B4959&lt;1000,"ND",0))),"-")</f>
        <v>4</v>
      </c>
      <c r="B4959" s="116">
        <v>49053</v>
      </c>
      <c r="C4959" s="117">
        <v>45556</v>
      </c>
      <c r="D4959" s="116">
        <v>134.05000000000001</v>
      </c>
      <c r="E4959" s="117">
        <v>45565</v>
      </c>
      <c r="F4959" s="116">
        <f>COUNTIFS($A$3:A13209,A4959,$B$3:B13209,B4959)</f>
        <v>1</v>
      </c>
      <c r="G4959" s="116"/>
    </row>
    <row r="4960" spans="1:7" x14ac:dyDescent="0.2">
      <c r="A4960" s="116">
        <f>IF(ISNUMBER(Tabela2[[#This Row],[CT-e/NFS]])=TRUE,(IF(B4960&gt;30000,4,IF(B4960&lt;1000,"ND",0))),"-")</f>
        <v>4</v>
      </c>
      <c r="B4960" s="116">
        <v>49059</v>
      </c>
      <c r="C4960" s="117">
        <v>45556</v>
      </c>
      <c r="D4960" s="116">
        <v>104.08</v>
      </c>
      <c r="E4960" s="117">
        <v>45565</v>
      </c>
      <c r="F4960" s="116">
        <f>COUNTIFS($A$3:A13210,A4960,$B$3:B13210,B4960)</f>
        <v>1</v>
      </c>
      <c r="G4960" s="116"/>
    </row>
    <row r="4961" spans="1:7" x14ac:dyDescent="0.2">
      <c r="A4961" s="116">
        <f>IF(ISNUMBER(Tabela2[[#This Row],[CT-e/NFS]])=TRUE,(IF(B4961&gt;30000,4,IF(B4961&lt;1000,"ND",0))),"-")</f>
        <v>4</v>
      </c>
      <c r="B4961" s="116">
        <v>49060</v>
      </c>
      <c r="C4961" s="117">
        <v>45556</v>
      </c>
      <c r="D4961" s="116">
        <v>188</v>
      </c>
      <c r="E4961" s="117">
        <v>45565</v>
      </c>
      <c r="F4961" s="116">
        <f>COUNTIFS($A$3:A13211,A4961,$B$3:B13211,B4961)</f>
        <v>1</v>
      </c>
      <c r="G4961" s="116"/>
    </row>
    <row r="4962" spans="1:7" x14ac:dyDescent="0.2">
      <c r="A4962" s="116">
        <f>IF(ISNUMBER(Tabela2[[#This Row],[CT-e/NFS]])=TRUE,(IF(B4962&gt;30000,4,IF(B4962&lt;1000,"ND",0))),"-")</f>
        <v>4</v>
      </c>
      <c r="B4962" s="116">
        <v>49037</v>
      </c>
      <c r="C4962" s="117">
        <v>45556</v>
      </c>
      <c r="D4962" s="116">
        <v>124.3</v>
      </c>
      <c r="E4962" s="117">
        <v>45565</v>
      </c>
      <c r="F4962" s="116">
        <f>COUNTIFS($A$3:A13212,A4962,$B$3:B13212,B4962)</f>
        <v>1</v>
      </c>
      <c r="G4962" s="116"/>
    </row>
    <row r="4963" spans="1:7" x14ac:dyDescent="0.2">
      <c r="A4963" s="116">
        <f>IF(ISNUMBER(Tabela2[[#This Row],[CT-e/NFS]])=TRUE,(IF(B4963&gt;30000,4,IF(B4963&lt;1000,"ND",0))),"-")</f>
        <v>4</v>
      </c>
      <c r="B4963" s="116">
        <v>49045</v>
      </c>
      <c r="C4963" s="117">
        <v>45556</v>
      </c>
      <c r="D4963" s="116">
        <v>124.28</v>
      </c>
      <c r="E4963" s="117">
        <v>45565</v>
      </c>
      <c r="F4963" s="116">
        <f>COUNTIFS($A$3:A13213,A4963,$B$3:B13213,B4963)</f>
        <v>1</v>
      </c>
      <c r="G4963" s="116"/>
    </row>
    <row r="4964" spans="1:7" x14ac:dyDescent="0.2">
      <c r="A4964" s="116">
        <f>IF(ISNUMBER(Tabela2[[#This Row],[CT-e/NFS]])=TRUE,(IF(B4964&gt;30000,4,IF(B4964&lt;1000,"ND",0))),"-")</f>
        <v>4</v>
      </c>
      <c r="B4964" s="116">
        <v>49056</v>
      </c>
      <c r="C4964" s="117">
        <v>45556</v>
      </c>
      <c r="D4964" s="116">
        <v>609.98</v>
      </c>
      <c r="E4964" s="117">
        <v>45565</v>
      </c>
      <c r="F4964" s="116">
        <f>COUNTIFS($A$3:A13214,A4964,$B$3:B13214,B4964)</f>
        <v>1</v>
      </c>
      <c r="G4964" s="116"/>
    </row>
    <row r="4965" spans="1:7" x14ac:dyDescent="0.2">
      <c r="A4965" s="116">
        <f>IF(ISNUMBER(Tabela2[[#This Row],[CT-e/NFS]])=TRUE,(IF(B4965&gt;30000,4,IF(B4965&lt;1000,"ND",0))),"-")</f>
        <v>4</v>
      </c>
      <c r="B4965" s="116">
        <v>49055</v>
      </c>
      <c r="C4965" s="117">
        <v>45556</v>
      </c>
      <c r="D4965" s="116">
        <v>1824.32</v>
      </c>
      <c r="E4965" s="117">
        <v>45565</v>
      </c>
      <c r="F4965" s="116">
        <f>COUNTIFS($A$3:A13215,A4965,$B$3:B13215,B4965)</f>
        <v>1</v>
      </c>
      <c r="G4965" s="116"/>
    </row>
    <row r="4966" spans="1:7" x14ac:dyDescent="0.2">
      <c r="A4966" s="116">
        <f>IF(ISNUMBER(Tabela2[[#This Row],[CT-e/NFS]])=TRUE,(IF(B4966&gt;30000,4,IF(B4966&lt;1000,"ND",0))),"-")</f>
        <v>4</v>
      </c>
      <c r="B4966" s="116">
        <v>49062</v>
      </c>
      <c r="C4966" s="117">
        <v>45556</v>
      </c>
      <c r="D4966" s="116">
        <v>758.49</v>
      </c>
      <c r="E4966" s="117">
        <v>45565</v>
      </c>
      <c r="F4966" s="116">
        <f>COUNTIFS($A$3:A13216,A4966,$B$3:B13216,B4966)</f>
        <v>1</v>
      </c>
      <c r="G4966" s="116"/>
    </row>
    <row r="4967" spans="1:7" x14ac:dyDescent="0.2">
      <c r="A4967" s="116">
        <f>IF(ISNUMBER(Tabela2[[#This Row],[CT-e/NFS]])=TRUE,(IF(B4967&gt;30000,4,IF(B4967&lt;1000,"ND",0))),"-")</f>
        <v>4</v>
      </c>
      <c r="B4967" s="116">
        <v>49063</v>
      </c>
      <c r="C4967" s="117">
        <v>45556</v>
      </c>
      <c r="D4967" s="116">
        <v>379.24</v>
      </c>
      <c r="E4967" s="117">
        <v>45565</v>
      </c>
      <c r="F4967" s="116">
        <f>COUNTIFS($A$3:A13217,A4967,$B$3:B13217,B4967)</f>
        <v>1</v>
      </c>
      <c r="G4967" s="116"/>
    </row>
    <row r="4968" spans="1:7" x14ac:dyDescent="0.2">
      <c r="A4968" s="116">
        <f>IF(ISNUMBER(Tabela2[[#This Row],[CT-e/NFS]])=TRUE,(IF(B4968&gt;30000,4,IF(B4968&lt;1000,"ND",0))),"-")</f>
        <v>4</v>
      </c>
      <c r="B4968" s="116">
        <v>49080</v>
      </c>
      <c r="C4968" s="117">
        <v>45556</v>
      </c>
      <c r="D4968" s="116">
        <v>62.1</v>
      </c>
      <c r="E4968" s="117">
        <v>45565</v>
      </c>
      <c r="F4968" s="116">
        <f>COUNTIFS($A$3:A13218,A4968,$B$3:B13218,B4968)</f>
        <v>1</v>
      </c>
      <c r="G4968" s="116"/>
    </row>
    <row r="4969" spans="1:7" x14ac:dyDescent="0.2">
      <c r="A4969" s="116">
        <f>IF(ISNUMBER(Tabela2[[#This Row],[CT-e/NFS]])=TRUE,(IF(B4969&gt;30000,4,IF(B4969&lt;1000,"ND",0))),"-")</f>
        <v>4</v>
      </c>
      <c r="B4969" s="116">
        <v>49067</v>
      </c>
      <c r="C4969" s="117">
        <v>45556</v>
      </c>
      <c r="D4969" s="116">
        <v>124.15</v>
      </c>
      <c r="E4969" s="117">
        <v>45565</v>
      </c>
      <c r="F4969" s="116">
        <f>COUNTIFS($A$3:A13219,A4969,$B$3:B13219,B4969)</f>
        <v>1</v>
      </c>
      <c r="G4969" s="116"/>
    </row>
    <row r="4970" spans="1:7" x14ac:dyDescent="0.2">
      <c r="A4970" s="116">
        <f>IF(ISNUMBER(Tabela2[[#This Row],[CT-e/NFS]])=TRUE,(IF(B4970&gt;30000,4,IF(B4970&lt;1000,"ND",0))),"-")</f>
        <v>4</v>
      </c>
      <c r="B4970" s="116">
        <v>49081</v>
      </c>
      <c r="C4970" s="117">
        <v>45556</v>
      </c>
      <c r="D4970" s="116">
        <v>111.93</v>
      </c>
      <c r="E4970" s="117">
        <v>45565</v>
      </c>
      <c r="F4970" s="116">
        <f>COUNTIFS($A$3:A13220,A4970,$B$3:B13220,B4970)</f>
        <v>1</v>
      </c>
      <c r="G4970" s="116"/>
    </row>
    <row r="4971" spans="1:7" x14ac:dyDescent="0.2">
      <c r="A4971" s="116">
        <f>IF(ISNUMBER(Tabela2[[#This Row],[CT-e/NFS]])=TRUE,(IF(B4971&gt;30000,4,IF(B4971&lt;1000,"ND",0))),"-")</f>
        <v>4</v>
      </c>
      <c r="B4971" s="116">
        <v>49064</v>
      </c>
      <c r="C4971" s="117">
        <v>45556</v>
      </c>
      <c r="D4971" s="116">
        <v>124.27</v>
      </c>
      <c r="E4971" s="117">
        <v>45565</v>
      </c>
      <c r="F4971" s="116">
        <f>COUNTIFS($A$3:A13221,A4971,$B$3:B13221,B4971)</f>
        <v>1</v>
      </c>
      <c r="G4971" s="116"/>
    </row>
    <row r="4972" spans="1:7" x14ac:dyDescent="0.2">
      <c r="A4972" s="116">
        <f>IF(ISNUMBER(Tabela2[[#This Row],[CT-e/NFS]])=TRUE,(IF(B4972&gt;30000,4,IF(B4972&lt;1000,"ND",0))),"-")</f>
        <v>4</v>
      </c>
      <c r="B4972" s="116">
        <v>49066</v>
      </c>
      <c r="C4972" s="117">
        <v>45556</v>
      </c>
      <c r="D4972" s="116">
        <v>123.13</v>
      </c>
      <c r="E4972" s="117">
        <v>45565</v>
      </c>
      <c r="F4972" s="116">
        <f>COUNTIFS($A$3:A13222,A4972,$B$3:B13222,B4972)</f>
        <v>1</v>
      </c>
      <c r="G4972" s="116"/>
    </row>
    <row r="4973" spans="1:7" x14ac:dyDescent="0.2">
      <c r="A4973" s="116">
        <f>IF(ISNUMBER(Tabela2[[#This Row],[CT-e/NFS]])=TRUE,(IF(B4973&gt;30000,4,IF(B4973&lt;1000,"ND",0))),"-")</f>
        <v>4</v>
      </c>
      <c r="B4973" s="116">
        <v>49065</v>
      </c>
      <c r="C4973" s="117">
        <v>45556</v>
      </c>
      <c r="D4973" s="116">
        <v>124.2</v>
      </c>
      <c r="E4973" s="117">
        <v>45565</v>
      </c>
      <c r="F4973" s="116">
        <f>COUNTIFS($A$3:A13223,A4973,$B$3:B13223,B4973)</f>
        <v>1</v>
      </c>
      <c r="G4973" s="116"/>
    </row>
    <row r="4974" spans="1:7" x14ac:dyDescent="0.2">
      <c r="A4974" s="116">
        <f>IF(ISNUMBER(Tabela2[[#This Row],[CT-e/NFS]])=TRUE,(IF(B4974&gt;30000,4,IF(B4974&lt;1000,"ND",0))),"-")</f>
        <v>4</v>
      </c>
      <c r="B4974" s="116">
        <v>49070</v>
      </c>
      <c r="C4974" s="117">
        <v>45556</v>
      </c>
      <c r="D4974" s="116">
        <v>238.73</v>
      </c>
      <c r="E4974" s="117">
        <v>45565</v>
      </c>
      <c r="F4974" s="116">
        <f>COUNTIFS($A$3:A13224,A4974,$B$3:B13224,B4974)</f>
        <v>1</v>
      </c>
      <c r="G4974" s="116"/>
    </row>
    <row r="4975" spans="1:7" x14ac:dyDescent="0.2">
      <c r="A4975" s="116">
        <f>IF(ISNUMBER(Tabela2[[#This Row],[CT-e/NFS]])=TRUE,(IF(B4975&gt;30000,4,IF(B4975&lt;1000,"ND",0))),"-")</f>
        <v>4</v>
      </c>
      <c r="B4975" s="116">
        <v>49068</v>
      </c>
      <c r="C4975" s="117">
        <v>45556</v>
      </c>
      <c r="D4975" s="116">
        <v>125.03</v>
      </c>
      <c r="E4975" s="117">
        <v>45565</v>
      </c>
      <c r="F4975" s="116">
        <f>COUNTIFS($A$3:A13225,A4975,$B$3:B13225,B4975)</f>
        <v>1</v>
      </c>
      <c r="G4975" s="116"/>
    </row>
    <row r="4976" spans="1:7" x14ac:dyDescent="0.2">
      <c r="A4976" s="116">
        <f>IF(ISNUMBER(Tabela2[[#This Row],[CT-e/NFS]])=TRUE,(IF(B4976&gt;30000,4,IF(B4976&lt;1000,"ND",0))),"-")</f>
        <v>4</v>
      </c>
      <c r="B4976" s="116">
        <v>49075</v>
      </c>
      <c r="C4976" s="117">
        <v>45556</v>
      </c>
      <c r="D4976" s="116">
        <v>124.03</v>
      </c>
      <c r="E4976" s="117">
        <v>45565</v>
      </c>
      <c r="F4976" s="116">
        <f>COUNTIFS($A$3:A13226,A4976,$B$3:B13226,B4976)</f>
        <v>1</v>
      </c>
      <c r="G4976" s="116"/>
    </row>
    <row r="4977" spans="1:7" x14ac:dyDescent="0.2">
      <c r="A4977" s="116">
        <f>IF(ISNUMBER(Tabela2[[#This Row],[CT-e/NFS]])=TRUE,(IF(B4977&gt;30000,4,IF(B4977&lt;1000,"ND",0))),"-")</f>
        <v>4</v>
      </c>
      <c r="B4977" s="116">
        <v>49074</v>
      </c>
      <c r="C4977" s="117">
        <v>45556</v>
      </c>
      <c r="D4977" s="116">
        <v>122.82</v>
      </c>
      <c r="E4977" s="117">
        <v>45565</v>
      </c>
      <c r="F4977" s="116">
        <f>COUNTIFS($A$3:A13227,A4977,$B$3:B13227,B4977)</f>
        <v>1</v>
      </c>
      <c r="G4977" s="116"/>
    </row>
    <row r="4978" spans="1:7" x14ac:dyDescent="0.2">
      <c r="A4978" s="116">
        <f>IF(ISNUMBER(Tabela2[[#This Row],[CT-e/NFS]])=TRUE,(IF(B4978&gt;30000,4,IF(B4978&lt;1000,"ND",0))),"-")</f>
        <v>4</v>
      </c>
      <c r="B4978" s="116">
        <v>49071</v>
      </c>
      <c r="C4978" s="117">
        <v>45556</v>
      </c>
      <c r="D4978" s="116">
        <v>126.65</v>
      </c>
      <c r="E4978" s="117">
        <v>45565</v>
      </c>
      <c r="F4978" s="116">
        <f>COUNTIFS($A$3:A13228,A4978,$B$3:B13228,B4978)</f>
        <v>1</v>
      </c>
      <c r="G4978" s="116"/>
    </row>
    <row r="4979" spans="1:7" x14ac:dyDescent="0.2">
      <c r="A4979" s="116">
        <f>IF(ISNUMBER(Tabela2[[#This Row],[CT-e/NFS]])=TRUE,(IF(B4979&gt;30000,4,IF(B4979&lt;1000,"ND",0))),"-")</f>
        <v>4</v>
      </c>
      <c r="B4979" s="116">
        <v>49073</v>
      </c>
      <c r="C4979" s="117">
        <v>45556</v>
      </c>
      <c r="D4979" s="116">
        <v>225.23</v>
      </c>
      <c r="E4979" s="117">
        <v>45565</v>
      </c>
      <c r="F4979" s="116">
        <f>COUNTIFS($A$3:A13229,A4979,$B$3:B13229,B4979)</f>
        <v>1</v>
      </c>
      <c r="G4979" s="116"/>
    </row>
    <row r="4980" spans="1:7" x14ac:dyDescent="0.2">
      <c r="A4980" s="116">
        <f>IF(ISNUMBER(Tabela2[[#This Row],[CT-e/NFS]])=TRUE,(IF(B4980&gt;30000,4,IF(B4980&lt;1000,"ND",0))),"-")</f>
        <v>4</v>
      </c>
      <c r="B4980" s="116">
        <v>49072</v>
      </c>
      <c r="C4980" s="117">
        <v>45556</v>
      </c>
      <c r="D4980" s="116">
        <v>256.18</v>
      </c>
      <c r="E4980" s="117">
        <v>45565</v>
      </c>
      <c r="F4980" s="116">
        <f>COUNTIFS($A$3:A13230,A4980,$B$3:B13230,B4980)</f>
        <v>1</v>
      </c>
      <c r="G4980" s="116"/>
    </row>
    <row r="4981" spans="1:7" x14ac:dyDescent="0.2">
      <c r="A4981" s="116">
        <f>IF(ISNUMBER(Tabela2[[#This Row],[CT-e/NFS]])=TRUE,(IF(B4981&gt;30000,4,IF(B4981&lt;1000,"ND",0))),"-")</f>
        <v>4</v>
      </c>
      <c r="B4981" s="116">
        <v>49078</v>
      </c>
      <c r="C4981" s="117">
        <v>45556</v>
      </c>
      <c r="D4981" s="116">
        <v>123.5</v>
      </c>
      <c r="E4981" s="117">
        <v>45565</v>
      </c>
      <c r="F4981" s="116">
        <f>COUNTIFS($A$3:A13231,A4981,$B$3:B13231,B4981)</f>
        <v>1</v>
      </c>
      <c r="G4981" s="116"/>
    </row>
    <row r="4982" spans="1:7" x14ac:dyDescent="0.2">
      <c r="A4982" s="116">
        <f>IF(ISNUMBER(Tabela2[[#This Row],[CT-e/NFS]])=TRUE,(IF(B4982&gt;30000,4,IF(B4982&lt;1000,"ND",0))),"-")</f>
        <v>4</v>
      </c>
      <c r="B4982" s="116">
        <v>49077</v>
      </c>
      <c r="C4982" s="117">
        <v>45556</v>
      </c>
      <c r="D4982" s="116">
        <v>396.44</v>
      </c>
      <c r="E4982" s="117">
        <v>45565</v>
      </c>
      <c r="F4982" s="116">
        <f>COUNTIFS($A$3:A13232,A4982,$B$3:B13232,B4982)</f>
        <v>1</v>
      </c>
      <c r="G4982" s="116"/>
    </row>
    <row r="4983" spans="1:7" x14ac:dyDescent="0.2">
      <c r="A4983" s="116">
        <f>IF(ISNUMBER(Tabela2[[#This Row],[CT-e/NFS]])=TRUE,(IF(B4983&gt;30000,4,IF(B4983&lt;1000,"ND",0))),"-")</f>
        <v>4</v>
      </c>
      <c r="B4983" s="116">
        <v>49076</v>
      </c>
      <c r="C4983" s="117">
        <v>45556</v>
      </c>
      <c r="D4983" s="116">
        <v>124.26</v>
      </c>
      <c r="E4983" s="117">
        <v>45565</v>
      </c>
      <c r="F4983" s="116">
        <f>COUNTIFS($A$3:A13233,A4983,$B$3:B13233,B4983)</f>
        <v>1</v>
      </c>
      <c r="G4983" s="116"/>
    </row>
    <row r="4984" spans="1:7" x14ac:dyDescent="0.2">
      <c r="A4984" s="116">
        <f>IF(ISNUMBER(Tabela2[[#This Row],[CT-e/NFS]])=TRUE,(IF(B4984&gt;30000,4,IF(B4984&lt;1000,"ND",0))),"-")</f>
        <v>4</v>
      </c>
      <c r="B4984" s="116">
        <v>49084</v>
      </c>
      <c r="C4984" s="117">
        <v>45556</v>
      </c>
      <c r="D4984" s="116">
        <v>61.44</v>
      </c>
      <c r="E4984" s="117">
        <v>45565</v>
      </c>
      <c r="F4984" s="116">
        <f>COUNTIFS($A$3:A13234,A4984,$B$3:B13234,B4984)</f>
        <v>1</v>
      </c>
      <c r="G4984" s="116"/>
    </row>
    <row r="4985" spans="1:7" x14ac:dyDescent="0.2">
      <c r="A4985" s="116">
        <f>IF(ISNUMBER(Tabela2[[#This Row],[CT-e/NFS]])=TRUE,(IF(B4985&gt;30000,4,IF(B4985&lt;1000,"ND",0))),"-")</f>
        <v>4</v>
      </c>
      <c r="B4985" s="116">
        <v>49086</v>
      </c>
      <c r="C4985" s="117">
        <v>45556</v>
      </c>
      <c r="D4985" s="116">
        <v>110.61</v>
      </c>
      <c r="E4985" s="117">
        <v>45565</v>
      </c>
      <c r="F4985" s="116">
        <f>COUNTIFS($A$3:A13235,A4985,$B$3:B13235,B4985)</f>
        <v>1</v>
      </c>
      <c r="G4985" s="116"/>
    </row>
    <row r="4986" spans="1:7" x14ac:dyDescent="0.2">
      <c r="A4986" s="116">
        <f>IF(ISNUMBER(Tabela2[[#This Row],[CT-e/NFS]])=TRUE,(IF(B4986&gt;30000,4,IF(B4986&lt;1000,"ND",0))),"-")</f>
        <v>4</v>
      </c>
      <c r="B4986" s="116">
        <v>49069</v>
      </c>
      <c r="C4986" s="117">
        <v>45556</v>
      </c>
      <c r="D4986" s="116">
        <v>238.85</v>
      </c>
      <c r="E4986" s="117">
        <v>45565</v>
      </c>
      <c r="F4986" s="116">
        <f>COUNTIFS($A$3:A13236,A4986,$B$3:B13236,B4986)</f>
        <v>1</v>
      </c>
      <c r="G4986" s="116"/>
    </row>
    <row r="4987" spans="1:7" x14ac:dyDescent="0.2">
      <c r="A4987" s="116">
        <f>IF(ISNUMBER(Tabela2[[#This Row],[CT-e/NFS]])=TRUE,(IF(B4987&gt;30000,4,IF(B4987&lt;1000,"ND",0))),"-")</f>
        <v>0</v>
      </c>
      <c r="B4987" s="116">
        <v>22074</v>
      </c>
      <c r="C4987" s="117">
        <v>45556</v>
      </c>
      <c r="D4987" s="116">
        <v>77.08</v>
      </c>
      <c r="E4987" s="117">
        <v>45565</v>
      </c>
      <c r="F4987" s="116">
        <f>COUNTIFS($A$3:A13237,A4987,$B$3:B13237,B4987)</f>
        <v>1</v>
      </c>
      <c r="G4987" s="116"/>
    </row>
    <row r="4988" spans="1:7" x14ac:dyDescent="0.2">
      <c r="A4988" s="116">
        <f>IF(ISNUMBER(Tabela2[[#This Row],[CT-e/NFS]])=TRUE,(IF(B4988&gt;30000,4,IF(B4988&lt;1000,"ND",0))),"-")</f>
        <v>0</v>
      </c>
      <c r="B4988" s="116">
        <v>22077</v>
      </c>
      <c r="C4988" s="117">
        <v>45556</v>
      </c>
      <c r="D4988" s="116">
        <v>131.83000000000001</v>
      </c>
      <c r="E4988" s="117">
        <v>45565</v>
      </c>
      <c r="F4988" s="116">
        <f>COUNTIFS($A$3:A13238,A4988,$B$3:B13238,B4988)</f>
        <v>1</v>
      </c>
      <c r="G4988" s="116"/>
    </row>
    <row r="4989" spans="1:7" x14ac:dyDescent="0.2">
      <c r="A4989" s="116">
        <f>IF(ISNUMBER(Tabela2[[#This Row],[CT-e/NFS]])=TRUE,(IF(B4989&gt;30000,4,IF(B4989&lt;1000,"ND",0))),"-")</f>
        <v>0</v>
      </c>
      <c r="B4989" s="116">
        <v>22076</v>
      </c>
      <c r="C4989" s="117">
        <v>45556</v>
      </c>
      <c r="D4989" s="116">
        <v>76.34</v>
      </c>
      <c r="E4989" s="117">
        <v>45565</v>
      </c>
      <c r="F4989" s="116">
        <f>COUNTIFS($A$3:A13239,A4989,$B$3:B13239,B4989)</f>
        <v>1</v>
      </c>
      <c r="G4989" s="116"/>
    </row>
    <row r="4990" spans="1:7" x14ac:dyDescent="0.2">
      <c r="A4990" s="116">
        <f>IF(ISNUMBER(Tabela2[[#This Row],[CT-e/NFS]])=TRUE,(IF(B4990&gt;30000,4,IF(B4990&lt;1000,"ND",0))),"-")</f>
        <v>0</v>
      </c>
      <c r="B4990" s="116">
        <v>22078</v>
      </c>
      <c r="C4990" s="117">
        <v>45556</v>
      </c>
      <c r="D4990" s="116">
        <v>76.739999999999995</v>
      </c>
      <c r="E4990" s="117">
        <v>45565</v>
      </c>
      <c r="F4990" s="116">
        <f>COUNTIFS($A$3:A13240,A4990,$B$3:B13240,B4990)</f>
        <v>1</v>
      </c>
      <c r="G4990" s="116"/>
    </row>
    <row r="4991" spans="1:7" x14ac:dyDescent="0.2">
      <c r="A4991" s="116">
        <f>IF(ISNUMBER(Tabela2[[#This Row],[CT-e/NFS]])=TRUE,(IF(B4991&gt;30000,4,IF(B4991&lt;1000,"ND",0))),"-")</f>
        <v>0</v>
      </c>
      <c r="B4991" s="116">
        <v>22075</v>
      </c>
      <c r="C4991" s="117">
        <v>45556</v>
      </c>
      <c r="D4991" s="116">
        <v>76.3</v>
      </c>
      <c r="E4991" s="117">
        <v>45565</v>
      </c>
      <c r="F4991" s="116">
        <f>COUNTIFS($A$3:A13241,A4991,$B$3:B13241,B4991)</f>
        <v>1</v>
      </c>
      <c r="G4991" s="116"/>
    </row>
    <row r="4992" spans="1:7" x14ac:dyDescent="0.2">
      <c r="A4992" s="116">
        <f>IF(ISNUMBER(Tabela2[[#This Row],[CT-e/NFS]])=TRUE,(IF(B4992&gt;30000,4,IF(B4992&lt;1000,"ND",0))),"-")</f>
        <v>0</v>
      </c>
      <c r="B4992" s="116">
        <v>22087</v>
      </c>
      <c r="C4992" s="117">
        <v>45556</v>
      </c>
      <c r="D4992" s="116">
        <v>76.95</v>
      </c>
      <c r="E4992" s="117">
        <v>45565</v>
      </c>
      <c r="F4992" s="116">
        <f>COUNTIFS($A$3:A13242,A4992,$B$3:B13242,B4992)</f>
        <v>1</v>
      </c>
      <c r="G4992" s="116"/>
    </row>
    <row r="4993" spans="1:7" x14ac:dyDescent="0.2">
      <c r="A4993" s="116">
        <f>IF(ISNUMBER(Tabela2[[#This Row],[CT-e/NFS]])=TRUE,(IF(B4993&gt;30000,4,IF(B4993&lt;1000,"ND",0))),"-")</f>
        <v>0</v>
      </c>
      <c r="B4993" s="116">
        <v>22089</v>
      </c>
      <c r="C4993" s="117">
        <v>45556</v>
      </c>
      <c r="D4993" s="116">
        <v>76.959999999999994</v>
      </c>
      <c r="E4993" s="117">
        <v>45565</v>
      </c>
      <c r="F4993" s="116">
        <f>COUNTIFS($A$3:A13243,A4993,$B$3:B13243,B4993)</f>
        <v>1</v>
      </c>
      <c r="G4993" s="116"/>
    </row>
    <row r="4994" spans="1:7" x14ac:dyDescent="0.2">
      <c r="A4994" s="116">
        <f>IF(ISNUMBER(Tabela2[[#This Row],[CT-e/NFS]])=TRUE,(IF(B4994&gt;30000,4,IF(B4994&lt;1000,"ND",0))),"-")</f>
        <v>0</v>
      </c>
      <c r="B4994" s="116">
        <v>22083</v>
      </c>
      <c r="C4994" s="117">
        <v>45556</v>
      </c>
      <c r="D4994" s="116">
        <v>77.430000000000007</v>
      </c>
      <c r="E4994" s="117">
        <v>45565</v>
      </c>
      <c r="F4994" s="116">
        <f>COUNTIFS($A$3:A13244,A4994,$B$3:B13244,B4994)</f>
        <v>1</v>
      </c>
      <c r="G4994" s="116"/>
    </row>
    <row r="4995" spans="1:7" x14ac:dyDescent="0.2">
      <c r="A4995" s="116">
        <f>IF(ISNUMBER(Tabela2[[#This Row],[CT-e/NFS]])=TRUE,(IF(B4995&gt;30000,4,IF(B4995&lt;1000,"ND",0))),"-")</f>
        <v>0</v>
      </c>
      <c r="B4995" s="116">
        <v>22082</v>
      </c>
      <c r="C4995" s="117">
        <v>45556</v>
      </c>
      <c r="D4995" s="116">
        <v>76.55</v>
      </c>
      <c r="E4995" s="117">
        <v>45565</v>
      </c>
      <c r="F4995" s="116">
        <f>COUNTIFS($A$3:A13245,A4995,$B$3:B13245,B4995)</f>
        <v>1</v>
      </c>
      <c r="G4995" s="116"/>
    </row>
    <row r="4996" spans="1:7" x14ac:dyDescent="0.2">
      <c r="A4996" s="116">
        <f>IF(ISNUMBER(Tabela2[[#This Row],[CT-e/NFS]])=TRUE,(IF(B4996&gt;30000,4,IF(B4996&lt;1000,"ND",0))),"-")</f>
        <v>0</v>
      </c>
      <c r="B4996" s="116">
        <v>22088</v>
      </c>
      <c r="C4996" s="117">
        <v>45556</v>
      </c>
      <c r="D4996" s="116">
        <v>252.67</v>
      </c>
      <c r="E4996" s="117">
        <v>45565</v>
      </c>
      <c r="F4996" s="116">
        <f>COUNTIFS($A$3:A13246,A4996,$B$3:B13246,B4996)</f>
        <v>1</v>
      </c>
      <c r="G4996" s="116"/>
    </row>
    <row r="4997" spans="1:7" x14ac:dyDescent="0.2">
      <c r="A4997" s="116">
        <f>IF(ISNUMBER(Tabela2[[#This Row],[CT-e/NFS]])=TRUE,(IF(B4997&gt;30000,4,IF(B4997&lt;1000,"ND",0))),"-")</f>
        <v>0</v>
      </c>
      <c r="B4997" s="116">
        <v>22086</v>
      </c>
      <c r="C4997" s="117">
        <v>45556</v>
      </c>
      <c r="D4997" s="116">
        <v>252.67</v>
      </c>
      <c r="E4997" s="117">
        <v>45565</v>
      </c>
      <c r="F4997" s="116">
        <f>COUNTIFS($A$3:A13247,A4997,$B$3:B13247,B4997)</f>
        <v>1</v>
      </c>
      <c r="G4997" s="116"/>
    </row>
    <row r="4998" spans="1:7" x14ac:dyDescent="0.2">
      <c r="A4998" s="116">
        <f>IF(ISNUMBER(Tabela2[[#This Row],[CT-e/NFS]])=TRUE,(IF(B4998&gt;30000,4,IF(B4998&lt;1000,"ND",0))),"-")</f>
        <v>0</v>
      </c>
      <c r="B4998" s="116">
        <v>22085</v>
      </c>
      <c r="C4998" s="117">
        <v>45556</v>
      </c>
      <c r="D4998" s="116">
        <v>76.8</v>
      </c>
      <c r="E4998" s="117">
        <v>45565</v>
      </c>
      <c r="F4998" s="116">
        <f>COUNTIFS($A$3:A13248,A4998,$B$3:B13248,B4998)</f>
        <v>1</v>
      </c>
      <c r="G4998" s="116"/>
    </row>
    <row r="4999" spans="1:7" x14ac:dyDescent="0.2">
      <c r="A4999" s="116">
        <f>IF(ISNUMBER(Tabela2[[#This Row],[CT-e/NFS]])=TRUE,(IF(B4999&gt;30000,4,IF(B4999&lt;1000,"ND",0))),"-")</f>
        <v>0</v>
      </c>
      <c r="B4999" s="116">
        <v>22081</v>
      </c>
      <c r="C4999" s="117">
        <v>45556</v>
      </c>
      <c r="D4999" s="116">
        <v>75.62</v>
      </c>
      <c r="E4999" s="117">
        <v>45565</v>
      </c>
      <c r="F4999" s="116">
        <f>COUNTIFS($A$3:A13249,A4999,$B$3:B13249,B4999)</f>
        <v>1</v>
      </c>
      <c r="G4999" s="116"/>
    </row>
    <row r="5000" spans="1:7" x14ac:dyDescent="0.2">
      <c r="A5000" s="116">
        <f>IF(ISNUMBER(Tabela2[[#This Row],[CT-e/NFS]])=TRUE,(IF(B5000&gt;30000,4,IF(B5000&lt;1000,"ND",0))),"-")</f>
        <v>0</v>
      </c>
      <c r="B5000" s="116">
        <v>22084</v>
      </c>
      <c r="C5000" s="117">
        <v>45556</v>
      </c>
      <c r="D5000" s="116">
        <v>76.28</v>
      </c>
      <c r="E5000" s="117">
        <v>45565</v>
      </c>
      <c r="F5000" s="116">
        <f>COUNTIFS($A$3:A13250,A5000,$B$3:B13250,B5000)</f>
        <v>1</v>
      </c>
      <c r="G5000" s="116"/>
    </row>
    <row r="5001" spans="1:7" x14ac:dyDescent="0.2">
      <c r="A5001" s="116">
        <f>IF(ISNUMBER(Tabela2[[#This Row],[CT-e/NFS]])=TRUE,(IF(B5001&gt;30000,4,IF(B5001&lt;1000,"ND",0))),"-")</f>
        <v>0</v>
      </c>
      <c r="B5001" s="116">
        <v>22080</v>
      </c>
      <c r="C5001" s="117">
        <v>45556</v>
      </c>
      <c r="D5001" s="116">
        <v>338.19</v>
      </c>
      <c r="E5001" s="117">
        <v>45565</v>
      </c>
      <c r="F5001" s="116">
        <f>COUNTIFS($A$3:A13251,A5001,$B$3:B13251,B5001)</f>
        <v>1</v>
      </c>
      <c r="G5001" s="116"/>
    </row>
    <row r="5002" spans="1:7" x14ac:dyDescent="0.2">
      <c r="A5002" s="116">
        <f>IF(ISNUMBER(Tabela2[[#This Row],[CT-e/NFS]])=TRUE,(IF(B5002&gt;30000,4,IF(B5002&lt;1000,"ND",0))),"-")</f>
        <v>4</v>
      </c>
      <c r="B5002" s="116">
        <v>49100</v>
      </c>
      <c r="C5002" s="117">
        <v>45556</v>
      </c>
      <c r="D5002" s="116">
        <v>62.51</v>
      </c>
      <c r="E5002" s="117">
        <v>45565</v>
      </c>
      <c r="F5002" s="116">
        <f>COUNTIFS($A$3:A13252,A5002,$B$3:B13252,B5002)</f>
        <v>1</v>
      </c>
      <c r="G5002" s="116"/>
    </row>
    <row r="5003" spans="1:7" x14ac:dyDescent="0.2">
      <c r="A5003" s="116">
        <f>IF(ISNUMBER(Tabela2[[#This Row],[CT-e/NFS]])=TRUE,(IF(B5003&gt;30000,4,IF(B5003&lt;1000,"ND",0))),"-")</f>
        <v>4</v>
      </c>
      <c r="B5003" s="116">
        <v>49082</v>
      </c>
      <c r="C5003" s="117">
        <v>45556</v>
      </c>
      <c r="D5003" s="116">
        <v>29194.89</v>
      </c>
      <c r="E5003" s="117">
        <v>45565</v>
      </c>
      <c r="F5003" s="116">
        <f>COUNTIFS($A$3:A13253,A5003,$B$3:B13253,B5003)</f>
        <v>1</v>
      </c>
      <c r="G5003" s="116"/>
    </row>
    <row r="5004" spans="1:7" x14ac:dyDescent="0.2">
      <c r="A5004" s="116">
        <f>IF(ISNUMBER(Tabela2[[#This Row],[CT-e/NFS]])=TRUE,(IF(B5004&gt;30000,4,IF(B5004&lt;1000,"ND",0))),"-")</f>
        <v>4</v>
      </c>
      <c r="B5004" s="116">
        <v>49083</v>
      </c>
      <c r="C5004" s="117">
        <v>45556</v>
      </c>
      <c r="D5004" s="116">
        <v>4865.82</v>
      </c>
      <c r="E5004" s="117">
        <v>45565</v>
      </c>
      <c r="F5004" s="116">
        <f>COUNTIFS($A$3:A13254,A5004,$B$3:B13254,B5004)</f>
        <v>1</v>
      </c>
      <c r="G5004" s="116"/>
    </row>
    <row r="5005" spans="1:7" x14ac:dyDescent="0.2">
      <c r="A5005" s="116">
        <f>IF(ISNUMBER(Tabela2[[#This Row],[CT-e/NFS]])=TRUE,(IF(B5005&gt;30000,4,IF(B5005&lt;1000,"ND",0))),"-")</f>
        <v>4</v>
      </c>
      <c r="B5005" s="116">
        <v>49108</v>
      </c>
      <c r="C5005" s="117">
        <v>45556</v>
      </c>
      <c r="D5005" s="116">
        <v>1796.03</v>
      </c>
      <c r="E5005" s="117">
        <v>45565</v>
      </c>
      <c r="F5005" s="116">
        <f>COUNTIFS($A$3:A13255,A5005,$B$3:B13255,B5005)</f>
        <v>1</v>
      </c>
      <c r="G5005" s="116"/>
    </row>
    <row r="5006" spans="1:7" x14ac:dyDescent="0.2">
      <c r="A5006" s="116">
        <f>IF(ISNUMBER(Tabela2[[#This Row],[CT-e/NFS]])=TRUE,(IF(B5006&gt;30000,4,IF(B5006&lt;1000,"ND",0))),"-")</f>
        <v>4</v>
      </c>
      <c r="B5006" s="116">
        <v>49085</v>
      </c>
      <c r="C5006" s="117">
        <v>45556</v>
      </c>
      <c r="D5006" s="116">
        <v>1796.03</v>
      </c>
      <c r="E5006" s="117">
        <v>45565</v>
      </c>
      <c r="F5006" s="116">
        <f>COUNTIFS($A$3:A13256,A5006,$B$3:B13256,B5006)</f>
        <v>1</v>
      </c>
      <c r="G5006" s="116"/>
    </row>
    <row r="5007" spans="1:7" x14ac:dyDescent="0.2">
      <c r="A5007" s="116">
        <f>IF(ISNUMBER(Tabela2[[#This Row],[CT-e/NFS]])=TRUE,(IF(B5007&gt;30000,4,IF(B5007&lt;1000,"ND",0))),"-")</f>
        <v>4</v>
      </c>
      <c r="B5007" s="116">
        <v>49110</v>
      </c>
      <c r="C5007" s="117">
        <v>45556</v>
      </c>
      <c r="D5007" s="116">
        <v>214.86</v>
      </c>
      <c r="E5007" s="117">
        <v>45565</v>
      </c>
      <c r="F5007" s="116">
        <f>COUNTIFS($A$3:A13257,A5007,$B$3:B13257,B5007)</f>
        <v>1</v>
      </c>
      <c r="G5007" s="116"/>
    </row>
    <row r="5008" spans="1:7" x14ac:dyDescent="0.2">
      <c r="A5008" s="116">
        <f>IF(ISNUMBER(Tabela2[[#This Row],[CT-e/NFS]])=TRUE,(IF(B5008&gt;30000,4,IF(B5008&lt;1000,"ND",0))),"-")</f>
        <v>4</v>
      </c>
      <c r="B5008" s="116">
        <v>49097</v>
      </c>
      <c r="C5008" s="117">
        <v>45556</v>
      </c>
      <c r="D5008" s="116">
        <v>240.01</v>
      </c>
      <c r="E5008" s="117">
        <v>45565</v>
      </c>
      <c r="F5008" s="116">
        <f>COUNTIFS($A$3:A13258,A5008,$B$3:B13258,B5008)</f>
        <v>1</v>
      </c>
      <c r="G5008" s="116"/>
    </row>
    <row r="5009" spans="1:7" x14ac:dyDescent="0.2">
      <c r="A5009" s="116">
        <f>IF(ISNUMBER(Tabela2[[#This Row],[CT-e/NFS]])=TRUE,(IF(B5009&gt;30000,4,IF(B5009&lt;1000,"ND",0))),"-")</f>
        <v>4</v>
      </c>
      <c r="B5009" s="116">
        <v>49095</v>
      </c>
      <c r="C5009" s="117">
        <v>45556</v>
      </c>
      <c r="D5009" s="116">
        <v>173.42</v>
      </c>
      <c r="E5009" s="117">
        <v>45565</v>
      </c>
      <c r="F5009" s="116">
        <f>COUNTIFS($A$3:A13259,A5009,$B$3:B13259,B5009)</f>
        <v>1</v>
      </c>
      <c r="G5009" s="116"/>
    </row>
    <row r="5010" spans="1:7" x14ac:dyDescent="0.2">
      <c r="A5010" s="116">
        <f>IF(ISNUMBER(Tabela2[[#This Row],[CT-e/NFS]])=TRUE,(IF(B5010&gt;30000,4,IF(B5010&lt;1000,"ND",0))),"-")</f>
        <v>4</v>
      </c>
      <c r="B5010" s="116">
        <v>49101</v>
      </c>
      <c r="C5010" s="117">
        <v>45556</v>
      </c>
      <c r="D5010" s="116">
        <v>112.76</v>
      </c>
      <c r="E5010" s="117">
        <v>45565</v>
      </c>
      <c r="F5010" s="116">
        <f>COUNTIFS($A$3:A13260,A5010,$B$3:B13260,B5010)</f>
        <v>1</v>
      </c>
      <c r="G5010" s="116"/>
    </row>
    <row r="5011" spans="1:7" x14ac:dyDescent="0.2">
      <c r="A5011" s="116">
        <f>IF(ISNUMBER(Tabela2[[#This Row],[CT-e/NFS]])=TRUE,(IF(B5011&gt;30000,4,IF(B5011&lt;1000,"ND",0))),"-")</f>
        <v>4</v>
      </c>
      <c r="B5011" s="116">
        <v>49109</v>
      </c>
      <c r="C5011" s="117">
        <v>45556</v>
      </c>
      <c r="D5011" s="116">
        <v>119.36</v>
      </c>
      <c r="E5011" s="117">
        <v>45565</v>
      </c>
      <c r="F5011" s="116">
        <f>COUNTIFS($A$3:A13261,A5011,$B$3:B13261,B5011)</f>
        <v>1</v>
      </c>
      <c r="G5011" s="116"/>
    </row>
    <row r="5012" spans="1:7" x14ac:dyDescent="0.2">
      <c r="A5012" s="116">
        <f>IF(ISNUMBER(Tabela2[[#This Row],[CT-e/NFS]])=TRUE,(IF(B5012&gt;30000,4,IF(B5012&lt;1000,"ND",0))),"-")</f>
        <v>4</v>
      </c>
      <c r="B5012" s="116">
        <v>49107</v>
      </c>
      <c r="C5012" s="117">
        <v>45556</v>
      </c>
      <c r="D5012" s="116">
        <v>201</v>
      </c>
      <c r="E5012" s="117">
        <v>45565</v>
      </c>
      <c r="F5012" s="116">
        <f>COUNTIFS($A$3:A13262,A5012,$B$3:B13262,B5012)</f>
        <v>1</v>
      </c>
      <c r="G5012" s="116"/>
    </row>
    <row r="5013" spans="1:7" x14ac:dyDescent="0.2">
      <c r="A5013" s="116">
        <f>IF(ISNUMBER(Tabela2[[#This Row],[CT-e/NFS]])=TRUE,(IF(B5013&gt;30000,4,IF(B5013&lt;1000,"ND",0))),"-")</f>
        <v>0</v>
      </c>
      <c r="B5013" s="116">
        <v>22104</v>
      </c>
      <c r="C5013" s="117">
        <v>45556</v>
      </c>
      <c r="D5013" s="116">
        <v>75.91</v>
      </c>
      <c r="E5013" s="117">
        <v>45565</v>
      </c>
      <c r="F5013" s="116">
        <f>COUNTIFS($A$3:A13263,A5013,$B$3:B13263,B5013)</f>
        <v>1</v>
      </c>
      <c r="G5013" s="116"/>
    </row>
    <row r="5014" spans="1:7" x14ac:dyDescent="0.2">
      <c r="A5014" s="116">
        <f>IF(ISNUMBER(Tabela2[[#This Row],[CT-e/NFS]])=TRUE,(IF(B5014&gt;30000,4,IF(B5014&lt;1000,"ND",0))),"-")</f>
        <v>0</v>
      </c>
      <c r="B5014" s="116">
        <v>22103</v>
      </c>
      <c r="C5014" s="117">
        <v>45556</v>
      </c>
      <c r="D5014" s="116">
        <v>76.08</v>
      </c>
      <c r="E5014" s="117">
        <v>45565</v>
      </c>
      <c r="F5014" s="116">
        <f>COUNTIFS($A$3:A13264,A5014,$B$3:B13264,B5014)</f>
        <v>1</v>
      </c>
      <c r="G5014" s="116"/>
    </row>
    <row r="5015" spans="1:7" x14ac:dyDescent="0.2">
      <c r="A5015" s="116">
        <f>IF(ISNUMBER(Tabela2[[#This Row],[CT-e/NFS]])=TRUE,(IF(B5015&gt;30000,4,IF(B5015&lt;1000,"ND",0))),"-")</f>
        <v>0</v>
      </c>
      <c r="B5015" s="116">
        <v>22095</v>
      </c>
      <c r="C5015" s="117">
        <v>45556</v>
      </c>
      <c r="D5015" s="116">
        <v>348.37</v>
      </c>
      <c r="E5015" s="117">
        <v>45565</v>
      </c>
      <c r="F5015" s="116">
        <f>COUNTIFS($A$3:A13265,A5015,$B$3:B13265,B5015)</f>
        <v>1</v>
      </c>
      <c r="G5015" s="116"/>
    </row>
    <row r="5016" spans="1:7" x14ac:dyDescent="0.2">
      <c r="A5016" s="116">
        <f>IF(ISNUMBER(Tabela2[[#This Row],[CT-e/NFS]])=TRUE,(IF(B5016&gt;30000,4,IF(B5016&lt;1000,"ND",0))),"-")</f>
        <v>0</v>
      </c>
      <c r="B5016" s="116">
        <v>22094</v>
      </c>
      <c r="C5016" s="117">
        <v>45556</v>
      </c>
      <c r="D5016" s="116">
        <v>129.65</v>
      </c>
      <c r="E5016" s="117">
        <v>45565</v>
      </c>
      <c r="F5016" s="116">
        <f>COUNTIFS($A$3:A13266,A5016,$B$3:B13266,B5016)</f>
        <v>1</v>
      </c>
      <c r="G5016" s="116"/>
    </row>
    <row r="5017" spans="1:7" x14ac:dyDescent="0.2">
      <c r="A5017" s="116">
        <f>IF(ISNUMBER(Tabela2[[#This Row],[CT-e/NFS]])=TRUE,(IF(B5017&gt;30000,4,IF(B5017&lt;1000,"ND",0))),"-")</f>
        <v>4</v>
      </c>
      <c r="B5017" s="116">
        <v>49142</v>
      </c>
      <c r="C5017" s="117">
        <v>45556</v>
      </c>
      <c r="D5017" s="116">
        <v>119.36</v>
      </c>
      <c r="E5017" s="117">
        <v>45565</v>
      </c>
      <c r="F5017" s="116">
        <f>COUNTIFS($A$3:A13267,A5017,$B$3:B13267,B5017)</f>
        <v>1</v>
      </c>
      <c r="G5017" s="116"/>
    </row>
    <row r="5018" spans="1:7" x14ac:dyDescent="0.2">
      <c r="A5018" s="116">
        <f>IF(ISNUMBER(Tabela2[[#This Row],[CT-e/NFS]])=TRUE,(IF(B5018&gt;30000,4,IF(B5018&lt;1000,"ND",0))),"-")</f>
        <v>4</v>
      </c>
      <c r="B5018" s="116">
        <v>49144</v>
      </c>
      <c r="C5018" s="117">
        <v>45556</v>
      </c>
      <c r="D5018" s="116">
        <v>120.01</v>
      </c>
      <c r="E5018" s="117">
        <v>45565</v>
      </c>
      <c r="F5018" s="116">
        <f>COUNTIFS($A$3:A13268,A5018,$B$3:B13268,B5018)</f>
        <v>1</v>
      </c>
      <c r="G5018" s="116"/>
    </row>
    <row r="5019" spans="1:7" x14ac:dyDescent="0.2">
      <c r="A5019" s="116">
        <f>IF(ISNUMBER(Tabela2[[#This Row],[CT-e/NFS]])=TRUE,(IF(B5019&gt;30000,4,IF(B5019&lt;1000,"ND",0))),"-")</f>
        <v>4</v>
      </c>
      <c r="B5019" s="116">
        <v>49127</v>
      </c>
      <c r="C5019" s="117">
        <v>45556</v>
      </c>
      <c r="D5019" s="116">
        <v>124.24</v>
      </c>
      <c r="E5019" s="117">
        <v>45565</v>
      </c>
      <c r="F5019" s="116">
        <f>COUNTIFS($A$3:A13269,A5019,$B$3:B13269,B5019)</f>
        <v>1</v>
      </c>
      <c r="G5019" s="116"/>
    </row>
    <row r="5020" spans="1:7" x14ac:dyDescent="0.2">
      <c r="A5020" s="116">
        <f>IF(ISNUMBER(Tabela2[[#This Row],[CT-e/NFS]])=TRUE,(IF(B5020&gt;30000,4,IF(B5020&lt;1000,"ND",0))),"-")</f>
        <v>4</v>
      </c>
      <c r="B5020" s="116">
        <v>49132</v>
      </c>
      <c r="C5020" s="117">
        <v>45556</v>
      </c>
      <c r="D5020" s="116">
        <v>125.91</v>
      </c>
      <c r="E5020" s="117">
        <v>45565</v>
      </c>
      <c r="F5020" s="116">
        <f>COUNTIFS($A$3:A13270,A5020,$B$3:B13270,B5020)</f>
        <v>1</v>
      </c>
      <c r="G5020" s="116"/>
    </row>
    <row r="5021" spans="1:7" x14ac:dyDescent="0.2">
      <c r="A5021" s="116">
        <f>IF(ISNUMBER(Tabela2[[#This Row],[CT-e/NFS]])=TRUE,(IF(B5021&gt;30000,4,IF(B5021&lt;1000,"ND",0))),"-")</f>
        <v>4</v>
      </c>
      <c r="B5021" s="116">
        <v>49128</v>
      </c>
      <c r="C5021" s="117">
        <v>45556</v>
      </c>
      <c r="D5021" s="116">
        <v>123.2</v>
      </c>
      <c r="E5021" s="117">
        <v>45565</v>
      </c>
      <c r="F5021" s="116">
        <f>COUNTIFS($A$3:A13271,A5021,$B$3:B13271,B5021)</f>
        <v>1</v>
      </c>
      <c r="G5021" s="116"/>
    </row>
    <row r="5022" spans="1:7" x14ac:dyDescent="0.2">
      <c r="A5022" s="116">
        <f>IF(ISNUMBER(Tabela2[[#This Row],[CT-e/NFS]])=TRUE,(IF(B5022&gt;30000,4,IF(B5022&lt;1000,"ND",0))),"-")</f>
        <v>4</v>
      </c>
      <c r="B5022" s="116">
        <v>49130</v>
      </c>
      <c r="C5022" s="117">
        <v>45556</v>
      </c>
      <c r="D5022" s="116">
        <v>123.93</v>
      </c>
      <c r="E5022" s="117">
        <v>45565</v>
      </c>
      <c r="F5022" s="116">
        <f>COUNTIFS($A$3:A13272,A5022,$B$3:B13272,B5022)</f>
        <v>1</v>
      </c>
      <c r="G5022" s="116"/>
    </row>
    <row r="5023" spans="1:7" x14ac:dyDescent="0.2">
      <c r="A5023" s="116">
        <f>IF(ISNUMBER(Tabela2[[#This Row],[CT-e/NFS]])=TRUE,(IF(B5023&gt;30000,4,IF(B5023&lt;1000,"ND",0))),"-")</f>
        <v>4</v>
      </c>
      <c r="B5023" s="116">
        <v>49129</v>
      </c>
      <c r="C5023" s="117">
        <v>45556</v>
      </c>
      <c r="D5023" s="116">
        <v>124.42</v>
      </c>
      <c r="E5023" s="117">
        <v>45565</v>
      </c>
      <c r="F5023" s="116">
        <f>COUNTIFS($A$3:A13273,A5023,$B$3:B13273,B5023)</f>
        <v>1</v>
      </c>
      <c r="G5023" s="116"/>
    </row>
    <row r="5024" spans="1:7" x14ac:dyDescent="0.2">
      <c r="A5024" s="116">
        <f>IF(ISNUMBER(Tabela2[[#This Row],[CT-e/NFS]])=TRUE,(IF(B5024&gt;30000,4,IF(B5024&lt;1000,"ND",0))),"-")</f>
        <v>4</v>
      </c>
      <c r="B5024" s="116">
        <v>49126</v>
      </c>
      <c r="C5024" s="117">
        <v>45556</v>
      </c>
      <c r="D5024" s="116">
        <v>123.89</v>
      </c>
      <c r="E5024" s="117">
        <v>45565</v>
      </c>
      <c r="F5024" s="116">
        <f>COUNTIFS($A$3:A13274,A5024,$B$3:B13274,B5024)</f>
        <v>1</v>
      </c>
      <c r="G5024" s="116"/>
    </row>
    <row r="5025" spans="1:7" x14ac:dyDescent="0.2">
      <c r="A5025" s="116">
        <f>IF(ISNUMBER(Tabela2[[#This Row],[CT-e/NFS]])=TRUE,(IF(B5025&gt;30000,4,IF(B5025&lt;1000,"ND",0))),"-")</f>
        <v>4</v>
      </c>
      <c r="B5025" s="116">
        <v>49131</v>
      </c>
      <c r="C5025" s="117">
        <v>45556</v>
      </c>
      <c r="D5025" s="116">
        <v>123.13</v>
      </c>
      <c r="E5025" s="117">
        <v>45565</v>
      </c>
      <c r="F5025" s="116">
        <f>COUNTIFS($A$3:A13275,A5025,$B$3:B13275,B5025)</f>
        <v>1</v>
      </c>
      <c r="G5025" s="116"/>
    </row>
    <row r="5026" spans="1:7" x14ac:dyDescent="0.2">
      <c r="A5026" s="116">
        <f>IF(ISNUMBER(Tabela2[[#This Row],[CT-e/NFS]])=TRUE,(IF(B5026&gt;30000,4,IF(B5026&lt;1000,"ND",0))),"-")</f>
        <v>4</v>
      </c>
      <c r="B5026" s="116">
        <v>49117</v>
      </c>
      <c r="C5026" s="117">
        <v>45556</v>
      </c>
      <c r="D5026" s="116">
        <v>656.23</v>
      </c>
      <c r="E5026" s="117">
        <v>45565</v>
      </c>
      <c r="F5026" s="116">
        <f>COUNTIFS($A$3:A13276,A5026,$B$3:B13276,B5026)</f>
        <v>1</v>
      </c>
      <c r="G5026" s="116"/>
    </row>
    <row r="5027" spans="1:7" x14ac:dyDescent="0.2">
      <c r="A5027" s="116">
        <f>IF(ISNUMBER(Tabela2[[#This Row],[CT-e/NFS]])=TRUE,(IF(B5027&gt;30000,4,IF(B5027&lt;1000,"ND",0))),"-")</f>
        <v>4</v>
      </c>
      <c r="B5027" s="116">
        <v>49143</v>
      </c>
      <c r="C5027" s="117">
        <v>45556</v>
      </c>
      <c r="D5027" s="116">
        <v>214.86</v>
      </c>
      <c r="E5027" s="117">
        <v>45565</v>
      </c>
      <c r="F5027" s="116">
        <f>COUNTIFS($A$3:A13277,A5027,$B$3:B13277,B5027)</f>
        <v>1</v>
      </c>
      <c r="G5027" s="116"/>
    </row>
    <row r="5028" spans="1:7" x14ac:dyDescent="0.2">
      <c r="A5028" s="116">
        <f>IF(ISNUMBER(Tabela2[[#This Row],[CT-e/NFS]])=TRUE,(IF(B5028&gt;30000,4,IF(B5028&lt;1000,"ND",0))),"-")</f>
        <v>4</v>
      </c>
      <c r="B5028" s="116">
        <v>49123</v>
      </c>
      <c r="C5028" s="117">
        <v>45556</v>
      </c>
      <c r="D5028" s="116">
        <v>123.05</v>
      </c>
      <c r="E5028" s="117">
        <v>45565</v>
      </c>
      <c r="F5028" s="116">
        <f>COUNTIFS($A$3:A13278,A5028,$B$3:B13278,B5028)</f>
        <v>1</v>
      </c>
      <c r="G5028" s="116"/>
    </row>
    <row r="5029" spans="1:7" x14ac:dyDescent="0.2">
      <c r="A5029" s="116">
        <f>IF(ISNUMBER(Tabela2[[#This Row],[CT-e/NFS]])=TRUE,(IF(B5029&gt;30000,4,IF(B5029&lt;1000,"ND",0))),"-")</f>
        <v>4</v>
      </c>
      <c r="B5029" s="116">
        <v>49134</v>
      </c>
      <c r="C5029" s="117">
        <v>45556</v>
      </c>
      <c r="D5029" s="116">
        <v>125.69</v>
      </c>
      <c r="E5029" s="117">
        <v>45565</v>
      </c>
      <c r="F5029" s="116">
        <f>COUNTIFS($A$3:A13279,A5029,$B$3:B13279,B5029)</f>
        <v>1</v>
      </c>
      <c r="G5029" s="116"/>
    </row>
    <row r="5030" spans="1:7" x14ac:dyDescent="0.2">
      <c r="A5030" s="116">
        <f>IF(ISNUMBER(Tabela2[[#This Row],[CT-e/NFS]])=TRUE,(IF(B5030&gt;30000,4,IF(B5030&lt;1000,"ND",0))),"-")</f>
        <v>4</v>
      </c>
      <c r="B5030" s="116">
        <v>49133</v>
      </c>
      <c r="C5030" s="117">
        <v>45556</v>
      </c>
      <c r="D5030" s="116">
        <v>181.33</v>
      </c>
      <c r="E5030" s="117">
        <v>45565</v>
      </c>
      <c r="F5030" s="116">
        <f>COUNTIFS($A$3:A13280,A5030,$B$3:B13280,B5030)</f>
        <v>1</v>
      </c>
      <c r="G5030" s="116"/>
    </row>
    <row r="5031" spans="1:7" x14ac:dyDescent="0.2">
      <c r="A5031" s="116">
        <f>IF(ISNUMBER(Tabela2[[#This Row],[CT-e/NFS]])=TRUE,(IF(B5031&gt;30000,4,IF(B5031&lt;1000,"ND",0))),"-")</f>
        <v>4</v>
      </c>
      <c r="B5031" s="116">
        <v>49125</v>
      </c>
      <c r="C5031" s="117">
        <v>45556</v>
      </c>
      <c r="D5031" s="116">
        <v>126.35</v>
      </c>
      <c r="E5031" s="117">
        <v>45565</v>
      </c>
      <c r="F5031" s="116">
        <f>COUNTIFS($A$3:A13281,A5031,$B$3:B13281,B5031)</f>
        <v>1</v>
      </c>
      <c r="G5031" s="116"/>
    </row>
    <row r="5032" spans="1:7" x14ac:dyDescent="0.2">
      <c r="A5032" s="116">
        <f>IF(ISNUMBER(Tabela2[[#This Row],[CT-e/NFS]])=TRUE,(IF(B5032&gt;30000,4,IF(B5032&lt;1000,"ND",0))),"-")</f>
        <v>4</v>
      </c>
      <c r="B5032" s="116">
        <v>49135</v>
      </c>
      <c r="C5032" s="117">
        <v>45556</v>
      </c>
      <c r="D5032" s="116">
        <v>123.13</v>
      </c>
      <c r="E5032" s="117">
        <v>45565</v>
      </c>
      <c r="F5032" s="116">
        <f>COUNTIFS($A$3:A13282,A5032,$B$3:B13282,B5032)</f>
        <v>1</v>
      </c>
      <c r="G5032" s="116"/>
    </row>
    <row r="5033" spans="1:7" x14ac:dyDescent="0.2">
      <c r="A5033" s="116">
        <f>IF(ISNUMBER(Tabela2[[#This Row],[CT-e/NFS]])=TRUE,(IF(B5033&gt;30000,4,IF(B5033&lt;1000,"ND",0))),"-")</f>
        <v>4</v>
      </c>
      <c r="B5033" s="116">
        <v>49124</v>
      </c>
      <c r="C5033" s="117">
        <v>45556</v>
      </c>
      <c r="D5033" s="116">
        <v>126.6</v>
      </c>
      <c r="E5033" s="117">
        <v>45565</v>
      </c>
      <c r="F5033" s="116">
        <f>COUNTIFS($A$3:A13283,A5033,$B$3:B13283,B5033)</f>
        <v>1</v>
      </c>
      <c r="G5033" s="116"/>
    </row>
    <row r="5034" spans="1:7" x14ac:dyDescent="0.2">
      <c r="A5034" s="116">
        <f>IF(ISNUMBER(Tabela2[[#This Row],[CT-e/NFS]])=TRUE,(IF(B5034&gt;30000,4,IF(B5034&lt;1000,"ND",0))),"-")</f>
        <v>4</v>
      </c>
      <c r="B5034" s="116">
        <v>49145</v>
      </c>
      <c r="C5034" s="117">
        <v>45556</v>
      </c>
      <c r="D5034" s="116">
        <v>216.15</v>
      </c>
      <c r="E5034" s="117">
        <v>45565</v>
      </c>
      <c r="F5034" s="116">
        <f>COUNTIFS($A$3:A13284,A5034,$B$3:B13284,B5034)</f>
        <v>1</v>
      </c>
      <c r="G5034" s="116"/>
    </row>
    <row r="5035" spans="1:7" x14ac:dyDescent="0.2">
      <c r="A5035" s="116">
        <f>IF(ISNUMBER(Tabela2[[#This Row],[CT-e/NFS]])=TRUE,(IF(B5035&gt;30000,4,IF(B5035&lt;1000,"ND",0))),"-")</f>
        <v>4</v>
      </c>
      <c r="B5035" s="116">
        <v>49136</v>
      </c>
      <c r="C5035" s="117">
        <v>45556</v>
      </c>
      <c r="D5035" s="116">
        <v>500.52</v>
      </c>
      <c r="E5035" s="117">
        <v>45565</v>
      </c>
      <c r="F5035" s="116">
        <f>COUNTIFS($A$3:A13285,A5035,$B$3:B13285,B5035)</f>
        <v>1</v>
      </c>
      <c r="G5035" s="116"/>
    </row>
    <row r="5036" spans="1:7" x14ac:dyDescent="0.2">
      <c r="A5036" s="116">
        <f>IF(ISNUMBER(Tabela2[[#This Row],[CT-e/NFS]])=TRUE,(IF(B5036&gt;30000,4,IF(B5036&lt;1000,"ND",0))),"-")</f>
        <v>4</v>
      </c>
      <c r="B5036" s="116">
        <v>49137</v>
      </c>
      <c r="C5036" s="117">
        <v>45556</v>
      </c>
      <c r="D5036" s="116">
        <v>122.92</v>
      </c>
      <c r="E5036" s="117">
        <v>45565</v>
      </c>
      <c r="F5036" s="116">
        <f>COUNTIFS($A$3:A13286,A5036,$B$3:B13286,B5036)</f>
        <v>1</v>
      </c>
      <c r="G5036" s="116"/>
    </row>
    <row r="5037" spans="1:7" x14ac:dyDescent="0.2">
      <c r="A5037" s="116">
        <f>IF(ISNUMBER(Tabela2[[#This Row],[CT-e/NFS]])=TRUE,(IF(B5037&gt;30000,4,IF(B5037&lt;1000,"ND",0))),"-")</f>
        <v>4</v>
      </c>
      <c r="B5037" s="116">
        <v>49139</v>
      </c>
      <c r="C5037" s="117">
        <v>45556</v>
      </c>
      <c r="D5037" s="116">
        <v>124.15</v>
      </c>
      <c r="E5037" s="117">
        <v>45565</v>
      </c>
      <c r="F5037" s="116">
        <f>COUNTIFS($A$3:A13287,A5037,$B$3:B13287,B5037)</f>
        <v>1</v>
      </c>
      <c r="G5037" s="116"/>
    </row>
    <row r="5038" spans="1:7" x14ac:dyDescent="0.2">
      <c r="A5038" s="116">
        <f>IF(ISNUMBER(Tabela2[[#This Row],[CT-e/NFS]])=TRUE,(IF(B5038&gt;30000,4,IF(B5038&lt;1000,"ND",0))),"-")</f>
        <v>4</v>
      </c>
      <c r="B5038" s="116">
        <v>49092</v>
      </c>
      <c r="C5038" s="117">
        <v>45556</v>
      </c>
      <c r="D5038" s="116">
        <v>531.91999999999996</v>
      </c>
      <c r="E5038" s="117">
        <v>45565</v>
      </c>
      <c r="F5038" s="116">
        <f>COUNTIFS($A$3:A13288,A5038,$B$3:B13288,B5038)</f>
        <v>1</v>
      </c>
      <c r="G5038" s="116"/>
    </row>
    <row r="5039" spans="1:7" x14ac:dyDescent="0.2">
      <c r="A5039" s="116">
        <f>IF(ISNUMBER(Tabela2[[#This Row],[CT-e/NFS]])=TRUE,(IF(B5039&gt;30000,4,IF(B5039&lt;1000,"ND",0))),"-")</f>
        <v>4</v>
      </c>
      <c r="B5039" s="116">
        <v>49093</v>
      </c>
      <c r="C5039" s="117">
        <v>45556</v>
      </c>
      <c r="D5039" s="116">
        <v>941.94</v>
      </c>
      <c r="E5039" s="117">
        <v>45565</v>
      </c>
      <c r="F5039" s="116">
        <f>COUNTIFS($A$3:A13289,A5039,$B$3:B13289,B5039)</f>
        <v>1</v>
      </c>
      <c r="G5039" s="116"/>
    </row>
    <row r="5040" spans="1:7" x14ac:dyDescent="0.2">
      <c r="A5040" s="116">
        <f>IF(ISNUMBER(Tabela2[[#This Row],[CT-e/NFS]])=TRUE,(IF(B5040&gt;30000,4,IF(B5040&lt;1000,"ND",0))),"-")</f>
        <v>4</v>
      </c>
      <c r="B5040" s="116">
        <v>49091</v>
      </c>
      <c r="C5040" s="117">
        <v>45556</v>
      </c>
      <c r="D5040" s="116">
        <v>284.43</v>
      </c>
      <c r="E5040" s="117">
        <v>45565</v>
      </c>
      <c r="F5040" s="116">
        <f>COUNTIFS($A$3:A13290,A5040,$B$3:B13290,B5040)</f>
        <v>1</v>
      </c>
      <c r="G5040" s="116"/>
    </row>
    <row r="5041" spans="1:7" x14ac:dyDescent="0.2">
      <c r="A5041" s="116">
        <f>IF(ISNUMBER(Tabela2[[#This Row],[CT-e/NFS]])=TRUE,(IF(B5041&gt;30000,4,IF(B5041&lt;1000,"ND",0))),"-")</f>
        <v>4</v>
      </c>
      <c r="B5041" s="116">
        <v>49089</v>
      </c>
      <c r="C5041" s="117">
        <v>45556</v>
      </c>
      <c r="D5041" s="116">
        <v>226.38</v>
      </c>
      <c r="E5041" s="117">
        <v>45565</v>
      </c>
      <c r="F5041" s="116">
        <f>COUNTIFS($A$3:A13291,A5041,$B$3:B13291,B5041)</f>
        <v>1</v>
      </c>
      <c r="G5041" s="116"/>
    </row>
    <row r="5042" spans="1:7" x14ac:dyDescent="0.2">
      <c r="A5042" s="116">
        <f>IF(ISNUMBER(Tabela2[[#This Row],[CT-e/NFS]])=TRUE,(IF(B5042&gt;30000,4,IF(B5042&lt;1000,"ND",0))),"-")</f>
        <v>4</v>
      </c>
      <c r="B5042" s="116">
        <v>49087</v>
      </c>
      <c r="C5042" s="117">
        <v>45556</v>
      </c>
      <c r="D5042" s="116">
        <v>458.61</v>
      </c>
      <c r="E5042" s="117">
        <v>45565</v>
      </c>
      <c r="F5042" s="116">
        <f>COUNTIFS($A$3:A13292,A5042,$B$3:B13292,B5042)</f>
        <v>1</v>
      </c>
      <c r="G5042" s="116"/>
    </row>
    <row r="5043" spans="1:7" x14ac:dyDescent="0.2">
      <c r="A5043" s="116">
        <f>IF(ISNUMBER(Tabela2[[#This Row],[CT-e/NFS]])=TRUE,(IF(B5043&gt;30000,4,IF(B5043&lt;1000,"ND",0))),"-")</f>
        <v>4</v>
      </c>
      <c r="B5043" s="116">
        <v>49088</v>
      </c>
      <c r="C5043" s="117">
        <v>45556</v>
      </c>
      <c r="D5043" s="116">
        <v>223.43</v>
      </c>
      <c r="E5043" s="117">
        <v>45565</v>
      </c>
      <c r="F5043" s="116">
        <f>COUNTIFS($A$3:A13293,A5043,$B$3:B13293,B5043)</f>
        <v>1</v>
      </c>
      <c r="G5043" s="116"/>
    </row>
    <row r="5044" spans="1:7" x14ac:dyDescent="0.2">
      <c r="A5044" s="116">
        <f>IF(ISNUMBER(Tabela2[[#This Row],[CT-e/NFS]])=TRUE,(IF(B5044&gt;30000,4,IF(B5044&lt;1000,"ND",0))),"-")</f>
        <v>4</v>
      </c>
      <c r="B5044" s="116">
        <v>49090</v>
      </c>
      <c r="C5044" s="117">
        <v>45556</v>
      </c>
      <c r="D5044" s="116">
        <v>229.31</v>
      </c>
      <c r="E5044" s="117">
        <v>45565</v>
      </c>
      <c r="F5044" s="116">
        <f>COUNTIFS($A$3:A13294,A5044,$B$3:B13294,B5044)</f>
        <v>1</v>
      </c>
      <c r="G5044" s="116"/>
    </row>
    <row r="5045" spans="1:7" x14ac:dyDescent="0.2">
      <c r="A5045" s="116">
        <f>IF(ISNUMBER(Tabela2[[#This Row],[CT-e/NFS]])=TRUE,(IF(B5045&gt;30000,4,IF(B5045&lt;1000,"ND",0))),"-")</f>
        <v>4</v>
      </c>
      <c r="B5045" s="116">
        <v>49150</v>
      </c>
      <c r="C5045" s="117">
        <v>45556</v>
      </c>
      <c r="D5045" s="116">
        <v>609.98</v>
      </c>
      <c r="E5045" s="117">
        <v>45565</v>
      </c>
      <c r="F5045" s="116">
        <f>COUNTIFS($A$3:A13295,A5045,$B$3:B13295,B5045)</f>
        <v>1</v>
      </c>
      <c r="G5045" s="116"/>
    </row>
    <row r="5046" spans="1:7" x14ac:dyDescent="0.2">
      <c r="A5046" s="116">
        <f>IF(ISNUMBER(Tabela2[[#This Row],[CT-e/NFS]])=TRUE,(IF(B5046&gt;30000,4,IF(B5046&lt;1000,"ND",0))),"-")</f>
        <v>0</v>
      </c>
      <c r="B5046" s="116">
        <v>22107</v>
      </c>
      <c r="C5046" s="117">
        <v>45556</v>
      </c>
      <c r="D5046" s="116">
        <v>76.34</v>
      </c>
      <c r="E5046" s="117">
        <v>45565</v>
      </c>
      <c r="F5046" s="116">
        <f>COUNTIFS($A$3:A13296,A5046,$B$3:B13296,B5046)</f>
        <v>1</v>
      </c>
      <c r="G5046" s="116"/>
    </row>
    <row r="5047" spans="1:7" x14ac:dyDescent="0.2">
      <c r="A5047" s="116">
        <f>IF(ISNUMBER(Tabela2[[#This Row],[CT-e/NFS]])=TRUE,(IF(B5047&gt;30000,4,IF(B5047&lt;1000,"ND",0))),"-")</f>
        <v>0</v>
      </c>
      <c r="B5047" s="116">
        <v>22110</v>
      </c>
      <c r="C5047" s="117">
        <v>45556</v>
      </c>
      <c r="D5047" s="116">
        <v>77.260000000000005</v>
      </c>
      <c r="E5047" s="117">
        <v>45565</v>
      </c>
      <c r="F5047" s="116">
        <f>COUNTIFS($A$3:A13297,A5047,$B$3:B13297,B5047)</f>
        <v>1</v>
      </c>
      <c r="G5047" s="116"/>
    </row>
    <row r="5048" spans="1:7" x14ac:dyDescent="0.2">
      <c r="A5048" s="116">
        <f>IF(ISNUMBER(Tabela2[[#This Row],[CT-e/NFS]])=TRUE,(IF(B5048&gt;30000,4,IF(B5048&lt;1000,"ND",0))),"-")</f>
        <v>0</v>
      </c>
      <c r="B5048" s="116">
        <v>22109</v>
      </c>
      <c r="C5048" s="117">
        <v>45556</v>
      </c>
      <c r="D5048" s="116">
        <v>75.790000000000006</v>
      </c>
      <c r="E5048" s="117">
        <v>45565</v>
      </c>
      <c r="F5048" s="116">
        <f>COUNTIFS($A$3:A13298,A5048,$B$3:B13298,B5048)</f>
        <v>1</v>
      </c>
      <c r="G5048" s="116"/>
    </row>
    <row r="5049" spans="1:7" x14ac:dyDescent="0.2">
      <c r="A5049" s="116">
        <f>IF(ISNUMBER(Tabela2[[#This Row],[CT-e/NFS]])=TRUE,(IF(B5049&gt;30000,4,IF(B5049&lt;1000,"ND",0))),"-")</f>
        <v>4</v>
      </c>
      <c r="B5049" s="116">
        <v>49138</v>
      </c>
      <c r="C5049" s="117">
        <v>45556</v>
      </c>
      <c r="D5049" s="116">
        <v>123.52</v>
      </c>
      <c r="E5049" s="117">
        <v>45565</v>
      </c>
      <c r="F5049" s="116">
        <f>COUNTIFS($A$3:A13299,A5049,$B$3:B13299,B5049)</f>
        <v>1</v>
      </c>
      <c r="G5049" s="116"/>
    </row>
    <row r="5050" spans="1:7" x14ac:dyDescent="0.2">
      <c r="A5050" s="116">
        <f>IF(ISNUMBER(Tabela2[[#This Row],[CT-e/NFS]])=TRUE,(IF(B5050&gt;30000,4,IF(B5050&lt;1000,"ND",0))),"-")</f>
        <v>4</v>
      </c>
      <c r="B5050" s="116">
        <v>49157</v>
      </c>
      <c r="C5050" s="117">
        <v>45556</v>
      </c>
      <c r="D5050" s="116">
        <v>591.70000000000005</v>
      </c>
      <c r="E5050" s="117">
        <v>45565</v>
      </c>
      <c r="F5050" s="116">
        <f>COUNTIFS($A$3:A13300,A5050,$B$3:B13300,B5050)</f>
        <v>1</v>
      </c>
      <c r="G5050" s="116"/>
    </row>
    <row r="5051" spans="1:7" x14ac:dyDescent="0.2">
      <c r="A5051" s="116">
        <f>IF(ISNUMBER(Tabela2[[#This Row],[CT-e/NFS]])=TRUE,(IF(B5051&gt;30000,4,IF(B5051&lt;1000,"ND",0))),"-")</f>
        <v>4</v>
      </c>
      <c r="B5051" s="116">
        <v>49153</v>
      </c>
      <c r="C5051" s="117">
        <v>45556</v>
      </c>
      <c r="D5051" s="116">
        <v>467.33</v>
      </c>
      <c r="E5051" s="117">
        <v>45565</v>
      </c>
      <c r="F5051" s="116">
        <f>COUNTIFS($A$3:A13301,A5051,$B$3:B13301,B5051)</f>
        <v>1</v>
      </c>
      <c r="G5051" s="116"/>
    </row>
    <row r="5052" spans="1:7" x14ac:dyDescent="0.2">
      <c r="A5052" s="116">
        <f>IF(ISNUMBER(Tabela2[[#This Row],[CT-e/NFS]])=TRUE,(IF(B5052&gt;30000,4,IF(B5052&lt;1000,"ND",0))),"-")</f>
        <v>4</v>
      </c>
      <c r="B5052" s="116">
        <v>49172</v>
      </c>
      <c r="C5052" s="117">
        <v>45556</v>
      </c>
      <c r="D5052" s="116">
        <v>238.64</v>
      </c>
      <c r="E5052" s="117">
        <v>45565</v>
      </c>
      <c r="F5052" s="116">
        <f>COUNTIFS($A$3:A13302,A5052,$B$3:B13302,B5052)</f>
        <v>1</v>
      </c>
      <c r="G5052" s="116"/>
    </row>
    <row r="5053" spans="1:7" x14ac:dyDescent="0.2">
      <c r="A5053" s="116">
        <f>IF(ISNUMBER(Tabela2[[#This Row],[CT-e/NFS]])=TRUE,(IF(B5053&gt;30000,4,IF(B5053&lt;1000,"ND",0))),"-")</f>
        <v>4</v>
      </c>
      <c r="B5053" s="116">
        <v>49173</v>
      </c>
      <c r="C5053" s="117">
        <v>45556</v>
      </c>
      <c r="D5053" s="116">
        <v>122.74</v>
      </c>
      <c r="E5053" s="117">
        <v>45565</v>
      </c>
      <c r="F5053" s="116">
        <f>COUNTIFS($A$3:A13303,A5053,$B$3:B13303,B5053)</f>
        <v>1</v>
      </c>
      <c r="G5053" s="116"/>
    </row>
    <row r="5054" spans="1:7" x14ac:dyDescent="0.2">
      <c r="A5054" s="116">
        <f>IF(ISNUMBER(Tabela2[[#This Row],[CT-e/NFS]])=TRUE,(IF(B5054&gt;30000,4,IF(B5054&lt;1000,"ND",0))),"-")</f>
        <v>4</v>
      </c>
      <c r="B5054" s="116">
        <v>49184</v>
      </c>
      <c r="C5054" s="117">
        <v>45556</v>
      </c>
      <c r="D5054" s="116">
        <v>396.44</v>
      </c>
      <c r="E5054" s="117">
        <v>45565</v>
      </c>
      <c r="F5054" s="116">
        <f>COUNTIFS($A$3:A13304,A5054,$B$3:B13304,B5054)</f>
        <v>1</v>
      </c>
      <c r="G5054" s="116"/>
    </row>
    <row r="5055" spans="1:7" x14ac:dyDescent="0.2">
      <c r="A5055" s="116">
        <f>IF(ISNUMBER(Tabela2[[#This Row],[CT-e/NFS]])=TRUE,(IF(B5055&gt;30000,4,IF(B5055&lt;1000,"ND",0))),"-")</f>
        <v>0</v>
      </c>
      <c r="B5055" s="116">
        <v>22112</v>
      </c>
      <c r="C5055" s="117">
        <v>45556</v>
      </c>
      <c r="D5055" s="116">
        <v>245.49</v>
      </c>
      <c r="E5055" s="117">
        <v>45565</v>
      </c>
      <c r="F5055" s="116">
        <f>COUNTIFS($A$3:A13305,A5055,$B$3:B13305,B5055)</f>
        <v>1</v>
      </c>
      <c r="G5055" s="116"/>
    </row>
    <row r="5056" spans="1:7" x14ac:dyDescent="0.2">
      <c r="A5056" s="116">
        <f>IF(ISNUMBER(Tabela2[[#This Row],[CT-e/NFS]])=TRUE,(IF(B5056&gt;30000,4,IF(B5056&lt;1000,"ND",0))),"-")</f>
        <v>0</v>
      </c>
      <c r="B5056" s="116">
        <v>22118</v>
      </c>
      <c r="C5056" s="117">
        <v>45556</v>
      </c>
      <c r="D5056" s="116">
        <v>844.29</v>
      </c>
      <c r="E5056" s="117">
        <v>45565</v>
      </c>
      <c r="F5056" s="116">
        <f>COUNTIFS($A$3:A13306,A5056,$B$3:B13306,B5056)</f>
        <v>1</v>
      </c>
      <c r="G5056" s="116"/>
    </row>
    <row r="5057" spans="1:7" x14ac:dyDescent="0.2">
      <c r="A5057" s="116">
        <f>IF(ISNUMBER(Tabela2[[#This Row],[CT-e/NFS]])=TRUE,(IF(B5057&gt;30000,4,IF(B5057&lt;1000,"ND",0))),"-")</f>
        <v>4</v>
      </c>
      <c r="B5057" s="116">
        <v>49186</v>
      </c>
      <c r="C5057" s="117">
        <v>45556</v>
      </c>
      <c r="D5057" s="116">
        <v>191.93</v>
      </c>
      <c r="E5057" s="117">
        <v>45565</v>
      </c>
      <c r="F5057" s="116">
        <f>COUNTIFS($A$3:A13307,A5057,$B$3:B13307,B5057)</f>
        <v>1</v>
      </c>
      <c r="G5057" s="116"/>
    </row>
    <row r="5058" spans="1:7" x14ac:dyDescent="0.2">
      <c r="A5058" s="116">
        <f>IF(ISNUMBER(Tabela2[[#This Row],[CT-e/NFS]])=TRUE,(IF(B5058&gt;30000,4,IF(B5058&lt;1000,"ND",0))),"-")</f>
        <v>4</v>
      </c>
      <c r="B5058" s="116">
        <v>49185</v>
      </c>
      <c r="C5058" s="117">
        <v>45556</v>
      </c>
      <c r="D5058" s="116">
        <v>945.8</v>
      </c>
      <c r="E5058" s="117">
        <v>45565</v>
      </c>
      <c r="F5058" s="116">
        <f>COUNTIFS($A$3:A13308,A5058,$B$3:B13308,B5058)</f>
        <v>1</v>
      </c>
      <c r="G5058" s="116"/>
    </row>
    <row r="5059" spans="1:7" x14ac:dyDescent="0.2">
      <c r="A5059" s="116">
        <f>IF(ISNUMBER(Tabela2[[#This Row],[CT-e/NFS]])=TRUE,(IF(B5059&gt;30000,4,IF(B5059&lt;1000,"ND",0))),"-")</f>
        <v>4</v>
      </c>
      <c r="B5059" s="116">
        <v>49187</v>
      </c>
      <c r="C5059" s="117">
        <v>45556</v>
      </c>
      <c r="D5059" s="116">
        <v>578.86</v>
      </c>
      <c r="E5059" s="117">
        <v>45565</v>
      </c>
      <c r="F5059" s="116">
        <f>COUNTIFS($A$3:A13309,A5059,$B$3:B13309,B5059)</f>
        <v>1</v>
      </c>
      <c r="G5059" s="116"/>
    </row>
    <row r="5060" spans="1:7" x14ac:dyDescent="0.2">
      <c r="A5060" s="116">
        <f>IF(ISNUMBER(Tabela2[[#This Row],[CT-e/NFS]])=TRUE,(IF(B5060&gt;30000,4,IF(B5060&lt;1000,"ND",0))),"-")</f>
        <v>4</v>
      </c>
      <c r="B5060" s="116">
        <v>49188</v>
      </c>
      <c r="C5060" s="117">
        <v>45556</v>
      </c>
      <c r="D5060" s="116">
        <v>549.91999999999996</v>
      </c>
      <c r="E5060" s="117">
        <v>45565</v>
      </c>
      <c r="F5060" s="116">
        <f>COUNTIFS($A$3:A13310,A5060,$B$3:B13310,B5060)</f>
        <v>1</v>
      </c>
      <c r="G5060" s="116"/>
    </row>
    <row r="5061" spans="1:7" x14ac:dyDescent="0.2">
      <c r="A5061" s="116">
        <f>IF(ISNUMBER(Tabela2[[#This Row],[CT-e/NFS]])=TRUE,(IF(B5061&gt;30000,4,IF(B5061&lt;1000,"ND",0))),"-")</f>
        <v>4</v>
      </c>
      <c r="B5061" s="116">
        <v>49189</v>
      </c>
      <c r="C5061" s="117">
        <v>45556</v>
      </c>
      <c r="D5061" s="116">
        <v>629.51</v>
      </c>
      <c r="E5061" s="117">
        <v>45565</v>
      </c>
      <c r="F5061" s="116">
        <f>COUNTIFS($A$3:A13311,A5061,$B$3:B13311,B5061)</f>
        <v>1</v>
      </c>
      <c r="G5061" s="116"/>
    </row>
    <row r="5062" spans="1:7" x14ac:dyDescent="0.2">
      <c r="A5062" s="116">
        <f>IF(ISNUMBER(Tabela2[[#This Row],[CT-e/NFS]])=TRUE,(IF(B5062&gt;30000,4,IF(B5062&lt;1000,"ND",0))),"-")</f>
        <v>4</v>
      </c>
      <c r="B5062" s="116">
        <v>49160</v>
      </c>
      <c r="C5062" s="117">
        <v>45556</v>
      </c>
      <c r="D5062" s="116">
        <v>123.32</v>
      </c>
      <c r="E5062" s="117">
        <v>45565</v>
      </c>
      <c r="F5062" s="116">
        <f>COUNTIFS($A$3:A13312,A5062,$B$3:B13312,B5062)</f>
        <v>1</v>
      </c>
      <c r="G5062" s="116"/>
    </row>
    <row r="5063" spans="1:7" x14ac:dyDescent="0.2">
      <c r="A5063" s="116">
        <f>IF(ISNUMBER(Tabela2[[#This Row],[CT-e/NFS]])=TRUE,(IF(B5063&gt;30000,4,IF(B5063&lt;1000,"ND",0))),"-")</f>
        <v>4</v>
      </c>
      <c r="B5063" s="116">
        <v>49155</v>
      </c>
      <c r="C5063" s="117">
        <v>45556</v>
      </c>
      <c r="D5063" s="116">
        <v>124.1</v>
      </c>
      <c r="E5063" s="117">
        <v>45565</v>
      </c>
      <c r="F5063" s="116">
        <f>COUNTIFS($A$3:A13313,A5063,$B$3:B13313,B5063)</f>
        <v>1</v>
      </c>
      <c r="G5063" s="116"/>
    </row>
    <row r="5064" spans="1:7" x14ac:dyDescent="0.2">
      <c r="A5064" s="116">
        <f>IF(ISNUMBER(Tabela2[[#This Row],[CT-e/NFS]])=TRUE,(IF(B5064&gt;30000,4,IF(B5064&lt;1000,"ND",0))),"-")</f>
        <v>4</v>
      </c>
      <c r="B5064" s="116">
        <v>49152</v>
      </c>
      <c r="C5064" s="117">
        <v>45556</v>
      </c>
      <c r="D5064" s="116">
        <v>1638.92</v>
      </c>
      <c r="E5064" s="117">
        <v>45565</v>
      </c>
      <c r="F5064" s="116">
        <f>COUNTIFS($A$3:A13314,A5064,$B$3:B13314,B5064)</f>
        <v>1</v>
      </c>
      <c r="G5064" s="116"/>
    </row>
    <row r="5065" spans="1:7" x14ac:dyDescent="0.2">
      <c r="A5065" s="116">
        <f>IF(ISNUMBER(Tabela2[[#This Row],[CT-e/NFS]])=TRUE,(IF(B5065&gt;30000,4,IF(B5065&lt;1000,"ND",0))),"-")</f>
        <v>4</v>
      </c>
      <c r="B5065" s="116">
        <v>49159</v>
      </c>
      <c r="C5065" s="117">
        <v>45556</v>
      </c>
      <c r="D5065" s="116">
        <v>123.51</v>
      </c>
      <c r="E5065" s="117">
        <v>45565</v>
      </c>
      <c r="F5065" s="116">
        <f>COUNTIFS($A$3:A13315,A5065,$B$3:B13315,B5065)</f>
        <v>1</v>
      </c>
      <c r="G5065" s="116"/>
    </row>
    <row r="5066" spans="1:7" x14ac:dyDescent="0.2">
      <c r="A5066" s="116">
        <f>IF(ISNUMBER(Tabela2[[#This Row],[CT-e/NFS]])=TRUE,(IF(B5066&gt;30000,4,IF(B5066&lt;1000,"ND",0))),"-")</f>
        <v>4</v>
      </c>
      <c r="B5066" s="116">
        <v>49158</v>
      </c>
      <c r="C5066" s="117">
        <v>45556</v>
      </c>
      <c r="D5066" s="116">
        <v>125.03</v>
      </c>
      <c r="E5066" s="117">
        <v>45565</v>
      </c>
      <c r="F5066" s="116">
        <f>COUNTIFS($A$3:A13316,A5066,$B$3:B13316,B5066)</f>
        <v>1</v>
      </c>
      <c r="G5066" s="116"/>
    </row>
    <row r="5067" spans="1:7" x14ac:dyDescent="0.2">
      <c r="A5067" s="116">
        <f>IF(ISNUMBER(Tabela2[[#This Row],[CT-e/NFS]])=TRUE,(IF(B5067&gt;30000,4,IF(B5067&lt;1000,"ND",0))),"-")</f>
        <v>4</v>
      </c>
      <c r="B5067" s="116">
        <v>49163</v>
      </c>
      <c r="C5067" s="117">
        <v>45556</v>
      </c>
      <c r="D5067" s="116">
        <v>124.15</v>
      </c>
      <c r="E5067" s="117">
        <v>45565</v>
      </c>
      <c r="F5067" s="116">
        <f>COUNTIFS($A$3:A13317,A5067,$B$3:B13317,B5067)</f>
        <v>1</v>
      </c>
      <c r="G5067" s="116"/>
    </row>
    <row r="5068" spans="1:7" x14ac:dyDescent="0.2">
      <c r="A5068" s="116">
        <f>IF(ISNUMBER(Tabela2[[#This Row],[CT-e/NFS]])=TRUE,(IF(B5068&gt;30000,4,IF(B5068&lt;1000,"ND",0))),"-")</f>
        <v>4</v>
      </c>
      <c r="B5068" s="116">
        <v>49166</v>
      </c>
      <c r="C5068" s="117">
        <v>45556</v>
      </c>
      <c r="D5068" s="116">
        <v>124.63</v>
      </c>
      <c r="E5068" s="117">
        <v>45565</v>
      </c>
      <c r="F5068" s="116">
        <f>COUNTIFS($A$3:A13318,A5068,$B$3:B13318,B5068)</f>
        <v>1</v>
      </c>
      <c r="G5068" s="116"/>
    </row>
    <row r="5069" spans="1:7" x14ac:dyDescent="0.2">
      <c r="A5069" s="116">
        <f>IF(ISNUMBER(Tabela2[[#This Row],[CT-e/NFS]])=TRUE,(IF(B5069&gt;30000,4,IF(B5069&lt;1000,"ND",0))),"-")</f>
        <v>4</v>
      </c>
      <c r="B5069" s="116">
        <v>49165</v>
      </c>
      <c r="C5069" s="117">
        <v>45556</v>
      </c>
      <c r="D5069" s="116">
        <v>125.56</v>
      </c>
      <c r="E5069" s="117">
        <v>45565</v>
      </c>
      <c r="F5069" s="116">
        <f>COUNTIFS($A$3:A13319,A5069,$B$3:B13319,B5069)</f>
        <v>1</v>
      </c>
      <c r="G5069" s="116"/>
    </row>
    <row r="5070" spans="1:7" x14ac:dyDescent="0.2">
      <c r="A5070" s="116">
        <f>IF(ISNUMBER(Tabela2[[#This Row],[CT-e/NFS]])=TRUE,(IF(B5070&gt;30000,4,IF(B5070&lt;1000,"ND",0))),"-")</f>
        <v>4</v>
      </c>
      <c r="B5070" s="116">
        <v>49164</v>
      </c>
      <c r="C5070" s="117">
        <v>45556</v>
      </c>
      <c r="D5070" s="116">
        <v>124.42</v>
      </c>
      <c r="E5070" s="117">
        <v>45565</v>
      </c>
      <c r="F5070" s="116">
        <f>COUNTIFS($A$3:A13320,A5070,$B$3:B13320,B5070)</f>
        <v>1</v>
      </c>
      <c r="G5070" s="116"/>
    </row>
    <row r="5071" spans="1:7" x14ac:dyDescent="0.2">
      <c r="A5071" s="116">
        <f>IF(ISNUMBER(Tabela2[[#This Row],[CT-e/NFS]])=TRUE,(IF(B5071&gt;30000,4,IF(B5071&lt;1000,"ND",0))),"-")</f>
        <v>4</v>
      </c>
      <c r="B5071" s="116">
        <v>49162</v>
      </c>
      <c r="C5071" s="117">
        <v>45556</v>
      </c>
      <c r="D5071" s="116">
        <v>124.02</v>
      </c>
      <c r="E5071" s="117">
        <v>45565</v>
      </c>
      <c r="F5071" s="116">
        <f>COUNTIFS($A$3:A13321,A5071,$B$3:B13321,B5071)</f>
        <v>1</v>
      </c>
      <c r="G5071" s="116"/>
    </row>
    <row r="5072" spans="1:7" x14ac:dyDescent="0.2">
      <c r="A5072" s="116">
        <f>IF(ISNUMBER(Tabela2[[#This Row],[CT-e/NFS]])=TRUE,(IF(B5072&gt;30000,4,IF(B5072&lt;1000,"ND",0))),"-")</f>
        <v>4</v>
      </c>
      <c r="B5072" s="116">
        <v>49161</v>
      </c>
      <c r="C5072" s="117">
        <v>45556</v>
      </c>
      <c r="D5072" s="116">
        <v>126.6</v>
      </c>
      <c r="E5072" s="117">
        <v>45565</v>
      </c>
      <c r="F5072" s="116">
        <f>COUNTIFS($A$3:A13322,A5072,$B$3:B13322,B5072)</f>
        <v>1</v>
      </c>
      <c r="G5072" s="116"/>
    </row>
    <row r="5073" spans="1:7" x14ac:dyDescent="0.2">
      <c r="A5073" s="116">
        <f>IF(ISNUMBER(Tabela2[[#This Row],[CT-e/NFS]])=TRUE,(IF(B5073&gt;30000,4,IF(B5073&lt;1000,"ND",0))),"-")</f>
        <v>4</v>
      </c>
      <c r="B5073" s="116">
        <v>49169</v>
      </c>
      <c r="C5073" s="117">
        <v>45556</v>
      </c>
      <c r="D5073" s="116">
        <v>124.63</v>
      </c>
      <c r="E5073" s="117">
        <v>45565</v>
      </c>
      <c r="F5073" s="116">
        <f>COUNTIFS($A$3:A13323,A5073,$B$3:B13323,B5073)</f>
        <v>1</v>
      </c>
      <c r="G5073" s="116"/>
    </row>
    <row r="5074" spans="1:7" x14ac:dyDescent="0.2">
      <c r="A5074" s="116">
        <f>IF(ISNUMBER(Tabela2[[#This Row],[CT-e/NFS]])=TRUE,(IF(B5074&gt;30000,4,IF(B5074&lt;1000,"ND",0))),"-")</f>
        <v>4</v>
      </c>
      <c r="B5074" s="116">
        <v>49168</v>
      </c>
      <c r="C5074" s="117">
        <v>45556</v>
      </c>
      <c r="D5074" s="116">
        <v>125.56</v>
      </c>
      <c r="E5074" s="117">
        <v>45565</v>
      </c>
      <c r="F5074" s="116">
        <f>COUNTIFS($A$3:A13324,A5074,$B$3:B13324,B5074)</f>
        <v>1</v>
      </c>
      <c r="G5074" s="116"/>
    </row>
    <row r="5075" spans="1:7" x14ac:dyDescent="0.2">
      <c r="A5075" s="116">
        <f>IF(ISNUMBER(Tabela2[[#This Row],[CT-e/NFS]])=TRUE,(IF(B5075&gt;30000,4,IF(B5075&lt;1000,"ND",0))),"-")</f>
        <v>4</v>
      </c>
      <c r="B5075" s="116">
        <v>49170</v>
      </c>
      <c r="C5075" s="117">
        <v>45556</v>
      </c>
      <c r="D5075" s="116">
        <v>123.89</v>
      </c>
      <c r="E5075" s="117">
        <v>45565</v>
      </c>
      <c r="F5075" s="116">
        <f>COUNTIFS($A$3:A13325,A5075,$B$3:B13325,B5075)</f>
        <v>1</v>
      </c>
      <c r="G5075" s="116"/>
    </row>
    <row r="5076" spans="1:7" x14ac:dyDescent="0.2">
      <c r="A5076" s="116">
        <f>IF(ISNUMBER(Tabela2[[#This Row],[CT-e/NFS]])=TRUE,(IF(B5076&gt;30000,4,IF(B5076&lt;1000,"ND",0))),"-")</f>
        <v>4</v>
      </c>
      <c r="B5076" s="116">
        <v>49167</v>
      </c>
      <c r="C5076" s="117">
        <v>45556</v>
      </c>
      <c r="D5076" s="116">
        <v>124.98</v>
      </c>
      <c r="E5076" s="117">
        <v>45565</v>
      </c>
      <c r="F5076" s="116">
        <f>COUNTIFS($A$3:A13326,A5076,$B$3:B13326,B5076)</f>
        <v>1</v>
      </c>
      <c r="G5076" s="116"/>
    </row>
    <row r="5077" spans="1:7" x14ac:dyDescent="0.2">
      <c r="A5077" s="116">
        <f>IF(ISNUMBER(Tabela2[[#This Row],[CT-e/NFS]])=TRUE,(IF(B5077&gt;30000,4,IF(B5077&lt;1000,"ND",0))),"-")</f>
        <v>4</v>
      </c>
      <c r="B5077" s="116">
        <v>49156</v>
      </c>
      <c r="C5077" s="117">
        <v>45556</v>
      </c>
      <c r="D5077" s="116">
        <v>124.3</v>
      </c>
      <c r="E5077" s="117">
        <v>45565</v>
      </c>
      <c r="F5077" s="116">
        <f>COUNTIFS($A$3:A13327,A5077,$B$3:B13327,B5077)</f>
        <v>1</v>
      </c>
      <c r="G5077" s="116"/>
    </row>
    <row r="5078" spans="1:7" x14ac:dyDescent="0.2">
      <c r="A5078" s="116">
        <f>IF(ISNUMBER(Tabela2[[#This Row],[CT-e/NFS]])=TRUE,(IF(B5078&gt;30000,4,IF(B5078&lt;1000,"ND",0))),"-")</f>
        <v>4</v>
      </c>
      <c r="B5078" s="116">
        <v>49151</v>
      </c>
      <c r="C5078" s="117">
        <v>45556</v>
      </c>
      <c r="D5078" s="116">
        <v>131.9</v>
      </c>
      <c r="E5078" s="117">
        <v>45565</v>
      </c>
      <c r="F5078" s="116">
        <f>COUNTIFS($A$3:A13328,A5078,$B$3:B13328,B5078)</f>
        <v>1</v>
      </c>
      <c r="G5078" s="116"/>
    </row>
    <row r="5079" spans="1:7" x14ac:dyDescent="0.2">
      <c r="A5079" s="116">
        <f>IF(ISNUMBER(Tabela2[[#This Row],[CT-e/NFS]])=TRUE,(IF(B5079&gt;30000,4,IF(B5079&lt;1000,"ND",0))),"-")</f>
        <v>4</v>
      </c>
      <c r="B5079" s="116">
        <v>49196</v>
      </c>
      <c r="C5079" s="117">
        <v>45556</v>
      </c>
      <c r="D5079" s="116">
        <v>124.16</v>
      </c>
      <c r="E5079" s="117">
        <v>45565</v>
      </c>
      <c r="F5079" s="116">
        <f>COUNTIFS($A$3:A13329,A5079,$B$3:B13329,B5079)</f>
        <v>1</v>
      </c>
      <c r="G5079" s="116"/>
    </row>
    <row r="5080" spans="1:7" x14ac:dyDescent="0.2">
      <c r="A5080" s="116">
        <f>IF(ISNUMBER(Tabela2[[#This Row],[CT-e/NFS]])=TRUE,(IF(B5080&gt;30000,4,IF(B5080&lt;1000,"ND",0))),"-")</f>
        <v>4</v>
      </c>
      <c r="B5080" s="116">
        <v>49197</v>
      </c>
      <c r="C5080" s="117">
        <v>45556</v>
      </c>
      <c r="D5080" s="116">
        <v>125.97</v>
      </c>
      <c r="E5080" s="117">
        <v>45565</v>
      </c>
      <c r="F5080" s="116">
        <f>COUNTIFS($A$3:A13330,A5080,$B$3:B13330,B5080)</f>
        <v>1</v>
      </c>
      <c r="G5080" s="116"/>
    </row>
    <row r="5081" spans="1:7" x14ac:dyDescent="0.2">
      <c r="A5081" s="116">
        <f>IF(ISNUMBER(Tabela2[[#This Row],[CT-e/NFS]])=TRUE,(IF(B5081&gt;30000,4,IF(B5081&lt;1000,"ND",0))),"-")</f>
        <v>4</v>
      </c>
      <c r="B5081" s="116">
        <v>49193</v>
      </c>
      <c r="C5081" s="117">
        <v>45556</v>
      </c>
      <c r="D5081" s="116">
        <v>123.94</v>
      </c>
      <c r="E5081" s="117">
        <v>45565</v>
      </c>
      <c r="F5081" s="116">
        <f>COUNTIFS($A$3:A13331,A5081,$B$3:B13331,B5081)</f>
        <v>1</v>
      </c>
      <c r="G5081" s="116"/>
    </row>
    <row r="5082" spans="1:7" x14ac:dyDescent="0.2">
      <c r="A5082" s="116">
        <f>IF(ISNUMBER(Tabela2[[#This Row],[CT-e/NFS]])=TRUE,(IF(B5082&gt;30000,4,IF(B5082&lt;1000,"ND",0))),"-")</f>
        <v>4</v>
      </c>
      <c r="B5082" s="116">
        <v>49195</v>
      </c>
      <c r="C5082" s="117">
        <v>45556</v>
      </c>
      <c r="D5082" s="116">
        <v>122.89</v>
      </c>
      <c r="E5082" s="117">
        <v>45565</v>
      </c>
      <c r="F5082" s="116">
        <f>COUNTIFS($A$3:A13332,A5082,$B$3:B13332,B5082)</f>
        <v>1</v>
      </c>
      <c r="G5082" s="116"/>
    </row>
    <row r="5083" spans="1:7" x14ac:dyDescent="0.2">
      <c r="A5083" s="116">
        <f>IF(ISNUMBER(Tabela2[[#This Row],[CT-e/NFS]])=TRUE,(IF(B5083&gt;30000,4,IF(B5083&lt;1000,"ND",0))),"-")</f>
        <v>4</v>
      </c>
      <c r="B5083" s="116">
        <v>49192</v>
      </c>
      <c r="C5083" s="117">
        <v>45556</v>
      </c>
      <c r="D5083" s="116">
        <v>617.41999999999996</v>
      </c>
      <c r="E5083" s="117">
        <v>45565</v>
      </c>
      <c r="F5083" s="116">
        <f>COUNTIFS($A$3:A13333,A5083,$B$3:B13333,B5083)</f>
        <v>1</v>
      </c>
      <c r="G5083" s="116"/>
    </row>
    <row r="5084" spans="1:7" x14ac:dyDescent="0.2">
      <c r="A5084" s="116">
        <f>IF(ISNUMBER(Tabela2[[#This Row],[CT-e/NFS]])=TRUE,(IF(B5084&gt;30000,4,IF(B5084&lt;1000,"ND",0))),"-")</f>
        <v>4</v>
      </c>
      <c r="B5084" s="116">
        <v>49194</v>
      </c>
      <c r="C5084" s="117">
        <v>45556</v>
      </c>
      <c r="D5084" s="116">
        <v>124.52</v>
      </c>
      <c r="E5084" s="117">
        <v>45565</v>
      </c>
      <c r="F5084" s="116">
        <f>COUNTIFS($A$3:A13334,A5084,$B$3:B13334,B5084)</f>
        <v>1</v>
      </c>
      <c r="G5084" s="116"/>
    </row>
    <row r="5085" spans="1:7" x14ac:dyDescent="0.2">
      <c r="A5085" s="116">
        <f>IF(ISNUMBER(Tabela2[[#This Row],[CT-e/NFS]])=TRUE,(IF(B5085&gt;30000,4,IF(B5085&lt;1000,"ND",0))),"-")</f>
        <v>4</v>
      </c>
      <c r="B5085" s="116">
        <v>49202</v>
      </c>
      <c r="C5085" s="117">
        <v>45556</v>
      </c>
      <c r="D5085" s="116">
        <v>240.26</v>
      </c>
      <c r="E5085" s="117">
        <v>45565</v>
      </c>
      <c r="F5085" s="116">
        <f>COUNTIFS($A$3:A13335,A5085,$B$3:B13335,B5085)</f>
        <v>1</v>
      </c>
      <c r="G5085" s="116"/>
    </row>
    <row r="5086" spans="1:7" x14ac:dyDescent="0.2">
      <c r="A5086" s="116">
        <f>IF(ISNUMBER(Tabela2[[#This Row],[CT-e/NFS]])=TRUE,(IF(B5086&gt;30000,4,IF(B5086&lt;1000,"ND",0))),"-")</f>
        <v>4</v>
      </c>
      <c r="B5086" s="116">
        <v>49203</v>
      </c>
      <c r="C5086" s="117">
        <v>45556</v>
      </c>
      <c r="D5086" s="116">
        <v>239.16</v>
      </c>
      <c r="E5086" s="117">
        <v>45565</v>
      </c>
      <c r="F5086" s="116">
        <f>COUNTIFS($A$3:A13336,A5086,$B$3:B13336,B5086)</f>
        <v>1</v>
      </c>
      <c r="G5086" s="116"/>
    </row>
    <row r="5087" spans="1:7" x14ac:dyDescent="0.2">
      <c r="A5087" s="116">
        <f>IF(ISNUMBER(Tabela2[[#This Row],[CT-e/NFS]])=TRUE,(IF(B5087&gt;30000,4,IF(B5087&lt;1000,"ND",0))),"-")</f>
        <v>4</v>
      </c>
      <c r="B5087" s="116">
        <v>49201</v>
      </c>
      <c r="C5087" s="117">
        <v>45556</v>
      </c>
      <c r="D5087" s="116">
        <v>122.77</v>
      </c>
      <c r="E5087" s="117">
        <v>45565</v>
      </c>
      <c r="F5087" s="116">
        <f>COUNTIFS($A$3:A13337,A5087,$B$3:B13337,B5087)</f>
        <v>1</v>
      </c>
      <c r="G5087" s="116"/>
    </row>
    <row r="5088" spans="1:7" x14ac:dyDescent="0.2">
      <c r="A5088" s="116">
        <f>IF(ISNUMBER(Tabela2[[#This Row],[CT-e/NFS]])=TRUE,(IF(B5088&gt;30000,4,IF(B5088&lt;1000,"ND",0))),"-")</f>
        <v>4</v>
      </c>
      <c r="B5088" s="116">
        <v>49199</v>
      </c>
      <c r="C5088" s="117">
        <v>45556</v>
      </c>
      <c r="D5088" s="116">
        <v>240.85</v>
      </c>
      <c r="E5088" s="117">
        <v>45565</v>
      </c>
      <c r="F5088" s="116">
        <f>COUNTIFS($A$3:A13338,A5088,$B$3:B13338,B5088)</f>
        <v>1</v>
      </c>
      <c r="G5088" s="116"/>
    </row>
    <row r="5089" spans="1:7" x14ac:dyDescent="0.2">
      <c r="A5089" s="116">
        <f>IF(ISNUMBER(Tabela2[[#This Row],[CT-e/NFS]])=TRUE,(IF(B5089&gt;30000,4,IF(B5089&lt;1000,"ND",0))),"-")</f>
        <v>4</v>
      </c>
      <c r="B5089" s="116">
        <v>49198</v>
      </c>
      <c r="C5089" s="117">
        <v>45556</v>
      </c>
      <c r="D5089" s="116">
        <v>122.89</v>
      </c>
      <c r="E5089" s="117">
        <v>45565</v>
      </c>
      <c r="F5089" s="116">
        <f>COUNTIFS($A$3:A13339,A5089,$B$3:B13339,B5089)</f>
        <v>1</v>
      </c>
      <c r="G5089" s="116"/>
    </row>
    <row r="5090" spans="1:7" x14ac:dyDescent="0.2">
      <c r="A5090" s="116">
        <f>IF(ISNUMBER(Tabela2[[#This Row],[CT-e/NFS]])=TRUE,(IF(B5090&gt;30000,4,IF(B5090&lt;1000,"ND",0))),"-")</f>
        <v>4</v>
      </c>
      <c r="B5090" s="116">
        <v>49190</v>
      </c>
      <c r="C5090" s="117">
        <v>45556</v>
      </c>
      <c r="D5090" s="116">
        <v>1245.6099999999999</v>
      </c>
      <c r="E5090" s="117">
        <v>45565</v>
      </c>
      <c r="F5090" s="116">
        <f>COUNTIFS($A$3:A13340,A5090,$B$3:B13340,B5090)</f>
        <v>1</v>
      </c>
      <c r="G5090" s="116"/>
    </row>
    <row r="5091" spans="1:7" x14ac:dyDescent="0.2">
      <c r="A5091" s="116">
        <f>IF(ISNUMBER(Tabela2[[#This Row],[CT-e/NFS]])=TRUE,(IF(B5091&gt;30000,4,IF(B5091&lt;1000,"ND",0))),"-")</f>
        <v>4</v>
      </c>
      <c r="B5091" s="116">
        <v>49200</v>
      </c>
      <c r="C5091" s="117">
        <v>45556</v>
      </c>
      <c r="D5091" s="116">
        <v>126.24</v>
      </c>
      <c r="E5091" s="117">
        <v>45565</v>
      </c>
      <c r="F5091" s="116">
        <f>COUNTIFS($A$3:A13341,A5091,$B$3:B13341,B5091)</f>
        <v>1</v>
      </c>
      <c r="G5091" s="116"/>
    </row>
    <row r="5092" spans="1:7" x14ac:dyDescent="0.2">
      <c r="A5092" s="116">
        <f>IF(ISNUMBER(Tabela2[[#This Row],[CT-e/NFS]])=TRUE,(IF(B5092&gt;30000,4,IF(B5092&lt;1000,"ND",0))),"-")</f>
        <v>4</v>
      </c>
      <c r="B5092" s="116">
        <v>49204</v>
      </c>
      <c r="C5092" s="117">
        <v>45556</v>
      </c>
      <c r="D5092" s="116">
        <v>702.74</v>
      </c>
      <c r="E5092" s="117">
        <v>45565</v>
      </c>
      <c r="F5092" s="116">
        <f>COUNTIFS($A$3:A13342,A5092,$B$3:B13342,B5092)</f>
        <v>1</v>
      </c>
      <c r="G5092" s="116"/>
    </row>
    <row r="5093" spans="1:7" x14ac:dyDescent="0.2">
      <c r="A5093" s="116">
        <f>IF(ISNUMBER(Tabela2[[#This Row],[CT-e/NFS]])=TRUE,(IF(B5093&gt;30000,4,IF(B5093&lt;1000,"ND",0))),"-")</f>
        <v>4</v>
      </c>
      <c r="B5093" s="116">
        <v>49154</v>
      </c>
      <c r="C5093" s="117">
        <v>45556</v>
      </c>
      <c r="D5093" s="116">
        <v>1014.2</v>
      </c>
      <c r="E5093" s="117">
        <v>45565</v>
      </c>
      <c r="F5093" s="116">
        <f>COUNTIFS($A$3:A13343,A5093,$B$3:B13343,B5093)</f>
        <v>1</v>
      </c>
      <c r="G5093" s="116"/>
    </row>
    <row r="5094" spans="1:7" x14ac:dyDescent="0.2">
      <c r="A5094" s="116">
        <f>IF(ISNUMBER(Tabela2[[#This Row],[CT-e/NFS]])=TRUE,(IF(B5094&gt;30000,4,IF(B5094&lt;1000,"ND",0))),"-")</f>
        <v>4</v>
      </c>
      <c r="B5094" s="116">
        <v>49191</v>
      </c>
      <c r="C5094" s="117">
        <v>45556</v>
      </c>
      <c r="D5094" s="116">
        <v>231.83</v>
      </c>
      <c r="E5094" s="117">
        <v>45565</v>
      </c>
      <c r="F5094" s="116">
        <f>COUNTIFS($A$3:A13344,A5094,$B$3:B13344,B5094)</f>
        <v>1</v>
      </c>
      <c r="G5094" s="116"/>
    </row>
    <row r="5095" spans="1:7" x14ac:dyDescent="0.2">
      <c r="A5095" s="116">
        <f>IF(ISNUMBER(Tabela2[[#This Row],[CT-e/NFS]])=TRUE,(IF(B5095&gt;30000,4,IF(B5095&lt;1000,"ND",0))),"-")</f>
        <v>4</v>
      </c>
      <c r="B5095" s="116">
        <v>49210</v>
      </c>
      <c r="C5095" s="117">
        <v>45556</v>
      </c>
      <c r="D5095" s="116">
        <v>241.18</v>
      </c>
      <c r="E5095" s="117">
        <v>45565</v>
      </c>
      <c r="F5095" s="116">
        <f>COUNTIFS($A$3:A13345,A5095,$B$3:B13345,B5095)</f>
        <v>1</v>
      </c>
      <c r="G5095" s="116"/>
    </row>
    <row r="5096" spans="1:7" x14ac:dyDescent="0.2">
      <c r="A5096" s="116">
        <f>IF(ISNUMBER(Tabela2[[#This Row],[CT-e/NFS]])=TRUE,(IF(B5096&gt;30000,4,IF(B5096&lt;1000,"ND",0))),"-")</f>
        <v>4</v>
      </c>
      <c r="B5096" s="116">
        <v>49211</v>
      </c>
      <c r="C5096" s="117">
        <v>45556</v>
      </c>
      <c r="D5096" s="116">
        <v>238.73</v>
      </c>
      <c r="E5096" s="117">
        <v>45565</v>
      </c>
      <c r="F5096" s="116">
        <f>COUNTIFS($A$3:A13346,A5096,$B$3:B13346,B5096)</f>
        <v>1</v>
      </c>
      <c r="G5096" s="116"/>
    </row>
    <row r="5097" spans="1:7" x14ac:dyDescent="0.2">
      <c r="A5097" s="116">
        <f>IF(ISNUMBER(Tabela2[[#This Row],[CT-e/NFS]])=TRUE,(IF(B5097&gt;30000,4,IF(B5097&lt;1000,"ND",0))),"-")</f>
        <v>4</v>
      </c>
      <c r="B5097" s="116">
        <v>49214</v>
      </c>
      <c r="C5097" s="117">
        <v>45556</v>
      </c>
      <c r="D5097" s="116">
        <v>120.13</v>
      </c>
      <c r="E5097" s="117">
        <v>45565</v>
      </c>
      <c r="F5097" s="116">
        <f>COUNTIFS($A$3:A13347,A5097,$B$3:B13347,B5097)</f>
        <v>1</v>
      </c>
      <c r="G5097" s="116"/>
    </row>
    <row r="5098" spans="1:7" x14ac:dyDescent="0.2">
      <c r="A5098" s="116">
        <f>IF(ISNUMBER(Tabela2[[#This Row],[CT-e/NFS]])=TRUE,(IF(B5098&gt;30000,4,IF(B5098&lt;1000,"ND",0))),"-")</f>
        <v>4</v>
      </c>
      <c r="B5098" s="116">
        <v>49208</v>
      </c>
      <c r="C5098" s="117">
        <v>45556</v>
      </c>
      <c r="D5098" s="116">
        <v>164.84</v>
      </c>
      <c r="E5098" s="117">
        <v>45565</v>
      </c>
      <c r="F5098" s="116">
        <f>COUNTIFS($A$3:A13348,A5098,$B$3:B13348,B5098)</f>
        <v>1</v>
      </c>
      <c r="G5098" s="116"/>
    </row>
    <row r="5099" spans="1:7" x14ac:dyDescent="0.2">
      <c r="A5099" s="116">
        <f>IF(ISNUMBER(Tabela2[[#This Row],[CT-e/NFS]])=TRUE,(IF(B5099&gt;30000,4,IF(B5099&lt;1000,"ND",0))),"-")</f>
        <v>4</v>
      </c>
      <c r="B5099" s="116">
        <v>49209</v>
      </c>
      <c r="C5099" s="117">
        <v>45556</v>
      </c>
      <c r="D5099" s="116">
        <v>124.03</v>
      </c>
      <c r="E5099" s="117">
        <v>45565</v>
      </c>
      <c r="F5099" s="116">
        <f>COUNTIFS($A$3:A13349,A5099,$B$3:B13349,B5099)</f>
        <v>1</v>
      </c>
      <c r="G5099" s="116"/>
    </row>
    <row r="5100" spans="1:7" x14ac:dyDescent="0.2">
      <c r="A5100" s="116">
        <f>IF(ISNUMBER(Tabela2[[#This Row],[CT-e/NFS]])=TRUE,(IF(B5100&gt;30000,4,IF(B5100&lt;1000,"ND",0))),"-")</f>
        <v>4</v>
      </c>
      <c r="B5100" s="116">
        <v>49216</v>
      </c>
      <c r="C5100" s="117">
        <v>45556</v>
      </c>
      <c r="D5100" s="116">
        <v>1497.07</v>
      </c>
      <c r="E5100" s="117">
        <v>45565</v>
      </c>
      <c r="F5100" s="116">
        <f>COUNTIFS($A$3:A13350,A5100,$B$3:B13350,B5100)</f>
        <v>1</v>
      </c>
      <c r="G5100" s="116"/>
    </row>
    <row r="5101" spans="1:7" x14ac:dyDescent="0.2">
      <c r="A5101" s="116">
        <f>IF(ISNUMBER(Tabela2[[#This Row],[CT-e/NFS]])=TRUE,(IF(B5101&gt;30000,4,IF(B5101&lt;1000,"ND",0))),"-")</f>
        <v>4</v>
      </c>
      <c r="B5101" s="116">
        <v>49207</v>
      </c>
      <c r="C5101" s="117">
        <v>45556</v>
      </c>
      <c r="D5101" s="116">
        <v>392.98</v>
      </c>
      <c r="E5101" s="117">
        <v>45565</v>
      </c>
      <c r="F5101" s="116">
        <f>COUNTIFS($A$3:A13351,A5101,$B$3:B13351,B5101)</f>
        <v>1</v>
      </c>
      <c r="G5101" s="116"/>
    </row>
    <row r="5102" spans="1:7" x14ac:dyDescent="0.2">
      <c r="A5102" s="116">
        <f>IF(ISNUMBER(Tabela2[[#This Row],[CT-e/NFS]])=TRUE,(IF(B5102&gt;30000,4,IF(B5102&lt;1000,"ND",0))),"-")</f>
        <v>4</v>
      </c>
      <c r="B5102" s="116">
        <v>49215</v>
      </c>
      <c r="C5102" s="117">
        <v>45556</v>
      </c>
      <c r="D5102" s="116">
        <v>216.4</v>
      </c>
      <c r="E5102" s="117">
        <v>45565</v>
      </c>
      <c r="F5102" s="116">
        <f>COUNTIFS($A$3:A13352,A5102,$B$3:B13352,B5102)</f>
        <v>1</v>
      </c>
      <c r="G5102" s="116"/>
    </row>
    <row r="5103" spans="1:7" x14ac:dyDescent="0.2">
      <c r="A5103" s="116">
        <f>IF(ISNUMBER(Tabela2[[#This Row],[CT-e/NFS]])=TRUE,(IF(B5103&gt;30000,4,IF(B5103&lt;1000,"ND",0))),"-")</f>
        <v>4</v>
      </c>
      <c r="B5103" s="116">
        <v>49218</v>
      </c>
      <c r="C5103" s="117">
        <v>45556</v>
      </c>
      <c r="D5103" s="116">
        <v>85.91</v>
      </c>
      <c r="E5103" s="117">
        <v>45565</v>
      </c>
      <c r="F5103" s="116">
        <f>COUNTIFS($A$3:A13353,A5103,$B$3:B13353,B5103)</f>
        <v>1</v>
      </c>
      <c r="G5103" s="116"/>
    </row>
    <row r="5104" spans="1:7" x14ac:dyDescent="0.2">
      <c r="A5104" s="116">
        <f>IF(ISNUMBER(Tabela2[[#This Row],[CT-e/NFS]])=TRUE,(IF(B5104&gt;30000,4,IF(B5104&lt;1000,"ND",0))),"-")</f>
        <v>4</v>
      </c>
      <c r="B5104" s="116">
        <v>49212</v>
      </c>
      <c r="C5104" s="117">
        <v>45556</v>
      </c>
      <c r="D5104" s="116">
        <v>125.35</v>
      </c>
      <c r="E5104" s="117">
        <v>45565</v>
      </c>
      <c r="F5104" s="116">
        <f>COUNTIFS($A$3:A13354,A5104,$B$3:B13354,B5104)</f>
        <v>1</v>
      </c>
      <c r="G5104" s="116"/>
    </row>
    <row r="5105" spans="1:7" x14ac:dyDescent="0.2">
      <c r="A5105" s="116">
        <f>IF(ISNUMBER(Tabela2[[#This Row],[CT-e/NFS]])=TRUE,(IF(B5105&gt;30000,4,IF(B5105&lt;1000,"ND",0))),"-")</f>
        <v>0</v>
      </c>
      <c r="B5105" s="116">
        <v>22121</v>
      </c>
      <c r="C5105" s="117">
        <v>45556</v>
      </c>
      <c r="D5105" s="116">
        <v>148.88</v>
      </c>
      <c r="E5105" s="117">
        <v>45565</v>
      </c>
      <c r="F5105" s="116">
        <f>COUNTIFS($A$3:A13355,A5105,$B$3:B13355,B5105)</f>
        <v>1</v>
      </c>
      <c r="G5105" s="116"/>
    </row>
    <row r="5106" spans="1:7" x14ac:dyDescent="0.2">
      <c r="A5106" s="116">
        <f>IF(ISNUMBER(Tabela2[[#This Row],[CT-e/NFS]])=TRUE,(IF(B5106&gt;30000,4,IF(B5106&lt;1000,"ND",0))),"-")</f>
        <v>0</v>
      </c>
      <c r="B5106" s="116">
        <v>22126</v>
      </c>
      <c r="C5106" s="117">
        <v>45556</v>
      </c>
      <c r="D5106" s="116">
        <v>122.46</v>
      </c>
      <c r="E5106" s="117">
        <v>45565</v>
      </c>
      <c r="F5106" s="116">
        <f>COUNTIFS($A$3:A13356,A5106,$B$3:B13356,B5106)</f>
        <v>1</v>
      </c>
      <c r="G5106" s="116"/>
    </row>
    <row r="5107" spans="1:7" x14ac:dyDescent="0.2">
      <c r="A5107" s="116">
        <f>IF(ISNUMBER(Tabela2[[#This Row],[CT-e/NFS]])=TRUE,(IF(B5107&gt;30000,4,IF(B5107&lt;1000,"ND",0))),"-")</f>
        <v>0</v>
      </c>
      <c r="B5107" s="116">
        <v>22124</v>
      </c>
      <c r="C5107" s="117">
        <v>45556</v>
      </c>
      <c r="D5107" s="116">
        <v>76.95</v>
      </c>
      <c r="E5107" s="117">
        <v>45565</v>
      </c>
      <c r="F5107" s="116">
        <f>COUNTIFS($A$3:A13357,A5107,$B$3:B13357,B5107)</f>
        <v>1</v>
      </c>
      <c r="G5107" s="116"/>
    </row>
    <row r="5108" spans="1:7" x14ac:dyDescent="0.2">
      <c r="A5108" s="116">
        <f>IF(ISNUMBER(Tabela2[[#This Row],[CT-e/NFS]])=TRUE,(IF(B5108&gt;30000,4,IF(B5108&lt;1000,"ND",0))),"-")</f>
        <v>0</v>
      </c>
      <c r="B5108" s="116">
        <v>22123</v>
      </c>
      <c r="C5108" s="117">
        <v>45556</v>
      </c>
      <c r="D5108" s="116">
        <v>77.06</v>
      </c>
      <c r="E5108" s="117">
        <v>45565</v>
      </c>
      <c r="F5108" s="116">
        <f>COUNTIFS($A$3:A13358,A5108,$B$3:B13358,B5108)</f>
        <v>1</v>
      </c>
      <c r="G5108" s="116"/>
    </row>
    <row r="5109" spans="1:7" x14ac:dyDescent="0.2">
      <c r="A5109" s="116">
        <f>IF(ISNUMBER(Tabela2[[#This Row],[CT-e/NFS]])=TRUE,(IF(B5109&gt;30000,4,IF(B5109&lt;1000,"ND",0))),"-")</f>
        <v>0</v>
      </c>
      <c r="B5109" s="116">
        <v>22125</v>
      </c>
      <c r="C5109" s="117">
        <v>45556</v>
      </c>
      <c r="D5109" s="116">
        <v>76.27</v>
      </c>
      <c r="E5109" s="117">
        <v>45565</v>
      </c>
      <c r="F5109" s="116">
        <f>COUNTIFS($A$3:A13359,A5109,$B$3:B13359,B5109)</f>
        <v>1</v>
      </c>
      <c r="G5109" s="116"/>
    </row>
    <row r="5110" spans="1:7" x14ac:dyDescent="0.2">
      <c r="A5110" s="116">
        <f>IF(ISNUMBER(Tabela2[[#This Row],[CT-e/NFS]])=TRUE,(IF(B5110&gt;30000,4,IF(B5110&lt;1000,"ND",0))),"-")</f>
        <v>0</v>
      </c>
      <c r="B5110" s="116">
        <v>22122</v>
      </c>
      <c r="C5110" s="117">
        <v>45556</v>
      </c>
      <c r="D5110" s="116">
        <v>75.599999999999994</v>
      </c>
      <c r="E5110" s="117">
        <v>45565</v>
      </c>
      <c r="F5110" s="116">
        <f>COUNTIFS($A$3:A13360,A5110,$B$3:B13360,B5110)</f>
        <v>1</v>
      </c>
      <c r="G5110" s="116"/>
    </row>
    <row r="5111" spans="1:7" x14ac:dyDescent="0.2">
      <c r="A5111" s="116">
        <f>IF(ISNUMBER(Tabela2[[#This Row],[CT-e/NFS]])=TRUE,(IF(B5111&gt;30000,4,IF(B5111&lt;1000,"ND",0))),"-")</f>
        <v>0</v>
      </c>
      <c r="B5111" s="116">
        <v>22128</v>
      </c>
      <c r="C5111" s="117">
        <v>45556</v>
      </c>
      <c r="D5111" s="116">
        <v>99.39</v>
      </c>
      <c r="E5111" s="117">
        <v>45565</v>
      </c>
      <c r="F5111" s="116">
        <f>COUNTIFS($A$3:A13361,A5111,$B$3:B13361,B5111)</f>
        <v>1</v>
      </c>
      <c r="G5111" s="116"/>
    </row>
    <row r="5112" spans="1:7" x14ac:dyDescent="0.2">
      <c r="A5112" s="116">
        <f>IF(ISNUMBER(Tabela2[[#This Row],[CT-e/NFS]])=TRUE,(IF(B5112&gt;30000,4,IF(B5112&lt;1000,"ND",0))),"-")</f>
        <v>4</v>
      </c>
      <c r="B5112" s="116">
        <v>49106</v>
      </c>
      <c r="C5112" s="117">
        <v>45556</v>
      </c>
      <c r="D5112" s="116">
        <v>123.13</v>
      </c>
      <c r="E5112" s="117">
        <v>45565</v>
      </c>
      <c r="F5112" s="116">
        <f>COUNTIFS($A$3:A13362,A5112,$B$3:B13362,B5112)</f>
        <v>1</v>
      </c>
      <c r="G5112" s="116"/>
    </row>
    <row r="5113" spans="1:7" x14ac:dyDescent="0.2">
      <c r="A5113" s="116">
        <f>IF(ISNUMBER(Tabela2[[#This Row],[CT-e/NFS]])=TRUE,(IF(B5113&gt;30000,4,IF(B5113&lt;1000,"ND",0))),"-")</f>
        <v>4</v>
      </c>
      <c r="B5113" s="116">
        <v>49105</v>
      </c>
      <c r="C5113" s="117">
        <v>45556</v>
      </c>
      <c r="D5113" s="116">
        <v>126.65</v>
      </c>
      <c r="E5113" s="117">
        <v>45565</v>
      </c>
      <c r="F5113" s="116">
        <f>COUNTIFS($A$3:A13363,A5113,$B$3:B13363,B5113)</f>
        <v>1</v>
      </c>
      <c r="G5113" s="116"/>
    </row>
    <row r="5114" spans="1:7" x14ac:dyDescent="0.2">
      <c r="A5114" s="116">
        <f>IF(ISNUMBER(Tabela2[[#This Row],[CT-e/NFS]])=TRUE,(IF(B5114&gt;30000,4,IF(B5114&lt;1000,"ND",0))),"-")</f>
        <v>4</v>
      </c>
      <c r="B5114" s="116">
        <v>49104</v>
      </c>
      <c r="C5114" s="117">
        <v>45556</v>
      </c>
      <c r="D5114" s="116">
        <v>251.26</v>
      </c>
      <c r="E5114" s="117">
        <v>45565</v>
      </c>
      <c r="F5114" s="116">
        <f>COUNTIFS($A$3:A13364,A5114,$B$3:B13364,B5114)</f>
        <v>1</v>
      </c>
      <c r="G5114" s="116"/>
    </row>
    <row r="5115" spans="1:7" x14ac:dyDescent="0.2">
      <c r="A5115" s="116">
        <f>IF(ISNUMBER(Tabela2[[#This Row],[CT-e/NFS]])=TRUE,(IF(B5115&gt;30000,4,IF(B5115&lt;1000,"ND",0))),"-")</f>
        <v>4</v>
      </c>
      <c r="B5115" s="116">
        <v>49102</v>
      </c>
      <c r="C5115" s="117">
        <v>45556</v>
      </c>
      <c r="D5115" s="116">
        <v>246.33</v>
      </c>
      <c r="E5115" s="117">
        <v>45565</v>
      </c>
      <c r="F5115" s="116">
        <f>COUNTIFS($A$3:A13365,A5115,$B$3:B13365,B5115)</f>
        <v>1</v>
      </c>
      <c r="G5115" s="116"/>
    </row>
    <row r="5116" spans="1:7" x14ac:dyDescent="0.2">
      <c r="A5116" s="116">
        <f>IF(ISNUMBER(Tabela2[[#This Row],[CT-e/NFS]])=TRUE,(IF(B5116&gt;30000,4,IF(B5116&lt;1000,"ND",0))),"-")</f>
        <v>4</v>
      </c>
      <c r="B5116" s="116">
        <v>49103</v>
      </c>
      <c r="C5116" s="117">
        <v>45556</v>
      </c>
      <c r="D5116" s="116">
        <v>126.65</v>
      </c>
      <c r="E5116" s="117">
        <v>45565</v>
      </c>
      <c r="F5116" s="116">
        <f>COUNTIFS($A$3:A13366,A5116,$B$3:B13366,B5116)</f>
        <v>1</v>
      </c>
      <c r="G5116" s="116"/>
    </row>
    <row r="5117" spans="1:7" x14ac:dyDescent="0.2">
      <c r="A5117" s="116">
        <f>IF(ISNUMBER(Tabela2[[#This Row],[CT-e/NFS]])=TRUE,(IF(B5117&gt;30000,4,IF(B5117&lt;1000,"ND",0))),"-")</f>
        <v>4</v>
      </c>
      <c r="B5117" s="116">
        <v>49096</v>
      </c>
      <c r="C5117" s="117">
        <v>45556</v>
      </c>
      <c r="D5117" s="116">
        <v>124.52</v>
      </c>
      <c r="E5117" s="117">
        <v>45565</v>
      </c>
      <c r="F5117" s="116">
        <f>COUNTIFS($A$3:A13367,A5117,$B$3:B13367,B5117)</f>
        <v>1</v>
      </c>
      <c r="G5117" s="116"/>
    </row>
    <row r="5118" spans="1:7" x14ac:dyDescent="0.2">
      <c r="A5118" s="116">
        <f>IF(ISNUMBER(Tabela2[[#This Row],[CT-e/NFS]])=TRUE,(IF(B5118&gt;30000,4,IF(B5118&lt;1000,"ND",0))),"-")</f>
        <v>4</v>
      </c>
      <c r="B5118" s="116">
        <v>49094</v>
      </c>
      <c r="C5118" s="117">
        <v>45556</v>
      </c>
      <c r="D5118" s="116">
        <v>122.77</v>
      </c>
      <c r="E5118" s="117">
        <v>45565</v>
      </c>
      <c r="F5118" s="116">
        <f>COUNTIFS($A$3:A13368,A5118,$B$3:B13368,B5118)</f>
        <v>1</v>
      </c>
      <c r="G5118" s="116"/>
    </row>
    <row r="5119" spans="1:7" x14ac:dyDescent="0.2">
      <c r="A5119" s="116">
        <f>IF(ISNUMBER(Tabela2[[#This Row],[CT-e/NFS]])=TRUE,(IF(B5119&gt;30000,4,IF(B5119&lt;1000,"ND",0))),"-")</f>
        <v>4</v>
      </c>
      <c r="B5119" s="116">
        <v>49119</v>
      </c>
      <c r="C5119" s="117">
        <v>45556</v>
      </c>
      <c r="D5119" s="116">
        <v>104.08</v>
      </c>
      <c r="E5119" s="117">
        <v>45565</v>
      </c>
      <c r="F5119" s="116">
        <f>COUNTIFS($A$3:A13369,A5119,$B$3:B13369,B5119)</f>
        <v>1</v>
      </c>
      <c r="G5119" s="116"/>
    </row>
    <row r="5120" spans="1:7" x14ac:dyDescent="0.2">
      <c r="A5120" s="116">
        <f>IF(ISNUMBER(Tabela2[[#This Row],[CT-e/NFS]])=TRUE,(IF(B5120&gt;30000,4,IF(B5120&lt;1000,"ND",0))),"-")</f>
        <v>4</v>
      </c>
      <c r="B5120" s="116">
        <v>49147</v>
      </c>
      <c r="C5120" s="117">
        <v>45556</v>
      </c>
      <c r="D5120" s="116">
        <v>124.49</v>
      </c>
      <c r="E5120" s="117">
        <v>45565</v>
      </c>
      <c r="F5120" s="116">
        <f>COUNTIFS($A$3:A13370,A5120,$B$3:B13370,B5120)</f>
        <v>1</v>
      </c>
      <c r="G5120" s="116"/>
    </row>
    <row r="5121" spans="1:7" x14ac:dyDescent="0.2">
      <c r="A5121" s="116">
        <f>IF(ISNUMBER(Tabela2[[#This Row],[CT-e/NFS]])=TRUE,(IF(B5121&gt;30000,4,IF(B5121&lt;1000,"ND",0))),"-")</f>
        <v>4</v>
      </c>
      <c r="B5121" s="116">
        <v>49221</v>
      </c>
      <c r="C5121" s="117">
        <v>45556</v>
      </c>
      <c r="D5121" s="116">
        <v>748.53</v>
      </c>
      <c r="E5121" s="117">
        <v>45565</v>
      </c>
      <c r="F5121" s="116">
        <f>COUNTIFS($A$3:A13371,A5121,$B$3:B13371,B5121)</f>
        <v>1</v>
      </c>
      <c r="G5121" s="116"/>
    </row>
    <row r="5122" spans="1:7" x14ac:dyDescent="0.2">
      <c r="A5122" s="116">
        <f>IF(ISNUMBER(Tabela2[[#This Row],[CT-e/NFS]])=TRUE,(IF(B5122&gt;30000,4,IF(B5122&lt;1000,"ND",0))),"-")</f>
        <v>4</v>
      </c>
      <c r="B5122" s="116">
        <v>49099</v>
      </c>
      <c r="C5122" s="117">
        <v>45556</v>
      </c>
      <c r="D5122" s="116">
        <v>123.89</v>
      </c>
      <c r="E5122" s="117">
        <v>45565</v>
      </c>
      <c r="F5122" s="116">
        <f>COUNTIFS($A$3:A13372,A5122,$B$3:B13372,B5122)</f>
        <v>1</v>
      </c>
      <c r="G5122" s="116"/>
    </row>
    <row r="5123" spans="1:7" x14ac:dyDescent="0.2">
      <c r="A5123" s="116">
        <f>IF(ISNUMBER(Tabela2[[#This Row],[CT-e/NFS]])=TRUE,(IF(B5123&gt;30000,4,IF(B5123&lt;1000,"ND",0))),"-")</f>
        <v>0</v>
      </c>
      <c r="B5123" s="116">
        <v>22105</v>
      </c>
      <c r="C5123" s="117">
        <v>45556</v>
      </c>
      <c r="D5123" s="116">
        <v>75.92</v>
      </c>
      <c r="E5123" s="117">
        <v>45565</v>
      </c>
      <c r="F5123" s="116">
        <f>COUNTIFS($A$3:A13373,A5123,$B$3:B13373,B5123)</f>
        <v>1</v>
      </c>
      <c r="G5123" s="116"/>
    </row>
    <row r="5124" spans="1:7" x14ac:dyDescent="0.2">
      <c r="A5124" s="116">
        <f>IF(ISNUMBER(Tabela2[[#This Row],[CT-e/NFS]])=TRUE,(IF(B5124&gt;30000,4,IF(B5124&lt;1000,"ND",0))),"-")</f>
        <v>4</v>
      </c>
      <c r="B5124" s="116">
        <v>49061</v>
      </c>
      <c r="C5124" s="117">
        <v>45556</v>
      </c>
      <c r="D5124" s="116">
        <v>889.66</v>
      </c>
      <c r="E5124" s="117">
        <v>45565</v>
      </c>
      <c r="F5124" s="116">
        <f>COUNTIFS($A$3:A13374,A5124,$B$3:B13374,B5124)</f>
        <v>1</v>
      </c>
      <c r="G5124" s="116"/>
    </row>
    <row r="5125" spans="1:7" x14ac:dyDescent="0.2">
      <c r="A5125" s="116">
        <f>IF(ISNUMBER(Tabela2[[#This Row],[CT-e/NFS]])=TRUE,(IF(B5125&gt;30000,4,IF(B5125&lt;1000,"ND",0))),"-")</f>
        <v>4</v>
      </c>
      <c r="B5125" s="116">
        <v>49140</v>
      </c>
      <c r="C5125" s="117">
        <v>45556</v>
      </c>
      <c r="D5125" s="116">
        <v>61.94</v>
      </c>
      <c r="E5125" s="117">
        <v>45565</v>
      </c>
      <c r="F5125" s="116">
        <f>COUNTIFS($A$3:A13375,A5125,$B$3:B13375,B5125)</f>
        <v>1</v>
      </c>
      <c r="G5125" s="116"/>
    </row>
    <row r="5126" spans="1:7" x14ac:dyDescent="0.2">
      <c r="A5126" s="116">
        <f>IF(ISNUMBER(Tabela2[[#This Row],[CT-e/NFS]])=TRUE,(IF(B5126&gt;30000,4,IF(B5126&lt;1000,"ND",0))),"-")</f>
        <v>4</v>
      </c>
      <c r="B5126" s="116">
        <v>49141</v>
      </c>
      <c r="C5126" s="117">
        <v>45556</v>
      </c>
      <c r="D5126" s="116">
        <v>111.61</v>
      </c>
      <c r="E5126" s="117">
        <v>45565</v>
      </c>
      <c r="F5126" s="116">
        <f>COUNTIFS($A$3:A13376,A5126,$B$3:B13376,B5126)</f>
        <v>1</v>
      </c>
      <c r="G5126" s="116"/>
    </row>
    <row r="5127" spans="1:7" x14ac:dyDescent="0.2">
      <c r="A5127" s="116">
        <f>IF(ISNUMBER(Tabela2[[#This Row],[CT-e/NFS]])=TRUE,(IF(B5127&gt;30000,4,IF(B5127&lt;1000,"ND",0))),"-")</f>
        <v>4</v>
      </c>
      <c r="B5127" s="116">
        <v>49205</v>
      </c>
      <c r="C5127" s="117">
        <v>45556</v>
      </c>
      <c r="D5127" s="116">
        <v>396.45</v>
      </c>
      <c r="E5127" s="117">
        <v>45565</v>
      </c>
      <c r="F5127" s="116">
        <f>COUNTIFS($A$3:A13377,A5127,$B$3:B13377,B5127)</f>
        <v>1</v>
      </c>
      <c r="G5127" s="116"/>
    </row>
    <row r="5128" spans="1:7" x14ac:dyDescent="0.2">
      <c r="A5128" s="116">
        <f>IF(ISNUMBER(Tabela2[[#This Row],[CT-e/NFS]])=TRUE,(IF(B5128&gt;30000,4,IF(B5128&lt;1000,"ND",0))),"-")</f>
        <v>4</v>
      </c>
      <c r="B5128" s="116">
        <v>49182</v>
      </c>
      <c r="C5128" s="117">
        <v>45556</v>
      </c>
      <c r="D5128" s="116">
        <v>233.66</v>
      </c>
      <c r="E5128" s="117">
        <v>45565</v>
      </c>
      <c r="F5128" s="116">
        <f>COUNTIFS($A$3:A13378,A5128,$B$3:B13378,B5128)</f>
        <v>1</v>
      </c>
      <c r="G5128" s="116"/>
    </row>
    <row r="5129" spans="1:7" x14ac:dyDescent="0.2">
      <c r="A5129" s="116">
        <f>IF(ISNUMBER(Tabela2[[#This Row],[CT-e/NFS]])=TRUE,(IF(B5129&gt;30000,4,IF(B5129&lt;1000,"ND",0))),"-")</f>
        <v>4</v>
      </c>
      <c r="B5129" s="116">
        <v>49183</v>
      </c>
      <c r="C5129" s="117">
        <v>45556</v>
      </c>
      <c r="D5129" s="116">
        <v>423.53</v>
      </c>
      <c r="E5129" s="117">
        <v>45565</v>
      </c>
      <c r="F5129" s="116">
        <f>COUNTIFS($A$3:A13379,A5129,$B$3:B13379,B5129)</f>
        <v>1</v>
      </c>
      <c r="G5129" s="116"/>
    </row>
    <row r="5130" spans="1:7" x14ac:dyDescent="0.2">
      <c r="A5130" s="116">
        <f>IF(ISNUMBER(Tabela2[[#This Row],[CT-e/NFS]])=TRUE,(IF(B5130&gt;30000,4,IF(B5130&lt;1000,"ND",0))),"-")</f>
        <v>4</v>
      </c>
      <c r="B5130" s="116">
        <v>49206</v>
      </c>
      <c r="C5130" s="117">
        <v>45556</v>
      </c>
      <c r="D5130" s="116">
        <v>119.36</v>
      </c>
      <c r="E5130" s="117">
        <v>45565</v>
      </c>
      <c r="F5130" s="116">
        <f>COUNTIFS($A$3:A13380,A5130,$B$3:B13380,B5130)</f>
        <v>1</v>
      </c>
      <c r="G5130" s="116"/>
    </row>
    <row r="5131" spans="1:7" x14ac:dyDescent="0.2">
      <c r="A5131" s="116">
        <f>IF(ISNUMBER(Tabela2[[#This Row],[CT-e/NFS]])=TRUE,(IF(B5131&gt;30000,4,IF(B5131&lt;1000,"ND",0))),"-")</f>
        <v>4</v>
      </c>
      <c r="B5131" s="116">
        <v>49181</v>
      </c>
      <c r="C5131" s="117">
        <v>45556</v>
      </c>
      <c r="D5131" s="116">
        <v>917.33</v>
      </c>
      <c r="E5131" s="117">
        <v>45565</v>
      </c>
      <c r="F5131" s="116">
        <f>COUNTIFS($A$3:A13381,A5131,$B$3:B13381,B5131)</f>
        <v>1</v>
      </c>
      <c r="G5131" s="116"/>
    </row>
    <row r="5132" spans="1:7" x14ac:dyDescent="0.2">
      <c r="A5132" s="116">
        <f>IF(ISNUMBER(Tabela2[[#This Row],[CT-e/NFS]])=TRUE,(IF(B5132&gt;30000,4,IF(B5132&lt;1000,"ND",0))),"-")</f>
        <v>4</v>
      </c>
      <c r="B5132" s="116">
        <v>49180</v>
      </c>
      <c r="C5132" s="117">
        <v>45556</v>
      </c>
      <c r="D5132" s="116">
        <v>507.1</v>
      </c>
      <c r="E5132" s="117">
        <v>45565</v>
      </c>
      <c r="F5132" s="116">
        <f>COUNTIFS($A$3:A13382,A5132,$B$3:B13382,B5132)</f>
        <v>1</v>
      </c>
      <c r="G5132" s="116"/>
    </row>
    <row r="5133" spans="1:7" x14ac:dyDescent="0.2">
      <c r="A5133" s="116">
        <f>IF(ISNUMBER(Tabela2[[#This Row],[CT-e/NFS]])=TRUE,(IF(B5133&gt;30000,4,IF(B5133&lt;1000,"ND",0))),"-")</f>
        <v>4</v>
      </c>
      <c r="B5133" s="116">
        <v>49149</v>
      </c>
      <c r="C5133" s="117">
        <v>45556</v>
      </c>
      <c r="D5133" s="116">
        <v>295.85000000000002</v>
      </c>
      <c r="E5133" s="117">
        <v>45565</v>
      </c>
      <c r="F5133" s="116">
        <f>COUNTIFS($A$3:A13383,A5133,$B$3:B13383,B5133)</f>
        <v>1</v>
      </c>
      <c r="G5133" s="116"/>
    </row>
    <row r="5134" spans="1:7" x14ac:dyDescent="0.2">
      <c r="A5134" s="116">
        <f>IF(ISNUMBER(Tabela2[[#This Row],[CT-e/NFS]])=TRUE,(IF(B5134&gt;30000,4,IF(B5134&lt;1000,"ND",0))),"-")</f>
        <v>0</v>
      </c>
      <c r="B5134" s="116">
        <v>22079</v>
      </c>
      <c r="C5134" s="117">
        <v>45556</v>
      </c>
      <c r="D5134" s="116">
        <v>844.3</v>
      </c>
      <c r="E5134" s="117">
        <v>45565</v>
      </c>
      <c r="F5134" s="116">
        <f>COUNTIFS($A$3:A13384,A5134,$B$3:B13384,B5134)</f>
        <v>1</v>
      </c>
      <c r="G5134" s="116"/>
    </row>
    <row r="5135" spans="1:7" x14ac:dyDescent="0.2">
      <c r="A5135" s="116">
        <f>IF(ISNUMBER(Tabela2[[#This Row],[CT-e/NFS]])=TRUE,(IF(B5135&gt;30000,4,IF(B5135&lt;1000,"ND",0))),"-")</f>
        <v>0</v>
      </c>
      <c r="B5135" s="116">
        <v>22096</v>
      </c>
      <c r="C5135" s="117">
        <v>45556</v>
      </c>
      <c r="D5135" s="116">
        <v>38.47</v>
      </c>
      <c r="E5135" s="117">
        <v>45565</v>
      </c>
      <c r="F5135" s="116">
        <f>COUNTIFS($A$3:A13385,A5135,$B$3:B13385,B5135)</f>
        <v>1</v>
      </c>
      <c r="G5135" s="116"/>
    </row>
    <row r="5136" spans="1:7" x14ac:dyDescent="0.2">
      <c r="A5136" s="116">
        <f>IF(ISNUMBER(Tabela2[[#This Row],[CT-e/NFS]])=TRUE,(IF(B5136&gt;30000,4,IF(B5136&lt;1000,"ND",0))),"-")</f>
        <v>0</v>
      </c>
      <c r="B5136" s="116">
        <v>22098</v>
      </c>
      <c r="C5136" s="117">
        <v>45556</v>
      </c>
      <c r="D5136" s="116">
        <v>38.4</v>
      </c>
      <c r="E5136" s="117">
        <v>45565</v>
      </c>
      <c r="F5136" s="116">
        <f>COUNTIFS($A$3:A13386,A5136,$B$3:B13386,B5136)</f>
        <v>1</v>
      </c>
      <c r="G5136" s="116"/>
    </row>
    <row r="5137" spans="1:7" x14ac:dyDescent="0.2">
      <c r="A5137" s="116">
        <f>IF(ISNUMBER(Tabela2[[#This Row],[CT-e/NFS]])=TRUE,(IF(B5137&gt;30000,4,IF(B5137&lt;1000,"ND",0))),"-")</f>
        <v>0</v>
      </c>
      <c r="B5137" s="116">
        <v>22100</v>
      </c>
      <c r="C5137" s="117">
        <v>45556</v>
      </c>
      <c r="D5137" s="116">
        <v>38.71</v>
      </c>
      <c r="E5137" s="117">
        <v>45565</v>
      </c>
      <c r="F5137" s="116">
        <f>COUNTIFS($A$3:A13387,A5137,$B$3:B13387,B5137)</f>
        <v>1</v>
      </c>
      <c r="G5137" s="116"/>
    </row>
    <row r="5138" spans="1:7" x14ac:dyDescent="0.2">
      <c r="A5138" s="116">
        <f>IF(ISNUMBER(Tabela2[[#This Row],[CT-e/NFS]])=TRUE,(IF(B5138&gt;30000,4,IF(B5138&lt;1000,"ND",0))),"-")</f>
        <v>0</v>
      </c>
      <c r="B5138" s="116">
        <v>22102</v>
      </c>
      <c r="C5138" s="117">
        <v>45556</v>
      </c>
      <c r="D5138" s="116">
        <v>38.270000000000003</v>
      </c>
      <c r="E5138" s="117">
        <v>45565</v>
      </c>
      <c r="F5138" s="116">
        <f>COUNTIFS($A$3:A13388,A5138,$B$3:B13388,B5138)</f>
        <v>1</v>
      </c>
      <c r="G5138" s="116"/>
    </row>
    <row r="5139" spans="1:7" x14ac:dyDescent="0.2">
      <c r="A5139" s="116">
        <f>IF(ISNUMBER(Tabela2[[#This Row],[CT-e/NFS]])=TRUE,(IF(B5139&gt;30000,4,IF(B5139&lt;1000,"ND",0))),"-")</f>
        <v>0</v>
      </c>
      <c r="B5139" s="116">
        <v>22108</v>
      </c>
      <c r="C5139" s="117">
        <v>45556</v>
      </c>
      <c r="D5139" s="116">
        <v>38</v>
      </c>
      <c r="E5139" s="117">
        <v>45565</v>
      </c>
      <c r="F5139" s="116">
        <f>COUNTIFS($A$3:A13389,A5139,$B$3:B13389,B5139)</f>
        <v>1</v>
      </c>
      <c r="G5139" s="116"/>
    </row>
    <row r="5140" spans="1:7" x14ac:dyDescent="0.2">
      <c r="A5140" s="116">
        <f>IF(ISNUMBER(Tabela2[[#This Row],[CT-e/NFS]])=TRUE,(IF(B5140&gt;30000,4,IF(B5140&lt;1000,"ND",0))),"-")</f>
        <v>0</v>
      </c>
      <c r="B5140" s="116">
        <v>22117</v>
      </c>
      <c r="C5140" s="117">
        <v>45556</v>
      </c>
      <c r="D5140" s="116">
        <v>38.630000000000003</v>
      </c>
      <c r="E5140" s="117">
        <v>45565</v>
      </c>
      <c r="F5140" s="116">
        <f>COUNTIFS($A$3:A13390,A5140,$B$3:B13390,B5140)</f>
        <v>1</v>
      </c>
      <c r="G5140" s="116"/>
    </row>
    <row r="5141" spans="1:7" x14ac:dyDescent="0.2">
      <c r="A5141" s="116">
        <f>IF(ISNUMBER(Tabela2[[#This Row],[CT-e/NFS]])=TRUE,(IF(B5141&gt;30000,4,IF(B5141&lt;1000,"ND",0))),"-")</f>
        <v>0</v>
      </c>
      <c r="B5141" s="116">
        <v>22093</v>
      </c>
      <c r="C5141" s="117">
        <v>45556</v>
      </c>
      <c r="D5141" s="116">
        <v>69.39</v>
      </c>
      <c r="E5141" s="117">
        <v>45565</v>
      </c>
      <c r="F5141" s="116">
        <f>COUNTIFS($A$3:A13391,A5141,$B$3:B13391,B5141)</f>
        <v>1</v>
      </c>
      <c r="G5141" s="116"/>
    </row>
    <row r="5142" spans="1:7" x14ac:dyDescent="0.2">
      <c r="A5142" s="116">
        <f>IF(ISNUMBER(Tabela2[[#This Row],[CT-e/NFS]])=TRUE,(IF(B5142&gt;30000,4,IF(B5142&lt;1000,"ND",0))),"-")</f>
        <v>0</v>
      </c>
      <c r="B5142" s="116">
        <v>22097</v>
      </c>
      <c r="C5142" s="117">
        <v>45556</v>
      </c>
      <c r="D5142" s="116">
        <v>69.239999999999995</v>
      </c>
      <c r="E5142" s="117">
        <v>45565</v>
      </c>
      <c r="F5142" s="116">
        <f>COUNTIFS($A$3:A13392,A5142,$B$3:B13392,B5142)</f>
        <v>1</v>
      </c>
      <c r="G5142" s="116"/>
    </row>
    <row r="5143" spans="1:7" x14ac:dyDescent="0.2">
      <c r="A5143" s="116">
        <f>IF(ISNUMBER(Tabela2[[#This Row],[CT-e/NFS]])=TRUE,(IF(B5143&gt;30000,4,IF(B5143&lt;1000,"ND",0))),"-")</f>
        <v>0</v>
      </c>
      <c r="B5143" s="116">
        <v>22099</v>
      </c>
      <c r="C5143" s="117">
        <v>45556</v>
      </c>
      <c r="D5143" s="116">
        <v>69.87</v>
      </c>
      <c r="E5143" s="117">
        <v>45565</v>
      </c>
      <c r="F5143" s="116">
        <f>COUNTIFS($A$3:A13393,A5143,$B$3:B13393,B5143)</f>
        <v>1</v>
      </c>
      <c r="G5143" s="116"/>
    </row>
    <row r="5144" spans="1:7" x14ac:dyDescent="0.2">
      <c r="A5144" s="116">
        <f>IF(ISNUMBER(Tabela2[[#This Row],[CT-e/NFS]])=TRUE,(IF(B5144&gt;30000,4,IF(B5144&lt;1000,"ND",0))),"-")</f>
        <v>0</v>
      </c>
      <c r="B5144" s="116">
        <v>22101</v>
      </c>
      <c r="C5144" s="117">
        <v>45556</v>
      </c>
      <c r="D5144" s="116">
        <v>68.989999999999995</v>
      </c>
      <c r="E5144" s="117">
        <v>45565</v>
      </c>
      <c r="F5144" s="116">
        <f>COUNTIFS($A$3:A13394,A5144,$B$3:B13394,B5144)</f>
        <v>1</v>
      </c>
      <c r="G5144" s="116"/>
    </row>
    <row r="5145" spans="1:7" x14ac:dyDescent="0.2">
      <c r="A5145" s="116">
        <f>IF(ISNUMBER(Tabela2[[#This Row],[CT-e/NFS]])=TRUE,(IF(B5145&gt;30000,4,IF(B5145&lt;1000,"ND",0))),"-")</f>
        <v>0</v>
      </c>
      <c r="B5145" s="116">
        <v>22111</v>
      </c>
      <c r="C5145" s="117">
        <v>45556</v>
      </c>
      <c r="D5145" s="116">
        <v>68.44</v>
      </c>
      <c r="E5145" s="117">
        <v>45565</v>
      </c>
      <c r="F5145" s="116">
        <f>COUNTIFS($A$3:A13395,A5145,$B$3:B13395,B5145)</f>
        <v>1</v>
      </c>
      <c r="G5145" s="116"/>
    </row>
    <row r="5146" spans="1:7" x14ac:dyDescent="0.2">
      <c r="A5146" s="116">
        <f>IF(ISNUMBER(Tabela2[[#This Row],[CT-e/NFS]])=TRUE,(IF(B5146&gt;30000,4,IF(B5146&lt;1000,"ND",0))),"-")</f>
        <v>0</v>
      </c>
      <c r="B5146" s="116">
        <v>22113</v>
      </c>
      <c r="C5146" s="117">
        <v>45556</v>
      </c>
      <c r="D5146" s="116">
        <v>69.7</v>
      </c>
      <c r="E5146" s="117">
        <v>45565</v>
      </c>
      <c r="F5146" s="116">
        <f>COUNTIFS($A$3:A13396,A5146,$B$3:B13396,B5146)</f>
        <v>1</v>
      </c>
      <c r="G5146" s="116"/>
    </row>
    <row r="5147" spans="1:7" x14ac:dyDescent="0.2">
      <c r="A5147" s="116">
        <f>IF(ISNUMBER(Tabela2[[#This Row],[CT-e/NFS]])=TRUE,(IF(B5147&gt;30000,4,IF(B5147&lt;1000,"ND",0))),"-")</f>
        <v>0</v>
      </c>
      <c r="B5147" s="116">
        <v>22091</v>
      </c>
      <c r="C5147" s="117">
        <v>45556</v>
      </c>
      <c r="D5147" s="116">
        <v>69.400000000000006</v>
      </c>
      <c r="E5147" s="117">
        <v>45565</v>
      </c>
      <c r="F5147" s="116">
        <f>COUNTIFS($A$3:A13397,A5147,$B$3:B13397,B5147)</f>
        <v>1</v>
      </c>
      <c r="G5147" s="116"/>
    </row>
    <row r="5148" spans="1:7" x14ac:dyDescent="0.2">
      <c r="A5148" s="116">
        <f>IF(ISNUMBER(Tabela2[[#This Row],[CT-e/NFS]])=TRUE,(IF(B5148&gt;30000,4,IF(B5148&lt;1000,"ND",0))),"-")</f>
        <v>0</v>
      </c>
      <c r="B5148" s="116">
        <v>22092</v>
      </c>
      <c r="C5148" s="117">
        <v>45556</v>
      </c>
      <c r="D5148" s="116">
        <v>38.479999999999997</v>
      </c>
      <c r="E5148" s="117">
        <v>45565</v>
      </c>
      <c r="F5148" s="116">
        <f>COUNTIFS($A$3:A13398,A5148,$B$3:B13398,B5148)</f>
        <v>1</v>
      </c>
      <c r="G5148" s="116"/>
    </row>
    <row r="5149" spans="1:7" x14ac:dyDescent="0.2">
      <c r="A5149" s="116">
        <f>IF(ISNUMBER(Tabela2[[#This Row],[CT-e/NFS]])=TRUE,(IF(B5149&gt;30000,4,IF(B5149&lt;1000,"ND",0))),"-")</f>
        <v>0</v>
      </c>
      <c r="B5149" s="116">
        <v>22120</v>
      </c>
      <c r="C5149" s="117">
        <v>45556</v>
      </c>
      <c r="D5149" s="116">
        <v>515.41</v>
      </c>
      <c r="E5149" s="117">
        <v>45565</v>
      </c>
      <c r="F5149" s="116">
        <f>COUNTIFS($A$3:A13399,A5149,$B$3:B13399,B5149)</f>
        <v>1</v>
      </c>
      <c r="G5149" s="116"/>
    </row>
    <row r="5150" spans="1:7" x14ac:dyDescent="0.2">
      <c r="A5150" s="116">
        <f>IF(ISNUMBER(Tabela2[[#This Row],[CT-e/NFS]])=TRUE,(IF(B5150&gt;30000,4,IF(B5150&lt;1000,"ND",0))),"-")</f>
        <v>0</v>
      </c>
      <c r="B5150" s="116">
        <v>22116</v>
      </c>
      <c r="C5150" s="117">
        <v>45556</v>
      </c>
      <c r="D5150" s="116">
        <v>38.630000000000003</v>
      </c>
      <c r="E5150" s="117">
        <v>45565</v>
      </c>
      <c r="F5150" s="116">
        <f>COUNTIFS($A$3:A13400,A5150,$B$3:B13400,B5150)</f>
        <v>1</v>
      </c>
      <c r="G5150" s="116"/>
    </row>
    <row r="5151" spans="1:7" x14ac:dyDescent="0.2">
      <c r="A5151" s="116" t="str">
        <f>IF(ISNUMBER(Tabela2[[#This Row],[CT-e/NFS]])=TRUE,(IF(B5151&gt;30000,4,IF(B5151&lt;1000,"ND",0))),"-")</f>
        <v>ND</v>
      </c>
      <c r="B5151" s="116">
        <v>232</v>
      </c>
      <c r="C5151" s="117">
        <v>45556</v>
      </c>
      <c r="D5151" s="116">
        <v>866.72</v>
      </c>
      <c r="E5151" s="117">
        <v>45565</v>
      </c>
      <c r="F5151" s="116">
        <f>COUNTIFS($A$3:A13401,A5151,$B$3:B13401,B5151)</f>
        <v>1</v>
      </c>
      <c r="G5151" s="116"/>
    </row>
    <row r="5152" spans="1:7" x14ac:dyDescent="0.2">
      <c r="A5152" s="116">
        <f>IF(ISNUMBER(Tabela2[[#This Row],[CT-e/NFS]])=TRUE,(IF(B5152&gt;30000,4,IF(B5152&lt;1000,"ND",0))),"-")</f>
        <v>4</v>
      </c>
      <c r="B5152" s="116">
        <v>49116</v>
      </c>
      <c r="C5152" s="117">
        <v>45556</v>
      </c>
      <c r="D5152" s="116">
        <v>3742.27</v>
      </c>
      <c r="E5152" s="117">
        <v>45565</v>
      </c>
      <c r="F5152" s="116">
        <f>COUNTIFS($A$3:A13402,A5152,$B$3:B13402,B5152)</f>
        <v>1</v>
      </c>
      <c r="G5152" s="116"/>
    </row>
    <row r="5153" spans="1:7" x14ac:dyDescent="0.2">
      <c r="A5153" s="116">
        <f>IF(ISNUMBER(Tabela2[[#This Row],[CT-e/NFS]])=TRUE,(IF(B5153&gt;30000,4,IF(B5153&lt;1000,"ND",0))),"-")</f>
        <v>4</v>
      </c>
      <c r="B5153" s="116">
        <v>49434</v>
      </c>
      <c r="C5153" s="117">
        <v>45576</v>
      </c>
      <c r="D5153" s="116">
        <v>1024.6500000000001</v>
      </c>
      <c r="E5153" s="117">
        <v>45580</v>
      </c>
      <c r="F5153" s="116">
        <f>COUNTIFS($A$3:A13403,A5153,$B$3:B13403,B5153)</f>
        <v>1</v>
      </c>
      <c r="G5153" s="116"/>
    </row>
    <row r="5154" spans="1:7" x14ac:dyDescent="0.2">
      <c r="A5154" s="116">
        <f>IF(ISNUMBER(Tabela2[[#This Row],[CT-e/NFS]])=TRUE,(IF(B5154&gt;30000,4,IF(B5154&lt;1000,"ND",0))),"-")</f>
        <v>4</v>
      </c>
      <c r="B5154" s="116">
        <v>49425</v>
      </c>
      <c r="C5154" s="117">
        <v>45576</v>
      </c>
      <c r="D5154" s="116">
        <v>454.19</v>
      </c>
      <c r="E5154" s="117">
        <v>45580</v>
      </c>
      <c r="F5154" s="116">
        <f>COUNTIFS($A$3:A13404,A5154,$B$3:B13404,B5154)</f>
        <v>1</v>
      </c>
      <c r="G5154" s="116"/>
    </row>
    <row r="5155" spans="1:7" x14ac:dyDescent="0.2">
      <c r="A5155" s="116">
        <f>IF(ISNUMBER(Tabela2[[#This Row],[CT-e/NFS]])=TRUE,(IF(B5155&gt;30000,4,IF(B5155&lt;1000,"ND",0))),"-")</f>
        <v>4</v>
      </c>
      <c r="B5155" s="116">
        <v>49447</v>
      </c>
      <c r="C5155" s="117">
        <v>45576</v>
      </c>
      <c r="D5155" s="116">
        <v>219.83</v>
      </c>
      <c r="E5155" s="117">
        <v>45580</v>
      </c>
      <c r="F5155" s="116">
        <f>COUNTIFS($A$3:A13405,A5155,$B$3:B13405,B5155)</f>
        <v>1</v>
      </c>
      <c r="G5155" s="116"/>
    </row>
    <row r="5156" spans="1:7" x14ac:dyDescent="0.2">
      <c r="A5156" s="116">
        <f>IF(ISNUMBER(Tabela2[[#This Row],[CT-e/NFS]])=TRUE,(IF(B5156&gt;30000,4,IF(B5156&lt;1000,"ND",0))),"-")</f>
        <v>4</v>
      </c>
      <c r="B5156" s="116">
        <v>49446</v>
      </c>
      <c r="C5156" s="117">
        <v>45576</v>
      </c>
      <c r="D5156" s="116">
        <v>272.39</v>
      </c>
      <c r="E5156" s="117">
        <v>45580</v>
      </c>
      <c r="F5156" s="116">
        <f>COUNTIFS($A$3:A13406,A5156,$B$3:B13406,B5156)</f>
        <v>1</v>
      </c>
      <c r="G5156" s="116"/>
    </row>
    <row r="5157" spans="1:7" x14ac:dyDescent="0.2">
      <c r="A5157" s="116">
        <f>IF(ISNUMBER(Tabela2[[#This Row],[CT-e/NFS]])=TRUE,(IF(B5157&gt;30000,4,IF(B5157&lt;1000,"ND",0))),"-")</f>
        <v>4</v>
      </c>
      <c r="B5157" s="116">
        <v>49439</v>
      </c>
      <c r="C5157" s="117">
        <v>45576</v>
      </c>
      <c r="D5157" s="116">
        <v>122.92</v>
      </c>
      <c r="E5157" s="117">
        <v>45580</v>
      </c>
      <c r="F5157" s="116">
        <f>COUNTIFS($A$3:A13407,A5157,$B$3:B13407,B5157)</f>
        <v>1</v>
      </c>
      <c r="G5157" s="116"/>
    </row>
    <row r="5158" spans="1:7" x14ac:dyDescent="0.2">
      <c r="A5158" s="116">
        <f>IF(ISNUMBER(Tabela2[[#This Row],[CT-e/NFS]])=TRUE,(IF(B5158&gt;30000,4,IF(B5158&lt;1000,"ND",0))),"-")</f>
        <v>4</v>
      </c>
      <c r="B5158" s="116">
        <v>49438</v>
      </c>
      <c r="C5158" s="117">
        <v>45576</v>
      </c>
      <c r="D5158" s="116">
        <v>126.65</v>
      </c>
      <c r="E5158" s="117">
        <v>45580</v>
      </c>
      <c r="F5158" s="116">
        <f>COUNTIFS($A$3:A13408,A5158,$B$3:B13408,B5158)</f>
        <v>1</v>
      </c>
      <c r="G5158" s="116"/>
    </row>
    <row r="5159" spans="1:7" x14ac:dyDescent="0.2">
      <c r="A5159" s="116">
        <f>IF(ISNUMBER(Tabela2[[#This Row],[CT-e/NFS]])=TRUE,(IF(B5159&gt;30000,4,IF(B5159&lt;1000,"ND",0))),"-")</f>
        <v>4</v>
      </c>
      <c r="B5159" s="116">
        <v>49440</v>
      </c>
      <c r="C5159" s="117">
        <v>45576</v>
      </c>
      <c r="D5159" s="116">
        <v>454.19</v>
      </c>
      <c r="E5159" s="117">
        <v>45580</v>
      </c>
      <c r="F5159" s="116">
        <f>COUNTIFS($A$3:A13409,A5159,$B$3:B13409,B5159)</f>
        <v>1</v>
      </c>
      <c r="G5159" s="116"/>
    </row>
    <row r="5160" spans="1:7" x14ac:dyDescent="0.2">
      <c r="A5160" s="116">
        <f>IF(ISNUMBER(Tabela2[[#This Row],[CT-e/NFS]])=TRUE,(IF(B5160&gt;30000,4,IF(B5160&lt;1000,"ND",0))),"-")</f>
        <v>4</v>
      </c>
      <c r="B5160" s="116">
        <v>49435</v>
      </c>
      <c r="C5160" s="117">
        <v>45576</v>
      </c>
      <c r="D5160" s="116">
        <v>186.3</v>
      </c>
      <c r="E5160" s="117">
        <v>45580</v>
      </c>
      <c r="F5160" s="116">
        <f>COUNTIFS($A$3:A13410,A5160,$B$3:B13410,B5160)</f>
        <v>1</v>
      </c>
      <c r="G5160" s="116"/>
    </row>
    <row r="5161" spans="1:7" x14ac:dyDescent="0.2">
      <c r="A5161" s="116">
        <f>IF(ISNUMBER(Tabela2[[#This Row],[CT-e/NFS]])=TRUE,(IF(B5161&gt;30000,4,IF(B5161&lt;1000,"ND",0))),"-")</f>
        <v>4</v>
      </c>
      <c r="B5161" s="116">
        <v>49442</v>
      </c>
      <c r="C5161" s="117">
        <v>45576</v>
      </c>
      <c r="D5161" s="116">
        <v>124.03</v>
      </c>
      <c r="E5161" s="117">
        <v>45580</v>
      </c>
      <c r="F5161" s="116">
        <f>COUNTIFS($A$3:A13411,A5161,$B$3:B13411,B5161)</f>
        <v>1</v>
      </c>
      <c r="G5161" s="116"/>
    </row>
    <row r="5162" spans="1:7" x14ac:dyDescent="0.2">
      <c r="A5162" s="116">
        <f>IF(ISNUMBER(Tabela2[[#This Row],[CT-e/NFS]])=TRUE,(IF(B5162&gt;30000,4,IF(B5162&lt;1000,"ND",0))),"-")</f>
        <v>4</v>
      </c>
      <c r="B5162" s="116">
        <v>49441</v>
      </c>
      <c r="C5162" s="117">
        <v>45576</v>
      </c>
      <c r="D5162" s="116">
        <v>125.25</v>
      </c>
      <c r="E5162" s="117">
        <v>45580</v>
      </c>
      <c r="F5162" s="116">
        <f>COUNTIFS($A$3:A13412,A5162,$B$3:B13412,B5162)</f>
        <v>1</v>
      </c>
      <c r="G5162" s="116"/>
    </row>
    <row r="5163" spans="1:7" x14ac:dyDescent="0.2">
      <c r="A5163" s="116">
        <f>IF(ISNUMBER(Tabela2[[#This Row],[CT-e/NFS]])=TRUE,(IF(B5163&gt;30000,4,IF(B5163&lt;1000,"ND",0))),"-")</f>
        <v>4</v>
      </c>
      <c r="B5163" s="116">
        <v>49449</v>
      </c>
      <c r="C5163" s="117">
        <v>45576</v>
      </c>
      <c r="D5163" s="116">
        <v>125.42</v>
      </c>
      <c r="E5163" s="117">
        <v>45580</v>
      </c>
      <c r="F5163" s="116">
        <f>COUNTIFS($A$3:A13413,A5163,$B$3:B13413,B5163)</f>
        <v>1</v>
      </c>
      <c r="G5163" s="116"/>
    </row>
    <row r="5164" spans="1:7" x14ac:dyDescent="0.2">
      <c r="A5164" s="116">
        <f>IF(ISNUMBER(Tabela2[[#This Row],[CT-e/NFS]])=TRUE,(IF(B5164&gt;30000,4,IF(B5164&lt;1000,"ND",0))),"-")</f>
        <v>4</v>
      </c>
      <c r="B5164" s="116">
        <v>49436</v>
      </c>
      <c r="C5164" s="117">
        <v>45576</v>
      </c>
      <c r="D5164" s="116">
        <v>238.85</v>
      </c>
      <c r="E5164" s="117">
        <v>45580</v>
      </c>
      <c r="F5164" s="116">
        <f>COUNTIFS($A$3:A13414,A5164,$B$3:B13414,B5164)</f>
        <v>1</v>
      </c>
      <c r="G5164" s="116"/>
    </row>
    <row r="5165" spans="1:7" x14ac:dyDescent="0.2">
      <c r="A5165" s="116">
        <f>IF(ISNUMBER(Tabela2[[#This Row],[CT-e/NFS]])=TRUE,(IF(B5165&gt;30000,4,IF(B5165&lt;1000,"ND",0))),"-")</f>
        <v>4</v>
      </c>
      <c r="B5165" s="116">
        <v>49437</v>
      </c>
      <c r="C5165" s="117">
        <v>45576</v>
      </c>
      <c r="D5165" s="116">
        <v>124.34</v>
      </c>
      <c r="E5165" s="117">
        <v>45580</v>
      </c>
      <c r="F5165" s="116">
        <f>COUNTIFS($A$3:A13415,A5165,$B$3:B13415,B5165)</f>
        <v>1</v>
      </c>
      <c r="G5165" s="116"/>
    </row>
    <row r="5166" spans="1:7" x14ac:dyDescent="0.2">
      <c r="A5166" s="116">
        <f>IF(ISNUMBER(Tabela2[[#This Row],[CT-e/NFS]])=TRUE,(IF(B5166&gt;30000,4,IF(B5166&lt;1000,"ND",0))),"-")</f>
        <v>4</v>
      </c>
      <c r="B5166" s="116">
        <v>49443</v>
      </c>
      <c r="C5166" s="117">
        <v>45576</v>
      </c>
      <c r="D5166" s="116">
        <v>565.23</v>
      </c>
      <c r="E5166" s="117">
        <v>45580</v>
      </c>
      <c r="F5166" s="116">
        <f>COUNTIFS($A$3:A13416,A5166,$B$3:B13416,B5166)</f>
        <v>1</v>
      </c>
      <c r="G5166" s="116"/>
    </row>
    <row r="5167" spans="1:7" x14ac:dyDescent="0.2">
      <c r="A5167" s="116">
        <f>IF(ISNUMBER(Tabela2[[#This Row],[CT-e/NFS]])=TRUE,(IF(B5167&gt;30000,4,IF(B5167&lt;1000,"ND",0))),"-")</f>
        <v>4</v>
      </c>
      <c r="B5167" s="116">
        <v>49448</v>
      </c>
      <c r="C5167" s="117">
        <v>45576</v>
      </c>
      <c r="D5167" s="116">
        <v>239.3</v>
      </c>
      <c r="E5167" s="117">
        <v>45580</v>
      </c>
      <c r="F5167" s="116">
        <f>COUNTIFS($A$3:A13417,A5167,$B$3:B13417,B5167)</f>
        <v>1</v>
      </c>
      <c r="G5167" s="116"/>
    </row>
    <row r="5168" spans="1:7" x14ac:dyDescent="0.2">
      <c r="A5168" s="116">
        <f>IF(ISNUMBER(Tabela2[[#This Row],[CT-e/NFS]])=TRUE,(IF(B5168&gt;30000,4,IF(B5168&lt;1000,"ND",0))),"-")</f>
        <v>4</v>
      </c>
      <c r="B5168" s="116">
        <v>49445</v>
      </c>
      <c r="C5168" s="117">
        <v>45576</v>
      </c>
      <c r="D5168" s="116">
        <v>250.34</v>
      </c>
      <c r="E5168" s="117">
        <v>45580</v>
      </c>
      <c r="F5168" s="116">
        <f>COUNTIFS($A$3:A13418,A5168,$B$3:B13418,B5168)</f>
        <v>1</v>
      </c>
      <c r="G5168" s="116"/>
    </row>
    <row r="5169" spans="1:7" x14ac:dyDescent="0.2">
      <c r="A5169" s="116">
        <f>IF(ISNUMBER(Tabela2[[#This Row],[CT-e/NFS]])=TRUE,(IF(B5169&gt;30000,4,IF(B5169&lt;1000,"ND",0))),"-")</f>
        <v>0</v>
      </c>
      <c r="B5169" s="116">
        <v>22154</v>
      </c>
      <c r="C5169" s="117">
        <v>45576</v>
      </c>
      <c r="D5169" s="116">
        <v>76.989999999999995</v>
      </c>
      <c r="E5169" s="117">
        <v>45580</v>
      </c>
      <c r="F5169" s="116">
        <f>COUNTIFS($A$3:A13419,A5169,$B$3:B13419,B5169)</f>
        <v>1</v>
      </c>
      <c r="G5169" s="116"/>
    </row>
    <row r="5170" spans="1:7" x14ac:dyDescent="0.2">
      <c r="A5170" s="116">
        <f>IF(ISNUMBER(Tabela2[[#This Row],[CT-e/NFS]])=TRUE,(IF(B5170&gt;30000,4,IF(B5170&lt;1000,"ND",0))),"-")</f>
        <v>0</v>
      </c>
      <c r="B5170" s="116">
        <v>22155</v>
      </c>
      <c r="C5170" s="117">
        <v>45576</v>
      </c>
      <c r="D5170" s="116">
        <v>75.760000000000005</v>
      </c>
      <c r="E5170" s="117">
        <v>45580</v>
      </c>
      <c r="F5170" s="116">
        <f>COUNTIFS($A$3:A13420,A5170,$B$3:B13420,B5170)</f>
        <v>1</v>
      </c>
      <c r="G5170" s="116"/>
    </row>
    <row r="5171" spans="1:7" x14ac:dyDescent="0.2">
      <c r="A5171" s="116">
        <f>IF(ISNUMBER(Tabela2[[#This Row],[CT-e/NFS]])=TRUE,(IF(B5171&gt;30000,4,IF(B5171&lt;1000,"ND",0))),"-")</f>
        <v>0</v>
      </c>
      <c r="B5171" s="116">
        <v>22156</v>
      </c>
      <c r="C5171" s="117">
        <v>45576</v>
      </c>
      <c r="D5171" s="116">
        <v>76.34</v>
      </c>
      <c r="E5171" s="117">
        <v>45580</v>
      </c>
      <c r="F5171" s="116">
        <f>COUNTIFS($A$3:A13421,A5171,$B$3:B13421,B5171)</f>
        <v>1</v>
      </c>
      <c r="G5171" s="116"/>
    </row>
    <row r="5172" spans="1:7" x14ac:dyDescent="0.2">
      <c r="A5172" s="116">
        <f>IF(ISNUMBER(Tabela2[[#This Row],[CT-e/NFS]])=TRUE,(IF(B5172&gt;30000,4,IF(B5172&lt;1000,"ND",0))),"-")</f>
        <v>0</v>
      </c>
      <c r="B5172" s="116">
        <v>22160</v>
      </c>
      <c r="C5172" s="117">
        <v>45576</v>
      </c>
      <c r="D5172" s="116">
        <v>76.34</v>
      </c>
      <c r="E5172" s="117">
        <v>45580</v>
      </c>
      <c r="F5172" s="116">
        <f>COUNTIFS($A$3:A13422,A5172,$B$3:B13422,B5172)</f>
        <v>1</v>
      </c>
      <c r="G5172" s="116"/>
    </row>
    <row r="5173" spans="1:7" x14ac:dyDescent="0.2">
      <c r="A5173" s="116">
        <f>IF(ISNUMBER(Tabela2[[#This Row],[CT-e/NFS]])=TRUE,(IF(B5173&gt;30000,4,IF(B5173&lt;1000,"ND",0))),"-")</f>
        <v>0</v>
      </c>
      <c r="B5173" s="116">
        <v>22168</v>
      </c>
      <c r="C5173" s="117">
        <v>45576</v>
      </c>
      <c r="D5173" s="116">
        <v>76.87</v>
      </c>
      <c r="E5173" s="117">
        <v>45580</v>
      </c>
      <c r="F5173" s="116">
        <f>COUNTIFS($A$3:A13423,A5173,$B$3:B13423,B5173)</f>
        <v>1</v>
      </c>
      <c r="G5173" s="116"/>
    </row>
    <row r="5174" spans="1:7" x14ac:dyDescent="0.2">
      <c r="A5174" s="116">
        <f>IF(ISNUMBER(Tabela2[[#This Row],[CT-e/NFS]])=TRUE,(IF(B5174&gt;30000,4,IF(B5174&lt;1000,"ND",0))),"-")</f>
        <v>0</v>
      </c>
      <c r="B5174" s="116">
        <v>22177</v>
      </c>
      <c r="C5174" s="117">
        <v>45576</v>
      </c>
      <c r="D5174" s="116">
        <v>76.349999999999994</v>
      </c>
      <c r="E5174" s="117">
        <v>45580</v>
      </c>
      <c r="F5174" s="116">
        <f>COUNTIFS($A$3:A13424,A5174,$B$3:B13424,B5174)</f>
        <v>1</v>
      </c>
      <c r="G5174" s="116"/>
    </row>
    <row r="5175" spans="1:7" x14ac:dyDescent="0.2">
      <c r="A5175" s="116">
        <f>IF(ISNUMBER(Tabela2[[#This Row],[CT-e/NFS]])=TRUE,(IF(B5175&gt;30000,4,IF(B5175&lt;1000,"ND",0))),"-")</f>
        <v>0</v>
      </c>
      <c r="B5175" s="116">
        <v>22187</v>
      </c>
      <c r="C5175" s="117">
        <v>45576</v>
      </c>
      <c r="D5175" s="116">
        <v>75.849999999999994</v>
      </c>
      <c r="E5175" s="117">
        <v>45580</v>
      </c>
      <c r="F5175" s="116">
        <f>COUNTIFS($A$3:A13425,A5175,$B$3:B13425,B5175)</f>
        <v>1</v>
      </c>
      <c r="G5175" s="116"/>
    </row>
    <row r="5176" spans="1:7" x14ac:dyDescent="0.2">
      <c r="A5176" s="116">
        <f>IF(ISNUMBER(Tabela2[[#This Row],[CT-e/NFS]])=TRUE,(IF(B5176&gt;30000,4,IF(B5176&lt;1000,"ND",0))),"-")</f>
        <v>0</v>
      </c>
      <c r="B5176" s="116">
        <v>22186</v>
      </c>
      <c r="C5176" s="117">
        <v>45576</v>
      </c>
      <c r="D5176" s="116">
        <v>1135.8</v>
      </c>
      <c r="E5176" s="117">
        <v>45580</v>
      </c>
      <c r="F5176" s="116">
        <f>COUNTIFS($A$3:A13426,A5176,$B$3:B13426,B5176)</f>
        <v>1</v>
      </c>
      <c r="G5176" s="116"/>
    </row>
    <row r="5177" spans="1:7" x14ac:dyDescent="0.2">
      <c r="A5177" s="116">
        <f>IF(ISNUMBER(Tabela2[[#This Row],[CT-e/NFS]])=TRUE,(IF(B5177&gt;30000,4,IF(B5177&lt;1000,"ND",0))),"-")</f>
        <v>0</v>
      </c>
      <c r="B5177" s="116">
        <v>22185</v>
      </c>
      <c r="C5177" s="117">
        <v>45576</v>
      </c>
      <c r="D5177" s="116">
        <v>76.180000000000007</v>
      </c>
      <c r="E5177" s="117">
        <v>45580</v>
      </c>
      <c r="F5177" s="116">
        <f>COUNTIFS($A$3:A13427,A5177,$B$3:B13427,B5177)</f>
        <v>1</v>
      </c>
      <c r="G5177" s="116"/>
    </row>
    <row r="5178" spans="1:7" x14ac:dyDescent="0.2">
      <c r="A5178" s="116">
        <f>IF(ISNUMBER(Tabela2[[#This Row],[CT-e/NFS]])=TRUE,(IF(B5178&gt;30000,4,IF(B5178&lt;1000,"ND",0))),"-")</f>
        <v>0</v>
      </c>
      <c r="B5178" s="116">
        <v>22184</v>
      </c>
      <c r="C5178" s="117">
        <v>45576</v>
      </c>
      <c r="D5178" s="116">
        <v>76.95</v>
      </c>
      <c r="E5178" s="117">
        <v>45580</v>
      </c>
      <c r="F5178" s="116">
        <f>COUNTIFS($A$3:A13428,A5178,$B$3:B13428,B5178)</f>
        <v>1</v>
      </c>
      <c r="G5178" s="116"/>
    </row>
    <row r="5179" spans="1:7" x14ac:dyDescent="0.2">
      <c r="A5179" s="116">
        <f>IF(ISNUMBER(Tabela2[[#This Row],[CT-e/NFS]])=TRUE,(IF(B5179&gt;30000,4,IF(B5179&lt;1000,"ND",0))),"-")</f>
        <v>0</v>
      </c>
      <c r="B5179" s="116">
        <v>22181</v>
      </c>
      <c r="C5179" s="117">
        <v>45576</v>
      </c>
      <c r="D5179" s="116">
        <v>76.52</v>
      </c>
      <c r="E5179" s="117">
        <v>45580</v>
      </c>
      <c r="F5179" s="116">
        <f>COUNTIFS($A$3:A13429,A5179,$B$3:B13429,B5179)</f>
        <v>1</v>
      </c>
      <c r="G5179" s="116"/>
    </row>
    <row r="5180" spans="1:7" x14ac:dyDescent="0.2">
      <c r="A5180" s="116">
        <f>IF(ISNUMBER(Tabela2[[#This Row],[CT-e/NFS]])=TRUE,(IF(B5180&gt;30000,4,IF(B5180&lt;1000,"ND",0))),"-")</f>
        <v>0</v>
      </c>
      <c r="B5180" s="116">
        <v>22180</v>
      </c>
      <c r="C5180" s="117">
        <v>45576</v>
      </c>
      <c r="D5180" s="116">
        <v>76.66</v>
      </c>
      <c r="E5180" s="117">
        <v>45580</v>
      </c>
      <c r="F5180" s="116">
        <f>COUNTIFS($A$3:A13430,A5180,$B$3:B13430,B5180)</f>
        <v>1</v>
      </c>
      <c r="G5180" s="116"/>
    </row>
    <row r="5181" spans="1:7" x14ac:dyDescent="0.2">
      <c r="A5181" s="116">
        <f>IF(ISNUMBER(Tabela2[[#This Row],[CT-e/NFS]])=TRUE,(IF(B5181&gt;30000,4,IF(B5181&lt;1000,"ND",0))),"-")</f>
        <v>0</v>
      </c>
      <c r="B5181" s="116">
        <v>22183</v>
      </c>
      <c r="C5181" s="117">
        <v>45576</v>
      </c>
      <c r="D5181" s="116">
        <v>163.51</v>
      </c>
      <c r="E5181" s="117">
        <v>45580</v>
      </c>
      <c r="F5181" s="116">
        <f>COUNTIFS($A$3:A13431,A5181,$B$3:B13431,B5181)</f>
        <v>1</v>
      </c>
      <c r="G5181" s="116"/>
    </row>
    <row r="5182" spans="1:7" x14ac:dyDescent="0.2">
      <c r="A5182" s="116">
        <f>IF(ISNUMBER(Tabela2[[#This Row],[CT-e/NFS]])=TRUE,(IF(B5182&gt;30000,4,IF(B5182&lt;1000,"ND",0))),"-")</f>
        <v>0</v>
      </c>
      <c r="B5182" s="116">
        <v>22182</v>
      </c>
      <c r="C5182" s="117">
        <v>45576</v>
      </c>
      <c r="D5182" s="116">
        <v>76.59</v>
      </c>
      <c r="E5182" s="117">
        <v>45580</v>
      </c>
      <c r="F5182" s="116">
        <f>COUNTIFS($A$3:A13432,A5182,$B$3:B13432,B5182)</f>
        <v>1</v>
      </c>
      <c r="G5182" s="116"/>
    </row>
    <row r="5183" spans="1:7" x14ac:dyDescent="0.2">
      <c r="A5183" s="116">
        <f>IF(ISNUMBER(Tabela2[[#This Row],[CT-e/NFS]])=TRUE,(IF(B5183&gt;30000,4,IF(B5183&lt;1000,"ND",0))),"-")</f>
        <v>0</v>
      </c>
      <c r="B5183" s="116">
        <v>22179</v>
      </c>
      <c r="C5183" s="117">
        <v>45576</v>
      </c>
      <c r="D5183" s="116">
        <v>76.349999999999994</v>
      </c>
      <c r="E5183" s="117">
        <v>45580</v>
      </c>
      <c r="F5183" s="116">
        <f>COUNTIFS($A$3:A13433,A5183,$B$3:B13433,B5183)</f>
        <v>1</v>
      </c>
      <c r="G5183" s="116"/>
    </row>
    <row r="5184" spans="1:7" x14ac:dyDescent="0.2">
      <c r="A5184" s="116">
        <f>IF(ISNUMBER(Tabela2[[#This Row],[CT-e/NFS]])=TRUE,(IF(B5184&gt;30000,4,IF(B5184&lt;1000,"ND",0))),"-")</f>
        <v>0</v>
      </c>
      <c r="B5184" s="116">
        <v>22178</v>
      </c>
      <c r="C5184" s="117">
        <v>45576</v>
      </c>
      <c r="D5184" s="116">
        <v>84.96</v>
      </c>
      <c r="E5184" s="117">
        <v>45580</v>
      </c>
      <c r="F5184" s="116">
        <f>COUNTIFS($A$3:A13434,A5184,$B$3:B13434,B5184)</f>
        <v>1</v>
      </c>
      <c r="G5184" s="116"/>
    </row>
    <row r="5185" spans="1:7" x14ac:dyDescent="0.2">
      <c r="A5185" s="116">
        <f>IF(ISNUMBER(Tabela2[[#This Row],[CT-e/NFS]])=TRUE,(IF(B5185&gt;30000,4,IF(B5185&lt;1000,"ND",0))),"-")</f>
        <v>0</v>
      </c>
      <c r="B5185" s="116">
        <v>22176</v>
      </c>
      <c r="C5185" s="117">
        <v>45576</v>
      </c>
      <c r="D5185" s="116">
        <v>76.19</v>
      </c>
      <c r="E5185" s="117">
        <v>45580</v>
      </c>
      <c r="F5185" s="116">
        <f>COUNTIFS($A$3:A13435,A5185,$B$3:B13435,B5185)</f>
        <v>1</v>
      </c>
      <c r="G5185" s="116"/>
    </row>
    <row r="5186" spans="1:7" x14ac:dyDescent="0.2">
      <c r="A5186" s="116">
        <f>IF(ISNUMBER(Tabela2[[#This Row],[CT-e/NFS]])=TRUE,(IF(B5186&gt;30000,4,IF(B5186&lt;1000,"ND",0))),"-")</f>
        <v>0</v>
      </c>
      <c r="B5186" s="116">
        <v>22175</v>
      </c>
      <c r="C5186" s="117">
        <v>45576</v>
      </c>
      <c r="D5186" s="116">
        <v>76.36</v>
      </c>
      <c r="E5186" s="117">
        <v>45580</v>
      </c>
      <c r="F5186" s="116">
        <f>COUNTIFS($A$3:A13436,A5186,$B$3:B13436,B5186)</f>
        <v>1</v>
      </c>
      <c r="G5186" s="116"/>
    </row>
    <row r="5187" spans="1:7" x14ac:dyDescent="0.2">
      <c r="A5187" s="116">
        <f>IF(ISNUMBER(Tabela2[[#This Row],[CT-e/NFS]])=TRUE,(IF(B5187&gt;30000,4,IF(B5187&lt;1000,"ND",0))),"-")</f>
        <v>0</v>
      </c>
      <c r="B5187" s="116">
        <v>22172</v>
      </c>
      <c r="C5187" s="117">
        <v>45576</v>
      </c>
      <c r="D5187" s="116">
        <v>76.27</v>
      </c>
      <c r="E5187" s="117">
        <v>45580</v>
      </c>
      <c r="F5187" s="116">
        <f>COUNTIFS($A$3:A13437,A5187,$B$3:B13437,B5187)</f>
        <v>1</v>
      </c>
      <c r="G5187" s="116"/>
    </row>
    <row r="5188" spans="1:7" x14ac:dyDescent="0.2">
      <c r="A5188" s="116">
        <f>IF(ISNUMBER(Tabela2[[#This Row],[CT-e/NFS]])=TRUE,(IF(B5188&gt;30000,4,IF(B5188&lt;1000,"ND",0))),"-")</f>
        <v>0</v>
      </c>
      <c r="B5188" s="116">
        <v>22171</v>
      </c>
      <c r="C5188" s="117">
        <v>45576</v>
      </c>
      <c r="D5188" s="116">
        <v>77.349999999999994</v>
      </c>
      <c r="E5188" s="117">
        <v>45580</v>
      </c>
      <c r="F5188" s="116">
        <f>COUNTIFS($A$3:A13438,A5188,$B$3:B13438,B5188)</f>
        <v>1</v>
      </c>
      <c r="G5188" s="116"/>
    </row>
    <row r="5189" spans="1:7" x14ac:dyDescent="0.2">
      <c r="A5189" s="116">
        <f>IF(ISNUMBER(Tabela2[[#This Row],[CT-e/NFS]])=TRUE,(IF(B5189&gt;30000,4,IF(B5189&lt;1000,"ND",0))),"-")</f>
        <v>0</v>
      </c>
      <c r="B5189" s="116">
        <v>22170</v>
      </c>
      <c r="C5189" s="117">
        <v>45576</v>
      </c>
      <c r="D5189" s="116">
        <v>77.459999999999994</v>
      </c>
      <c r="E5189" s="117">
        <v>45580</v>
      </c>
      <c r="F5189" s="116">
        <f>COUNTIFS($A$3:A13439,A5189,$B$3:B13439,B5189)</f>
        <v>1</v>
      </c>
      <c r="G5189" s="116"/>
    </row>
    <row r="5190" spans="1:7" x14ac:dyDescent="0.2">
      <c r="A5190" s="116">
        <f>IF(ISNUMBER(Tabela2[[#This Row],[CT-e/NFS]])=TRUE,(IF(B5190&gt;30000,4,IF(B5190&lt;1000,"ND",0))),"-")</f>
        <v>0</v>
      </c>
      <c r="B5190" s="116">
        <v>22174</v>
      </c>
      <c r="C5190" s="117">
        <v>45576</v>
      </c>
      <c r="D5190" s="116">
        <v>77.099999999999994</v>
      </c>
      <c r="E5190" s="117">
        <v>45580</v>
      </c>
      <c r="F5190" s="116">
        <f>COUNTIFS($A$3:A13440,A5190,$B$3:B13440,B5190)</f>
        <v>1</v>
      </c>
      <c r="G5190" s="116"/>
    </row>
    <row r="5191" spans="1:7" x14ac:dyDescent="0.2">
      <c r="A5191" s="116">
        <f>IF(ISNUMBER(Tabela2[[#This Row],[CT-e/NFS]])=TRUE,(IF(B5191&gt;30000,4,IF(B5191&lt;1000,"ND",0))),"-")</f>
        <v>0</v>
      </c>
      <c r="B5191" s="116">
        <v>22173</v>
      </c>
      <c r="C5191" s="117">
        <v>45576</v>
      </c>
      <c r="D5191" s="116">
        <v>80.400000000000006</v>
      </c>
      <c r="E5191" s="117">
        <v>45580</v>
      </c>
      <c r="F5191" s="116">
        <f>COUNTIFS($A$3:A13441,A5191,$B$3:B13441,B5191)</f>
        <v>1</v>
      </c>
      <c r="G5191" s="116"/>
    </row>
    <row r="5192" spans="1:7" x14ac:dyDescent="0.2">
      <c r="A5192" s="116">
        <f>IF(ISNUMBER(Tabela2[[#This Row],[CT-e/NFS]])=TRUE,(IF(B5192&gt;30000,4,IF(B5192&lt;1000,"ND",0))),"-")</f>
        <v>0</v>
      </c>
      <c r="B5192" s="116">
        <v>22169</v>
      </c>
      <c r="C5192" s="117">
        <v>45576</v>
      </c>
      <c r="D5192" s="116">
        <v>76.16</v>
      </c>
      <c r="E5192" s="117">
        <v>45580</v>
      </c>
      <c r="F5192" s="116">
        <f>COUNTIFS($A$3:A13442,A5192,$B$3:B13442,B5192)</f>
        <v>1</v>
      </c>
      <c r="G5192" s="116"/>
    </row>
    <row r="5193" spans="1:7" x14ac:dyDescent="0.2">
      <c r="A5193" s="116">
        <f>IF(ISNUMBER(Tabela2[[#This Row],[CT-e/NFS]])=TRUE,(IF(B5193&gt;30000,4,IF(B5193&lt;1000,"ND",0))),"-")</f>
        <v>0</v>
      </c>
      <c r="B5193" s="116">
        <v>22165</v>
      </c>
      <c r="C5193" s="117">
        <v>45576</v>
      </c>
      <c r="D5193" s="116">
        <v>77</v>
      </c>
      <c r="E5193" s="117">
        <v>45580</v>
      </c>
      <c r="F5193" s="116">
        <f>COUNTIFS($A$3:A13443,A5193,$B$3:B13443,B5193)</f>
        <v>1</v>
      </c>
      <c r="G5193" s="116"/>
    </row>
    <row r="5194" spans="1:7" x14ac:dyDescent="0.2">
      <c r="A5194" s="116">
        <f>IF(ISNUMBER(Tabela2[[#This Row],[CT-e/NFS]])=TRUE,(IF(B5194&gt;30000,4,IF(B5194&lt;1000,"ND",0))),"-")</f>
        <v>0</v>
      </c>
      <c r="B5194" s="116">
        <v>22164</v>
      </c>
      <c r="C5194" s="117">
        <v>45576</v>
      </c>
      <c r="D5194" s="116">
        <v>76.39</v>
      </c>
      <c r="E5194" s="117">
        <v>45580</v>
      </c>
      <c r="F5194" s="116">
        <f>COUNTIFS($A$3:A13444,A5194,$B$3:B13444,B5194)</f>
        <v>1</v>
      </c>
      <c r="G5194" s="116"/>
    </row>
    <row r="5195" spans="1:7" x14ac:dyDescent="0.2">
      <c r="A5195" s="116">
        <f>IF(ISNUMBER(Tabela2[[#This Row],[CT-e/NFS]])=TRUE,(IF(B5195&gt;30000,4,IF(B5195&lt;1000,"ND",0))),"-")</f>
        <v>0</v>
      </c>
      <c r="B5195" s="116">
        <v>22162</v>
      </c>
      <c r="C5195" s="117">
        <v>45576</v>
      </c>
      <c r="D5195" s="116">
        <v>149.30000000000001</v>
      </c>
      <c r="E5195" s="117">
        <v>45580</v>
      </c>
      <c r="F5195" s="116">
        <f>COUNTIFS($A$3:A13445,A5195,$B$3:B13445,B5195)</f>
        <v>1</v>
      </c>
      <c r="G5195" s="116"/>
    </row>
    <row r="5196" spans="1:7" x14ac:dyDescent="0.2">
      <c r="A5196" s="116">
        <f>IF(ISNUMBER(Tabela2[[#This Row],[CT-e/NFS]])=TRUE,(IF(B5196&gt;30000,4,IF(B5196&lt;1000,"ND",0))),"-")</f>
        <v>0</v>
      </c>
      <c r="B5196" s="116">
        <v>22161</v>
      </c>
      <c r="C5196" s="117">
        <v>45576</v>
      </c>
      <c r="D5196" s="116">
        <v>76.19</v>
      </c>
      <c r="E5196" s="117">
        <v>45580</v>
      </c>
      <c r="F5196" s="116">
        <f>COUNTIFS($A$3:A13446,A5196,$B$3:B13446,B5196)</f>
        <v>1</v>
      </c>
      <c r="G5196" s="116"/>
    </row>
    <row r="5197" spans="1:7" x14ac:dyDescent="0.2">
      <c r="A5197" s="116">
        <f>IF(ISNUMBER(Tabela2[[#This Row],[CT-e/NFS]])=TRUE,(IF(B5197&gt;30000,4,IF(B5197&lt;1000,"ND",0))),"-")</f>
        <v>0</v>
      </c>
      <c r="B5197" s="116">
        <v>22159</v>
      </c>
      <c r="C5197" s="117">
        <v>45576</v>
      </c>
      <c r="D5197" s="116">
        <v>76.38</v>
      </c>
      <c r="E5197" s="117">
        <v>45580</v>
      </c>
      <c r="F5197" s="116">
        <f>COUNTIFS($A$3:A13447,A5197,$B$3:B13447,B5197)</f>
        <v>1</v>
      </c>
      <c r="G5197" s="116"/>
    </row>
    <row r="5198" spans="1:7" x14ac:dyDescent="0.2">
      <c r="A5198" s="116">
        <f>IF(ISNUMBER(Tabela2[[#This Row],[CT-e/NFS]])=TRUE,(IF(B5198&gt;30000,4,IF(B5198&lt;1000,"ND",0))),"-")</f>
        <v>0</v>
      </c>
      <c r="B5198" s="116">
        <v>22158</v>
      </c>
      <c r="C5198" s="117">
        <v>45576</v>
      </c>
      <c r="D5198" s="116">
        <v>76.34</v>
      </c>
      <c r="E5198" s="117">
        <v>45580</v>
      </c>
      <c r="F5198" s="116">
        <f>COUNTIFS($A$3:A13448,A5198,$B$3:B13448,B5198)</f>
        <v>1</v>
      </c>
      <c r="G5198" s="116"/>
    </row>
    <row r="5199" spans="1:7" x14ac:dyDescent="0.2">
      <c r="A5199" s="116">
        <f>IF(ISNUMBER(Tabela2[[#This Row],[CT-e/NFS]])=TRUE,(IF(B5199&gt;30000,4,IF(B5199&lt;1000,"ND",0))),"-")</f>
        <v>0</v>
      </c>
      <c r="B5199" s="116">
        <v>22157</v>
      </c>
      <c r="C5199" s="117">
        <v>45576</v>
      </c>
      <c r="D5199" s="116">
        <v>338.2</v>
      </c>
      <c r="E5199" s="117">
        <v>45580</v>
      </c>
      <c r="F5199" s="116">
        <f>COUNTIFS($A$3:A13449,A5199,$B$3:B13449,B5199)</f>
        <v>1</v>
      </c>
      <c r="G5199" s="116"/>
    </row>
    <row r="5200" spans="1:7" x14ac:dyDescent="0.2">
      <c r="A5200" s="116">
        <f>IF(ISNUMBER(Tabela2[[#This Row],[CT-e/NFS]])=TRUE,(IF(B5200&gt;30000,4,IF(B5200&lt;1000,"ND",0))),"-")</f>
        <v>4</v>
      </c>
      <c r="B5200" s="116">
        <v>49444</v>
      </c>
      <c r="C5200" s="117">
        <v>45576</v>
      </c>
      <c r="D5200" s="116">
        <v>125.35</v>
      </c>
      <c r="E5200" s="117">
        <v>45580</v>
      </c>
      <c r="F5200" s="116">
        <f>COUNTIFS($A$3:A13450,A5200,$B$3:B13450,B5200)</f>
        <v>1</v>
      </c>
      <c r="G5200" s="116"/>
    </row>
    <row r="5201" spans="1:7" x14ac:dyDescent="0.2">
      <c r="A5201" s="116">
        <f>IF(ISNUMBER(Tabela2[[#This Row],[CT-e/NFS]])=TRUE,(IF(B5201&gt;30000,4,IF(B5201&lt;1000,"ND",0))),"-")</f>
        <v>4</v>
      </c>
      <c r="B5201" s="116">
        <v>49451</v>
      </c>
      <c r="C5201" s="117">
        <v>45576</v>
      </c>
      <c r="D5201" s="116">
        <v>122.73</v>
      </c>
      <c r="E5201" s="117">
        <v>45580</v>
      </c>
      <c r="F5201" s="116">
        <f>COUNTIFS($A$3:A13451,A5201,$B$3:B13451,B5201)</f>
        <v>1</v>
      </c>
      <c r="G5201" s="116"/>
    </row>
    <row r="5202" spans="1:7" x14ac:dyDescent="0.2">
      <c r="A5202" s="116">
        <f>IF(ISNUMBER(Tabela2[[#This Row],[CT-e/NFS]])=TRUE,(IF(B5202&gt;30000,4,IF(B5202&lt;1000,"ND",0))),"-")</f>
        <v>4</v>
      </c>
      <c r="B5202" s="116">
        <v>49462</v>
      </c>
      <c r="C5202" s="117">
        <v>45576</v>
      </c>
      <c r="D5202" s="116">
        <v>396.45</v>
      </c>
      <c r="E5202" s="117">
        <v>45580</v>
      </c>
      <c r="F5202" s="116">
        <f>COUNTIFS($A$3:A13452,A5202,$B$3:B13452,B5202)</f>
        <v>1</v>
      </c>
      <c r="G5202" s="116"/>
    </row>
    <row r="5203" spans="1:7" x14ac:dyDescent="0.2">
      <c r="A5203" s="116">
        <f>IF(ISNUMBER(Tabela2[[#This Row],[CT-e/NFS]])=TRUE,(IF(B5203&gt;30000,4,IF(B5203&lt;1000,"ND",0))),"-")</f>
        <v>4</v>
      </c>
      <c r="B5203" s="116">
        <v>49457</v>
      </c>
      <c r="C5203" s="117">
        <v>45576</v>
      </c>
      <c r="D5203" s="116">
        <v>358.26</v>
      </c>
      <c r="E5203" s="117">
        <v>45580</v>
      </c>
      <c r="F5203" s="116">
        <f>COUNTIFS($A$3:A13453,A5203,$B$3:B13453,B5203)</f>
        <v>1</v>
      </c>
      <c r="G5203" s="116"/>
    </row>
    <row r="5204" spans="1:7" x14ac:dyDescent="0.2">
      <c r="A5204" s="116">
        <f>IF(ISNUMBER(Tabela2[[#This Row],[CT-e/NFS]])=TRUE,(IF(B5204&gt;30000,4,IF(B5204&lt;1000,"ND",0))),"-")</f>
        <v>4</v>
      </c>
      <c r="B5204" s="116">
        <v>49469</v>
      </c>
      <c r="C5204" s="117">
        <v>45576</v>
      </c>
      <c r="D5204" s="116">
        <v>119.57</v>
      </c>
      <c r="E5204" s="117">
        <v>45580</v>
      </c>
      <c r="F5204" s="116">
        <f>COUNTIFS($A$3:A13454,A5204,$B$3:B13454,B5204)</f>
        <v>1</v>
      </c>
      <c r="G5204" s="116"/>
    </row>
    <row r="5205" spans="1:7" x14ac:dyDescent="0.2">
      <c r="A5205" s="116">
        <f>IF(ISNUMBER(Tabela2[[#This Row],[CT-e/NFS]])=TRUE,(IF(B5205&gt;30000,4,IF(B5205&lt;1000,"ND",0))),"-")</f>
        <v>4</v>
      </c>
      <c r="B5205" s="116">
        <v>49461</v>
      </c>
      <c r="C5205" s="117">
        <v>45576</v>
      </c>
      <c r="D5205" s="116">
        <v>122.93</v>
      </c>
      <c r="E5205" s="117">
        <v>45580</v>
      </c>
      <c r="F5205" s="116">
        <f>COUNTIFS($A$3:A13455,A5205,$B$3:B13455,B5205)</f>
        <v>1</v>
      </c>
      <c r="G5205" s="116"/>
    </row>
    <row r="5206" spans="1:7" x14ac:dyDescent="0.2">
      <c r="A5206" s="116">
        <f>IF(ISNUMBER(Tabela2[[#This Row],[CT-e/NFS]])=TRUE,(IF(B5206&gt;30000,4,IF(B5206&lt;1000,"ND",0))),"-")</f>
        <v>4</v>
      </c>
      <c r="B5206" s="116">
        <v>49463</v>
      </c>
      <c r="C5206" s="117">
        <v>45576</v>
      </c>
      <c r="D5206" s="116">
        <v>260.13</v>
      </c>
      <c r="E5206" s="117">
        <v>45580</v>
      </c>
      <c r="F5206" s="116">
        <f>COUNTIFS($A$3:A13456,A5206,$B$3:B13456,B5206)</f>
        <v>1</v>
      </c>
      <c r="G5206" s="116"/>
    </row>
    <row r="5207" spans="1:7" x14ac:dyDescent="0.2">
      <c r="A5207" s="116">
        <f>IF(ISNUMBER(Tabela2[[#This Row],[CT-e/NFS]])=TRUE,(IF(B5207&gt;30000,4,IF(B5207&lt;1000,"ND",0))),"-")</f>
        <v>4</v>
      </c>
      <c r="B5207" s="116">
        <v>49453</v>
      </c>
      <c r="C5207" s="117">
        <v>45576</v>
      </c>
      <c r="D5207" s="116">
        <v>454.19</v>
      </c>
      <c r="E5207" s="117">
        <v>45580</v>
      </c>
      <c r="F5207" s="116">
        <f>COUNTIFS($A$3:A13457,A5207,$B$3:B13457,B5207)</f>
        <v>1</v>
      </c>
      <c r="G5207" s="116"/>
    </row>
    <row r="5208" spans="1:7" x14ac:dyDescent="0.2">
      <c r="A5208" s="116">
        <f>IF(ISNUMBER(Tabela2[[#This Row],[CT-e/NFS]])=TRUE,(IF(B5208&gt;30000,4,IF(B5208&lt;1000,"ND",0))),"-")</f>
        <v>4</v>
      </c>
      <c r="B5208" s="116">
        <v>49454</v>
      </c>
      <c r="C5208" s="117">
        <v>45576</v>
      </c>
      <c r="D5208" s="116">
        <v>124.15</v>
      </c>
      <c r="E5208" s="117">
        <v>45580</v>
      </c>
      <c r="F5208" s="116">
        <f>COUNTIFS($A$3:A13458,A5208,$B$3:B13458,B5208)</f>
        <v>1</v>
      </c>
      <c r="G5208" s="116"/>
    </row>
    <row r="5209" spans="1:7" x14ac:dyDescent="0.2">
      <c r="A5209" s="116">
        <f>IF(ISNUMBER(Tabela2[[#This Row],[CT-e/NFS]])=TRUE,(IF(B5209&gt;30000,4,IF(B5209&lt;1000,"ND",0))),"-")</f>
        <v>4</v>
      </c>
      <c r="B5209" s="116">
        <v>49452</v>
      </c>
      <c r="C5209" s="117">
        <v>45576</v>
      </c>
      <c r="D5209" s="116">
        <v>123.19</v>
      </c>
      <c r="E5209" s="117">
        <v>45580</v>
      </c>
      <c r="F5209" s="116">
        <f>COUNTIFS($A$3:A13459,A5209,$B$3:B13459,B5209)</f>
        <v>1</v>
      </c>
      <c r="G5209" s="116"/>
    </row>
    <row r="5210" spans="1:7" x14ac:dyDescent="0.2">
      <c r="A5210" s="116">
        <f>IF(ISNUMBER(Tabela2[[#This Row],[CT-e/NFS]])=TRUE,(IF(B5210&gt;30000,4,IF(B5210&lt;1000,"ND",0))),"-")</f>
        <v>4</v>
      </c>
      <c r="B5210" s="116">
        <v>49459</v>
      </c>
      <c r="C5210" s="117">
        <v>45576</v>
      </c>
      <c r="D5210" s="116">
        <v>123.52</v>
      </c>
      <c r="E5210" s="117">
        <v>45580</v>
      </c>
      <c r="F5210" s="116">
        <f>COUNTIFS($A$3:A13460,A5210,$B$3:B13460,B5210)</f>
        <v>1</v>
      </c>
      <c r="G5210" s="116"/>
    </row>
    <row r="5211" spans="1:7" x14ac:dyDescent="0.2">
      <c r="A5211" s="116">
        <f>IF(ISNUMBER(Tabela2[[#This Row],[CT-e/NFS]])=TRUE,(IF(B5211&gt;30000,4,IF(B5211&lt;1000,"ND",0))),"-")</f>
        <v>4</v>
      </c>
      <c r="B5211" s="116">
        <v>49471</v>
      </c>
      <c r="C5211" s="117">
        <v>45576</v>
      </c>
      <c r="D5211" s="116">
        <v>215.28</v>
      </c>
      <c r="E5211" s="117">
        <v>45580</v>
      </c>
      <c r="F5211" s="116">
        <f>COUNTIFS($A$3:A13461,A5211,$B$3:B13461,B5211)</f>
        <v>1</v>
      </c>
      <c r="G5211" s="116"/>
    </row>
    <row r="5212" spans="1:7" x14ac:dyDescent="0.2">
      <c r="A5212" s="116">
        <f>IF(ISNUMBER(Tabela2[[#This Row],[CT-e/NFS]])=TRUE,(IF(B5212&gt;30000,4,IF(B5212&lt;1000,"ND",0))),"-")</f>
        <v>4</v>
      </c>
      <c r="B5212" s="116">
        <v>49464</v>
      </c>
      <c r="C5212" s="117">
        <v>45576</v>
      </c>
      <c r="D5212" s="116">
        <v>272.13</v>
      </c>
      <c r="E5212" s="117">
        <v>45580</v>
      </c>
      <c r="F5212" s="116">
        <f>COUNTIFS($A$3:A13462,A5212,$B$3:B13462,B5212)</f>
        <v>1</v>
      </c>
      <c r="G5212" s="116"/>
    </row>
    <row r="5213" spans="1:7" x14ac:dyDescent="0.2">
      <c r="A5213" s="116">
        <f>IF(ISNUMBER(Tabela2[[#This Row],[CT-e/NFS]])=TRUE,(IF(B5213&gt;30000,4,IF(B5213&lt;1000,"ND",0))),"-")</f>
        <v>4</v>
      </c>
      <c r="B5213" s="116">
        <v>49460</v>
      </c>
      <c r="C5213" s="117">
        <v>45576</v>
      </c>
      <c r="D5213" s="116">
        <v>125.92</v>
      </c>
      <c r="E5213" s="117">
        <v>45580</v>
      </c>
      <c r="F5213" s="116">
        <f>COUNTIFS($A$3:A13463,A5213,$B$3:B13463,B5213)</f>
        <v>1</v>
      </c>
      <c r="G5213" s="116"/>
    </row>
    <row r="5214" spans="1:7" x14ac:dyDescent="0.2">
      <c r="A5214" s="116">
        <f>IF(ISNUMBER(Tabela2[[#This Row],[CT-e/NFS]])=TRUE,(IF(B5214&gt;30000,4,IF(B5214&lt;1000,"ND",0))),"-")</f>
        <v>4</v>
      </c>
      <c r="B5214" s="116">
        <v>49458</v>
      </c>
      <c r="C5214" s="117">
        <v>45576</v>
      </c>
      <c r="D5214" s="116">
        <v>125.01</v>
      </c>
      <c r="E5214" s="117">
        <v>45580</v>
      </c>
      <c r="F5214" s="116">
        <f>COUNTIFS($A$3:A13464,A5214,$B$3:B13464,B5214)</f>
        <v>1</v>
      </c>
      <c r="G5214" s="116"/>
    </row>
    <row r="5215" spans="1:7" x14ac:dyDescent="0.2">
      <c r="A5215" s="116">
        <f>IF(ISNUMBER(Tabela2[[#This Row],[CT-e/NFS]])=TRUE,(IF(B5215&gt;30000,4,IF(B5215&lt;1000,"ND",0))),"-")</f>
        <v>4</v>
      </c>
      <c r="B5215" s="116">
        <v>49455</v>
      </c>
      <c r="C5215" s="117">
        <v>45576</v>
      </c>
      <c r="D5215" s="116">
        <v>122.93</v>
      </c>
      <c r="E5215" s="117">
        <v>45580</v>
      </c>
      <c r="F5215" s="116">
        <f>COUNTIFS($A$3:A13465,A5215,$B$3:B13465,B5215)</f>
        <v>1</v>
      </c>
      <c r="G5215" s="116"/>
    </row>
    <row r="5216" spans="1:7" x14ac:dyDescent="0.2">
      <c r="A5216" s="116">
        <f>IF(ISNUMBER(Tabela2[[#This Row],[CT-e/NFS]])=TRUE,(IF(B5216&gt;30000,4,IF(B5216&lt;1000,"ND",0))),"-")</f>
        <v>4</v>
      </c>
      <c r="B5216" s="116">
        <v>49473</v>
      </c>
      <c r="C5216" s="117">
        <v>45576</v>
      </c>
      <c r="D5216" s="116">
        <v>122.76</v>
      </c>
      <c r="E5216" s="117">
        <v>45580</v>
      </c>
      <c r="F5216" s="116">
        <f>COUNTIFS($A$3:A13466,A5216,$B$3:B13466,B5216)</f>
        <v>1</v>
      </c>
      <c r="G5216" s="116"/>
    </row>
    <row r="5217" spans="1:7" x14ac:dyDescent="0.2">
      <c r="A5217" s="116">
        <f>IF(ISNUMBER(Tabela2[[#This Row],[CT-e/NFS]])=TRUE,(IF(B5217&gt;30000,4,IF(B5217&lt;1000,"ND",0))),"-")</f>
        <v>4</v>
      </c>
      <c r="B5217" s="116">
        <v>49474</v>
      </c>
      <c r="C5217" s="117">
        <v>45576</v>
      </c>
      <c r="D5217" s="116">
        <v>2393.64</v>
      </c>
      <c r="E5217" s="117">
        <v>45580</v>
      </c>
      <c r="F5217" s="116">
        <f>COUNTIFS($A$3:A13467,A5217,$B$3:B13467,B5217)</f>
        <v>1</v>
      </c>
      <c r="G5217" s="116"/>
    </row>
    <row r="5218" spans="1:7" x14ac:dyDescent="0.2">
      <c r="A5218" s="116">
        <f>IF(ISNUMBER(Tabela2[[#This Row],[CT-e/NFS]])=TRUE,(IF(B5218&gt;30000,4,IF(B5218&lt;1000,"ND",0))),"-")</f>
        <v>0</v>
      </c>
      <c r="B5218" s="116">
        <v>22190</v>
      </c>
      <c r="C5218" s="117">
        <v>45576</v>
      </c>
      <c r="D5218" s="116">
        <v>277.56</v>
      </c>
      <c r="E5218" s="117">
        <v>45580</v>
      </c>
      <c r="F5218" s="116">
        <f>COUNTIFS($A$3:A13468,A5218,$B$3:B13468,B5218)</f>
        <v>1</v>
      </c>
      <c r="G5218" s="116"/>
    </row>
    <row r="5219" spans="1:7" x14ac:dyDescent="0.2">
      <c r="A5219" s="116">
        <f>IF(ISNUMBER(Tabela2[[#This Row],[CT-e/NFS]])=TRUE,(IF(B5219&gt;30000,4,IF(B5219&lt;1000,"ND",0))),"-")</f>
        <v>0</v>
      </c>
      <c r="B5219" s="116">
        <v>22193</v>
      </c>
      <c r="C5219" s="117">
        <v>45576</v>
      </c>
      <c r="D5219" s="116">
        <v>77.63</v>
      </c>
      <c r="E5219" s="117">
        <v>45580</v>
      </c>
      <c r="F5219" s="116">
        <f>COUNTIFS($A$3:A13469,A5219,$B$3:B13469,B5219)</f>
        <v>1</v>
      </c>
      <c r="G5219" s="116"/>
    </row>
    <row r="5220" spans="1:7" x14ac:dyDescent="0.2">
      <c r="A5220" s="116">
        <f>IF(ISNUMBER(Tabela2[[#This Row],[CT-e/NFS]])=TRUE,(IF(B5220&gt;30000,4,IF(B5220&lt;1000,"ND",0))),"-")</f>
        <v>0</v>
      </c>
      <c r="B5220" s="116">
        <v>22189</v>
      </c>
      <c r="C5220" s="117">
        <v>45576</v>
      </c>
      <c r="D5220" s="116">
        <v>122.49</v>
      </c>
      <c r="E5220" s="117">
        <v>45580</v>
      </c>
      <c r="F5220" s="116">
        <f>COUNTIFS($A$3:A13470,A5220,$B$3:B13470,B5220)</f>
        <v>1</v>
      </c>
      <c r="G5220" s="116"/>
    </row>
    <row r="5221" spans="1:7" x14ac:dyDescent="0.2">
      <c r="A5221" s="116">
        <f>IF(ISNUMBER(Tabela2[[#This Row],[CT-e/NFS]])=TRUE,(IF(B5221&gt;30000,4,IF(B5221&lt;1000,"ND",0))),"-")</f>
        <v>0</v>
      </c>
      <c r="B5221" s="116">
        <v>22188</v>
      </c>
      <c r="C5221" s="117">
        <v>45576</v>
      </c>
      <c r="D5221" s="116">
        <v>162.80000000000001</v>
      </c>
      <c r="E5221" s="117">
        <v>45580</v>
      </c>
      <c r="F5221" s="116">
        <f>COUNTIFS($A$3:A13471,A5221,$B$3:B13471,B5221)</f>
        <v>1</v>
      </c>
      <c r="G5221" s="116"/>
    </row>
    <row r="5222" spans="1:7" x14ac:dyDescent="0.2">
      <c r="A5222" s="116">
        <f>IF(ISNUMBER(Tabela2[[#This Row],[CT-e/NFS]])=TRUE,(IF(B5222&gt;30000,4,IF(B5222&lt;1000,"ND",0))),"-")</f>
        <v>0</v>
      </c>
      <c r="B5222" s="116">
        <v>22192</v>
      </c>
      <c r="C5222" s="117">
        <v>45576</v>
      </c>
      <c r="D5222" s="116">
        <v>240.03</v>
      </c>
      <c r="E5222" s="117">
        <v>45580</v>
      </c>
      <c r="F5222" s="116">
        <f>COUNTIFS($A$3:A13472,A5222,$B$3:B13472,B5222)</f>
        <v>1</v>
      </c>
      <c r="G5222" s="116"/>
    </row>
    <row r="5223" spans="1:7" x14ac:dyDescent="0.2">
      <c r="A5223" s="116">
        <f>IF(ISNUMBER(Tabela2[[#This Row],[CT-e/NFS]])=TRUE,(IF(B5223&gt;30000,4,IF(B5223&lt;1000,"ND",0))),"-")</f>
        <v>0</v>
      </c>
      <c r="B5223" s="116">
        <v>22191</v>
      </c>
      <c r="C5223" s="117">
        <v>45576</v>
      </c>
      <c r="D5223" s="116">
        <v>97.96</v>
      </c>
      <c r="E5223" s="117">
        <v>45580</v>
      </c>
      <c r="F5223" s="116">
        <f>COUNTIFS($A$3:A13473,A5223,$B$3:B13473,B5223)</f>
        <v>1</v>
      </c>
      <c r="G5223" s="116"/>
    </row>
    <row r="5224" spans="1:7" x14ac:dyDescent="0.2">
      <c r="A5224" s="116">
        <f>IF(ISNUMBER(Tabela2[[#This Row],[CT-e/NFS]])=TRUE,(IF(B5224&gt;30000,4,IF(B5224&lt;1000,"ND",0))),"-")</f>
        <v>4</v>
      </c>
      <c r="B5224" s="116">
        <v>49478</v>
      </c>
      <c r="C5224" s="117">
        <v>45576</v>
      </c>
      <c r="D5224" s="116">
        <v>441.01</v>
      </c>
      <c r="E5224" s="117">
        <v>45580</v>
      </c>
      <c r="F5224" s="116">
        <f>COUNTIFS($A$3:A13474,A5224,$B$3:B13474,B5224)</f>
        <v>1</v>
      </c>
      <c r="G5224" s="116"/>
    </row>
    <row r="5225" spans="1:7" x14ac:dyDescent="0.2">
      <c r="A5225" s="116">
        <f>IF(ISNUMBER(Tabela2[[#This Row],[CT-e/NFS]])=TRUE,(IF(B5225&gt;30000,4,IF(B5225&lt;1000,"ND",0))),"-")</f>
        <v>4</v>
      </c>
      <c r="B5225" s="116">
        <v>49479</v>
      </c>
      <c r="C5225" s="117">
        <v>45576</v>
      </c>
      <c r="D5225" s="116">
        <v>441.01</v>
      </c>
      <c r="E5225" s="117">
        <v>45580</v>
      </c>
      <c r="F5225" s="116">
        <f>COUNTIFS($A$3:A13475,A5225,$B$3:B13475,B5225)</f>
        <v>1</v>
      </c>
      <c r="G5225" s="116"/>
    </row>
    <row r="5226" spans="1:7" x14ac:dyDescent="0.2">
      <c r="A5226" s="116">
        <f>IF(ISNUMBER(Tabela2[[#This Row],[CT-e/NFS]])=TRUE,(IF(B5226&gt;30000,4,IF(B5226&lt;1000,"ND",0))),"-")</f>
        <v>4</v>
      </c>
      <c r="B5226" s="116">
        <v>49480</v>
      </c>
      <c r="C5226" s="117">
        <v>45576</v>
      </c>
      <c r="D5226" s="116">
        <v>429.55</v>
      </c>
      <c r="E5226" s="117">
        <v>45580</v>
      </c>
      <c r="F5226" s="116">
        <f>COUNTIFS($A$3:A13476,A5226,$B$3:B13476,B5226)</f>
        <v>1</v>
      </c>
      <c r="G5226" s="116"/>
    </row>
    <row r="5227" spans="1:7" x14ac:dyDescent="0.2">
      <c r="A5227" s="116">
        <f>IF(ISNUMBER(Tabela2[[#This Row],[CT-e/NFS]])=TRUE,(IF(B5227&gt;30000,4,IF(B5227&lt;1000,"ND",0))),"-")</f>
        <v>4</v>
      </c>
      <c r="B5227" s="116">
        <v>49481</v>
      </c>
      <c r="C5227" s="117">
        <v>45576</v>
      </c>
      <c r="D5227" s="116">
        <v>446.74</v>
      </c>
      <c r="E5227" s="117">
        <v>45580</v>
      </c>
      <c r="F5227" s="116">
        <f>COUNTIFS($A$3:A13477,A5227,$B$3:B13477,B5227)</f>
        <v>1</v>
      </c>
      <c r="G5227" s="116"/>
    </row>
    <row r="5228" spans="1:7" x14ac:dyDescent="0.2">
      <c r="A5228" s="116">
        <f>IF(ISNUMBER(Tabela2[[#This Row],[CT-e/NFS]])=TRUE,(IF(B5228&gt;30000,4,IF(B5228&lt;1000,"ND",0))),"-")</f>
        <v>4</v>
      </c>
      <c r="B5228" s="116">
        <v>49486</v>
      </c>
      <c r="C5228" s="117">
        <v>45576</v>
      </c>
      <c r="D5228" s="116">
        <v>126.24</v>
      </c>
      <c r="E5228" s="117">
        <v>45580</v>
      </c>
      <c r="F5228" s="116">
        <f>COUNTIFS($A$3:A13478,A5228,$B$3:B13478,B5228)</f>
        <v>1</v>
      </c>
      <c r="G5228" s="116"/>
    </row>
    <row r="5229" spans="1:7" x14ac:dyDescent="0.2">
      <c r="A5229" s="116">
        <f>IF(ISNUMBER(Tabela2[[#This Row],[CT-e/NFS]])=TRUE,(IF(B5229&gt;30000,4,IF(B5229&lt;1000,"ND",0))),"-")</f>
        <v>4</v>
      </c>
      <c r="B5229" s="116">
        <v>49485</v>
      </c>
      <c r="C5229" s="117">
        <v>45576</v>
      </c>
      <c r="D5229" s="116">
        <v>125.16</v>
      </c>
      <c r="E5229" s="117">
        <v>45580</v>
      </c>
      <c r="F5229" s="116">
        <f>COUNTIFS($A$3:A13479,A5229,$B$3:B13479,B5229)</f>
        <v>1</v>
      </c>
      <c r="G5229" s="116"/>
    </row>
    <row r="5230" spans="1:7" x14ac:dyDescent="0.2">
      <c r="A5230" s="116">
        <f>IF(ISNUMBER(Tabela2[[#This Row],[CT-e/NFS]])=TRUE,(IF(B5230&gt;30000,4,IF(B5230&lt;1000,"ND",0))),"-")</f>
        <v>4</v>
      </c>
      <c r="B5230" s="116">
        <v>49483</v>
      </c>
      <c r="C5230" s="117">
        <v>45576</v>
      </c>
      <c r="D5230" s="116">
        <v>123.11</v>
      </c>
      <c r="E5230" s="117">
        <v>45580</v>
      </c>
      <c r="F5230" s="116">
        <f>COUNTIFS($A$3:A13480,A5230,$B$3:B13480,B5230)</f>
        <v>1</v>
      </c>
      <c r="G5230" s="116"/>
    </row>
    <row r="5231" spans="1:7" x14ac:dyDescent="0.2">
      <c r="A5231" s="116">
        <f>IF(ISNUMBER(Tabela2[[#This Row],[CT-e/NFS]])=TRUE,(IF(B5231&gt;30000,4,IF(B5231&lt;1000,"ND",0))),"-")</f>
        <v>4</v>
      </c>
      <c r="B5231" s="116">
        <v>49482</v>
      </c>
      <c r="C5231" s="117">
        <v>45576</v>
      </c>
      <c r="D5231" s="116">
        <v>125.57</v>
      </c>
      <c r="E5231" s="117">
        <v>45580</v>
      </c>
      <c r="F5231" s="116">
        <f>COUNTIFS($A$3:A13481,A5231,$B$3:B13481,B5231)</f>
        <v>1</v>
      </c>
      <c r="G5231" s="116"/>
    </row>
    <row r="5232" spans="1:7" x14ac:dyDescent="0.2">
      <c r="A5232" s="116">
        <f>IF(ISNUMBER(Tabela2[[#This Row],[CT-e/NFS]])=TRUE,(IF(B5232&gt;30000,4,IF(B5232&lt;1000,"ND",0))),"-")</f>
        <v>4</v>
      </c>
      <c r="B5232" s="116">
        <v>49484</v>
      </c>
      <c r="C5232" s="117">
        <v>45576</v>
      </c>
      <c r="D5232" s="116">
        <v>123.89</v>
      </c>
      <c r="E5232" s="117">
        <v>45580</v>
      </c>
      <c r="F5232" s="116">
        <f>COUNTIFS($A$3:A13482,A5232,$B$3:B13482,B5232)</f>
        <v>1</v>
      </c>
      <c r="G5232" s="116"/>
    </row>
    <row r="5233" spans="1:7" x14ac:dyDescent="0.2">
      <c r="A5233" s="116">
        <f>IF(ISNUMBER(Tabela2[[#This Row],[CT-e/NFS]])=TRUE,(IF(B5233&gt;30000,4,IF(B5233&lt;1000,"ND",0))),"-")</f>
        <v>4</v>
      </c>
      <c r="B5233" s="116">
        <v>49489</v>
      </c>
      <c r="C5233" s="117">
        <v>45576</v>
      </c>
      <c r="D5233" s="116">
        <v>561.13</v>
      </c>
      <c r="E5233" s="117">
        <v>45580</v>
      </c>
      <c r="F5233" s="116">
        <f>COUNTIFS($A$3:A13483,A5233,$B$3:B13483,B5233)</f>
        <v>1</v>
      </c>
      <c r="G5233" s="116"/>
    </row>
    <row r="5234" spans="1:7" x14ac:dyDescent="0.2">
      <c r="A5234" s="116">
        <f>IF(ISNUMBER(Tabela2[[#This Row],[CT-e/NFS]])=TRUE,(IF(B5234&gt;30000,4,IF(B5234&lt;1000,"ND",0))),"-")</f>
        <v>4</v>
      </c>
      <c r="B5234" s="116">
        <v>49488</v>
      </c>
      <c r="C5234" s="117">
        <v>45576</v>
      </c>
      <c r="D5234" s="116">
        <v>125.1</v>
      </c>
      <c r="E5234" s="117">
        <v>45580</v>
      </c>
      <c r="F5234" s="116">
        <f>COUNTIFS($A$3:A13484,A5234,$B$3:B13484,B5234)</f>
        <v>1</v>
      </c>
      <c r="G5234" s="116"/>
    </row>
    <row r="5235" spans="1:7" x14ac:dyDescent="0.2">
      <c r="A5235" s="116">
        <f>IF(ISNUMBER(Tabela2[[#This Row],[CT-e/NFS]])=TRUE,(IF(B5235&gt;30000,4,IF(B5235&lt;1000,"ND",0))),"-")</f>
        <v>4</v>
      </c>
      <c r="B5235" s="116">
        <v>49487</v>
      </c>
      <c r="C5235" s="117">
        <v>45576</v>
      </c>
      <c r="D5235" s="116">
        <v>123.03</v>
      </c>
      <c r="E5235" s="117">
        <v>45580</v>
      </c>
      <c r="F5235" s="116">
        <f>COUNTIFS($A$3:A13485,A5235,$B$3:B13485,B5235)</f>
        <v>1</v>
      </c>
      <c r="G5235" s="116"/>
    </row>
    <row r="5236" spans="1:7" x14ac:dyDescent="0.2">
      <c r="A5236" s="116">
        <f>IF(ISNUMBER(Tabela2[[#This Row],[CT-e/NFS]])=TRUE,(IF(B5236&gt;30000,4,IF(B5236&lt;1000,"ND",0))),"-")</f>
        <v>4</v>
      </c>
      <c r="B5236" s="116">
        <v>49456</v>
      </c>
      <c r="C5236" s="117">
        <v>45576</v>
      </c>
      <c r="D5236" s="116">
        <v>743.75</v>
      </c>
      <c r="E5236" s="117">
        <v>45580</v>
      </c>
      <c r="F5236" s="116">
        <f>COUNTIFS($A$3:A13486,A5236,$B$3:B13486,B5236)</f>
        <v>1</v>
      </c>
      <c r="G5236" s="116"/>
    </row>
    <row r="5237" spans="1:7" x14ac:dyDescent="0.2">
      <c r="A5237" s="116">
        <f>IF(ISNUMBER(Tabela2[[#This Row],[CT-e/NFS]])=TRUE,(IF(B5237&gt;30000,4,IF(B5237&lt;1000,"ND",0))),"-")</f>
        <v>4</v>
      </c>
      <c r="B5237" s="116">
        <v>49427</v>
      </c>
      <c r="C5237" s="117">
        <v>45576</v>
      </c>
      <c r="D5237" s="116">
        <v>702.74</v>
      </c>
      <c r="E5237" s="117">
        <v>45580</v>
      </c>
      <c r="F5237" s="116">
        <f>COUNTIFS($A$3:A13487,A5237,$B$3:B13487,B5237)</f>
        <v>1</v>
      </c>
      <c r="G5237" s="116"/>
    </row>
    <row r="5238" spans="1:7" x14ac:dyDescent="0.2">
      <c r="A5238" s="116">
        <f>IF(ISNUMBER(Tabela2[[#This Row],[CT-e/NFS]])=TRUE,(IF(B5238&gt;30000,4,IF(B5238&lt;1000,"ND",0))),"-")</f>
        <v>4</v>
      </c>
      <c r="B5238" s="116">
        <v>49504</v>
      </c>
      <c r="C5238" s="117">
        <v>45576</v>
      </c>
      <c r="D5238" s="116">
        <v>62.95</v>
      </c>
      <c r="E5238" s="117">
        <v>45580</v>
      </c>
      <c r="F5238" s="116">
        <f>COUNTIFS($A$3:A13488,A5238,$B$3:B13488,B5238)</f>
        <v>1</v>
      </c>
      <c r="G5238" s="116"/>
    </row>
    <row r="5239" spans="1:7" x14ac:dyDescent="0.2">
      <c r="A5239" s="116">
        <f>IF(ISNUMBER(Tabela2[[#This Row],[CT-e/NFS]])=TRUE,(IF(B5239&gt;30000,4,IF(B5239&lt;1000,"ND",0))),"-")</f>
        <v>4</v>
      </c>
      <c r="B5239" s="116">
        <v>49491</v>
      </c>
      <c r="C5239" s="117">
        <v>45576</v>
      </c>
      <c r="D5239" s="116">
        <v>86.68</v>
      </c>
      <c r="E5239" s="117">
        <v>45580</v>
      </c>
      <c r="F5239" s="116">
        <f>COUNTIFS($A$3:A13489,A5239,$B$3:B13489,B5239)</f>
        <v>1</v>
      </c>
      <c r="G5239" s="116"/>
    </row>
    <row r="5240" spans="1:7" x14ac:dyDescent="0.2">
      <c r="A5240" s="116">
        <f>IF(ISNUMBER(Tabela2[[#This Row],[CT-e/NFS]])=TRUE,(IF(B5240&gt;30000,4,IF(B5240&lt;1000,"ND",0))),"-")</f>
        <v>4</v>
      </c>
      <c r="B5240" s="116">
        <v>49490</v>
      </c>
      <c r="C5240" s="117">
        <v>45576</v>
      </c>
      <c r="D5240" s="116">
        <v>134.05000000000001</v>
      </c>
      <c r="E5240" s="117">
        <v>45580</v>
      </c>
      <c r="F5240" s="116">
        <f>COUNTIFS($A$3:A13490,A5240,$B$3:B13490,B5240)</f>
        <v>1</v>
      </c>
      <c r="G5240" s="116"/>
    </row>
    <row r="5241" spans="1:7" x14ac:dyDescent="0.2">
      <c r="A5241" s="116">
        <f>IF(ISNUMBER(Tabela2[[#This Row],[CT-e/NFS]])=TRUE,(IF(B5241&gt;30000,4,IF(B5241&lt;1000,"ND",0))),"-")</f>
        <v>4</v>
      </c>
      <c r="B5241" s="116">
        <v>49505</v>
      </c>
      <c r="C5241" s="117">
        <v>45576</v>
      </c>
      <c r="D5241" s="116">
        <v>113.65</v>
      </c>
      <c r="E5241" s="117">
        <v>45580</v>
      </c>
      <c r="F5241" s="116">
        <f>COUNTIFS($A$3:A13491,A5241,$B$3:B13491,B5241)</f>
        <v>1</v>
      </c>
      <c r="G5241" s="116"/>
    </row>
    <row r="5242" spans="1:7" x14ac:dyDescent="0.2">
      <c r="A5242" s="116">
        <f>IF(ISNUMBER(Tabela2[[#This Row],[CT-e/NFS]])=TRUE,(IF(B5242&gt;30000,4,IF(B5242&lt;1000,"ND",0))),"-")</f>
        <v>4</v>
      </c>
      <c r="B5242" s="116">
        <v>49494</v>
      </c>
      <c r="C5242" s="117">
        <v>45576</v>
      </c>
      <c r="D5242" s="116">
        <v>125.68</v>
      </c>
      <c r="E5242" s="117">
        <v>45580</v>
      </c>
      <c r="F5242" s="116">
        <f>COUNTIFS($A$3:A13492,A5242,$B$3:B13492,B5242)</f>
        <v>1</v>
      </c>
      <c r="G5242" s="116"/>
    </row>
    <row r="5243" spans="1:7" x14ac:dyDescent="0.2">
      <c r="A5243" s="116">
        <f>IF(ISNUMBER(Tabela2[[#This Row],[CT-e/NFS]])=TRUE,(IF(B5243&gt;30000,4,IF(B5243&lt;1000,"ND",0))),"-")</f>
        <v>4</v>
      </c>
      <c r="B5243" s="116">
        <v>49495</v>
      </c>
      <c r="C5243" s="117">
        <v>45576</v>
      </c>
      <c r="D5243" s="116">
        <v>124.49</v>
      </c>
      <c r="E5243" s="117">
        <v>45580</v>
      </c>
      <c r="F5243" s="116">
        <f>COUNTIFS($A$3:A13493,A5243,$B$3:B13493,B5243)</f>
        <v>1</v>
      </c>
      <c r="G5243" s="116"/>
    </row>
    <row r="5244" spans="1:7" x14ac:dyDescent="0.2">
      <c r="A5244" s="116">
        <f>IF(ISNUMBER(Tabela2[[#This Row],[CT-e/NFS]])=TRUE,(IF(B5244&gt;30000,4,IF(B5244&lt;1000,"ND",0))),"-")</f>
        <v>4</v>
      </c>
      <c r="B5244" s="116">
        <v>49493</v>
      </c>
      <c r="C5244" s="117">
        <v>45576</v>
      </c>
      <c r="D5244" s="116">
        <v>408.02</v>
      </c>
      <c r="E5244" s="117">
        <v>45580</v>
      </c>
      <c r="F5244" s="116">
        <f>COUNTIFS($A$3:A13494,A5244,$B$3:B13494,B5244)</f>
        <v>1</v>
      </c>
      <c r="G5244" s="116"/>
    </row>
    <row r="5245" spans="1:7" x14ac:dyDescent="0.2">
      <c r="A5245" s="116">
        <f>IF(ISNUMBER(Tabela2[[#This Row],[CT-e/NFS]])=TRUE,(IF(B5245&gt;30000,4,IF(B5245&lt;1000,"ND",0))),"-")</f>
        <v>4</v>
      </c>
      <c r="B5245" s="116">
        <v>49496</v>
      </c>
      <c r="C5245" s="117">
        <v>45576</v>
      </c>
      <c r="D5245" s="116">
        <v>122.93</v>
      </c>
      <c r="E5245" s="117">
        <v>45580</v>
      </c>
      <c r="F5245" s="116">
        <f>COUNTIFS($A$3:A13495,A5245,$B$3:B13495,B5245)</f>
        <v>1</v>
      </c>
      <c r="G5245" s="116"/>
    </row>
    <row r="5246" spans="1:7" x14ac:dyDescent="0.2">
      <c r="A5246" s="116">
        <f>IF(ISNUMBER(Tabela2[[#This Row],[CT-e/NFS]])=TRUE,(IF(B5246&gt;30000,4,IF(B5246&lt;1000,"ND",0))),"-")</f>
        <v>4</v>
      </c>
      <c r="B5246" s="116">
        <v>49492</v>
      </c>
      <c r="C5246" s="117">
        <v>45576</v>
      </c>
      <c r="D5246" s="116">
        <v>408.02</v>
      </c>
      <c r="E5246" s="117">
        <v>45580</v>
      </c>
      <c r="F5246" s="116">
        <f>COUNTIFS($A$3:A13496,A5246,$B$3:B13496,B5246)</f>
        <v>1</v>
      </c>
      <c r="G5246" s="116"/>
    </row>
    <row r="5247" spans="1:7" x14ac:dyDescent="0.2">
      <c r="A5247" s="116">
        <f>IF(ISNUMBER(Tabela2[[#This Row],[CT-e/NFS]])=TRUE,(IF(B5247&gt;30000,4,IF(B5247&lt;1000,"ND",0))),"-")</f>
        <v>4</v>
      </c>
      <c r="B5247" s="116">
        <v>49506</v>
      </c>
      <c r="C5247" s="117">
        <v>45576</v>
      </c>
      <c r="D5247" s="116">
        <v>61.76</v>
      </c>
      <c r="E5247" s="117">
        <v>45580</v>
      </c>
      <c r="F5247" s="116">
        <f>COUNTIFS($A$3:A13497,A5247,$B$3:B13497,B5247)</f>
        <v>1</v>
      </c>
      <c r="G5247" s="116"/>
    </row>
    <row r="5248" spans="1:7" x14ac:dyDescent="0.2">
      <c r="A5248" s="116">
        <f>IF(ISNUMBER(Tabela2[[#This Row],[CT-e/NFS]])=TRUE,(IF(B5248&gt;30000,4,IF(B5248&lt;1000,"ND",0))),"-")</f>
        <v>4</v>
      </c>
      <c r="B5248" s="116">
        <v>49497</v>
      </c>
      <c r="C5248" s="117">
        <v>45576</v>
      </c>
      <c r="D5248" s="116">
        <v>396.45</v>
      </c>
      <c r="E5248" s="117">
        <v>45580</v>
      </c>
      <c r="F5248" s="116">
        <f>COUNTIFS($A$3:A13498,A5248,$B$3:B13498,B5248)</f>
        <v>1</v>
      </c>
      <c r="G5248" s="116"/>
    </row>
    <row r="5249" spans="1:7" x14ac:dyDescent="0.2">
      <c r="A5249" s="116">
        <f>IF(ISNUMBER(Tabela2[[#This Row],[CT-e/NFS]])=TRUE,(IF(B5249&gt;30000,4,IF(B5249&lt;1000,"ND",0))),"-")</f>
        <v>4</v>
      </c>
      <c r="B5249" s="116">
        <v>49507</v>
      </c>
      <c r="C5249" s="117">
        <v>45576</v>
      </c>
      <c r="D5249" s="116">
        <v>111.25</v>
      </c>
      <c r="E5249" s="117">
        <v>45580</v>
      </c>
      <c r="F5249" s="116">
        <f>COUNTIFS($A$3:A13499,A5249,$B$3:B13499,B5249)</f>
        <v>1</v>
      </c>
      <c r="G5249" s="116"/>
    </row>
    <row r="5250" spans="1:7" x14ac:dyDescent="0.2">
      <c r="A5250" s="116">
        <f>IF(ISNUMBER(Tabela2[[#This Row],[CT-e/NFS]])=TRUE,(IF(B5250&gt;30000,4,IF(B5250&lt;1000,"ND",0))),"-")</f>
        <v>4</v>
      </c>
      <c r="B5250" s="116">
        <v>49502</v>
      </c>
      <c r="C5250" s="117">
        <v>45576</v>
      </c>
      <c r="D5250" s="116">
        <v>122.73</v>
      </c>
      <c r="E5250" s="117">
        <v>45580</v>
      </c>
      <c r="F5250" s="116">
        <f>COUNTIFS($A$3:A13500,A5250,$B$3:B13500,B5250)</f>
        <v>1</v>
      </c>
      <c r="G5250" s="116"/>
    </row>
    <row r="5251" spans="1:7" x14ac:dyDescent="0.2">
      <c r="A5251" s="116">
        <f>IF(ISNUMBER(Tabela2[[#This Row],[CT-e/NFS]])=TRUE,(IF(B5251&gt;30000,4,IF(B5251&lt;1000,"ND",0))),"-")</f>
        <v>4</v>
      </c>
      <c r="B5251" s="116">
        <v>49509</v>
      </c>
      <c r="C5251" s="117">
        <v>45576</v>
      </c>
      <c r="D5251" s="116">
        <v>332.26</v>
      </c>
      <c r="E5251" s="117">
        <v>45580</v>
      </c>
      <c r="F5251" s="116">
        <f>COUNTIFS($A$3:A13501,A5251,$B$3:B13501,B5251)</f>
        <v>1</v>
      </c>
      <c r="G5251" s="116"/>
    </row>
    <row r="5252" spans="1:7" x14ac:dyDescent="0.2">
      <c r="A5252" s="116">
        <f>IF(ISNUMBER(Tabela2[[#This Row],[CT-e/NFS]])=TRUE,(IF(B5252&gt;30000,4,IF(B5252&lt;1000,"ND",0))),"-")</f>
        <v>4</v>
      </c>
      <c r="B5252" s="116">
        <v>49508</v>
      </c>
      <c r="C5252" s="117">
        <v>45576</v>
      </c>
      <c r="D5252" s="116">
        <v>805.47</v>
      </c>
      <c r="E5252" s="117">
        <v>45580</v>
      </c>
      <c r="F5252" s="116">
        <f>COUNTIFS($A$3:A13502,A5252,$B$3:B13502,B5252)</f>
        <v>1</v>
      </c>
      <c r="G5252" s="116"/>
    </row>
    <row r="5253" spans="1:7" x14ac:dyDescent="0.2">
      <c r="A5253" s="116">
        <f>IF(ISNUMBER(Tabela2[[#This Row],[CT-e/NFS]])=TRUE,(IF(B5253&gt;30000,4,IF(B5253&lt;1000,"ND",0))),"-")</f>
        <v>4</v>
      </c>
      <c r="B5253" s="116">
        <v>49522</v>
      </c>
      <c r="C5253" s="117">
        <v>45576</v>
      </c>
      <c r="D5253" s="116">
        <v>123.13</v>
      </c>
      <c r="E5253" s="117">
        <v>45580</v>
      </c>
      <c r="F5253" s="116">
        <f>COUNTIFS($A$3:A13503,A5253,$B$3:B13503,B5253)</f>
        <v>1</v>
      </c>
      <c r="G5253" s="116"/>
    </row>
    <row r="5254" spans="1:7" x14ac:dyDescent="0.2">
      <c r="A5254" s="116">
        <f>IF(ISNUMBER(Tabela2[[#This Row],[CT-e/NFS]])=TRUE,(IF(B5254&gt;30000,4,IF(B5254&lt;1000,"ND",0))),"-")</f>
        <v>0</v>
      </c>
      <c r="B5254" s="116">
        <v>22194</v>
      </c>
      <c r="C5254" s="117">
        <v>45576</v>
      </c>
      <c r="D5254" s="116">
        <v>75.92</v>
      </c>
      <c r="E5254" s="117">
        <v>45580</v>
      </c>
      <c r="F5254" s="116">
        <f>COUNTIFS($A$3:A13504,A5254,$B$3:B13504,B5254)</f>
        <v>1</v>
      </c>
      <c r="G5254" s="116"/>
    </row>
    <row r="5255" spans="1:7" x14ac:dyDescent="0.2">
      <c r="A5255" s="116">
        <f>IF(ISNUMBER(Tabela2[[#This Row],[CT-e/NFS]])=TRUE,(IF(B5255&gt;30000,4,IF(B5255&lt;1000,"ND",0))),"-")</f>
        <v>0</v>
      </c>
      <c r="B5255" s="116">
        <v>22198</v>
      </c>
      <c r="C5255" s="117">
        <v>45576</v>
      </c>
      <c r="D5255" s="116">
        <v>76.95</v>
      </c>
      <c r="E5255" s="117">
        <v>45580</v>
      </c>
      <c r="F5255" s="116">
        <f>COUNTIFS($A$3:A13505,A5255,$B$3:B13505,B5255)</f>
        <v>1</v>
      </c>
      <c r="G5255" s="116"/>
    </row>
    <row r="5256" spans="1:7" x14ac:dyDescent="0.2">
      <c r="A5256" s="116">
        <f>IF(ISNUMBER(Tabela2[[#This Row],[CT-e/NFS]])=TRUE,(IF(B5256&gt;30000,4,IF(B5256&lt;1000,"ND",0))),"-")</f>
        <v>0</v>
      </c>
      <c r="B5256" s="116">
        <v>22199</v>
      </c>
      <c r="C5256" s="117">
        <v>45576</v>
      </c>
      <c r="D5256" s="116">
        <v>76.52</v>
      </c>
      <c r="E5256" s="117">
        <v>45580</v>
      </c>
      <c r="F5256" s="116">
        <f>COUNTIFS($A$3:A13506,A5256,$B$3:B13506,B5256)</f>
        <v>1</v>
      </c>
      <c r="G5256" s="116"/>
    </row>
    <row r="5257" spans="1:7" x14ac:dyDescent="0.2">
      <c r="A5257" s="116">
        <f>IF(ISNUMBER(Tabela2[[#This Row],[CT-e/NFS]])=TRUE,(IF(B5257&gt;30000,4,IF(B5257&lt;1000,"ND",0))),"-")</f>
        <v>0</v>
      </c>
      <c r="B5257" s="116">
        <v>22197</v>
      </c>
      <c r="C5257" s="117">
        <v>45576</v>
      </c>
      <c r="D5257" s="116">
        <v>75.62</v>
      </c>
      <c r="E5257" s="117">
        <v>45580</v>
      </c>
      <c r="F5257" s="116">
        <f>COUNTIFS($A$3:A13507,A5257,$B$3:B13507,B5257)</f>
        <v>1</v>
      </c>
      <c r="G5257" s="116"/>
    </row>
    <row r="5258" spans="1:7" x14ac:dyDescent="0.2">
      <c r="A5258" s="116">
        <f>IF(ISNUMBER(Tabela2[[#This Row],[CT-e/NFS]])=TRUE,(IF(B5258&gt;30000,4,IF(B5258&lt;1000,"ND",0))),"-")</f>
        <v>0</v>
      </c>
      <c r="B5258" s="116">
        <v>22196</v>
      </c>
      <c r="C5258" s="117">
        <v>45576</v>
      </c>
      <c r="D5258" s="116">
        <v>614.44000000000005</v>
      </c>
      <c r="E5258" s="117">
        <v>45580</v>
      </c>
      <c r="F5258" s="116">
        <f>COUNTIFS($A$3:A13508,A5258,$B$3:B13508,B5258)</f>
        <v>1</v>
      </c>
      <c r="G5258" s="116"/>
    </row>
    <row r="5259" spans="1:7" x14ac:dyDescent="0.2">
      <c r="A5259" s="116">
        <f>IF(ISNUMBER(Tabela2[[#This Row],[CT-e/NFS]])=TRUE,(IF(B5259&gt;30000,4,IF(B5259&lt;1000,"ND",0))),"-")</f>
        <v>0</v>
      </c>
      <c r="B5259" s="116">
        <v>22195</v>
      </c>
      <c r="C5259" s="117">
        <v>45576</v>
      </c>
      <c r="D5259" s="116">
        <v>515.41</v>
      </c>
      <c r="E5259" s="117">
        <v>45580</v>
      </c>
      <c r="F5259" s="116">
        <f>COUNTIFS($A$3:A13509,A5259,$B$3:B13509,B5259)</f>
        <v>1</v>
      </c>
      <c r="G5259" s="116"/>
    </row>
    <row r="5260" spans="1:7" x14ac:dyDescent="0.2">
      <c r="A5260" s="116">
        <f>IF(ISNUMBER(Tabela2[[#This Row],[CT-e/NFS]])=TRUE,(IF(B5260&gt;30000,4,IF(B5260&lt;1000,"ND",0))),"-")</f>
        <v>4</v>
      </c>
      <c r="B5260" s="116">
        <v>49525</v>
      </c>
      <c r="C5260" s="117">
        <v>45576</v>
      </c>
      <c r="D5260" s="116">
        <v>61.36</v>
      </c>
      <c r="E5260" s="117">
        <v>45580</v>
      </c>
      <c r="F5260" s="116">
        <f>COUNTIFS($A$3:A13510,A5260,$B$3:B13510,B5260)</f>
        <v>1</v>
      </c>
      <c r="G5260" s="116"/>
    </row>
    <row r="5261" spans="1:7" x14ac:dyDescent="0.2">
      <c r="A5261" s="116">
        <f>IF(ISNUMBER(Tabela2[[#This Row],[CT-e/NFS]])=TRUE,(IF(B5261&gt;30000,4,IF(B5261&lt;1000,"ND",0))),"-")</f>
        <v>4</v>
      </c>
      <c r="B5261" s="116">
        <v>49528</v>
      </c>
      <c r="C5261" s="117">
        <v>45576</v>
      </c>
      <c r="D5261" s="116">
        <v>112.83</v>
      </c>
      <c r="E5261" s="117">
        <v>45580</v>
      </c>
      <c r="F5261" s="116">
        <f>COUNTIFS($A$3:A13511,A5261,$B$3:B13511,B5261)</f>
        <v>1</v>
      </c>
      <c r="G5261" s="116"/>
    </row>
    <row r="5262" spans="1:7" x14ac:dyDescent="0.2">
      <c r="A5262" s="116">
        <f>IF(ISNUMBER(Tabela2[[#This Row],[CT-e/NFS]])=TRUE,(IF(B5262&gt;30000,4,IF(B5262&lt;1000,"ND",0))),"-")</f>
        <v>4</v>
      </c>
      <c r="B5262" s="116">
        <v>49514</v>
      </c>
      <c r="C5262" s="117">
        <v>45576</v>
      </c>
      <c r="D5262" s="116">
        <v>240.16</v>
      </c>
      <c r="E5262" s="117">
        <v>45580</v>
      </c>
      <c r="F5262" s="116">
        <f>COUNTIFS($A$3:A13512,A5262,$B$3:B13512,B5262)</f>
        <v>1</v>
      </c>
      <c r="G5262" s="116"/>
    </row>
    <row r="5263" spans="1:7" x14ac:dyDescent="0.2">
      <c r="A5263" s="116">
        <f>IF(ISNUMBER(Tabela2[[#This Row],[CT-e/NFS]])=TRUE,(IF(B5263&gt;30000,4,IF(B5263&lt;1000,"ND",0))),"-")</f>
        <v>4</v>
      </c>
      <c r="B5263" s="116">
        <v>49512</v>
      </c>
      <c r="C5263" s="117">
        <v>45576</v>
      </c>
      <c r="D5263" s="116">
        <v>123.89</v>
      </c>
      <c r="E5263" s="117">
        <v>45580</v>
      </c>
      <c r="F5263" s="116">
        <f>COUNTIFS($A$3:A13513,A5263,$B$3:B13513,B5263)</f>
        <v>1</v>
      </c>
      <c r="G5263" s="116"/>
    </row>
    <row r="5264" spans="1:7" x14ac:dyDescent="0.2">
      <c r="A5264" s="116">
        <f>IF(ISNUMBER(Tabela2[[#This Row],[CT-e/NFS]])=TRUE,(IF(B5264&gt;30000,4,IF(B5264&lt;1000,"ND",0))),"-")</f>
        <v>4</v>
      </c>
      <c r="B5264" s="116">
        <v>49511</v>
      </c>
      <c r="C5264" s="117">
        <v>45576</v>
      </c>
      <c r="D5264" s="116">
        <v>125.03</v>
      </c>
      <c r="E5264" s="117">
        <v>45580</v>
      </c>
      <c r="F5264" s="116">
        <f>COUNTIFS($A$3:A13514,A5264,$B$3:B13514,B5264)</f>
        <v>1</v>
      </c>
      <c r="G5264" s="116"/>
    </row>
    <row r="5265" spans="1:7" x14ac:dyDescent="0.2">
      <c r="A5265" s="116">
        <f>IF(ISNUMBER(Tabela2[[#This Row],[CT-e/NFS]])=TRUE,(IF(B5265&gt;30000,4,IF(B5265&lt;1000,"ND",0))),"-")</f>
        <v>4</v>
      </c>
      <c r="B5265" s="116">
        <v>49510</v>
      </c>
      <c r="C5265" s="117">
        <v>45576</v>
      </c>
      <c r="D5265" s="116">
        <v>249.99</v>
      </c>
      <c r="E5265" s="117">
        <v>45580</v>
      </c>
      <c r="F5265" s="116">
        <f>COUNTIFS($A$3:A13515,A5265,$B$3:B13515,B5265)</f>
        <v>1</v>
      </c>
      <c r="G5265" s="116"/>
    </row>
    <row r="5266" spans="1:7" x14ac:dyDescent="0.2">
      <c r="A5266" s="116">
        <f>IF(ISNUMBER(Tabela2[[#This Row],[CT-e/NFS]])=TRUE,(IF(B5266&gt;30000,4,IF(B5266&lt;1000,"ND",0))),"-")</f>
        <v>4</v>
      </c>
      <c r="B5266" s="116">
        <v>49513</v>
      </c>
      <c r="C5266" s="117">
        <v>45576</v>
      </c>
      <c r="D5266" s="116">
        <v>124.2</v>
      </c>
      <c r="E5266" s="117">
        <v>45580</v>
      </c>
      <c r="F5266" s="116">
        <f>COUNTIFS($A$3:A13516,A5266,$B$3:B13516,B5266)</f>
        <v>1</v>
      </c>
      <c r="G5266" s="116"/>
    </row>
    <row r="5267" spans="1:7" x14ac:dyDescent="0.2">
      <c r="A5267" s="116">
        <f>IF(ISNUMBER(Tabela2[[#This Row],[CT-e/NFS]])=TRUE,(IF(B5267&gt;30000,4,IF(B5267&lt;1000,"ND",0))),"-")</f>
        <v>4</v>
      </c>
      <c r="B5267" s="116">
        <v>49527</v>
      </c>
      <c r="C5267" s="117">
        <v>45576</v>
      </c>
      <c r="D5267" s="116">
        <v>62.55</v>
      </c>
      <c r="E5267" s="117">
        <v>45580</v>
      </c>
      <c r="F5267" s="116">
        <f>COUNTIFS($A$3:A13517,A5267,$B$3:B13517,B5267)</f>
        <v>1</v>
      </c>
      <c r="G5267" s="116"/>
    </row>
    <row r="5268" spans="1:7" x14ac:dyDescent="0.2">
      <c r="A5268" s="116">
        <f>IF(ISNUMBER(Tabela2[[#This Row],[CT-e/NFS]])=TRUE,(IF(B5268&gt;30000,4,IF(B5268&lt;1000,"ND",0))),"-")</f>
        <v>4</v>
      </c>
      <c r="B5268" s="116">
        <v>49517</v>
      </c>
      <c r="C5268" s="117">
        <v>45576</v>
      </c>
      <c r="D5268" s="116">
        <v>147.80000000000001</v>
      </c>
      <c r="E5268" s="117">
        <v>45580</v>
      </c>
      <c r="F5268" s="116">
        <f>COUNTIFS($A$3:A13518,A5268,$B$3:B13518,B5268)</f>
        <v>1</v>
      </c>
      <c r="G5268" s="116"/>
    </row>
    <row r="5269" spans="1:7" x14ac:dyDescent="0.2">
      <c r="A5269" s="116">
        <f>IF(ISNUMBER(Tabela2[[#This Row],[CT-e/NFS]])=TRUE,(IF(B5269&gt;30000,4,IF(B5269&lt;1000,"ND",0))),"-")</f>
        <v>4</v>
      </c>
      <c r="B5269" s="116">
        <v>49518</v>
      </c>
      <c r="C5269" s="117">
        <v>45576</v>
      </c>
      <c r="D5269" s="116">
        <v>139.66999999999999</v>
      </c>
      <c r="E5269" s="117">
        <v>45580</v>
      </c>
      <c r="F5269" s="116">
        <f>COUNTIFS($A$3:A13519,A5269,$B$3:B13519,B5269)</f>
        <v>1</v>
      </c>
      <c r="G5269" s="116"/>
    </row>
    <row r="5270" spans="1:7" x14ac:dyDescent="0.2">
      <c r="A5270" s="116">
        <f>IF(ISNUMBER(Tabela2[[#This Row],[CT-e/NFS]])=TRUE,(IF(B5270&gt;30000,4,IF(B5270&lt;1000,"ND",0))),"-")</f>
        <v>4</v>
      </c>
      <c r="B5270" s="116">
        <v>49516</v>
      </c>
      <c r="C5270" s="117">
        <v>45576</v>
      </c>
      <c r="D5270" s="116">
        <v>241.03</v>
      </c>
      <c r="E5270" s="117">
        <v>45580</v>
      </c>
      <c r="F5270" s="116">
        <f>COUNTIFS($A$3:A13520,A5270,$B$3:B13520,B5270)</f>
        <v>1</v>
      </c>
      <c r="G5270" s="116"/>
    </row>
    <row r="5271" spans="1:7" x14ac:dyDescent="0.2">
      <c r="A5271" s="116">
        <f>IF(ISNUMBER(Tabela2[[#This Row],[CT-e/NFS]])=TRUE,(IF(B5271&gt;30000,4,IF(B5271&lt;1000,"ND",0))),"-")</f>
        <v>4</v>
      </c>
      <c r="B5271" s="116">
        <v>49519</v>
      </c>
      <c r="C5271" s="117">
        <v>45576</v>
      </c>
      <c r="D5271" s="116">
        <v>186.05</v>
      </c>
      <c r="E5271" s="117">
        <v>45580</v>
      </c>
      <c r="F5271" s="116">
        <f>COUNTIFS($A$3:A13521,A5271,$B$3:B13521,B5271)</f>
        <v>1</v>
      </c>
      <c r="G5271" s="116"/>
    </row>
    <row r="5272" spans="1:7" x14ac:dyDescent="0.2">
      <c r="A5272" s="116">
        <f>IF(ISNUMBER(Tabela2[[#This Row],[CT-e/NFS]])=TRUE,(IF(B5272&gt;30000,4,IF(B5272&lt;1000,"ND",0))),"-")</f>
        <v>4</v>
      </c>
      <c r="B5272" s="116">
        <v>49515</v>
      </c>
      <c r="C5272" s="117">
        <v>45576</v>
      </c>
      <c r="D5272" s="116">
        <v>241.03</v>
      </c>
      <c r="E5272" s="117">
        <v>45580</v>
      </c>
      <c r="F5272" s="116">
        <f>COUNTIFS($A$3:A13522,A5272,$B$3:B13522,B5272)</f>
        <v>1</v>
      </c>
      <c r="G5272" s="116"/>
    </row>
    <row r="5273" spans="1:7" x14ac:dyDescent="0.2">
      <c r="A5273" s="116">
        <f>IF(ISNUMBER(Tabela2[[#This Row],[CT-e/NFS]])=TRUE,(IF(B5273&gt;30000,4,IF(B5273&lt;1000,"ND",0))),"-")</f>
        <v>4</v>
      </c>
      <c r="B5273" s="116">
        <v>49520</v>
      </c>
      <c r="C5273" s="117">
        <v>45576</v>
      </c>
      <c r="D5273" s="116">
        <v>1245.6099999999999</v>
      </c>
      <c r="E5273" s="117">
        <v>45580</v>
      </c>
      <c r="F5273" s="116">
        <f>COUNTIFS($A$3:A13523,A5273,$B$3:B13523,B5273)</f>
        <v>1</v>
      </c>
      <c r="G5273" s="116"/>
    </row>
    <row r="5274" spans="1:7" x14ac:dyDescent="0.2">
      <c r="A5274" s="116">
        <f>IF(ISNUMBER(Tabela2[[#This Row],[CT-e/NFS]])=TRUE,(IF(B5274&gt;30000,4,IF(B5274&lt;1000,"ND",0))),"-")</f>
        <v>4</v>
      </c>
      <c r="B5274" s="116">
        <v>49531</v>
      </c>
      <c r="C5274" s="117">
        <v>45576</v>
      </c>
      <c r="D5274" s="116">
        <v>122.74</v>
      </c>
      <c r="E5274" s="117">
        <v>45580</v>
      </c>
      <c r="F5274" s="116">
        <f>COUNTIFS($A$3:A13524,A5274,$B$3:B13524,B5274)</f>
        <v>1</v>
      </c>
      <c r="G5274" s="116"/>
    </row>
    <row r="5275" spans="1:7" x14ac:dyDescent="0.2">
      <c r="A5275" s="116">
        <f>IF(ISNUMBER(Tabela2[[#This Row],[CT-e/NFS]])=TRUE,(IF(B5275&gt;30000,4,IF(B5275&lt;1000,"ND",0))),"-")</f>
        <v>4</v>
      </c>
      <c r="B5275" s="116">
        <v>49530</v>
      </c>
      <c r="C5275" s="117">
        <v>45576</v>
      </c>
      <c r="D5275" s="116">
        <v>123.45</v>
      </c>
      <c r="E5275" s="117">
        <v>45580</v>
      </c>
      <c r="F5275" s="116">
        <f>COUNTIFS($A$3:A13525,A5275,$B$3:B13525,B5275)</f>
        <v>1</v>
      </c>
      <c r="G5275" s="116"/>
    </row>
    <row r="5276" spans="1:7" x14ac:dyDescent="0.2">
      <c r="A5276" s="116">
        <f>IF(ISNUMBER(Tabela2[[#This Row],[CT-e/NFS]])=TRUE,(IF(B5276&gt;30000,4,IF(B5276&lt;1000,"ND",0))),"-")</f>
        <v>4</v>
      </c>
      <c r="B5276" s="116">
        <v>49533</v>
      </c>
      <c r="C5276" s="117">
        <v>45576</v>
      </c>
      <c r="D5276" s="116">
        <v>110.45</v>
      </c>
      <c r="E5276" s="117">
        <v>45580</v>
      </c>
      <c r="F5276" s="116">
        <f>COUNTIFS($A$3:A13526,A5276,$B$3:B13526,B5276)</f>
        <v>1</v>
      </c>
      <c r="G5276" s="116"/>
    </row>
    <row r="5277" spans="1:7" x14ac:dyDescent="0.2">
      <c r="A5277" s="116">
        <f>IF(ISNUMBER(Tabela2[[#This Row],[CT-e/NFS]])=TRUE,(IF(B5277&gt;30000,4,IF(B5277&lt;1000,"ND",0))),"-")</f>
        <v>4</v>
      </c>
      <c r="B5277" s="116">
        <v>49534</v>
      </c>
      <c r="C5277" s="117">
        <v>45576</v>
      </c>
      <c r="D5277" s="116">
        <v>396.45</v>
      </c>
      <c r="E5277" s="117">
        <v>45580</v>
      </c>
      <c r="F5277" s="116">
        <f>COUNTIFS($A$3:A13527,A5277,$B$3:B13527,B5277)</f>
        <v>1</v>
      </c>
      <c r="G5277" s="116"/>
    </row>
    <row r="5278" spans="1:7" x14ac:dyDescent="0.2">
      <c r="A5278" s="116">
        <f>IF(ISNUMBER(Tabela2[[#This Row],[CT-e/NFS]])=TRUE,(IF(B5278&gt;30000,4,IF(B5278&lt;1000,"ND",0))),"-")</f>
        <v>0</v>
      </c>
      <c r="B5278" s="116">
        <v>22201</v>
      </c>
      <c r="C5278" s="117">
        <v>45576</v>
      </c>
      <c r="D5278" s="116">
        <v>75.680000000000007</v>
      </c>
      <c r="E5278" s="117">
        <v>45580</v>
      </c>
      <c r="F5278" s="116">
        <f>COUNTIFS($A$3:A13528,A5278,$B$3:B13528,B5278)</f>
        <v>1</v>
      </c>
      <c r="G5278" s="116"/>
    </row>
    <row r="5279" spans="1:7" x14ac:dyDescent="0.2">
      <c r="A5279" s="116">
        <f>IF(ISNUMBER(Tabela2[[#This Row],[CT-e/NFS]])=TRUE,(IF(B5279&gt;30000,4,IF(B5279&lt;1000,"ND",0))),"-")</f>
        <v>0</v>
      </c>
      <c r="B5279" s="116">
        <v>22202</v>
      </c>
      <c r="C5279" s="117">
        <v>45576</v>
      </c>
      <c r="D5279" s="116">
        <v>76.959999999999994</v>
      </c>
      <c r="E5279" s="117">
        <v>45580</v>
      </c>
      <c r="F5279" s="116">
        <f>COUNTIFS($A$3:A13529,A5279,$B$3:B13529,B5279)</f>
        <v>1</v>
      </c>
      <c r="G5279" s="116"/>
    </row>
    <row r="5280" spans="1:7" x14ac:dyDescent="0.2">
      <c r="A5280" s="116">
        <f>IF(ISNUMBER(Tabela2[[#This Row],[CT-e/NFS]])=TRUE,(IF(B5280&gt;30000,4,IF(B5280&lt;1000,"ND",0))),"-")</f>
        <v>0</v>
      </c>
      <c r="B5280" s="116">
        <v>22205</v>
      </c>
      <c r="C5280" s="117">
        <v>45576</v>
      </c>
      <c r="D5280" s="116">
        <v>76.28</v>
      </c>
      <c r="E5280" s="117">
        <v>45580</v>
      </c>
      <c r="F5280" s="116">
        <f>COUNTIFS($A$3:A13530,A5280,$B$3:B13530,B5280)</f>
        <v>1</v>
      </c>
      <c r="G5280" s="116"/>
    </row>
    <row r="5281" spans="1:7" x14ac:dyDescent="0.2">
      <c r="A5281" s="116">
        <f>IF(ISNUMBER(Tabela2[[#This Row],[CT-e/NFS]])=TRUE,(IF(B5281&gt;30000,4,IF(B5281&lt;1000,"ND",0))),"-")</f>
        <v>0</v>
      </c>
      <c r="B5281" s="116">
        <v>22204</v>
      </c>
      <c r="C5281" s="117">
        <v>45576</v>
      </c>
      <c r="D5281" s="116">
        <v>76.28</v>
      </c>
      <c r="E5281" s="117">
        <v>45580</v>
      </c>
      <c r="F5281" s="116">
        <f>COUNTIFS($A$3:A13531,A5281,$B$3:B13531,B5281)</f>
        <v>1</v>
      </c>
      <c r="G5281" s="116"/>
    </row>
    <row r="5282" spans="1:7" x14ac:dyDescent="0.2">
      <c r="A5282" s="116">
        <f>IF(ISNUMBER(Tabela2[[#This Row],[CT-e/NFS]])=TRUE,(IF(B5282&gt;30000,4,IF(B5282&lt;1000,"ND",0))),"-")</f>
        <v>4</v>
      </c>
      <c r="B5282" s="116">
        <v>49477</v>
      </c>
      <c r="C5282" s="117">
        <v>45576</v>
      </c>
      <c r="D5282" s="116">
        <v>31166.880000000001</v>
      </c>
      <c r="E5282" s="117">
        <v>45580</v>
      </c>
      <c r="F5282" s="116">
        <f>COUNTIFS($A$3:A13532,A5282,$B$3:B13532,B5282)</f>
        <v>1</v>
      </c>
      <c r="G5282" s="116"/>
    </row>
    <row r="5283" spans="1:7" x14ac:dyDescent="0.2">
      <c r="A5283" s="116">
        <f>IF(ISNUMBER(Tabela2[[#This Row],[CT-e/NFS]])=TRUE,(IF(B5283&gt;30000,4,IF(B5283&lt;1000,"ND",0))),"-")</f>
        <v>4</v>
      </c>
      <c r="B5283" s="116">
        <v>49539</v>
      </c>
      <c r="C5283" s="117">
        <v>45576</v>
      </c>
      <c r="D5283" s="116">
        <v>609.98</v>
      </c>
      <c r="E5283" s="117">
        <v>45580</v>
      </c>
      <c r="F5283" s="116">
        <f>COUNTIFS($A$3:A13533,A5283,$B$3:B13533,B5283)</f>
        <v>1</v>
      </c>
      <c r="G5283" s="116"/>
    </row>
    <row r="5284" spans="1:7" x14ac:dyDescent="0.2">
      <c r="A5284" s="116">
        <f>IF(ISNUMBER(Tabela2[[#This Row],[CT-e/NFS]])=TRUE,(IF(B5284&gt;30000,4,IF(B5284&lt;1000,"ND",0))),"-")</f>
        <v>4</v>
      </c>
      <c r="B5284" s="116">
        <v>49521</v>
      </c>
      <c r="C5284" s="117">
        <v>45576</v>
      </c>
      <c r="D5284" s="116">
        <v>921.27</v>
      </c>
      <c r="E5284" s="117">
        <v>45580</v>
      </c>
      <c r="F5284" s="116">
        <f>COUNTIFS($A$3:A13534,A5284,$B$3:B13534,B5284)</f>
        <v>1</v>
      </c>
      <c r="G5284" s="116"/>
    </row>
    <row r="5285" spans="1:7" x14ac:dyDescent="0.2">
      <c r="A5285" s="116">
        <f>IF(ISNUMBER(Tabela2[[#This Row],[CT-e/NFS]])=TRUE,(IF(B5285&gt;30000,4,IF(B5285&lt;1000,"ND",0))),"-")</f>
        <v>4</v>
      </c>
      <c r="B5285" s="116">
        <v>49532</v>
      </c>
      <c r="C5285" s="117">
        <v>45576</v>
      </c>
      <c r="D5285" s="116">
        <v>122.73</v>
      </c>
      <c r="E5285" s="117">
        <v>45580</v>
      </c>
      <c r="F5285" s="116">
        <f>COUNTIFS($A$3:A13535,A5285,$B$3:B13535,B5285)</f>
        <v>1</v>
      </c>
      <c r="G5285" s="116"/>
    </row>
    <row r="5286" spans="1:7" x14ac:dyDescent="0.2">
      <c r="A5286" s="116">
        <f>IF(ISNUMBER(Tabela2[[#This Row],[CT-e/NFS]])=TRUE,(IF(B5286&gt;30000,4,IF(B5286&lt;1000,"ND",0))),"-")</f>
        <v>4</v>
      </c>
      <c r="B5286" s="116">
        <v>49535</v>
      </c>
      <c r="C5286" s="117">
        <v>45576</v>
      </c>
      <c r="D5286" s="116">
        <v>702.74</v>
      </c>
      <c r="E5286" s="117">
        <v>45580</v>
      </c>
      <c r="F5286" s="116">
        <f>COUNTIFS($A$3:A13536,A5286,$B$3:B13536,B5286)</f>
        <v>1</v>
      </c>
      <c r="G5286" s="116"/>
    </row>
    <row r="5287" spans="1:7" x14ac:dyDescent="0.2">
      <c r="A5287" s="116">
        <f>IF(ISNUMBER(Tabela2[[#This Row],[CT-e/NFS]])=TRUE,(IF(B5287&gt;30000,4,IF(B5287&lt;1000,"ND",0))),"-")</f>
        <v>4</v>
      </c>
      <c r="B5287" s="116">
        <v>49549</v>
      </c>
      <c r="C5287" s="117">
        <v>45576</v>
      </c>
      <c r="D5287" s="116">
        <v>185.01</v>
      </c>
      <c r="E5287" s="117">
        <v>45580</v>
      </c>
      <c r="F5287" s="116">
        <f>COUNTIFS($A$3:A13537,A5287,$B$3:B13537,B5287)</f>
        <v>1</v>
      </c>
      <c r="G5287" s="116"/>
    </row>
    <row r="5288" spans="1:7" x14ac:dyDescent="0.2">
      <c r="A5288" s="116">
        <f>IF(ISNUMBER(Tabela2[[#This Row],[CT-e/NFS]])=TRUE,(IF(B5288&gt;30000,4,IF(B5288&lt;1000,"ND",0))),"-")</f>
        <v>4</v>
      </c>
      <c r="B5288" s="116">
        <v>49547</v>
      </c>
      <c r="C5288" s="117">
        <v>45576</v>
      </c>
      <c r="D5288" s="116">
        <v>204.17</v>
      </c>
      <c r="E5288" s="117">
        <v>45580</v>
      </c>
      <c r="F5288" s="116">
        <f>COUNTIFS($A$3:A13538,A5288,$B$3:B13538,B5288)</f>
        <v>1</v>
      </c>
      <c r="G5288" s="116"/>
    </row>
    <row r="5289" spans="1:7" x14ac:dyDescent="0.2">
      <c r="A5289" s="116">
        <f>IF(ISNUMBER(Tabela2[[#This Row],[CT-e/NFS]])=TRUE,(IF(B5289&gt;30000,4,IF(B5289&lt;1000,"ND",0))),"-")</f>
        <v>4</v>
      </c>
      <c r="B5289" s="116">
        <v>49548</v>
      </c>
      <c r="C5289" s="117">
        <v>45576</v>
      </c>
      <c r="D5289" s="116">
        <v>748.55</v>
      </c>
      <c r="E5289" s="117">
        <v>45580</v>
      </c>
      <c r="F5289" s="116">
        <f>COUNTIFS($A$3:A13539,A5289,$B$3:B13539,B5289)</f>
        <v>1</v>
      </c>
      <c r="G5289" s="116"/>
    </row>
    <row r="5290" spans="1:7" x14ac:dyDescent="0.2">
      <c r="A5290" s="116">
        <f>IF(ISNUMBER(Tabela2[[#This Row],[CT-e/NFS]])=TRUE,(IF(B5290&gt;30000,4,IF(B5290&lt;1000,"ND",0))),"-")</f>
        <v>0</v>
      </c>
      <c r="B5290" s="116">
        <v>22212</v>
      </c>
      <c r="C5290" s="117">
        <v>45576</v>
      </c>
      <c r="D5290" s="116">
        <v>369.24</v>
      </c>
      <c r="E5290" s="117">
        <v>45580</v>
      </c>
      <c r="F5290" s="116">
        <f>COUNTIFS($A$3:A13540,A5290,$B$3:B13540,B5290)</f>
        <v>1</v>
      </c>
      <c r="G5290" s="116"/>
    </row>
    <row r="5291" spans="1:7" x14ac:dyDescent="0.2">
      <c r="A5291" s="116">
        <f>IF(ISNUMBER(Tabela2[[#This Row],[CT-e/NFS]])=TRUE,(IF(B5291&gt;30000,4,IF(B5291&lt;1000,"ND",0))),"-")</f>
        <v>4</v>
      </c>
      <c r="B5291" s="116">
        <v>49564</v>
      </c>
      <c r="C5291" s="117">
        <v>45576</v>
      </c>
      <c r="D5291" s="116">
        <v>350.81</v>
      </c>
      <c r="E5291" s="117">
        <v>45580</v>
      </c>
      <c r="F5291" s="116">
        <f>COUNTIFS($A$3:A13541,A5291,$B$3:B13541,B5291)</f>
        <v>1</v>
      </c>
      <c r="G5291" s="116"/>
    </row>
    <row r="5292" spans="1:7" x14ac:dyDescent="0.2">
      <c r="A5292" s="116">
        <f>IF(ISNUMBER(Tabela2[[#This Row],[CT-e/NFS]])=TRUE,(IF(B5292&gt;30000,4,IF(B5292&lt;1000,"ND",0))),"-")</f>
        <v>4</v>
      </c>
      <c r="B5292" s="116">
        <v>49563</v>
      </c>
      <c r="C5292" s="117">
        <v>45576</v>
      </c>
      <c r="D5292" s="116">
        <v>1082.3499999999999</v>
      </c>
      <c r="E5292" s="117">
        <v>45580</v>
      </c>
      <c r="F5292" s="116">
        <f>COUNTIFS($A$3:A13542,A5292,$B$3:B13542,B5292)</f>
        <v>1</v>
      </c>
      <c r="G5292" s="116"/>
    </row>
    <row r="5293" spans="1:7" x14ac:dyDescent="0.2">
      <c r="A5293" s="116">
        <f>IF(ISNUMBER(Tabela2[[#This Row],[CT-e/NFS]])=TRUE,(IF(B5293&gt;30000,4,IF(B5293&lt;1000,"ND",0))),"-")</f>
        <v>4</v>
      </c>
      <c r="B5293" s="116">
        <v>49562</v>
      </c>
      <c r="C5293" s="117">
        <v>45576</v>
      </c>
      <c r="D5293" s="116">
        <v>325.14</v>
      </c>
      <c r="E5293" s="117">
        <v>45580</v>
      </c>
      <c r="F5293" s="116">
        <f>COUNTIFS($A$3:A13543,A5293,$B$3:B13543,B5293)</f>
        <v>1</v>
      </c>
      <c r="G5293" s="116"/>
    </row>
    <row r="5294" spans="1:7" x14ac:dyDescent="0.2">
      <c r="A5294" s="116">
        <f>IF(ISNUMBER(Tabela2[[#This Row],[CT-e/NFS]])=TRUE,(IF(B5294&gt;30000,4,IF(B5294&lt;1000,"ND",0))),"-")</f>
        <v>4</v>
      </c>
      <c r="B5294" s="116">
        <v>49561</v>
      </c>
      <c r="C5294" s="117">
        <v>45576</v>
      </c>
      <c r="D5294" s="116">
        <v>710.23</v>
      </c>
      <c r="E5294" s="117">
        <v>45580</v>
      </c>
      <c r="F5294" s="116">
        <f>COUNTIFS($A$3:A13544,A5294,$B$3:B13544,B5294)</f>
        <v>1</v>
      </c>
      <c r="G5294" s="116"/>
    </row>
    <row r="5295" spans="1:7" x14ac:dyDescent="0.2">
      <c r="A5295" s="116">
        <f>IF(ISNUMBER(Tabela2[[#This Row],[CT-e/NFS]])=TRUE,(IF(B5295&gt;30000,4,IF(B5295&lt;1000,"ND",0))),"-")</f>
        <v>4</v>
      </c>
      <c r="B5295" s="116">
        <v>49538</v>
      </c>
      <c r="C5295" s="117">
        <v>45576</v>
      </c>
      <c r="D5295" s="116">
        <v>281.52999999999997</v>
      </c>
      <c r="E5295" s="117">
        <v>45580</v>
      </c>
      <c r="F5295" s="116">
        <f>COUNTIFS($A$3:A13545,A5295,$B$3:B13545,B5295)</f>
        <v>1</v>
      </c>
      <c r="G5295" s="116"/>
    </row>
    <row r="5296" spans="1:7" x14ac:dyDescent="0.2">
      <c r="A5296" s="116">
        <f>IF(ISNUMBER(Tabela2[[#This Row],[CT-e/NFS]])=TRUE,(IF(B5296&gt;30000,4,IF(B5296&lt;1000,"ND",0))),"-")</f>
        <v>4</v>
      </c>
      <c r="B5296" s="116">
        <v>49540</v>
      </c>
      <c r="C5296" s="117">
        <v>45576</v>
      </c>
      <c r="D5296" s="116">
        <v>326.55</v>
      </c>
      <c r="E5296" s="117">
        <v>45580</v>
      </c>
      <c r="F5296" s="116">
        <f>COUNTIFS($A$3:A13546,A5296,$B$3:B13546,B5296)</f>
        <v>1</v>
      </c>
      <c r="G5296" s="116"/>
    </row>
    <row r="5297" spans="1:7" x14ac:dyDescent="0.2">
      <c r="A5297" s="116">
        <f>IF(ISNUMBER(Tabela2[[#This Row],[CT-e/NFS]])=TRUE,(IF(B5297&gt;30000,4,IF(B5297&lt;1000,"ND",0))),"-")</f>
        <v>4</v>
      </c>
      <c r="B5297" s="116">
        <v>49545</v>
      </c>
      <c r="C5297" s="117">
        <v>45576</v>
      </c>
      <c r="D5297" s="116">
        <v>124.33</v>
      </c>
      <c r="E5297" s="117">
        <v>45580</v>
      </c>
      <c r="F5297" s="116">
        <f>COUNTIFS($A$3:A13547,A5297,$B$3:B13547,B5297)</f>
        <v>1</v>
      </c>
      <c r="G5297" s="116"/>
    </row>
    <row r="5298" spans="1:7" x14ac:dyDescent="0.2">
      <c r="A5298" s="116">
        <f>IF(ISNUMBER(Tabela2[[#This Row],[CT-e/NFS]])=TRUE,(IF(B5298&gt;30000,4,IF(B5298&lt;1000,"ND",0))),"-")</f>
        <v>4</v>
      </c>
      <c r="B5298" s="116">
        <v>49544</v>
      </c>
      <c r="C5298" s="117">
        <v>45576</v>
      </c>
      <c r="D5298" s="116">
        <v>123.51</v>
      </c>
      <c r="E5298" s="117">
        <v>45580</v>
      </c>
      <c r="F5298" s="116">
        <f>COUNTIFS($A$3:A13548,A5298,$B$3:B13548,B5298)</f>
        <v>1</v>
      </c>
      <c r="G5298" s="116"/>
    </row>
    <row r="5299" spans="1:7" x14ac:dyDescent="0.2">
      <c r="A5299" s="116">
        <f>IF(ISNUMBER(Tabela2[[#This Row],[CT-e/NFS]])=TRUE,(IF(B5299&gt;30000,4,IF(B5299&lt;1000,"ND",0))),"-")</f>
        <v>4</v>
      </c>
      <c r="B5299" s="116">
        <v>49546</v>
      </c>
      <c r="C5299" s="117">
        <v>45576</v>
      </c>
      <c r="D5299" s="116">
        <v>249.05</v>
      </c>
      <c r="E5299" s="117">
        <v>45580</v>
      </c>
      <c r="F5299" s="116">
        <f>COUNTIFS($A$3:A13549,A5299,$B$3:B13549,B5299)</f>
        <v>1</v>
      </c>
      <c r="G5299" s="116"/>
    </row>
    <row r="5300" spans="1:7" x14ac:dyDescent="0.2">
      <c r="A5300" s="116">
        <f>IF(ISNUMBER(Tabela2[[#This Row],[CT-e/NFS]])=TRUE,(IF(B5300&gt;30000,4,IF(B5300&lt;1000,"ND",0))),"-")</f>
        <v>4</v>
      </c>
      <c r="B5300" s="116">
        <v>49542</v>
      </c>
      <c r="C5300" s="117">
        <v>45576</v>
      </c>
      <c r="D5300" s="116">
        <v>240.47</v>
      </c>
      <c r="E5300" s="117">
        <v>45580</v>
      </c>
      <c r="F5300" s="116">
        <f>COUNTIFS($A$3:A13550,A5300,$B$3:B13550,B5300)</f>
        <v>1</v>
      </c>
      <c r="G5300" s="116"/>
    </row>
    <row r="5301" spans="1:7" x14ac:dyDescent="0.2">
      <c r="A5301" s="116">
        <f>IF(ISNUMBER(Tabela2[[#This Row],[CT-e/NFS]])=TRUE,(IF(B5301&gt;30000,4,IF(B5301&lt;1000,"ND",0))),"-")</f>
        <v>4</v>
      </c>
      <c r="B5301" s="116">
        <v>49541</v>
      </c>
      <c r="C5301" s="117">
        <v>45576</v>
      </c>
      <c r="D5301" s="116">
        <v>123.13</v>
      </c>
      <c r="E5301" s="117">
        <v>45580</v>
      </c>
      <c r="F5301" s="116">
        <f>COUNTIFS($A$3:A13551,A5301,$B$3:B13551,B5301)</f>
        <v>1</v>
      </c>
      <c r="G5301" s="116"/>
    </row>
    <row r="5302" spans="1:7" x14ac:dyDescent="0.2">
      <c r="A5302" s="116">
        <f>IF(ISNUMBER(Tabela2[[#This Row],[CT-e/NFS]])=TRUE,(IF(B5302&gt;30000,4,IF(B5302&lt;1000,"ND",0))),"-")</f>
        <v>4</v>
      </c>
      <c r="B5302" s="116">
        <v>49543</v>
      </c>
      <c r="C5302" s="117">
        <v>45576</v>
      </c>
      <c r="D5302" s="116">
        <v>124.56</v>
      </c>
      <c r="E5302" s="117">
        <v>45580</v>
      </c>
      <c r="F5302" s="116">
        <f>COUNTIFS($A$3:A13552,A5302,$B$3:B13552,B5302)</f>
        <v>1</v>
      </c>
      <c r="G5302" s="116"/>
    </row>
    <row r="5303" spans="1:7" x14ac:dyDescent="0.2">
      <c r="A5303" s="116">
        <f>IF(ISNUMBER(Tabela2[[#This Row],[CT-e/NFS]])=TRUE,(IF(B5303&gt;30000,4,IF(B5303&lt;1000,"ND",0))),"-")</f>
        <v>4</v>
      </c>
      <c r="B5303" s="116">
        <v>49552</v>
      </c>
      <c r="C5303" s="117">
        <v>45576</v>
      </c>
      <c r="D5303" s="116">
        <v>122.89</v>
      </c>
      <c r="E5303" s="117">
        <v>45580</v>
      </c>
      <c r="F5303" s="116">
        <f>COUNTIFS($A$3:A13553,A5303,$B$3:B13553,B5303)</f>
        <v>1</v>
      </c>
      <c r="G5303" s="116"/>
    </row>
    <row r="5304" spans="1:7" x14ac:dyDescent="0.2">
      <c r="A5304" s="116">
        <f>IF(ISNUMBER(Tabela2[[#This Row],[CT-e/NFS]])=TRUE,(IF(B5304&gt;30000,4,IF(B5304&lt;1000,"ND",0))),"-")</f>
        <v>4</v>
      </c>
      <c r="B5304" s="116">
        <v>49554</v>
      </c>
      <c r="C5304" s="117">
        <v>45576</v>
      </c>
      <c r="D5304" s="116">
        <v>124.18</v>
      </c>
      <c r="E5304" s="117">
        <v>45580</v>
      </c>
      <c r="F5304" s="116">
        <f>COUNTIFS($A$3:A13554,A5304,$B$3:B13554,B5304)</f>
        <v>1</v>
      </c>
      <c r="G5304" s="116"/>
    </row>
    <row r="5305" spans="1:7" x14ac:dyDescent="0.2">
      <c r="A5305" s="116">
        <f>IF(ISNUMBER(Tabela2[[#This Row],[CT-e/NFS]])=TRUE,(IF(B5305&gt;30000,4,IF(B5305&lt;1000,"ND",0))),"-")</f>
        <v>4</v>
      </c>
      <c r="B5305" s="116">
        <v>49556</v>
      </c>
      <c r="C5305" s="117">
        <v>45576</v>
      </c>
      <c r="D5305" s="116">
        <v>125.72</v>
      </c>
      <c r="E5305" s="117">
        <v>45580</v>
      </c>
      <c r="F5305" s="116">
        <f>COUNTIFS($A$3:A13555,A5305,$B$3:B13555,B5305)</f>
        <v>1</v>
      </c>
      <c r="G5305" s="116"/>
    </row>
    <row r="5306" spans="1:7" x14ac:dyDescent="0.2">
      <c r="A5306" s="116">
        <f>IF(ISNUMBER(Tabela2[[#This Row],[CT-e/NFS]])=TRUE,(IF(B5306&gt;30000,4,IF(B5306&lt;1000,"ND",0))),"-")</f>
        <v>4</v>
      </c>
      <c r="B5306" s="116">
        <v>49555</v>
      </c>
      <c r="C5306" s="117">
        <v>45576</v>
      </c>
      <c r="D5306" s="116">
        <v>125.25</v>
      </c>
      <c r="E5306" s="117">
        <v>45580</v>
      </c>
      <c r="F5306" s="116">
        <f>COUNTIFS($A$3:A13556,A5306,$B$3:B13556,B5306)</f>
        <v>1</v>
      </c>
      <c r="G5306" s="116"/>
    </row>
    <row r="5307" spans="1:7" x14ac:dyDescent="0.2">
      <c r="A5307" s="116">
        <f>IF(ISNUMBER(Tabela2[[#This Row],[CT-e/NFS]])=TRUE,(IF(B5307&gt;30000,4,IF(B5307&lt;1000,"ND",0))),"-")</f>
        <v>4</v>
      </c>
      <c r="B5307" s="116">
        <v>49553</v>
      </c>
      <c r="C5307" s="117">
        <v>45576</v>
      </c>
      <c r="D5307" s="116">
        <v>246.33</v>
      </c>
      <c r="E5307" s="117">
        <v>45580</v>
      </c>
      <c r="F5307" s="116">
        <f>COUNTIFS($A$3:A13557,A5307,$B$3:B13557,B5307)</f>
        <v>1</v>
      </c>
      <c r="G5307" s="116"/>
    </row>
    <row r="5308" spans="1:7" x14ac:dyDescent="0.2">
      <c r="A5308" s="116">
        <f>IF(ISNUMBER(Tabela2[[#This Row],[CT-e/NFS]])=TRUE,(IF(B5308&gt;30000,4,IF(B5308&lt;1000,"ND",0))),"-")</f>
        <v>4</v>
      </c>
      <c r="B5308" s="116">
        <v>49550</v>
      </c>
      <c r="C5308" s="117">
        <v>45576</v>
      </c>
      <c r="D5308" s="116">
        <v>86.68</v>
      </c>
      <c r="E5308" s="117">
        <v>45580</v>
      </c>
      <c r="F5308" s="116">
        <f>COUNTIFS($A$3:A13558,A5308,$B$3:B13558,B5308)</f>
        <v>1</v>
      </c>
      <c r="G5308" s="116"/>
    </row>
    <row r="5309" spans="1:7" x14ac:dyDescent="0.2">
      <c r="A5309" s="116">
        <f>IF(ISNUMBER(Tabela2[[#This Row],[CT-e/NFS]])=TRUE,(IF(B5309&gt;30000,4,IF(B5309&lt;1000,"ND",0))),"-")</f>
        <v>4</v>
      </c>
      <c r="B5309" s="116">
        <v>49551</v>
      </c>
      <c r="C5309" s="117">
        <v>45576</v>
      </c>
      <c r="D5309" s="116">
        <v>124.2</v>
      </c>
      <c r="E5309" s="117">
        <v>45580</v>
      </c>
      <c r="F5309" s="116">
        <f>COUNTIFS($A$3:A13559,A5309,$B$3:B13559,B5309)</f>
        <v>1</v>
      </c>
      <c r="G5309" s="116"/>
    </row>
    <row r="5310" spans="1:7" x14ac:dyDescent="0.2">
      <c r="A5310" s="116">
        <f>IF(ISNUMBER(Tabela2[[#This Row],[CT-e/NFS]])=TRUE,(IF(B5310&gt;30000,4,IF(B5310&lt;1000,"ND",0))),"-")</f>
        <v>0</v>
      </c>
      <c r="B5310" s="116">
        <v>22207</v>
      </c>
      <c r="C5310" s="117">
        <v>45576</v>
      </c>
      <c r="D5310" s="116">
        <v>76.349999999999994</v>
      </c>
      <c r="E5310" s="117">
        <v>45580</v>
      </c>
      <c r="F5310" s="116">
        <f>COUNTIFS($A$3:A13560,A5310,$B$3:B13560,B5310)</f>
        <v>1</v>
      </c>
      <c r="G5310" s="116"/>
    </row>
    <row r="5311" spans="1:7" x14ac:dyDescent="0.2">
      <c r="A5311" s="116">
        <f>IF(ISNUMBER(Tabela2[[#This Row],[CT-e/NFS]])=TRUE,(IF(B5311&gt;30000,4,IF(B5311&lt;1000,"ND",0))),"-")</f>
        <v>0</v>
      </c>
      <c r="B5311" s="116">
        <v>22211</v>
      </c>
      <c r="C5311" s="117">
        <v>45576</v>
      </c>
      <c r="D5311" s="116">
        <v>76.95</v>
      </c>
      <c r="E5311" s="117">
        <v>45580</v>
      </c>
      <c r="F5311" s="116">
        <f>COUNTIFS($A$3:A13561,A5311,$B$3:B13561,B5311)</f>
        <v>1</v>
      </c>
      <c r="G5311" s="116"/>
    </row>
    <row r="5312" spans="1:7" x14ac:dyDescent="0.2">
      <c r="A5312" s="116">
        <f>IF(ISNUMBER(Tabela2[[#This Row],[CT-e/NFS]])=TRUE,(IF(B5312&gt;30000,4,IF(B5312&lt;1000,"ND",0))),"-")</f>
        <v>0</v>
      </c>
      <c r="B5312" s="116">
        <v>22210</v>
      </c>
      <c r="C5312" s="117">
        <v>45576</v>
      </c>
      <c r="D5312" s="116">
        <v>146.43</v>
      </c>
      <c r="E5312" s="117">
        <v>45580</v>
      </c>
      <c r="F5312" s="116">
        <f>COUNTIFS($A$3:A13562,A5312,$B$3:B13562,B5312)</f>
        <v>1</v>
      </c>
      <c r="G5312" s="116"/>
    </row>
    <row r="5313" spans="1:7" x14ac:dyDescent="0.2">
      <c r="A5313" s="116">
        <f>IF(ISNUMBER(Tabela2[[#This Row],[CT-e/NFS]])=TRUE,(IF(B5313&gt;30000,4,IF(B5313&lt;1000,"ND",0))),"-")</f>
        <v>0</v>
      </c>
      <c r="B5313" s="116">
        <v>22209</v>
      </c>
      <c r="C5313" s="117">
        <v>45576</v>
      </c>
      <c r="D5313" s="116">
        <v>213.85</v>
      </c>
      <c r="E5313" s="117">
        <v>45580</v>
      </c>
      <c r="F5313" s="116">
        <f>COUNTIFS($A$3:A13563,A5313,$B$3:B13563,B5313)</f>
        <v>1</v>
      </c>
      <c r="G5313" s="116"/>
    </row>
    <row r="5314" spans="1:7" x14ac:dyDescent="0.2">
      <c r="A5314" s="116">
        <f>IF(ISNUMBER(Tabela2[[#This Row],[CT-e/NFS]])=TRUE,(IF(B5314&gt;30000,4,IF(B5314&lt;1000,"ND",0))),"-")</f>
        <v>0</v>
      </c>
      <c r="B5314" s="116">
        <v>22208</v>
      </c>
      <c r="C5314" s="117">
        <v>45576</v>
      </c>
      <c r="D5314" s="116">
        <v>143.56</v>
      </c>
      <c r="E5314" s="117">
        <v>45580</v>
      </c>
      <c r="F5314" s="116">
        <f>COUNTIFS($A$3:A13564,A5314,$B$3:B13564,B5314)</f>
        <v>1</v>
      </c>
      <c r="G5314" s="116"/>
    </row>
    <row r="5315" spans="1:7" x14ac:dyDescent="0.2">
      <c r="A5315" s="116">
        <f>IF(ISNUMBER(Tabela2[[#This Row],[CT-e/NFS]])=TRUE,(IF(B5315&gt;30000,4,IF(B5315&lt;1000,"ND",0))),"-")</f>
        <v>4</v>
      </c>
      <c r="B5315" s="116">
        <v>49560</v>
      </c>
      <c r="C5315" s="117">
        <v>45576</v>
      </c>
      <c r="D5315" s="116">
        <v>2906.31</v>
      </c>
      <c r="E5315" s="117">
        <v>45580</v>
      </c>
      <c r="F5315" s="116">
        <f>COUNTIFS($A$3:A13565,A5315,$B$3:B13565,B5315)</f>
        <v>1</v>
      </c>
      <c r="G5315" s="116"/>
    </row>
    <row r="5316" spans="1:7" x14ac:dyDescent="0.2">
      <c r="A5316" s="116">
        <f>IF(ISNUMBER(Tabela2[[#This Row],[CT-e/NFS]])=TRUE,(IF(B5316&gt;30000,4,IF(B5316&lt;1000,"ND",0))),"-")</f>
        <v>4</v>
      </c>
      <c r="B5316" s="116">
        <v>49537</v>
      </c>
      <c r="C5316" s="117">
        <v>45576</v>
      </c>
      <c r="D5316" s="116">
        <v>1076.93</v>
      </c>
      <c r="E5316" s="117">
        <v>45580</v>
      </c>
      <c r="F5316" s="116">
        <f>COUNTIFS($A$3:A13566,A5316,$B$3:B13566,B5316)</f>
        <v>1</v>
      </c>
      <c r="G5316" s="116"/>
    </row>
    <row r="5317" spans="1:7" x14ac:dyDescent="0.2">
      <c r="A5317" s="116">
        <f>IF(ISNUMBER(Tabela2[[#This Row],[CT-e/NFS]])=TRUE,(IF(B5317&gt;30000,4,IF(B5317&lt;1000,"ND",0))),"-")</f>
        <v>4</v>
      </c>
      <c r="B5317" s="116">
        <v>49536</v>
      </c>
      <c r="C5317" s="117">
        <v>45576</v>
      </c>
      <c r="D5317" s="116">
        <v>126.26</v>
      </c>
      <c r="E5317" s="117">
        <v>45580</v>
      </c>
      <c r="F5317" s="116">
        <f>COUNTIFS($A$3:A13567,A5317,$B$3:B13567,B5317)</f>
        <v>1</v>
      </c>
      <c r="G5317" s="116"/>
    </row>
    <row r="5318" spans="1:7" x14ac:dyDescent="0.2">
      <c r="A5318" s="116">
        <f>IF(ISNUMBER(Tabela2[[#This Row],[CT-e/NFS]])=TRUE,(IF(B5318&gt;30000,4,IF(B5318&lt;1000,"ND",0))),"-")</f>
        <v>4</v>
      </c>
      <c r="B5318" s="116">
        <v>49572</v>
      </c>
      <c r="C5318" s="117">
        <v>45576</v>
      </c>
      <c r="D5318" s="116">
        <v>125.11</v>
      </c>
      <c r="E5318" s="117">
        <v>45580</v>
      </c>
      <c r="F5318" s="116">
        <f>COUNTIFS($A$3:A13568,A5318,$B$3:B13568,B5318)</f>
        <v>1</v>
      </c>
      <c r="G5318" s="116"/>
    </row>
    <row r="5319" spans="1:7" x14ac:dyDescent="0.2">
      <c r="A5319" s="116">
        <f>IF(ISNUMBER(Tabela2[[#This Row],[CT-e/NFS]])=TRUE,(IF(B5319&gt;30000,4,IF(B5319&lt;1000,"ND",0))),"-")</f>
        <v>4</v>
      </c>
      <c r="B5319" s="116">
        <v>49571</v>
      </c>
      <c r="C5319" s="117">
        <v>45576</v>
      </c>
      <c r="D5319" s="116">
        <v>131.9</v>
      </c>
      <c r="E5319" s="117">
        <v>45580</v>
      </c>
      <c r="F5319" s="116">
        <f>COUNTIFS($A$3:A13569,A5319,$B$3:B13569,B5319)</f>
        <v>1</v>
      </c>
      <c r="G5319" s="116"/>
    </row>
    <row r="5320" spans="1:7" x14ac:dyDescent="0.2">
      <c r="A5320" s="116">
        <f>IF(ISNUMBER(Tabela2[[#This Row],[CT-e/NFS]])=TRUE,(IF(B5320&gt;30000,4,IF(B5320&lt;1000,"ND",0))),"-")</f>
        <v>4</v>
      </c>
      <c r="B5320" s="116">
        <v>49569</v>
      </c>
      <c r="C5320" s="117">
        <v>45576</v>
      </c>
      <c r="D5320" s="116">
        <v>205.53</v>
      </c>
      <c r="E5320" s="117">
        <v>45580</v>
      </c>
      <c r="F5320" s="116">
        <f>COUNTIFS($A$3:A13570,A5320,$B$3:B13570,B5320)</f>
        <v>1</v>
      </c>
      <c r="G5320" s="116"/>
    </row>
    <row r="5321" spans="1:7" x14ac:dyDescent="0.2">
      <c r="A5321" s="116">
        <f>IF(ISNUMBER(Tabela2[[#This Row],[CT-e/NFS]])=TRUE,(IF(B5321&gt;30000,4,IF(B5321&lt;1000,"ND",0))),"-")</f>
        <v>4</v>
      </c>
      <c r="B5321" s="116">
        <v>49570</v>
      </c>
      <c r="C5321" s="117">
        <v>45576</v>
      </c>
      <c r="D5321" s="116">
        <v>131.9</v>
      </c>
      <c r="E5321" s="117">
        <v>45580</v>
      </c>
      <c r="F5321" s="116">
        <f>COUNTIFS($A$3:A13571,A5321,$B$3:B13571,B5321)</f>
        <v>1</v>
      </c>
      <c r="G5321" s="116"/>
    </row>
    <row r="5322" spans="1:7" x14ac:dyDescent="0.2">
      <c r="A5322" s="116">
        <f>IF(ISNUMBER(Tabela2[[#This Row],[CT-e/NFS]])=TRUE,(IF(B5322&gt;30000,4,IF(B5322&lt;1000,"ND",0))),"-")</f>
        <v>4</v>
      </c>
      <c r="B5322" s="116">
        <v>49567</v>
      </c>
      <c r="C5322" s="117">
        <v>45576</v>
      </c>
      <c r="D5322" s="116">
        <v>454.19</v>
      </c>
      <c r="E5322" s="117">
        <v>45580</v>
      </c>
      <c r="F5322" s="116">
        <f>COUNTIFS($A$3:A13572,A5322,$B$3:B13572,B5322)</f>
        <v>1</v>
      </c>
      <c r="G5322" s="116"/>
    </row>
    <row r="5323" spans="1:7" x14ac:dyDescent="0.2">
      <c r="A5323" s="116">
        <f>IF(ISNUMBER(Tabela2[[#This Row],[CT-e/NFS]])=TRUE,(IF(B5323&gt;30000,4,IF(B5323&lt;1000,"ND",0))),"-")</f>
        <v>4</v>
      </c>
      <c r="B5323" s="116">
        <v>49568</v>
      </c>
      <c r="C5323" s="117">
        <v>45576</v>
      </c>
      <c r="D5323" s="116">
        <v>123.83</v>
      </c>
      <c r="E5323" s="117">
        <v>45580</v>
      </c>
      <c r="F5323" s="116">
        <f>COUNTIFS($A$3:A13573,A5323,$B$3:B13573,B5323)</f>
        <v>1</v>
      </c>
      <c r="G5323" s="116"/>
    </row>
    <row r="5324" spans="1:7" x14ac:dyDescent="0.2">
      <c r="A5324" s="116">
        <f>IF(ISNUMBER(Tabela2[[#This Row],[CT-e/NFS]])=TRUE,(IF(B5324&gt;30000,4,IF(B5324&lt;1000,"ND",0))),"-")</f>
        <v>4</v>
      </c>
      <c r="B5324" s="116">
        <v>49575</v>
      </c>
      <c r="C5324" s="117">
        <v>45576</v>
      </c>
      <c r="D5324" s="116">
        <v>591.72</v>
      </c>
      <c r="E5324" s="117">
        <v>45580</v>
      </c>
      <c r="F5324" s="116">
        <f>COUNTIFS($A$3:A13574,A5324,$B$3:B13574,B5324)</f>
        <v>1</v>
      </c>
      <c r="G5324" s="116"/>
    </row>
    <row r="5325" spans="1:7" x14ac:dyDescent="0.2">
      <c r="A5325" s="116">
        <f>IF(ISNUMBER(Tabela2[[#This Row],[CT-e/NFS]])=TRUE,(IF(B5325&gt;30000,4,IF(B5325&lt;1000,"ND",0))),"-")</f>
        <v>4</v>
      </c>
      <c r="B5325" s="116">
        <v>49576</v>
      </c>
      <c r="C5325" s="117">
        <v>45576</v>
      </c>
      <c r="D5325" s="116">
        <v>282.44</v>
      </c>
      <c r="E5325" s="117">
        <v>45580</v>
      </c>
      <c r="F5325" s="116">
        <f>COUNTIFS($A$3:A13575,A5325,$B$3:B13575,B5325)</f>
        <v>1</v>
      </c>
      <c r="G5325" s="116"/>
    </row>
    <row r="5326" spans="1:7" x14ac:dyDescent="0.2">
      <c r="A5326" s="116">
        <f>IF(ISNUMBER(Tabela2[[#This Row],[CT-e/NFS]])=TRUE,(IF(B5326&gt;30000,4,IF(B5326&lt;1000,"ND",0))),"-")</f>
        <v>4</v>
      </c>
      <c r="B5326" s="116">
        <v>49577</v>
      </c>
      <c r="C5326" s="117">
        <v>45576</v>
      </c>
      <c r="D5326" s="116">
        <v>224.65</v>
      </c>
      <c r="E5326" s="117">
        <v>45580</v>
      </c>
      <c r="F5326" s="116">
        <f>COUNTIFS($A$3:A13576,A5326,$B$3:B13576,B5326)</f>
        <v>1</v>
      </c>
      <c r="G5326" s="116"/>
    </row>
    <row r="5327" spans="1:7" x14ac:dyDescent="0.2">
      <c r="A5327" s="116">
        <f>IF(ISNUMBER(Tabela2[[#This Row],[CT-e/NFS]])=TRUE,(IF(B5327&gt;30000,4,IF(B5327&lt;1000,"ND",0))),"-")</f>
        <v>4</v>
      </c>
      <c r="B5327" s="116">
        <v>49593</v>
      </c>
      <c r="C5327" s="117">
        <v>45576</v>
      </c>
      <c r="D5327" s="116">
        <v>124.2</v>
      </c>
      <c r="E5327" s="117">
        <v>45580</v>
      </c>
      <c r="F5327" s="116">
        <f>COUNTIFS($A$3:A13577,A5327,$B$3:B13577,B5327)</f>
        <v>1</v>
      </c>
      <c r="G5327" s="116"/>
    </row>
    <row r="5328" spans="1:7" x14ac:dyDescent="0.2">
      <c r="A5328" s="116">
        <f>IF(ISNUMBER(Tabela2[[#This Row],[CT-e/NFS]])=TRUE,(IF(B5328&gt;30000,4,IF(B5328&lt;1000,"ND",0))),"-")</f>
        <v>4</v>
      </c>
      <c r="B5328" s="116">
        <v>49589</v>
      </c>
      <c r="C5328" s="117">
        <v>45576</v>
      </c>
      <c r="D5328" s="116">
        <v>123.52</v>
      </c>
      <c r="E5328" s="117">
        <v>45580</v>
      </c>
      <c r="F5328" s="116">
        <f>COUNTIFS($A$3:A13578,A5328,$B$3:B13578,B5328)</f>
        <v>1</v>
      </c>
      <c r="G5328" s="116"/>
    </row>
    <row r="5329" spans="1:7" x14ac:dyDescent="0.2">
      <c r="A5329" s="116">
        <f>IF(ISNUMBER(Tabela2[[#This Row],[CT-e/NFS]])=TRUE,(IF(B5329&gt;30000,4,IF(B5329&lt;1000,"ND",0))),"-")</f>
        <v>4</v>
      </c>
      <c r="B5329" s="116">
        <v>49578</v>
      </c>
      <c r="C5329" s="117">
        <v>45576</v>
      </c>
      <c r="D5329" s="116">
        <v>229.91</v>
      </c>
      <c r="E5329" s="117">
        <v>45580</v>
      </c>
      <c r="F5329" s="116">
        <f>COUNTIFS($A$3:A13579,A5329,$B$3:B13579,B5329)</f>
        <v>1</v>
      </c>
      <c r="G5329" s="116"/>
    </row>
    <row r="5330" spans="1:7" x14ac:dyDescent="0.2">
      <c r="A5330" s="116">
        <f>IF(ISNUMBER(Tabela2[[#This Row],[CT-e/NFS]])=TRUE,(IF(B5330&gt;30000,4,IF(B5330&lt;1000,"ND",0))),"-")</f>
        <v>4</v>
      </c>
      <c r="B5330" s="116">
        <v>49566</v>
      </c>
      <c r="C5330" s="117">
        <v>45576</v>
      </c>
      <c r="D5330" s="116">
        <v>239.07</v>
      </c>
      <c r="E5330" s="117">
        <v>45580</v>
      </c>
      <c r="F5330" s="116">
        <f>COUNTIFS($A$3:A13580,A5330,$B$3:B13580,B5330)</f>
        <v>1</v>
      </c>
      <c r="G5330" s="116"/>
    </row>
    <row r="5331" spans="1:7" x14ac:dyDescent="0.2">
      <c r="A5331" s="116">
        <f>IF(ISNUMBER(Tabela2[[#This Row],[CT-e/NFS]])=TRUE,(IF(B5331&gt;30000,4,IF(B5331&lt;1000,"ND",0))),"-")</f>
        <v>4</v>
      </c>
      <c r="B5331" s="116">
        <v>49581</v>
      </c>
      <c r="C5331" s="117">
        <v>45576</v>
      </c>
      <c r="D5331" s="116">
        <v>205.13</v>
      </c>
      <c r="E5331" s="117">
        <v>45580</v>
      </c>
      <c r="F5331" s="116">
        <f>COUNTIFS($A$3:A13581,A5331,$B$3:B13581,B5331)</f>
        <v>1</v>
      </c>
      <c r="G5331" s="116"/>
    </row>
    <row r="5332" spans="1:7" x14ac:dyDescent="0.2">
      <c r="A5332" s="116">
        <f>IF(ISNUMBER(Tabela2[[#This Row],[CT-e/NFS]])=TRUE,(IF(B5332&gt;30000,4,IF(B5332&lt;1000,"ND",0))),"-")</f>
        <v>4</v>
      </c>
      <c r="B5332" s="116">
        <v>49587</v>
      </c>
      <c r="C5332" s="117">
        <v>45576</v>
      </c>
      <c r="D5332" s="116">
        <v>126.6</v>
      </c>
      <c r="E5332" s="117">
        <v>45580</v>
      </c>
      <c r="F5332" s="116">
        <f>COUNTIFS($A$3:A13582,A5332,$B$3:B13582,B5332)</f>
        <v>1</v>
      </c>
      <c r="G5332" s="116"/>
    </row>
    <row r="5333" spans="1:7" x14ac:dyDescent="0.2">
      <c r="A5333" s="116">
        <f>IF(ISNUMBER(Tabela2[[#This Row],[CT-e/NFS]])=TRUE,(IF(B5333&gt;30000,4,IF(B5333&lt;1000,"ND",0))),"-")</f>
        <v>4</v>
      </c>
      <c r="B5333" s="116">
        <v>49585</v>
      </c>
      <c r="C5333" s="117">
        <v>45576</v>
      </c>
      <c r="D5333" s="116">
        <v>123.34</v>
      </c>
      <c r="E5333" s="117">
        <v>45580</v>
      </c>
      <c r="F5333" s="116">
        <f>COUNTIFS($A$3:A13583,A5333,$B$3:B13583,B5333)</f>
        <v>1</v>
      </c>
      <c r="G5333" s="116"/>
    </row>
    <row r="5334" spans="1:7" x14ac:dyDescent="0.2">
      <c r="A5334" s="116">
        <f>IF(ISNUMBER(Tabela2[[#This Row],[CT-e/NFS]])=TRUE,(IF(B5334&gt;30000,4,IF(B5334&lt;1000,"ND",0))),"-")</f>
        <v>4</v>
      </c>
      <c r="B5334" s="116">
        <v>49582</v>
      </c>
      <c r="C5334" s="117">
        <v>45576</v>
      </c>
      <c r="D5334" s="116">
        <v>396.45</v>
      </c>
      <c r="E5334" s="117">
        <v>45580</v>
      </c>
      <c r="F5334" s="116">
        <f>COUNTIFS($A$3:A13584,A5334,$B$3:B13584,B5334)</f>
        <v>1</v>
      </c>
      <c r="G5334" s="116"/>
    </row>
    <row r="5335" spans="1:7" x14ac:dyDescent="0.2">
      <c r="A5335" s="116">
        <f>IF(ISNUMBER(Tabela2[[#This Row],[CT-e/NFS]])=TRUE,(IF(B5335&gt;30000,4,IF(B5335&lt;1000,"ND",0))),"-")</f>
        <v>4</v>
      </c>
      <c r="B5335" s="116">
        <v>49579</v>
      </c>
      <c r="C5335" s="117">
        <v>45576</v>
      </c>
      <c r="D5335" s="116">
        <v>207.51</v>
      </c>
      <c r="E5335" s="117">
        <v>45580</v>
      </c>
      <c r="F5335" s="116">
        <f>COUNTIFS($A$3:A13585,A5335,$B$3:B13585,B5335)</f>
        <v>1</v>
      </c>
      <c r="G5335" s="116"/>
    </row>
    <row r="5336" spans="1:7" x14ac:dyDescent="0.2">
      <c r="A5336" s="116">
        <f>IF(ISNUMBER(Tabela2[[#This Row],[CT-e/NFS]])=TRUE,(IF(B5336&gt;30000,4,IF(B5336&lt;1000,"ND",0))),"-")</f>
        <v>4</v>
      </c>
      <c r="B5336" s="116">
        <v>49588</v>
      </c>
      <c r="C5336" s="117">
        <v>45576</v>
      </c>
      <c r="D5336" s="116">
        <v>125.64</v>
      </c>
      <c r="E5336" s="117">
        <v>45580</v>
      </c>
      <c r="F5336" s="116">
        <f>COUNTIFS($A$3:A13586,A5336,$B$3:B13586,B5336)</f>
        <v>1</v>
      </c>
      <c r="G5336" s="116"/>
    </row>
    <row r="5337" spans="1:7" x14ac:dyDescent="0.2">
      <c r="A5337" s="116">
        <f>IF(ISNUMBER(Tabela2[[#This Row],[CT-e/NFS]])=TRUE,(IF(B5337&gt;30000,4,IF(B5337&lt;1000,"ND",0))),"-")</f>
        <v>4</v>
      </c>
      <c r="B5337" s="116">
        <v>49584</v>
      </c>
      <c r="C5337" s="117">
        <v>45576</v>
      </c>
      <c r="D5337" s="116">
        <v>229.78</v>
      </c>
      <c r="E5337" s="117">
        <v>45580</v>
      </c>
      <c r="F5337" s="116">
        <f>COUNTIFS($A$3:A13587,A5337,$B$3:B13587,B5337)</f>
        <v>1</v>
      </c>
      <c r="G5337" s="116"/>
    </row>
    <row r="5338" spans="1:7" x14ac:dyDescent="0.2">
      <c r="A5338" s="116">
        <f>IF(ISNUMBER(Tabela2[[#This Row],[CT-e/NFS]])=TRUE,(IF(B5338&gt;30000,4,IF(B5338&lt;1000,"ND",0))),"-")</f>
        <v>4</v>
      </c>
      <c r="B5338" s="116">
        <v>49580</v>
      </c>
      <c r="C5338" s="117">
        <v>45576</v>
      </c>
      <c r="D5338" s="116">
        <v>362.55</v>
      </c>
      <c r="E5338" s="117">
        <v>45580</v>
      </c>
      <c r="F5338" s="116">
        <f>COUNTIFS($A$3:A13588,A5338,$B$3:B13588,B5338)</f>
        <v>1</v>
      </c>
      <c r="G5338" s="116"/>
    </row>
    <row r="5339" spans="1:7" x14ac:dyDescent="0.2">
      <c r="A5339" s="116">
        <f>IF(ISNUMBER(Tabela2[[#This Row],[CT-e/NFS]])=TRUE,(IF(B5339&gt;30000,4,IF(B5339&lt;1000,"ND",0))),"-")</f>
        <v>4</v>
      </c>
      <c r="B5339" s="116">
        <v>49586</v>
      </c>
      <c r="C5339" s="117">
        <v>45576</v>
      </c>
      <c r="D5339" s="116">
        <v>125.13</v>
      </c>
      <c r="E5339" s="117">
        <v>45580</v>
      </c>
      <c r="F5339" s="116">
        <f>COUNTIFS($A$3:A13589,A5339,$B$3:B13589,B5339)</f>
        <v>1</v>
      </c>
      <c r="G5339" s="116"/>
    </row>
    <row r="5340" spans="1:7" x14ac:dyDescent="0.2">
      <c r="A5340" s="116">
        <f>IF(ISNUMBER(Tabela2[[#This Row],[CT-e/NFS]])=TRUE,(IF(B5340&gt;30000,4,IF(B5340&lt;1000,"ND",0))),"-")</f>
        <v>4</v>
      </c>
      <c r="B5340" s="116">
        <v>49598</v>
      </c>
      <c r="C5340" s="117">
        <v>45576</v>
      </c>
      <c r="D5340" s="116">
        <v>396.45</v>
      </c>
      <c r="E5340" s="117">
        <v>45580</v>
      </c>
      <c r="F5340" s="116">
        <f>COUNTIFS($A$3:A13590,A5340,$B$3:B13590,B5340)</f>
        <v>1</v>
      </c>
      <c r="G5340" s="116"/>
    </row>
    <row r="5341" spans="1:7" x14ac:dyDescent="0.2">
      <c r="A5341" s="116">
        <f>IF(ISNUMBER(Tabela2[[#This Row],[CT-e/NFS]])=TRUE,(IF(B5341&gt;30000,4,IF(B5341&lt;1000,"ND",0))),"-")</f>
        <v>4</v>
      </c>
      <c r="B5341" s="116">
        <v>49565</v>
      </c>
      <c r="C5341" s="117">
        <v>45576</v>
      </c>
      <c r="D5341" s="116">
        <v>396.45</v>
      </c>
      <c r="E5341" s="117">
        <v>45580</v>
      </c>
      <c r="F5341" s="116">
        <f>COUNTIFS($A$3:A13591,A5341,$B$3:B13591,B5341)</f>
        <v>1</v>
      </c>
      <c r="G5341" s="116"/>
    </row>
    <row r="5342" spans="1:7" x14ac:dyDescent="0.2">
      <c r="A5342" s="116">
        <f>IF(ISNUMBER(Tabela2[[#This Row],[CT-e/NFS]])=TRUE,(IF(B5342&gt;30000,4,IF(B5342&lt;1000,"ND",0))),"-")</f>
        <v>4</v>
      </c>
      <c r="B5342" s="116">
        <v>49592</v>
      </c>
      <c r="C5342" s="117">
        <v>45576</v>
      </c>
      <c r="D5342" s="116">
        <v>112.73</v>
      </c>
      <c r="E5342" s="117">
        <v>45580</v>
      </c>
      <c r="F5342" s="116">
        <f>COUNTIFS($A$3:A13592,A5342,$B$3:B13592,B5342)</f>
        <v>1</v>
      </c>
      <c r="G5342" s="116"/>
    </row>
    <row r="5343" spans="1:7" x14ac:dyDescent="0.2">
      <c r="A5343" s="116">
        <f>IF(ISNUMBER(Tabela2[[#This Row],[CT-e/NFS]])=TRUE,(IF(B5343&gt;30000,4,IF(B5343&lt;1000,"ND",0))),"-")</f>
        <v>4</v>
      </c>
      <c r="B5343" s="116">
        <v>49591</v>
      </c>
      <c r="C5343" s="117">
        <v>45576</v>
      </c>
      <c r="D5343" s="116">
        <v>62.63</v>
      </c>
      <c r="E5343" s="117">
        <v>45580</v>
      </c>
      <c r="F5343" s="116">
        <f>COUNTIFS($A$3:A13593,A5343,$B$3:B13593,B5343)</f>
        <v>1</v>
      </c>
      <c r="G5343" s="116"/>
    </row>
    <row r="5344" spans="1:7" x14ac:dyDescent="0.2">
      <c r="A5344" s="116">
        <f>IF(ISNUMBER(Tabela2[[#This Row],[CT-e/NFS]])=TRUE,(IF(B5344&gt;30000,4,IF(B5344&lt;1000,"ND",0))),"-")</f>
        <v>4</v>
      </c>
      <c r="B5344" s="116">
        <v>49559</v>
      </c>
      <c r="C5344" s="117">
        <v>45576</v>
      </c>
      <c r="D5344" s="116">
        <v>616.97</v>
      </c>
      <c r="E5344" s="117">
        <v>45580</v>
      </c>
      <c r="F5344" s="116">
        <f>COUNTIFS($A$3:A13594,A5344,$B$3:B13594,B5344)</f>
        <v>1</v>
      </c>
      <c r="G5344" s="116"/>
    </row>
    <row r="5345" spans="1:7" x14ac:dyDescent="0.2">
      <c r="A5345" s="116">
        <f>IF(ISNUMBER(Tabela2[[#This Row],[CT-e/NFS]])=TRUE,(IF(B5345&gt;30000,4,IF(B5345&lt;1000,"ND",0))),"-")</f>
        <v>4</v>
      </c>
      <c r="B5345" s="116">
        <v>49597</v>
      </c>
      <c r="C5345" s="117">
        <v>45576</v>
      </c>
      <c r="D5345" s="116">
        <v>184.75</v>
      </c>
      <c r="E5345" s="117">
        <v>45580</v>
      </c>
      <c r="F5345" s="116">
        <f>COUNTIFS($A$3:A13595,A5345,$B$3:B13595,B5345)</f>
        <v>1</v>
      </c>
      <c r="G5345" s="116"/>
    </row>
    <row r="5346" spans="1:7" x14ac:dyDescent="0.2">
      <c r="A5346" s="116">
        <f>IF(ISNUMBER(Tabela2[[#This Row],[CT-e/NFS]])=TRUE,(IF(B5346&gt;30000,4,IF(B5346&lt;1000,"ND",0))),"-")</f>
        <v>4</v>
      </c>
      <c r="B5346" s="116">
        <v>49616</v>
      </c>
      <c r="C5346" s="117">
        <v>45576</v>
      </c>
      <c r="D5346" s="116">
        <v>102.76</v>
      </c>
      <c r="E5346" s="117">
        <v>45580</v>
      </c>
      <c r="F5346" s="116">
        <f>COUNTIFS($A$3:A13596,A5346,$B$3:B13596,B5346)</f>
        <v>1</v>
      </c>
      <c r="G5346" s="116"/>
    </row>
    <row r="5347" spans="1:7" x14ac:dyDescent="0.2">
      <c r="A5347" s="116">
        <f>IF(ISNUMBER(Tabela2[[#This Row],[CT-e/NFS]])=TRUE,(IF(B5347&gt;30000,4,IF(B5347&lt;1000,"ND",0))),"-")</f>
        <v>4</v>
      </c>
      <c r="B5347" s="116">
        <v>49617</v>
      </c>
      <c r="C5347" s="117">
        <v>45576</v>
      </c>
      <c r="D5347" s="116">
        <v>185.57</v>
      </c>
      <c r="E5347" s="117">
        <v>45580</v>
      </c>
      <c r="F5347" s="116">
        <f>COUNTIFS($A$3:A13597,A5347,$B$3:B13597,B5347)</f>
        <v>1</v>
      </c>
      <c r="G5347" s="116"/>
    </row>
    <row r="5348" spans="1:7" x14ac:dyDescent="0.2">
      <c r="A5348" s="116">
        <f>IF(ISNUMBER(Tabela2[[#This Row],[CT-e/NFS]])=TRUE,(IF(B5348&gt;30000,4,IF(B5348&lt;1000,"ND",0))),"-")</f>
        <v>4</v>
      </c>
      <c r="B5348" s="116">
        <v>49612</v>
      </c>
      <c r="C5348" s="117">
        <v>45576</v>
      </c>
      <c r="D5348" s="116">
        <v>65.94</v>
      </c>
      <c r="E5348" s="117">
        <v>45580</v>
      </c>
      <c r="F5348" s="116">
        <f>COUNTIFS($A$3:A13598,A5348,$B$3:B13598,B5348)</f>
        <v>1</v>
      </c>
      <c r="G5348" s="116"/>
    </row>
    <row r="5349" spans="1:7" x14ac:dyDescent="0.2">
      <c r="A5349" s="116">
        <f>IF(ISNUMBER(Tabela2[[#This Row],[CT-e/NFS]])=TRUE,(IF(B5349&gt;30000,4,IF(B5349&lt;1000,"ND",0))),"-")</f>
        <v>4</v>
      </c>
      <c r="B5349" s="116">
        <v>49613</v>
      </c>
      <c r="C5349" s="117">
        <v>45576</v>
      </c>
      <c r="D5349" s="116">
        <v>119.09</v>
      </c>
      <c r="E5349" s="117">
        <v>45580</v>
      </c>
      <c r="F5349" s="116">
        <f>COUNTIFS($A$3:A13599,A5349,$B$3:B13599,B5349)</f>
        <v>1</v>
      </c>
      <c r="G5349" s="116"/>
    </row>
    <row r="5350" spans="1:7" x14ac:dyDescent="0.2">
      <c r="A5350" s="116">
        <f>IF(ISNUMBER(Tabela2[[#This Row],[CT-e/NFS]])=TRUE,(IF(B5350&gt;30000,4,IF(B5350&lt;1000,"ND",0))),"-")</f>
        <v>4</v>
      </c>
      <c r="B5350" s="116">
        <v>49615</v>
      </c>
      <c r="C5350" s="117">
        <v>45576</v>
      </c>
      <c r="D5350" s="116">
        <v>112.84</v>
      </c>
      <c r="E5350" s="117">
        <v>45580</v>
      </c>
      <c r="F5350" s="116">
        <f>COUNTIFS($A$3:A13600,A5350,$B$3:B13600,B5350)</f>
        <v>1</v>
      </c>
      <c r="G5350" s="116"/>
    </row>
    <row r="5351" spans="1:7" x14ac:dyDescent="0.2">
      <c r="A5351" s="116">
        <f>IF(ISNUMBER(Tabela2[[#This Row],[CT-e/NFS]])=TRUE,(IF(B5351&gt;30000,4,IF(B5351&lt;1000,"ND",0))),"-")</f>
        <v>4</v>
      </c>
      <c r="B5351" s="116">
        <v>49614</v>
      </c>
      <c r="C5351" s="117">
        <v>45576</v>
      </c>
      <c r="D5351" s="116">
        <v>62.56</v>
      </c>
      <c r="E5351" s="117">
        <v>45580</v>
      </c>
      <c r="F5351" s="116">
        <f>COUNTIFS($A$3:A13601,A5351,$B$3:B13601,B5351)</f>
        <v>1</v>
      </c>
      <c r="G5351" s="116"/>
    </row>
    <row r="5352" spans="1:7" x14ac:dyDescent="0.2">
      <c r="A5352" s="116">
        <f>IF(ISNUMBER(Tabela2[[#This Row],[CT-e/NFS]])=TRUE,(IF(B5352&gt;30000,4,IF(B5352&lt;1000,"ND",0))),"-")</f>
        <v>0</v>
      </c>
      <c r="B5352" s="116">
        <v>22213</v>
      </c>
      <c r="C5352" s="117">
        <v>45576</v>
      </c>
      <c r="D5352" s="116">
        <v>320.62</v>
      </c>
      <c r="E5352" s="117">
        <v>45580</v>
      </c>
      <c r="F5352" s="116">
        <f>COUNTIFS($A$3:A13602,A5352,$B$3:B13602,B5352)</f>
        <v>1</v>
      </c>
      <c r="G5352" s="116"/>
    </row>
    <row r="5353" spans="1:7" x14ac:dyDescent="0.2">
      <c r="A5353" s="116">
        <f>IF(ISNUMBER(Tabela2[[#This Row],[CT-e/NFS]])=TRUE,(IF(B5353&gt;30000,4,IF(B5353&lt;1000,"ND",0))),"-")</f>
        <v>0</v>
      </c>
      <c r="B5353" s="116">
        <v>22215</v>
      </c>
      <c r="C5353" s="117">
        <v>45576</v>
      </c>
      <c r="D5353" s="116">
        <v>844.3</v>
      </c>
      <c r="E5353" s="117">
        <v>45580</v>
      </c>
      <c r="F5353" s="116">
        <f>COUNTIFS($A$3:A13603,A5353,$B$3:B13603,B5353)</f>
        <v>1</v>
      </c>
      <c r="G5353" s="116"/>
    </row>
    <row r="5354" spans="1:7" x14ac:dyDescent="0.2">
      <c r="A5354" s="116">
        <f>IF(ISNUMBER(Tabela2[[#This Row],[CT-e/NFS]])=TRUE,(IF(B5354&gt;30000,4,IF(B5354&lt;1000,"ND",0))),"-")</f>
        <v>0</v>
      </c>
      <c r="B5354" s="116">
        <v>22214</v>
      </c>
      <c r="C5354" s="117">
        <v>45576</v>
      </c>
      <c r="D5354" s="116">
        <v>75.599999999999994</v>
      </c>
      <c r="E5354" s="117">
        <v>45580</v>
      </c>
      <c r="F5354" s="116">
        <f>COUNTIFS($A$3:A13604,A5354,$B$3:B13604,B5354)</f>
        <v>1</v>
      </c>
      <c r="G5354" s="116"/>
    </row>
    <row r="5355" spans="1:7" x14ac:dyDescent="0.2">
      <c r="A5355" s="116">
        <f>IF(ISNUMBER(Tabela2[[#This Row],[CT-e/NFS]])=TRUE,(IF(B5355&gt;30000,4,IF(B5355&lt;1000,"ND",0))),"-")</f>
        <v>4</v>
      </c>
      <c r="B5355" s="116">
        <v>49611</v>
      </c>
      <c r="C5355" s="117">
        <v>45576</v>
      </c>
      <c r="D5355" s="116">
        <v>438.91</v>
      </c>
      <c r="E5355" s="117">
        <v>45580</v>
      </c>
      <c r="F5355" s="116">
        <f>COUNTIFS($A$3:A13605,A5355,$B$3:B13605,B5355)</f>
        <v>1</v>
      </c>
      <c r="G5355" s="116"/>
    </row>
    <row r="5356" spans="1:7" x14ac:dyDescent="0.2">
      <c r="A5356" s="116">
        <f>IF(ISNUMBER(Tabela2[[#This Row],[CT-e/NFS]])=TRUE,(IF(B5356&gt;30000,4,IF(B5356&lt;1000,"ND",0))),"-")</f>
        <v>4</v>
      </c>
      <c r="B5356" s="116">
        <v>49609</v>
      </c>
      <c r="C5356" s="117">
        <v>45576</v>
      </c>
      <c r="D5356" s="116">
        <v>124.3</v>
      </c>
      <c r="E5356" s="117">
        <v>45580</v>
      </c>
      <c r="F5356" s="116">
        <f>COUNTIFS($A$3:A13606,A5356,$B$3:B13606,B5356)</f>
        <v>1</v>
      </c>
      <c r="G5356" s="116"/>
    </row>
    <row r="5357" spans="1:7" x14ac:dyDescent="0.2">
      <c r="A5357" s="116">
        <f>IF(ISNUMBER(Tabela2[[#This Row],[CT-e/NFS]])=TRUE,(IF(B5357&gt;30000,4,IF(B5357&lt;1000,"ND",0))),"-")</f>
        <v>4</v>
      </c>
      <c r="B5357" s="116">
        <v>49608</v>
      </c>
      <c r="C5357" s="117">
        <v>45576</v>
      </c>
      <c r="D5357" s="116">
        <v>125.36</v>
      </c>
      <c r="E5357" s="117">
        <v>45580</v>
      </c>
      <c r="F5357" s="116">
        <f>COUNTIFS($A$3:A13607,A5357,$B$3:B13607,B5357)</f>
        <v>1</v>
      </c>
      <c r="G5357" s="116"/>
    </row>
    <row r="5358" spans="1:7" x14ac:dyDescent="0.2">
      <c r="A5358" s="116">
        <f>IF(ISNUMBER(Tabela2[[#This Row],[CT-e/NFS]])=TRUE,(IF(B5358&gt;30000,4,IF(B5358&lt;1000,"ND",0))),"-")</f>
        <v>4</v>
      </c>
      <c r="B5358" s="116">
        <v>49610</v>
      </c>
      <c r="C5358" s="117">
        <v>45576</v>
      </c>
      <c r="D5358" s="116">
        <v>124.49</v>
      </c>
      <c r="E5358" s="117">
        <v>45580</v>
      </c>
      <c r="F5358" s="116">
        <f>COUNTIFS($A$3:A13608,A5358,$B$3:B13608,B5358)</f>
        <v>1</v>
      </c>
      <c r="G5358" s="116"/>
    </row>
    <row r="5359" spans="1:7" x14ac:dyDescent="0.2">
      <c r="A5359" s="116">
        <f>IF(ISNUMBER(Tabela2[[#This Row],[CT-e/NFS]])=TRUE,(IF(B5359&gt;30000,4,IF(B5359&lt;1000,"ND",0))),"-")</f>
        <v>4</v>
      </c>
      <c r="B5359" s="116">
        <v>49620</v>
      </c>
      <c r="C5359" s="117">
        <v>45576</v>
      </c>
      <c r="D5359" s="116">
        <v>359.03</v>
      </c>
      <c r="E5359" s="117">
        <v>45580</v>
      </c>
      <c r="F5359" s="116">
        <f>COUNTIFS($A$3:A13609,A5359,$B$3:B13609,B5359)</f>
        <v>1</v>
      </c>
      <c r="G5359" s="116"/>
    </row>
    <row r="5360" spans="1:7" x14ac:dyDescent="0.2">
      <c r="A5360" s="116">
        <f>IF(ISNUMBER(Tabela2[[#This Row],[CT-e/NFS]])=TRUE,(IF(B5360&gt;30000,4,IF(B5360&lt;1000,"ND",0))),"-")</f>
        <v>4</v>
      </c>
      <c r="B5360" s="116">
        <v>49607</v>
      </c>
      <c r="C5360" s="117">
        <v>45576</v>
      </c>
      <c r="D5360" s="116">
        <v>124.53</v>
      </c>
      <c r="E5360" s="117">
        <v>45580</v>
      </c>
      <c r="F5360" s="116">
        <f>COUNTIFS($A$3:A13610,A5360,$B$3:B13610,B5360)</f>
        <v>1</v>
      </c>
      <c r="G5360" s="116"/>
    </row>
    <row r="5361" spans="1:7" x14ac:dyDescent="0.2">
      <c r="A5361" s="116">
        <f>IF(ISNUMBER(Tabela2[[#This Row],[CT-e/NFS]])=TRUE,(IF(B5361&gt;30000,4,IF(B5361&lt;1000,"ND",0))),"-")</f>
        <v>4</v>
      </c>
      <c r="B5361" s="116">
        <v>49606</v>
      </c>
      <c r="C5361" s="117">
        <v>45576</v>
      </c>
      <c r="D5361" s="116">
        <v>124.22</v>
      </c>
      <c r="E5361" s="117">
        <v>45580</v>
      </c>
      <c r="F5361" s="116">
        <f>COUNTIFS($A$3:A13611,A5361,$B$3:B13611,B5361)</f>
        <v>1</v>
      </c>
      <c r="G5361" s="116"/>
    </row>
    <row r="5362" spans="1:7" x14ac:dyDescent="0.2">
      <c r="A5362" s="116">
        <f>IF(ISNUMBER(Tabela2[[#This Row],[CT-e/NFS]])=TRUE,(IF(B5362&gt;30000,4,IF(B5362&lt;1000,"ND",0))),"-")</f>
        <v>4</v>
      </c>
      <c r="B5362" s="116">
        <v>49602</v>
      </c>
      <c r="C5362" s="117">
        <v>45576</v>
      </c>
      <c r="D5362" s="116">
        <v>125.16</v>
      </c>
      <c r="E5362" s="117">
        <v>45580</v>
      </c>
      <c r="F5362" s="116">
        <f>COUNTIFS($A$3:A13612,A5362,$B$3:B13612,B5362)</f>
        <v>1</v>
      </c>
      <c r="G5362" s="116"/>
    </row>
    <row r="5363" spans="1:7" x14ac:dyDescent="0.2">
      <c r="A5363" s="116">
        <f>IF(ISNUMBER(Tabela2[[#This Row],[CT-e/NFS]])=TRUE,(IF(B5363&gt;30000,4,IF(B5363&lt;1000,"ND",0))),"-")</f>
        <v>4</v>
      </c>
      <c r="B5363" s="116">
        <v>49619</v>
      </c>
      <c r="C5363" s="117">
        <v>45576</v>
      </c>
      <c r="D5363" s="116">
        <v>187.11</v>
      </c>
      <c r="E5363" s="117">
        <v>45580</v>
      </c>
      <c r="F5363" s="116">
        <f>COUNTIFS($A$3:A13613,A5363,$B$3:B13613,B5363)</f>
        <v>1</v>
      </c>
      <c r="G5363" s="116"/>
    </row>
    <row r="5364" spans="1:7" x14ac:dyDescent="0.2">
      <c r="A5364" s="116">
        <f>IF(ISNUMBER(Tabela2[[#This Row],[CT-e/NFS]])=TRUE,(IF(B5364&gt;30000,4,IF(B5364&lt;1000,"ND",0))),"-")</f>
        <v>4</v>
      </c>
      <c r="B5364" s="116">
        <v>49603</v>
      </c>
      <c r="C5364" s="117">
        <v>45576</v>
      </c>
      <c r="D5364" s="116">
        <v>125.3</v>
      </c>
      <c r="E5364" s="117">
        <v>45580</v>
      </c>
      <c r="F5364" s="116">
        <f>COUNTIFS($A$3:A13614,A5364,$B$3:B13614,B5364)</f>
        <v>1</v>
      </c>
      <c r="G5364" s="116"/>
    </row>
    <row r="5365" spans="1:7" x14ac:dyDescent="0.2">
      <c r="A5365" s="116">
        <f>IF(ISNUMBER(Tabela2[[#This Row],[CT-e/NFS]])=TRUE,(IF(B5365&gt;30000,4,IF(B5365&lt;1000,"ND",0))),"-")</f>
        <v>4</v>
      </c>
      <c r="B5365" s="116">
        <v>49626</v>
      </c>
      <c r="C5365" s="117">
        <v>45576</v>
      </c>
      <c r="D5365" s="116">
        <v>1758.3</v>
      </c>
      <c r="E5365" s="117">
        <v>45580</v>
      </c>
      <c r="F5365" s="116">
        <f>COUNTIFS($A$3:A13615,A5365,$B$3:B13615,B5365)</f>
        <v>1</v>
      </c>
      <c r="G5365" s="116"/>
    </row>
    <row r="5366" spans="1:7" x14ac:dyDescent="0.2">
      <c r="A5366" s="116">
        <f>IF(ISNUMBER(Tabela2[[#This Row],[CT-e/NFS]])=TRUE,(IF(B5366&gt;30000,4,IF(B5366&lt;1000,"ND",0))),"-")</f>
        <v>4</v>
      </c>
      <c r="B5366" s="116">
        <v>49605</v>
      </c>
      <c r="C5366" s="117">
        <v>45576</v>
      </c>
      <c r="D5366" s="116">
        <v>204.24</v>
      </c>
      <c r="E5366" s="117">
        <v>45580</v>
      </c>
      <c r="F5366" s="116">
        <f>COUNTIFS($A$3:A13616,A5366,$B$3:B13616,B5366)</f>
        <v>1</v>
      </c>
      <c r="G5366" s="116"/>
    </row>
    <row r="5367" spans="1:7" x14ac:dyDescent="0.2">
      <c r="A5367" s="116">
        <f>IF(ISNUMBER(Tabela2[[#This Row],[CT-e/NFS]])=TRUE,(IF(B5367&gt;30000,4,IF(B5367&lt;1000,"ND",0))),"-")</f>
        <v>0</v>
      </c>
      <c r="B5367" s="116">
        <v>22166</v>
      </c>
      <c r="C5367" s="117">
        <v>45576</v>
      </c>
      <c r="D5367" s="116">
        <v>348.37</v>
      </c>
      <c r="E5367" s="117">
        <v>45580</v>
      </c>
      <c r="F5367" s="116">
        <f>COUNTIFS($A$3:A13617,A5367,$B$3:B13617,B5367)</f>
        <v>1</v>
      </c>
      <c r="G5367" s="116"/>
    </row>
    <row r="5368" spans="1:7" x14ac:dyDescent="0.2">
      <c r="A5368" s="116">
        <f>IF(ISNUMBER(Tabela2[[#This Row],[CT-e/NFS]])=TRUE,(IF(B5368&gt;30000,4,IF(B5368&lt;1000,"ND",0))),"-")</f>
        <v>4</v>
      </c>
      <c r="B5368" s="116">
        <v>49600</v>
      </c>
      <c r="C5368" s="117">
        <v>45576</v>
      </c>
      <c r="D5368" s="116">
        <v>2010.86</v>
      </c>
      <c r="E5368" s="117">
        <v>45580</v>
      </c>
      <c r="F5368" s="116">
        <f>COUNTIFS($A$3:A13618,A5368,$B$3:B13618,B5368)</f>
        <v>1</v>
      </c>
      <c r="G5368" s="116"/>
    </row>
    <row r="5369" spans="1:7" x14ac:dyDescent="0.2">
      <c r="A5369" s="116">
        <f>IF(ISNUMBER(Tabela2[[#This Row],[CT-e/NFS]])=TRUE,(IF(B5369&gt;30000,4,IF(B5369&lt;1000,"ND",0))),"-")</f>
        <v>0</v>
      </c>
      <c r="B5369" s="116">
        <v>22167</v>
      </c>
      <c r="C5369" s="117">
        <v>45576</v>
      </c>
      <c r="D5369" s="116">
        <v>38.090000000000003</v>
      </c>
      <c r="E5369" s="117">
        <v>45580</v>
      </c>
      <c r="F5369" s="116">
        <f>COUNTIFS($A$3:A13619,A5369,$B$3:B13619,B5369)</f>
        <v>1</v>
      </c>
      <c r="G5369" s="116"/>
    </row>
    <row r="5370" spans="1:7" x14ac:dyDescent="0.2">
      <c r="A5370" s="116">
        <f>IF(ISNUMBER(Tabela2[[#This Row],[CT-e/NFS]])=TRUE,(IF(B5370&gt;30000,4,IF(B5370&lt;1000,"ND",0))),"-")</f>
        <v>0</v>
      </c>
      <c r="B5370" s="116">
        <v>22163</v>
      </c>
      <c r="C5370" s="117">
        <v>45576</v>
      </c>
      <c r="D5370" s="116">
        <v>68.63</v>
      </c>
      <c r="E5370" s="117">
        <v>45580</v>
      </c>
      <c r="F5370" s="116">
        <f>COUNTIFS($A$3:A13620,A5370,$B$3:B13620,B5370)</f>
        <v>1</v>
      </c>
      <c r="G5370" s="116"/>
    </row>
    <row r="5371" spans="1:7" x14ac:dyDescent="0.2">
      <c r="A5371" s="116">
        <f>IF(ISNUMBER(Tabela2[[#This Row],[CT-e/NFS]])=TRUE,(IF(B5371&gt;30000,4,IF(B5371&lt;1000,"ND",0))),"-")</f>
        <v>0</v>
      </c>
      <c r="B5371" s="116">
        <v>22203</v>
      </c>
      <c r="C5371" s="117">
        <v>45576</v>
      </c>
      <c r="D5371" s="116">
        <v>338.2</v>
      </c>
      <c r="E5371" s="117">
        <v>45580</v>
      </c>
      <c r="F5371" s="116">
        <f>COUNTIFS($A$3:A13621,A5371,$B$3:B13621,B5371)</f>
        <v>1</v>
      </c>
      <c r="G5371" s="116"/>
    </row>
    <row r="5372" spans="1:7" x14ac:dyDescent="0.2">
      <c r="A5372" s="116">
        <f>IF(ISNUMBER(Tabela2[[#This Row],[CT-e/NFS]])=TRUE,(IF(B5372&gt;30000,4,IF(B5372&lt;1000,"ND",0))),"-")</f>
        <v>4</v>
      </c>
      <c r="B5372" s="116">
        <v>49624</v>
      </c>
      <c r="C5372" s="117">
        <v>45576</v>
      </c>
      <c r="D5372" s="116">
        <v>8238.31</v>
      </c>
      <c r="E5372" s="117">
        <v>45580</v>
      </c>
      <c r="F5372" s="116">
        <f>COUNTIFS($A$3:A13622,A5372,$B$3:B13622,B5372)</f>
        <v>1</v>
      </c>
      <c r="G5372" s="116"/>
    </row>
    <row r="5373" spans="1:7" x14ac:dyDescent="0.2">
      <c r="A5373" s="116">
        <f>IF(ISNUMBER(Tabela2[[#This Row],[CT-e/NFS]])=TRUE,(IF(B5373&gt;30000,4,IF(B5373&lt;1000,"ND",0))),"-")</f>
        <v>4</v>
      </c>
      <c r="B5373" s="116">
        <v>49623</v>
      </c>
      <c r="C5373" s="117">
        <v>45576</v>
      </c>
      <c r="D5373" s="116">
        <v>8238.31</v>
      </c>
      <c r="E5373" s="117">
        <v>45580</v>
      </c>
      <c r="F5373" s="116">
        <f>COUNTIFS($A$3:A13623,A5373,$B$3:B13623,B5373)</f>
        <v>1</v>
      </c>
      <c r="G5373" s="116"/>
    </row>
    <row r="5374" spans="1:7" x14ac:dyDescent="0.2">
      <c r="A5374" s="116">
        <f>IF(ISNUMBER(Tabela2[[#This Row],[CT-e/NFS]])=TRUE,(IF(B5374&gt;30000,4,IF(B5374&lt;1000,"ND",0))),"-")</f>
        <v>4</v>
      </c>
      <c r="B5374" s="116">
        <v>49625</v>
      </c>
      <c r="C5374" s="117">
        <v>45576</v>
      </c>
      <c r="D5374" s="116">
        <v>8238.31</v>
      </c>
      <c r="E5374" s="117">
        <v>45580</v>
      </c>
      <c r="F5374" s="116">
        <f>COUNTIFS($A$3:A13624,A5374,$B$3:B13624,B5374)</f>
        <v>1</v>
      </c>
      <c r="G5374" s="116"/>
    </row>
    <row r="5375" spans="1:7" x14ac:dyDescent="0.2">
      <c r="A5375" s="116">
        <f>IF(ISNUMBER(Tabela2[[#This Row],[CT-e/NFS]])=TRUE,(IF(B5375&gt;30000,4,IF(B5375&lt;1000,"ND",0))),"-")</f>
        <v>4</v>
      </c>
      <c r="B5375" s="116">
        <v>49601</v>
      </c>
      <c r="C5375" s="117">
        <v>45576</v>
      </c>
      <c r="D5375" s="116">
        <v>126.53</v>
      </c>
      <c r="E5375" s="117">
        <v>45580</v>
      </c>
      <c r="F5375" s="116">
        <f>COUNTIFS($A$3:A13625,A5375,$B$3:B13625,B5375)</f>
        <v>1</v>
      </c>
      <c r="G5375" s="116"/>
    </row>
    <row r="5376" spans="1:7" x14ac:dyDescent="0.2">
      <c r="A5376" s="116">
        <f>IF(ISNUMBER(Tabela2[[#This Row],[CT-e/NFS]])=TRUE,(IF(B5376&gt;30000,4,IF(B5376&lt;1000,"ND",0))),"-")</f>
        <v>4</v>
      </c>
      <c r="B5376" s="116">
        <v>49596</v>
      </c>
      <c r="C5376" s="117">
        <v>45576</v>
      </c>
      <c r="D5376" s="116">
        <v>216.6</v>
      </c>
      <c r="E5376" s="117">
        <v>45580</v>
      </c>
      <c r="F5376" s="116">
        <f>COUNTIFS($A$3:A13626,A5376,$B$3:B13626,B5376)</f>
        <v>1</v>
      </c>
      <c r="G5376" s="116"/>
    </row>
    <row r="5377" spans="1:7" x14ac:dyDescent="0.2">
      <c r="A5377" s="116">
        <f>IF(ISNUMBER(Tabela2[[#This Row],[CT-e/NFS]])=TRUE,(IF(B5377&gt;30000,4,IF(B5377&lt;1000,"ND",0))),"-")</f>
        <v>4</v>
      </c>
      <c r="B5377" s="116">
        <v>49595</v>
      </c>
      <c r="C5377" s="117">
        <v>45576</v>
      </c>
      <c r="D5377" s="116">
        <v>120.23</v>
      </c>
      <c r="E5377" s="117">
        <v>45580</v>
      </c>
      <c r="F5377" s="116">
        <f>COUNTIFS($A$3:A13627,A5377,$B$3:B13627,B5377)</f>
        <v>1</v>
      </c>
      <c r="G5377" s="116"/>
    </row>
    <row r="5378" spans="1:7" x14ac:dyDescent="0.2">
      <c r="A5378" s="116">
        <f>IF(ISNUMBER(Tabela2[[#This Row],[CT-e/NFS]])=TRUE,(IF(B5378&gt;30000,4,IF(B5378&lt;1000,"ND",0))),"-")</f>
        <v>0</v>
      </c>
      <c r="B5378" s="116">
        <v>22200</v>
      </c>
      <c r="C5378" s="117">
        <v>45576</v>
      </c>
      <c r="D5378" s="116">
        <v>338.2</v>
      </c>
      <c r="E5378" s="117">
        <v>45580</v>
      </c>
      <c r="F5378" s="116">
        <f>COUNTIFS($A$3:A13628,A5378,$B$3:B13628,B5378)</f>
        <v>1</v>
      </c>
      <c r="G5378" s="116"/>
    </row>
    <row r="5379" spans="1:7" x14ac:dyDescent="0.2">
      <c r="A5379" s="116">
        <f>IF(ISNUMBER(Tabela2[[#This Row],[CT-e/NFS]])=TRUE,(IF(B5379&gt;30000,4,IF(B5379&lt;1000,"ND",0))),"-")</f>
        <v>4</v>
      </c>
      <c r="B5379" s="116">
        <v>49222</v>
      </c>
      <c r="C5379" s="117">
        <v>45566</v>
      </c>
      <c r="D5379" s="116">
        <v>1097.32</v>
      </c>
      <c r="E5379" s="117">
        <v>45580</v>
      </c>
      <c r="F5379" s="116">
        <f>COUNTIFS($A$3:A13629,A5379,$B$3:B13629,B5379)</f>
        <v>1</v>
      </c>
      <c r="G5379" s="116"/>
    </row>
    <row r="5380" spans="1:7" x14ac:dyDescent="0.2">
      <c r="A5380" s="116">
        <f>IF(ISNUMBER(Tabela2[[#This Row],[CT-e/NFS]])=TRUE,(IF(B5380&gt;30000,4,IF(B5380&lt;1000,"ND",0))),"-")</f>
        <v>4</v>
      </c>
      <c r="B5380" s="116">
        <v>49224</v>
      </c>
      <c r="C5380" s="117">
        <v>45566</v>
      </c>
      <c r="D5380" s="116">
        <v>332.65</v>
      </c>
      <c r="E5380" s="117">
        <v>45580</v>
      </c>
      <c r="F5380" s="116">
        <f>COUNTIFS($A$3:A13630,A5380,$B$3:B13630,B5380)</f>
        <v>1</v>
      </c>
      <c r="G5380" s="116"/>
    </row>
    <row r="5381" spans="1:7" x14ac:dyDescent="0.2">
      <c r="A5381" s="116">
        <f>IF(ISNUMBER(Tabela2[[#This Row],[CT-e/NFS]])=TRUE,(IF(B5381&gt;30000,4,IF(B5381&lt;1000,"ND",0))),"-")</f>
        <v>4</v>
      </c>
      <c r="B5381" s="116">
        <v>49223</v>
      </c>
      <c r="C5381" s="117">
        <v>45566</v>
      </c>
      <c r="D5381" s="116">
        <v>328.33</v>
      </c>
      <c r="E5381" s="117">
        <v>45580</v>
      </c>
      <c r="F5381" s="116">
        <f>COUNTIFS($A$3:A13631,A5381,$B$3:B13631,B5381)</f>
        <v>1</v>
      </c>
      <c r="G5381" s="116"/>
    </row>
    <row r="5382" spans="1:7" x14ac:dyDescent="0.2">
      <c r="A5382" s="116">
        <f>IF(ISNUMBER(Tabela2[[#This Row],[CT-e/NFS]])=TRUE,(IF(B5382&gt;30000,4,IF(B5382&lt;1000,"ND",0))),"-")</f>
        <v>4</v>
      </c>
      <c r="B5382" s="116">
        <v>49231</v>
      </c>
      <c r="C5382" s="117">
        <v>45566</v>
      </c>
      <c r="D5382" s="116">
        <v>126.27</v>
      </c>
      <c r="E5382" s="117">
        <v>45580</v>
      </c>
      <c r="F5382" s="116">
        <f>COUNTIFS($A$3:A13632,A5382,$B$3:B13632,B5382)</f>
        <v>1</v>
      </c>
      <c r="G5382" s="116"/>
    </row>
    <row r="5383" spans="1:7" x14ac:dyDescent="0.2">
      <c r="A5383" s="116">
        <f>IF(ISNUMBER(Tabela2[[#This Row],[CT-e/NFS]])=TRUE,(IF(B5383&gt;30000,4,IF(B5383&lt;1000,"ND",0))),"-")</f>
        <v>4</v>
      </c>
      <c r="B5383" s="116">
        <v>49230</v>
      </c>
      <c r="C5383" s="117">
        <v>45566</v>
      </c>
      <c r="D5383" s="116">
        <v>238.85</v>
      </c>
      <c r="E5383" s="117">
        <v>45580</v>
      </c>
      <c r="F5383" s="116">
        <f>COUNTIFS($A$3:A13633,A5383,$B$3:B13633,B5383)</f>
        <v>1</v>
      </c>
      <c r="G5383" s="116"/>
    </row>
    <row r="5384" spans="1:7" x14ac:dyDescent="0.2">
      <c r="A5384" s="116">
        <f>IF(ISNUMBER(Tabela2[[#This Row],[CT-e/NFS]])=TRUE,(IF(B5384&gt;30000,4,IF(B5384&lt;1000,"ND",0))),"-")</f>
        <v>4</v>
      </c>
      <c r="B5384" s="116">
        <v>49228</v>
      </c>
      <c r="C5384" s="117">
        <v>45566</v>
      </c>
      <c r="D5384" s="116">
        <v>123.67</v>
      </c>
      <c r="E5384" s="117">
        <v>45580</v>
      </c>
      <c r="F5384" s="116">
        <f>COUNTIFS($A$3:A13634,A5384,$B$3:B13634,B5384)</f>
        <v>1</v>
      </c>
      <c r="G5384" s="116"/>
    </row>
    <row r="5385" spans="1:7" x14ac:dyDescent="0.2">
      <c r="A5385" s="116">
        <f>IF(ISNUMBER(Tabela2[[#This Row],[CT-e/NFS]])=TRUE,(IF(B5385&gt;30000,4,IF(B5385&lt;1000,"ND",0))),"-")</f>
        <v>4</v>
      </c>
      <c r="B5385" s="116">
        <v>49227</v>
      </c>
      <c r="C5385" s="117">
        <v>45566</v>
      </c>
      <c r="D5385" s="116">
        <v>124.58</v>
      </c>
      <c r="E5385" s="117">
        <v>45580</v>
      </c>
      <c r="F5385" s="116">
        <f>COUNTIFS($A$3:A13635,A5385,$B$3:B13635,B5385)</f>
        <v>1</v>
      </c>
      <c r="G5385" s="116"/>
    </row>
    <row r="5386" spans="1:7" x14ac:dyDescent="0.2">
      <c r="A5386" s="116">
        <f>IF(ISNUMBER(Tabela2[[#This Row],[CT-e/NFS]])=TRUE,(IF(B5386&gt;30000,4,IF(B5386&lt;1000,"ND",0))),"-")</f>
        <v>4</v>
      </c>
      <c r="B5386" s="116">
        <v>49226</v>
      </c>
      <c r="C5386" s="117">
        <v>45566</v>
      </c>
      <c r="D5386" s="116">
        <v>126.34</v>
      </c>
      <c r="E5386" s="117">
        <v>45580</v>
      </c>
      <c r="F5386" s="116">
        <f>COUNTIFS($A$3:A13636,A5386,$B$3:B13636,B5386)</f>
        <v>1</v>
      </c>
      <c r="G5386" s="116"/>
    </row>
    <row r="5387" spans="1:7" x14ac:dyDescent="0.2">
      <c r="A5387" s="116">
        <f>IF(ISNUMBER(Tabela2[[#This Row],[CT-e/NFS]])=TRUE,(IF(B5387&gt;30000,4,IF(B5387&lt;1000,"ND",0))),"-")</f>
        <v>4</v>
      </c>
      <c r="B5387" s="116">
        <v>49225</v>
      </c>
      <c r="C5387" s="117">
        <v>45566</v>
      </c>
      <c r="D5387" s="116">
        <v>124.34</v>
      </c>
      <c r="E5387" s="117">
        <v>45580</v>
      </c>
      <c r="F5387" s="116">
        <f>COUNTIFS($A$3:A13637,A5387,$B$3:B13637,B5387)</f>
        <v>1</v>
      </c>
      <c r="G5387" s="116"/>
    </row>
    <row r="5388" spans="1:7" x14ac:dyDescent="0.2">
      <c r="A5388" s="116">
        <f>IF(ISNUMBER(Tabela2[[#This Row],[CT-e/NFS]])=TRUE,(IF(B5388&gt;30000,4,IF(B5388&lt;1000,"ND",0))),"-")</f>
        <v>4</v>
      </c>
      <c r="B5388" s="116">
        <v>49236</v>
      </c>
      <c r="C5388" s="117">
        <v>45566</v>
      </c>
      <c r="D5388" s="116">
        <v>131.9</v>
      </c>
      <c r="E5388" s="117">
        <v>45580</v>
      </c>
      <c r="F5388" s="116">
        <f>COUNTIFS($A$3:A13638,A5388,$B$3:B13638,B5388)</f>
        <v>1</v>
      </c>
      <c r="G5388" s="116"/>
    </row>
    <row r="5389" spans="1:7" x14ac:dyDescent="0.2">
      <c r="A5389" s="116">
        <f>IF(ISNUMBER(Tabela2[[#This Row],[CT-e/NFS]])=TRUE,(IF(B5389&gt;30000,4,IF(B5389&lt;1000,"ND",0))),"-")</f>
        <v>4</v>
      </c>
      <c r="B5389" s="116">
        <v>49238</v>
      </c>
      <c r="C5389" s="117">
        <v>45566</v>
      </c>
      <c r="D5389" s="116">
        <v>364</v>
      </c>
      <c r="E5389" s="117">
        <v>45580</v>
      </c>
      <c r="F5389" s="116">
        <f>COUNTIFS($A$3:A13639,A5389,$B$3:B13639,B5389)</f>
        <v>1</v>
      </c>
      <c r="G5389" s="116"/>
    </row>
    <row r="5390" spans="1:7" x14ac:dyDescent="0.2">
      <c r="A5390" s="116">
        <f>IF(ISNUMBER(Tabela2[[#This Row],[CT-e/NFS]])=TRUE,(IF(B5390&gt;30000,4,IF(B5390&lt;1000,"ND",0))),"-")</f>
        <v>4</v>
      </c>
      <c r="B5390" s="116">
        <v>49237</v>
      </c>
      <c r="C5390" s="117">
        <v>45566</v>
      </c>
      <c r="D5390" s="116">
        <v>400.98</v>
      </c>
      <c r="E5390" s="117">
        <v>45580</v>
      </c>
      <c r="F5390" s="116">
        <f>COUNTIFS($A$3:A13640,A5390,$B$3:B13640,B5390)</f>
        <v>1</v>
      </c>
      <c r="G5390" s="116"/>
    </row>
    <row r="5391" spans="1:7" x14ac:dyDescent="0.2">
      <c r="A5391" s="116">
        <f>IF(ISNUMBER(Tabela2[[#This Row],[CT-e/NFS]])=TRUE,(IF(B5391&gt;30000,4,IF(B5391&lt;1000,"ND",0))),"-")</f>
        <v>4</v>
      </c>
      <c r="B5391" s="116">
        <v>49235</v>
      </c>
      <c r="C5391" s="117">
        <v>45566</v>
      </c>
      <c r="D5391" s="116">
        <v>955.65</v>
      </c>
      <c r="E5391" s="117">
        <v>45580</v>
      </c>
      <c r="F5391" s="116">
        <f>COUNTIFS($A$3:A13641,A5391,$B$3:B13641,B5391)</f>
        <v>1</v>
      </c>
      <c r="G5391" s="116"/>
    </row>
    <row r="5392" spans="1:7" x14ac:dyDescent="0.2">
      <c r="A5392" s="116">
        <f>IF(ISNUMBER(Tabela2[[#This Row],[CT-e/NFS]])=TRUE,(IF(B5392&gt;30000,4,IF(B5392&lt;1000,"ND",0))),"-")</f>
        <v>4</v>
      </c>
      <c r="B5392" s="116">
        <v>49234</v>
      </c>
      <c r="C5392" s="117">
        <v>45566</v>
      </c>
      <c r="D5392" s="116">
        <v>241.6</v>
      </c>
      <c r="E5392" s="117">
        <v>45580</v>
      </c>
      <c r="F5392" s="116">
        <f>COUNTIFS($A$3:A13642,A5392,$B$3:B13642,B5392)</f>
        <v>1</v>
      </c>
      <c r="G5392" s="116"/>
    </row>
    <row r="5393" spans="1:7" x14ac:dyDescent="0.2">
      <c r="A5393" s="116">
        <f>IF(ISNUMBER(Tabela2[[#This Row],[CT-e/NFS]])=TRUE,(IF(B5393&gt;30000,4,IF(B5393&lt;1000,"ND",0))),"-")</f>
        <v>4</v>
      </c>
      <c r="B5393" s="116">
        <v>49244</v>
      </c>
      <c r="C5393" s="117">
        <v>45566</v>
      </c>
      <c r="D5393" s="116">
        <v>122.93</v>
      </c>
      <c r="E5393" s="117">
        <v>45580</v>
      </c>
      <c r="F5393" s="116">
        <f>COUNTIFS($A$3:A13643,A5393,$B$3:B13643,B5393)</f>
        <v>1</v>
      </c>
      <c r="G5393" s="116"/>
    </row>
    <row r="5394" spans="1:7" x14ac:dyDescent="0.2">
      <c r="A5394" s="116">
        <f>IF(ISNUMBER(Tabela2[[#This Row],[CT-e/NFS]])=TRUE,(IF(B5394&gt;30000,4,IF(B5394&lt;1000,"ND",0))),"-")</f>
        <v>4</v>
      </c>
      <c r="B5394" s="116">
        <v>49241</v>
      </c>
      <c r="C5394" s="117">
        <v>45566</v>
      </c>
      <c r="D5394" s="116">
        <v>124.3</v>
      </c>
      <c r="E5394" s="117">
        <v>45580</v>
      </c>
      <c r="F5394" s="116">
        <f>COUNTIFS($A$3:A13644,A5394,$B$3:B13644,B5394)</f>
        <v>1</v>
      </c>
      <c r="G5394" s="116"/>
    </row>
    <row r="5395" spans="1:7" x14ac:dyDescent="0.2">
      <c r="A5395" s="116">
        <f>IF(ISNUMBER(Tabela2[[#This Row],[CT-e/NFS]])=TRUE,(IF(B5395&gt;30000,4,IF(B5395&lt;1000,"ND",0))),"-")</f>
        <v>4</v>
      </c>
      <c r="B5395" s="116">
        <v>49245</v>
      </c>
      <c r="C5395" s="117">
        <v>45566</v>
      </c>
      <c r="D5395" s="116">
        <v>408.02</v>
      </c>
      <c r="E5395" s="117">
        <v>45580</v>
      </c>
      <c r="F5395" s="116">
        <f>COUNTIFS($A$3:A13645,A5395,$B$3:B13645,B5395)</f>
        <v>1</v>
      </c>
      <c r="G5395" s="116"/>
    </row>
    <row r="5396" spans="1:7" x14ac:dyDescent="0.2">
      <c r="A5396" s="116">
        <f>IF(ISNUMBER(Tabela2[[#This Row],[CT-e/NFS]])=TRUE,(IF(B5396&gt;30000,4,IF(B5396&lt;1000,"ND",0))),"-")</f>
        <v>4</v>
      </c>
      <c r="B5396" s="116">
        <v>49242</v>
      </c>
      <c r="C5396" s="117">
        <v>45566</v>
      </c>
      <c r="D5396" s="116">
        <v>186.05</v>
      </c>
      <c r="E5396" s="117">
        <v>45580</v>
      </c>
      <c r="F5396" s="116">
        <f>COUNTIFS($A$3:A13646,A5396,$B$3:B13646,B5396)</f>
        <v>1</v>
      </c>
      <c r="G5396" s="116"/>
    </row>
    <row r="5397" spans="1:7" x14ac:dyDescent="0.2">
      <c r="A5397" s="116">
        <f>IF(ISNUMBER(Tabela2[[#This Row],[CT-e/NFS]])=TRUE,(IF(B5397&gt;30000,4,IF(B5397&lt;1000,"ND",0))),"-")</f>
        <v>4</v>
      </c>
      <c r="B5397" s="116">
        <v>49233</v>
      </c>
      <c r="C5397" s="117">
        <v>45566</v>
      </c>
      <c r="D5397" s="116">
        <v>125.56</v>
      </c>
      <c r="E5397" s="117">
        <v>45580</v>
      </c>
      <c r="F5397" s="116">
        <f>COUNTIFS($A$3:A13647,A5397,$B$3:B13647,B5397)</f>
        <v>1</v>
      </c>
      <c r="G5397" s="116"/>
    </row>
    <row r="5398" spans="1:7" x14ac:dyDescent="0.2">
      <c r="A5398" s="116">
        <f>IF(ISNUMBER(Tabela2[[#This Row],[CT-e/NFS]])=TRUE,(IF(B5398&gt;30000,4,IF(B5398&lt;1000,"ND",0))),"-")</f>
        <v>4</v>
      </c>
      <c r="B5398" s="116">
        <v>49229</v>
      </c>
      <c r="C5398" s="117">
        <v>45566</v>
      </c>
      <c r="D5398" s="116">
        <v>123.26</v>
      </c>
      <c r="E5398" s="117">
        <v>45580</v>
      </c>
      <c r="F5398" s="116">
        <f>COUNTIFS($A$3:A13648,A5398,$B$3:B13648,B5398)</f>
        <v>1</v>
      </c>
      <c r="G5398" s="116"/>
    </row>
    <row r="5399" spans="1:7" x14ac:dyDescent="0.2">
      <c r="A5399" s="116">
        <f>IF(ISNUMBER(Tabela2[[#This Row],[CT-e/NFS]])=TRUE,(IF(B5399&gt;30000,4,IF(B5399&lt;1000,"ND",0))),"-")</f>
        <v>4</v>
      </c>
      <c r="B5399" s="116">
        <v>49232</v>
      </c>
      <c r="C5399" s="117">
        <v>45566</v>
      </c>
      <c r="D5399" s="116">
        <v>124.26</v>
      </c>
      <c r="E5399" s="117">
        <v>45580</v>
      </c>
      <c r="F5399" s="116">
        <f>COUNTIFS($A$3:A13649,A5399,$B$3:B13649,B5399)</f>
        <v>1</v>
      </c>
      <c r="G5399" s="116"/>
    </row>
    <row r="5400" spans="1:7" x14ac:dyDescent="0.2">
      <c r="A5400" s="116">
        <f>IF(ISNUMBER(Tabela2[[#This Row],[CT-e/NFS]])=TRUE,(IF(B5400&gt;30000,4,IF(B5400&lt;1000,"ND",0))),"-")</f>
        <v>4</v>
      </c>
      <c r="B5400" s="116">
        <v>49240</v>
      </c>
      <c r="C5400" s="117">
        <v>45566</v>
      </c>
      <c r="D5400" s="116">
        <v>124.15</v>
      </c>
      <c r="E5400" s="117">
        <v>45580</v>
      </c>
      <c r="F5400" s="116">
        <f>COUNTIFS($A$3:A13650,A5400,$B$3:B13650,B5400)</f>
        <v>1</v>
      </c>
      <c r="G5400" s="116"/>
    </row>
    <row r="5401" spans="1:7" x14ac:dyDescent="0.2">
      <c r="A5401" s="116">
        <f>IF(ISNUMBER(Tabela2[[#This Row],[CT-e/NFS]])=TRUE,(IF(B5401&gt;30000,4,IF(B5401&lt;1000,"ND",0))),"-")</f>
        <v>4</v>
      </c>
      <c r="B5401" s="116">
        <v>49243</v>
      </c>
      <c r="C5401" s="117">
        <v>45566</v>
      </c>
      <c r="D5401" s="116">
        <v>124.52</v>
      </c>
      <c r="E5401" s="117">
        <v>45580</v>
      </c>
      <c r="F5401" s="116">
        <f>COUNTIFS($A$3:A13651,A5401,$B$3:B13651,B5401)</f>
        <v>1</v>
      </c>
      <c r="G5401" s="116"/>
    </row>
    <row r="5402" spans="1:7" x14ac:dyDescent="0.2">
      <c r="A5402" s="116">
        <f>IF(ISNUMBER(Tabela2[[#This Row],[CT-e/NFS]])=TRUE,(IF(B5402&gt;30000,4,IF(B5402&lt;1000,"ND",0))),"-")</f>
        <v>4</v>
      </c>
      <c r="B5402" s="116">
        <v>49247</v>
      </c>
      <c r="C5402" s="117">
        <v>45566</v>
      </c>
      <c r="D5402" s="116">
        <v>1352.03</v>
      </c>
      <c r="E5402" s="117">
        <v>45580</v>
      </c>
      <c r="F5402" s="116">
        <f>COUNTIFS($A$3:A13652,A5402,$B$3:B13652,B5402)</f>
        <v>1</v>
      </c>
      <c r="G5402" s="116"/>
    </row>
    <row r="5403" spans="1:7" x14ac:dyDescent="0.2">
      <c r="A5403" s="116">
        <f>IF(ISNUMBER(Tabela2[[#This Row],[CT-e/NFS]])=TRUE,(IF(B5403&gt;30000,4,IF(B5403&lt;1000,"ND",0))),"-")</f>
        <v>4</v>
      </c>
      <c r="B5403" s="116">
        <v>49239</v>
      </c>
      <c r="C5403" s="117">
        <v>45566</v>
      </c>
      <c r="D5403" s="116">
        <v>246.33</v>
      </c>
      <c r="E5403" s="117">
        <v>45580</v>
      </c>
      <c r="F5403" s="116">
        <f>COUNTIFS($A$3:A13653,A5403,$B$3:B13653,B5403)</f>
        <v>1</v>
      </c>
      <c r="G5403" s="116"/>
    </row>
    <row r="5404" spans="1:7" x14ac:dyDescent="0.2">
      <c r="A5404" s="116">
        <f>IF(ISNUMBER(Tabela2[[#This Row],[CT-e/NFS]])=TRUE,(IF(B5404&gt;30000,4,IF(B5404&lt;1000,"ND",0))),"-")</f>
        <v>4</v>
      </c>
      <c r="B5404" s="116">
        <v>49248</v>
      </c>
      <c r="C5404" s="117">
        <v>45566</v>
      </c>
      <c r="D5404" s="116">
        <v>2019.84</v>
      </c>
      <c r="E5404" s="117">
        <v>45580</v>
      </c>
      <c r="F5404" s="116">
        <f>COUNTIFS($A$3:A13654,A5404,$B$3:B13654,B5404)</f>
        <v>1</v>
      </c>
      <c r="G5404" s="116"/>
    </row>
    <row r="5405" spans="1:7" x14ac:dyDescent="0.2">
      <c r="A5405" s="116">
        <f>IF(ISNUMBER(Tabela2[[#This Row],[CT-e/NFS]])=TRUE,(IF(B5405&gt;30000,4,IF(B5405&lt;1000,"ND",0))),"-")</f>
        <v>4</v>
      </c>
      <c r="B5405" s="116">
        <v>49249</v>
      </c>
      <c r="C5405" s="117">
        <v>45566</v>
      </c>
      <c r="D5405" s="116">
        <v>710.23</v>
      </c>
      <c r="E5405" s="117">
        <v>45580</v>
      </c>
      <c r="F5405" s="116">
        <f>COUNTIFS($A$3:A13655,A5405,$B$3:B13655,B5405)</f>
        <v>1</v>
      </c>
      <c r="G5405" s="116"/>
    </row>
    <row r="5406" spans="1:7" x14ac:dyDescent="0.2">
      <c r="A5406" s="116">
        <f>IF(ISNUMBER(Tabela2[[#This Row],[CT-e/NFS]])=TRUE,(IF(B5406&gt;30000,4,IF(B5406&lt;1000,"ND",0))),"-")</f>
        <v>0</v>
      </c>
      <c r="B5406" s="116">
        <v>22129</v>
      </c>
      <c r="C5406" s="117">
        <v>45566</v>
      </c>
      <c r="D5406" s="116">
        <v>475.88</v>
      </c>
      <c r="E5406" s="117">
        <v>45580</v>
      </c>
      <c r="F5406" s="116">
        <f>COUNTIFS($A$3:A13656,A5406,$B$3:B13656,B5406)</f>
        <v>1</v>
      </c>
      <c r="G5406" s="116"/>
    </row>
    <row r="5407" spans="1:7" x14ac:dyDescent="0.2">
      <c r="A5407" s="116">
        <f>IF(ISNUMBER(Tabela2[[#This Row],[CT-e/NFS]])=TRUE,(IF(B5407&gt;30000,4,IF(B5407&lt;1000,"ND",0))),"-")</f>
        <v>0</v>
      </c>
      <c r="B5407" s="116">
        <v>22131</v>
      </c>
      <c r="C5407" s="117">
        <v>45566</v>
      </c>
      <c r="D5407" s="116">
        <v>525.32000000000005</v>
      </c>
      <c r="E5407" s="117">
        <v>45580</v>
      </c>
      <c r="F5407" s="116">
        <f>COUNTIFS($A$3:A13657,A5407,$B$3:B13657,B5407)</f>
        <v>1</v>
      </c>
      <c r="G5407" s="116"/>
    </row>
    <row r="5408" spans="1:7" x14ac:dyDescent="0.2">
      <c r="A5408" s="116">
        <f>IF(ISNUMBER(Tabela2[[#This Row],[CT-e/NFS]])=TRUE,(IF(B5408&gt;30000,4,IF(B5408&lt;1000,"ND",0))),"-")</f>
        <v>4</v>
      </c>
      <c r="B5408" s="116">
        <v>49253</v>
      </c>
      <c r="C5408" s="117">
        <v>45566</v>
      </c>
      <c r="D5408" s="116">
        <v>124.38</v>
      </c>
      <c r="E5408" s="117">
        <v>45580</v>
      </c>
      <c r="F5408" s="116">
        <f>COUNTIFS($A$3:A13658,A5408,$B$3:B13658,B5408)</f>
        <v>1</v>
      </c>
      <c r="G5408" s="116"/>
    </row>
    <row r="5409" spans="1:7" x14ac:dyDescent="0.2">
      <c r="A5409" s="116">
        <f>IF(ISNUMBER(Tabela2[[#This Row],[CT-e/NFS]])=TRUE,(IF(B5409&gt;30000,4,IF(B5409&lt;1000,"ND",0))),"-")</f>
        <v>4</v>
      </c>
      <c r="B5409" s="116">
        <v>49269</v>
      </c>
      <c r="C5409" s="117">
        <v>45566</v>
      </c>
      <c r="D5409" s="116">
        <v>123.17</v>
      </c>
      <c r="E5409" s="117">
        <v>45580</v>
      </c>
      <c r="F5409" s="116">
        <f>COUNTIFS($A$3:A13659,A5409,$B$3:B13659,B5409)</f>
        <v>1</v>
      </c>
      <c r="G5409" s="116"/>
    </row>
    <row r="5410" spans="1:7" x14ac:dyDescent="0.2">
      <c r="A5410" s="116">
        <f>IF(ISNUMBER(Tabela2[[#This Row],[CT-e/NFS]])=TRUE,(IF(B5410&gt;30000,4,IF(B5410&lt;1000,"ND",0))),"-")</f>
        <v>4</v>
      </c>
      <c r="B5410" s="116">
        <v>49251</v>
      </c>
      <c r="C5410" s="117">
        <v>45566</v>
      </c>
      <c r="D5410" s="116">
        <v>125.22</v>
      </c>
      <c r="E5410" s="117">
        <v>45580</v>
      </c>
      <c r="F5410" s="116">
        <f>COUNTIFS($A$3:A13660,A5410,$B$3:B13660,B5410)</f>
        <v>1</v>
      </c>
      <c r="G5410" s="116"/>
    </row>
    <row r="5411" spans="1:7" x14ac:dyDescent="0.2">
      <c r="A5411" s="116">
        <f>IF(ISNUMBER(Tabela2[[#This Row],[CT-e/NFS]])=TRUE,(IF(B5411&gt;30000,4,IF(B5411&lt;1000,"ND",0))),"-")</f>
        <v>4</v>
      </c>
      <c r="B5411" s="116">
        <v>49252</v>
      </c>
      <c r="C5411" s="117">
        <v>45566</v>
      </c>
      <c r="D5411" s="116">
        <v>241.03</v>
      </c>
      <c r="E5411" s="117">
        <v>45580</v>
      </c>
      <c r="F5411" s="116">
        <f>COUNTIFS($A$3:A13661,A5411,$B$3:B13661,B5411)</f>
        <v>1</v>
      </c>
      <c r="G5411" s="116"/>
    </row>
    <row r="5412" spans="1:7" x14ac:dyDescent="0.2">
      <c r="A5412" s="116">
        <f>IF(ISNUMBER(Tabela2[[#This Row],[CT-e/NFS]])=TRUE,(IF(B5412&gt;30000,4,IF(B5412&lt;1000,"ND",0))),"-")</f>
        <v>4</v>
      </c>
      <c r="B5412" s="116">
        <v>49273</v>
      </c>
      <c r="C5412" s="117">
        <v>45566</v>
      </c>
      <c r="D5412" s="116">
        <v>204.24</v>
      </c>
      <c r="E5412" s="117">
        <v>45580</v>
      </c>
      <c r="F5412" s="116">
        <f>COUNTIFS($A$3:A13662,A5412,$B$3:B13662,B5412)</f>
        <v>1</v>
      </c>
      <c r="G5412" s="116"/>
    </row>
    <row r="5413" spans="1:7" x14ac:dyDescent="0.2">
      <c r="A5413" s="116">
        <f>IF(ISNUMBER(Tabela2[[#This Row],[CT-e/NFS]])=TRUE,(IF(B5413&gt;30000,4,IF(B5413&lt;1000,"ND",0))),"-")</f>
        <v>4</v>
      </c>
      <c r="B5413" s="116">
        <v>49263</v>
      </c>
      <c r="C5413" s="117">
        <v>45566</v>
      </c>
      <c r="D5413" s="116">
        <v>134.05000000000001</v>
      </c>
      <c r="E5413" s="117">
        <v>45580</v>
      </c>
      <c r="F5413" s="116">
        <f>COUNTIFS($A$3:A13663,A5413,$B$3:B13663,B5413)</f>
        <v>1</v>
      </c>
      <c r="G5413" s="116"/>
    </row>
    <row r="5414" spans="1:7" x14ac:dyDescent="0.2">
      <c r="A5414" s="116">
        <f>IF(ISNUMBER(Tabela2[[#This Row],[CT-e/NFS]])=TRUE,(IF(B5414&gt;30000,4,IF(B5414&lt;1000,"ND",0))),"-")</f>
        <v>4</v>
      </c>
      <c r="B5414" s="116">
        <v>49258</v>
      </c>
      <c r="C5414" s="117">
        <v>45566</v>
      </c>
      <c r="D5414" s="116">
        <v>125.31</v>
      </c>
      <c r="E5414" s="117">
        <v>45580</v>
      </c>
      <c r="F5414" s="116">
        <f>COUNTIFS($A$3:A13664,A5414,$B$3:B13664,B5414)</f>
        <v>1</v>
      </c>
      <c r="G5414" s="116"/>
    </row>
    <row r="5415" spans="1:7" x14ac:dyDescent="0.2">
      <c r="A5415" s="116">
        <f>IF(ISNUMBER(Tabela2[[#This Row],[CT-e/NFS]])=TRUE,(IF(B5415&gt;30000,4,IF(B5415&lt;1000,"ND",0))),"-")</f>
        <v>4</v>
      </c>
      <c r="B5415" s="116">
        <v>49257</v>
      </c>
      <c r="C5415" s="117">
        <v>45566</v>
      </c>
      <c r="D5415" s="116">
        <v>123.13</v>
      </c>
      <c r="E5415" s="117">
        <v>45580</v>
      </c>
      <c r="F5415" s="116">
        <f>COUNTIFS($A$3:A13665,A5415,$B$3:B13665,B5415)</f>
        <v>1</v>
      </c>
      <c r="G5415" s="116"/>
    </row>
    <row r="5416" spans="1:7" x14ac:dyDescent="0.2">
      <c r="A5416" s="116">
        <f>IF(ISNUMBER(Tabela2[[#This Row],[CT-e/NFS]])=TRUE,(IF(B5416&gt;30000,4,IF(B5416&lt;1000,"ND",0))),"-")</f>
        <v>4</v>
      </c>
      <c r="B5416" s="116">
        <v>49261</v>
      </c>
      <c r="C5416" s="117">
        <v>45566</v>
      </c>
      <c r="D5416" s="116">
        <v>240.63</v>
      </c>
      <c r="E5416" s="117">
        <v>45580</v>
      </c>
      <c r="F5416" s="116">
        <f>COUNTIFS($A$3:A13666,A5416,$B$3:B13666,B5416)</f>
        <v>1</v>
      </c>
      <c r="G5416" s="116"/>
    </row>
    <row r="5417" spans="1:7" x14ac:dyDescent="0.2">
      <c r="A5417" s="116">
        <f>IF(ISNUMBER(Tabela2[[#This Row],[CT-e/NFS]])=TRUE,(IF(B5417&gt;30000,4,IF(B5417&lt;1000,"ND",0))),"-")</f>
        <v>4</v>
      </c>
      <c r="B5417" s="116">
        <v>49259</v>
      </c>
      <c r="C5417" s="117">
        <v>45566</v>
      </c>
      <c r="D5417" s="116">
        <v>124.05</v>
      </c>
      <c r="E5417" s="117">
        <v>45580</v>
      </c>
      <c r="F5417" s="116">
        <f>COUNTIFS($A$3:A13667,A5417,$B$3:B13667,B5417)</f>
        <v>1</v>
      </c>
      <c r="G5417" s="116"/>
    </row>
    <row r="5418" spans="1:7" x14ac:dyDescent="0.2">
      <c r="A5418" s="116">
        <f>IF(ISNUMBER(Tabela2[[#This Row],[CT-e/NFS]])=TRUE,(IF(B5418&gt;30000,4,IF(B5418&lt;1000,"ND",0))),"-")</f>
        <v>4</v>
      </c>
      <c r="B5418" s="116">
        <v>49260</v>
      </c>
      <c r="C5418" s="117">
        <v>45566</v>
      </c>
      <c r="D5418" s="116">
        <v>131.9</v>
      </c>
      <c r="E5418" s="117">
        <v>45580</v>
      </c>
      <c r="F5418" s="116">
        <f>COUNTIFS($A$3:A13668,A5418,$B$3:B13668,B5418)</f>
        <v>1</v>
      </c>
      <c r="G5418" s="116"/>
    </row>
    <row r="5419" spans="1:7" x14ac:dyDescent="0.2">
      <c r="A5419" s="116">
        <f>IF(ISNUMBER(Tabela2[[#This Row],[CT-e/NFS]])=TRUE,(IF(B5419&gt;30000,4,IF(B5419&lt;1000,"ND",0))),"-")</f>
        <v>4</v>
      </c>
      <c r="B5419" s="116">
        <v>49256</v>
      </c>
      <c r="C5419" s="117">
        <v>45566</v>
      </c>
      <c r="D5419" s="116">
        <v>461.13</v>
      </c>
      <c r="E5419" s="117">
        <v>45580</v>
      </c>
      <c r="F5419" s="116">
        <f>COUNTIFS($A$3:A13669,A5419,$B$3:B13669,B5419)</f>
        <v>1</v>
      </c>
      <c r="G5419" s="116"/>
    </row>
    <row r="5420" spans="1:7" x14ac:dyDescent="0.2">
      <c r="A5420" s="116">
        <f>IF(ISNUMBER(Tabela2[[#This Row],[CT-e/NFS]])=TRUE,(IF(B5420&gt;30000,4,IF(B5420&lt;1000,"ND",0))),"-")</f>
        <v>4</v>
      </c>
      <c r="B5420" s="116">
        <v>49255</v>
      </c>
      <c r="C5420" s="117">
        <v>45566</v>
      </c>
      <c r="D5420" s="116">
        <v>1245.6099999999999</v>
      </c>
      <c r="E5420" s="117">
        <v>45580</v>
      </c>
      <c r="F5420" s="116">
        <f>COUNTIFS($A$3:A13670,A5420,$B$3:B13670,B5420)</f>
        <v>1</v>
      </c>
      <c r="G5420" s="116"/>
    </row>
    <row r="5421" spans="1:7" x14ac:dyDescent="0.2">
      <c r="A5421" s="116">
        <f>IF(ISNUMBER(Tabela2[[#This Row],[CT-e/NFS]])=TRUE,(IF(B5421&gt;30000,4,IF(B5421&lt;1000,"ND",0))),"-")</f>
        <v>4</v>
      </c>
      <c r="B5421" s="116">
        <v>49266</v>
      </c>
      <c r="C5421" s="117">
        <v>45566</v>
      </c>
      <c r="D5421" s="116">
        <v>126.53</v>
      </c>
      <c r="E5421" s="117">
        <v>45580</v>
      </c>
      <c r="F5421" s="116">
        <f>COUNTIFS($A$3:A13671,A5421,$B$3:B13671,B5421)</f>
        <v>1</v>
      </c>
      <c r="G5421" s="116"/>
    </row>
    <row r="5422" spans="1:7" x14ac:dyDescent="0.2">
      <c r="A5422" s="116">
        <f>IF(ISNUMBER(Tabela2[[#This Row],[CT-e/NFS]])=TRUE,(IF(B5422&gt;30000,4,IF(B5422&lt;1000,"ND",0))),"-")</f>
        <v>4</v>
      </c>
      <c r="B5422" s="116">
        <v>49262</v>
      </c>
      <c r="C5422" s="117">
        <v>45566</v>
      </c>
      <c r="D5422" s="116">
        <v>376.6</v>
      </c>
      <c r="E5422" s="117">
        <v>45580</v>
      </c>
      <c r="F5422" s="116">
        <f>COUNTIFS($A$3:A13672,A5422,$B$3:B13672,B5422)</f>
        <v>1</v>
      </c>
      <c r="G5422" s="116"/>
    </row>
    <row r="5423" spans="1:7" x14ac:dyDescent="0.2">
      <c r="A5423" s="116">
        <f>IF(ISNUMBER(Tabela2[[#This Row],[CT-e/NFS]])=TRUE,(IF(B5423&gt;30000,4,IF(B5423&lt;1000,"ND",0))),"-")</f>
        <v>4</v>
      </c>
      <c r="B5423" s="116">
        <v>49267</v>
      </c>
      <c r="C5423" s="117">
        <v>45566</v>
      </c>
      <c r="D5423" s="116">
        <v>125.64</v>
      </c>
      <c r="E5423" s="117">
        <v>45580</v>
      </c>
      <c r="F5423" s="116">
        <f>COUNTIFS($A$3:A13673,A5423,$B$3:B13673,B5423)</f>
        <v>1</v>
      </c>
      <c r="G5423" s="116"/>
    </row>
    <row r="5424" spans="1:7" x14ac:dyDescent="0.2">
      <c r="A5424" s="116">
        <f>IF(ISNUMBER(Tabela2[[#This Row],[CT-e/NFS]])=TRUE,(IF(B5424&gt;30000,4,IF(B5424&lt;1000,"ND",0))),"-")</f>
        <v>4</v>
      </c>
      <c r="B5424" s="116">
        <v>49265</v>
      </c>
      <c r="C5424" s="117">
        <v>45566</v>
      </c>
      <c r="D5424" s="116">
        <v>126.32</v>
      </c>
      <c r="E5424" s="117">
        <v>45580</v>
      </c>
      <c r="F5424" s="116">
        <f>COUNTIFS($A$3:A13674,A5424,$B$3:B13674,B5424)</f>
        <v>1</v>
      </c>
      <c r="G5424" s="116"/>
    </row>
    <row r="5425" spans="1:7" x14ac:dyDescent="0.2">
      <c r="A5425" s="116">
        <f>IF(ISNUMBER(Tabela2[[#This Row],[CT-e/NFS]])=TRUE,(IF(B5425&gt;30000,4,IF(B5425&lt;1000,"ND",0))),"-")</f>
        <v>4</v>
      </c>
      <c r="B5425" s="116">
        <v>49264</v>
      </c>
      <c r="C5425" s="117">
        <v>45566</v>
      </c>
      <c r="D5425" s="116">
        <v>124.35</v>
      </c>
      <c r="E5425" s="117">
        <v>45580</v>
      </c>
      <c r="F5425" s="116">
        <f>COUNTIFS($A$3:A13675,A5425,$B$3:B13675,B5425)</f>
        <v>1</v>
      </c>
      <c r="G5425" s="116"/>
    </row>
    <row r="5426" spans="1:7" x14ac:dyDescent="0.2">
      <c r="A5426" s="116">
        <f>IF(ISNUMBER(Tabela2[[#This Row],[CT-e/NFS]])=TRUE,(IF(B5426&gt;30000,4,IF(B5426&lt;1000,"ND",0))),"-")</f>
        <v>4</v>
      </c>
      <c r="B5426" s="116">
        <v>49270</v>
      </c>
      <c r="C5426" s="117">
        <v>45566</v>
      </c>
      <c r="D5426" s="116">
        <v>222.47</v>
      </c>
      <c r="E5426" s="117">
        <v>45580</v>
      </c>
      <c r="F5426" s="116">
        <f>COUNTIFS($A$3:A13676,A5426,$B$3:B13676,B5426)</f>
        <v>1</v>
      </c>
      <c r="G5426" s="116"/>
    </row>
    <row r="5427" spans="1:7" x14ac:dyDescent="0.2">
      <c r="A5427" s="116">
        <f>IF(ISNUMBER(Tabela2[[#This Row],[CT-e/NFS]])=TRUE,(IF(B5427&gt;30000,4,IF(B5427&lt;1000,"ND",0))),"-")</f>
        <v>4</v>
      </c>
      <c r="B5427" s="116">
        <v>49268</v>
      </c>
      <c r="C5427" s="117">
        <v>45566</v>
      </c>
      <c r="D5427" s="116">
        <v>1412.65</v>
      </c>
      <c r="E5427" s="117">
        <v>45580</v>
      </c>
      <c r="F5427" s="116">
        <f>COUNTIFS($A$3:A13677,A5427,$B$3:B13677,B5427)</f>
        <v>1</v>
      </c>
      <c r="G5427" s="116"/>
    </row>
    <row r="5428" spans="1:7" x14ac:dyDescent="0.2">
      <c r="A5428" s="116">
        <f>IF(ISNUMBER(Tabela2[[#This Row],[CT-e/NFS]])=TRUE,(IF(B5428&gt;30000,4,IF(B5428&lt;1000,"ND",0))),"-")</f>
        <v>4</v>
      </c>
      <c r="B5428" s="116">
        <v>49274</v>
      </c>
      <c r="C5428" s="117">
        <v>45566</v>
      </c>
      <c r="D5428" s="116">
        <v>1137.73</v>
      </c>
      <c r="E5428" s="117">
        <v>45580</v>
      </c>
      <c r="F5428" s="116">
        <f>COUNTIFS($A$3:A13678,A5428,$B$3:B13678,B5428)</f>
        <v>1</v>
      </c>
      <c r="G5428" s="116"/>
    </row>
    <row r="5429" spans="1:7" x14ac:dyDescent="0.2">
      <c r="A5429" s="116">
        <f>IF(ISNUMBER(Tabela2[[#This Row],[CT-e/NFS]])=TRUE,(IF(B5429&gt;30000,4,IF(B5429&lt;1000,"ND",0))),"-")</f>
        <v>0</v>
      </c>
      <c r="B5429" s="116">
        <v>22136</v>
      </c>
      <c r="C5429" s="117">
        <v>45566</v>
      </c>
      <c r="D5429" s="116">
        <v>77.069999999999993</v>
      </c>
      <c r="E5429" s="117">
        <v>45580</v>
      </c>
      <c r="F5429" s="116">
        <f>COUNTIFS($A$3:A13679,A5429,$B$3:B13679,B5429)</f>
        <v>1</v>
      </c>
      <c r="G5429" s="116"/>
    </row>
    <row r="5430" spans="1:7" x14ac:dyDescent="0.2">
      <c r="A5430" s="116">
        <f>IF(ISNUMBER(Tabela2[[#This Row],[CT-e/NFS]])=TRUE,(IF(B5430&gt;30000,4,IF(B5430&lt;1000,"ND",0))),"-")</f>
        <v>0</v>
      </c>
      <c r="B5430" s="116">
        <v>22135</v>
      </c>
      <c r="C5430" s="117">
        <v>45566</v>
      </c>
      <c r="D5430" s="116">
        <v>76.58</v>
      </c>
      <c r="E5430" s="117">
        <v>45580</v>
      </c>
      <c r="F5430" s="116">
        <f>COUNTIFS($A$3:A13680,A5430,$B$3:B13680,B5430)</f>
        <v>1</v>
      </c>
      <c r="G5430" s="116"/>
    </row>
    <row r="5431" spans="1:7" x14ac:dyDescent="0.2">
      <c r="A5431" s="116">
        <f>IF(ISNUMBER(Tabela2[[#This Row],[CT-e/NFS]])=TRUE,(IF(B5431&gt;30000,4,IF(B5431&lt;1000,"ND",0))),"-")</f>
        <v>0</v>
      </c>
      <c r="B5431" s="116">
        <v>22134</v>
      </c>
      <c r="C5431" s="117">
        <v>45566</v>
      </c>
      <c r="D5431" s="116">
        <v>76.2</v>
      </c>
      <c r="E5431" s="117">
        <v>45580</v>
      </c>
      <c r="F5431" s="116">
        <f>COUNTIFS($A$3:A13681,A5431,$B$3:B13681,B5431)</f>
        <v>1</v>
      </c>
      <c r="G5431" s="116"/>
    </row>
    <row r="5432" spans="1:7" x14ac:dyDescent="0.2">
      <c r="A5432" s="116">
        <f>IF(ISNUMBER(Tabela2[[#This Row],[CT-e/NFS]])=TRUE,(IF(B5432&gt;30000,4,IF(B5432&lt;1000,"ND",0))),"-")</f>
        <v>0</v>
      </c>
      <c r="B5432" s="116">
        <v>22133</v>
      </c>
      <c r="C5432" s="117">
        <v>45566</v>
      </c>
      <c r="D5432" s="116">
        <v>76.28</v>
      </c>
      <c r="E5432" s="117">
        <v>45580</v>
      </c>
      <c r="F5432" s="116">
        <f>COUNTIFS($A$3:A13682,A5432,$B$3:B13682,B5432)</f>
        <v>1</v>
      </c>
      <c r="G5432" s="116"/>
    </row>
    <row r="5433" spans="1:7" x14ac:dyDescent="0.2">
      <c r="A5433" s="116">
        <f>IF(ISNUMBER(Tabela2[[#This Row],[CT-e/NFS]])=TRUE,(IF(B5433&gt;30000,4,IF(B5433&lt;1000,"ND",0))),"-")</f>
        <v>0</v>
      </c>
      <c r="B5433" s="116">
        <v>22132</v>
      </c>
      <c r="C5433" s="117">
        <v>45566</v>
      </c>
      <c r="D5433" s="116">
        <v>76.23</v>
      </c>
      <c r="E5433" s="117">
        <v>45580</v>
      </c>
      <c r="F5433" s="116">
        <f>COUNTIFS($A$3:A13683,A5433,$B$3:B13683,B5433)</f>
        <v>1</v>
      </c>
      <c r="G5433" s="116"/>
    </row>
    <row r="5434" spans="1:7" x14ac:dyDescent="0.2">
      <c r="A5434" s="116">
        <f>IF(ISNUMBER(Tabela2[[#This Row],[CT-e/NFS]])=TRUE,(IF(B5434&gt;30000,4,IF(B5434&lt;1000,"ND",0))),"-")</f>
        <v>4</v>
      </c>
      <c r="B5434" s="116">
        <v>49246</v>
      </c>
      <c r="C5434" s="117">
        <v>45566</v>
      </c>
      <c r="D5434" s="116">
        <v>1899.77</v>
      </c>
      <c r="E5434" s="117">
        <v>45580</v>
      </c>
      <c r="F5434" s="116">
        <f>COUNTIFS($A$3:A13684,A5434,$B$3:B13684,B5434)</f>
        <v>1</v>
      </c>
      <c r="G5434" s="116"/>
    </row>
    <row r="5435" spans="1:7" x14ac:dyDescent="0.2">
      <c r="A5435" s="116">
        <f>IF(ISNUMBER(Tabela2[[#This Row],[CT-e/NFS]])=TRUE,(IF(B5435&gt;30000,4,IF(B5435&lt;1000,"ND",0))),"-")</f>
        <v>4</v>
      </c>
      <c r="B5435" s="116">
        <v>49250</v>
      </c>
      <c r="C5435" s="117">
        <v>45566</v>
      </c>
      <c r="D5435" s="116">
        <v>2037.68</v>
      </c>
      <c r="E5435" s="117">
        <v>45580</v>
      </c>
      <c r="F5435" s="116">
        <f>COUNTIFS($A$3:A13685,A5435,$B$3:B13685,B5435)</f>
        <v>1</v>
      </c>
      <c r="G5435" s="116"/>
    </row>
    <row r="5436" spans="1:7" x14ac:dyDescent="0.2">
      <c r="A5436" s="116">
        <f>IF(ISNUMBER(Tabela2[[#This Row],[CT-e/NFS]])=TRUE,(IF(B5436&gt;30000,4,IF(B5436&lt;1000,"ND",0))),"-")</f>
        <v>4</v>
      </c>
      <c r="B5436" s="116">
        <v>49275</v>
      </c>
      <c r="C5436" s="117">
        <v>45566</v>
      </c>
      <c r="D5436" s="116">
        <v>122.73</v>
      </c>
      <c r="E5436" s="117">
        <v>45580</v>
      </c>
      <c r="F5436" s="116">
        <f>COUNTIFS($A$3:A13686,A5436,$B$3:B13686,B5436)</f>
        <v>1</v>
      </c>
      <c r="G5436" s="116"/>
    </row>
    <row r="5437" spans="1:7" x14ac:dyDescent="0.2">
      <c r="A5437" s="116">
        <f>IF(ISNUMBER(Tabela2[[#This Row],[CT-e/NFS]])=TRUE,(IF(B5437&gt;30000,4,IF(B5437&lt;1000,"ND",0))),"-")</f>
        <v>4</v>
      </c>
      <c r="B5437" s="116">
        <v>49276</v>
      </c>
      <c r="C5437" s="117">
        <v>45566</v>
      </c>
      <c r="D5437" s="116">
        <v>1099.57</v>
      </c>
      <c r="E5437" s="117">
        <v>45580</v>
      </c>
      <c r="F5437" s="116">
        <f>COUNTIFS($A$3:A13687,A5437,$B$3:B13687,B5437)</f>
        <v>1</v>
      </c>
      <c r="G5437" s="116"/>
    </row>
    <row r="5438" spans="1:7" x14ac:dyDescent="0.2">
      <c r="A5438" s="116">
        <f>IF(ISNUMBER(Tabela2[[#This Row],[CT-e/NFS]])=TRUE,(IF(B5438&gt;30000,4,IF(B5438&lt;1000,"ND",0))),"-")</f>
        <v>4</v>
      </c>
      <c r="B5438" s="116">
        <v>49281</v>
      </c>
      <c r="C5438" s="117">
        <v>45566</v>
      </c>
      <c r="D5438" s="116">
        <v>234.44</v>
      </c>
      <c r="E5438" s="117">
        <v>45580</v>
      </c>
      <c r="F5438" s="116">
        <f>COUNTIFS($A$3:A13688,A5438,$B$3:B13688,B5438)</f>
        <v>1</v>
      </c>
      <c r="G5438" s="116"/>
    </row>
    <row r="5439" spans="1:7" x14ac:dyDescent="0.2">
      <c r="A5439" s="116">
        <f>IF(ISNUMBER(Tabela2[[#This Row],[CT-e/NFS]])=TRUE,(IF(B5439&gt;30000,4,IF(B5439&lt;1000,"ND",0))),"-")</f>
        <v>4</v>
      </c>
      <c r="B5439" s="116">
        <v>49280</v>
      </c>
      <c r="C5439" s="117">
        <v>45566</v>
      </c>
      <c r="D5439" s="116">
        <v>293.05</v>
      </c>
      <c r="E5439" s="117">
        <v>45580</v>
      </c>
      <c r="F5439" s="116">
        <f>COUNTIFS($A$3:A13689,A5439,$B$3:B13689,B5439)</f>
        <v>1</v>
      </c>
      <c r="G5439" s="116"/>
    </row>
    <row r="5440" spans="1:7" x14ac:dyDescent="0.2">
      <c r="A5440" s="116">
        <f>IF(ISNUMBER(Tabela2[[#This Row],[CT-e/NFS]])=TRUE,(IF(B5440&gt;30000,4,IF(B5440&lt;1000,"ND",0))),"-")</f>
        <v>4</v>
      </c>
      <c r="B5440" s="116">
        <v>49279</v>
      </c>
      <c r="C5440" s="117">
        <v>45566</v>
      </c>
      <c r="D5440" s="116">
        <v>610.24</v>
      </c>
      <c r="E5440" s="117">
        <v>45580</v>
      </c>
      <c r="F5440" s="116">
        <f>COUNTIFS($A$3:A13690,A5440,$B$3:B13690,B5440)</f>
        <v>1</v>
      </c>
      <c r="G5440" s="116"/>
    </row>
    <row r="5441" spans="1:7" x14ac:dyDescent="0.2">
      <c r="A5441" s="116">
        <f>IF(ISNUMBER(Tabela2[[#This Row],[CT-e/NFS]])=TRUE,(IF(B5441&gt;30000,4,IF(B5441&lt;1000,"ND",0))),"-")</f>
        <v>4</v>
      </c>
      <c r="B5441" s="116">
        <v>49282</v>
      </c>
      <c r="C5441" s="117">
        <v>45566</v>
      </c>
      <c r="D5441" s="116">
        <v>125.36</v>
      </c>
      <c r="E5441" s="117">
        <v>45580</v>
      </c>
      <c r="F5441" s="116">
        <f>COUNTIFS($A$3:A13691,A5441,$B$3:B13691,B5441)</f>
        <v>1</v>
      </c>
      <c r="G5441" s="116"/>
    </row>
    <row r="5442" spans="1:7" x14ac:dyDescent="0.2">
      <c r="A5442" s="116">
        <f>IF(ISNUMBER(Tabela2[[#This Row],[CT-e/NFS]])=TRUE,(IF(B5442&gt;30000,4,IF(B5442&lt;1000,"ND",0))),"-")</f>
        <v>4</v>
      </c>
      <c r="B5442" s="116">
        <v>49278</v>
      </c>
      <c r="C5442" s="117">
        <v>45566</v>
      </c>
      <c r="D5442" s="116">
        <v>124.2</v>
      </c>
      <c r="E5442" s="117">
        <v>45580</v>
      </c>
      <c r="F5442" s="116">
        <f>COUNTIFS($A$3:A13692,A5442,$B$3:B13692,B5442)</f>
        <v>1</v>
      </c>
      <c r="G5442" s="116"/>
    </row>
    <row r="5443" spans="1:7" x14ac:dyDescent="0.2">
      <c r="A5443" s="116">
        <f>IF(ISNUMBER(Tabela2[[#This Row],[CT-e/NFS]])=TRUE,(IF(B5443&gt;30000,4,IF(B5443&lt;1000,"ND",0))),"-")</f>
        <v>4</v>
      </c>
      <c r="B5443" s="116">
        <v>49287</v>
      </c>
      <c r="C5443" s="117">
        <v>45566</v>
      </c>
      <c r="D5443" s="116">
        <v>238.81</v>
      </c>
      <c r="E5443" s="117">
        <v>45580</v>
      </c>
      <c r="F5443" s="116">
        <f>COUNTIFS($A$3:A13693,A5443,$B$3:B13693,B5443)</f>
        <v>1</v>
      </c>
      <c r="G5443" s="116"/>
    </row>
    <row r="5444" spans="1:7" x14ac:dyDescent="0.2">
      <c r="A5444" s="116">
        <f>IF(ISNUMBER(Tabela2[[#This Row],[CT-e/NFS]])=TRUE,(IF(B5444&gt;30000,4,IF(B5444&lt;1000,"ND",0))),"-")</f>
        <v>4</v>
      </c>
      <c r="B5444" s="116">
        <v>49283</v>
      </c>
      <c r="C5444" s="117">
        <v>45566</v>
      </c>
      <c r="D5444" s="116">
        <v>123.51</v>
      </c>
      <c r="E5444" s="117">
        <v>45580</v>
      </c>
      <c r="F5444" s="116">
        <f>COUNTIFS($A$3:A13694,A5444,$B$3:B13694,B5444)</f>
        <v>1</v>
      </c>
      <c r="G5444" s="116"/>
    </row>
    <row r="5445" spans="1:7" x14ac:dyDescent="0.2">
      <c r="A5445" s="116">
        <f>IF(ISNUMBER(Tabela2[[#This Row],[CT-e/NFS]])=TRUE,(IF(B5445&gt;30000,4,IF(B5445&lt;1000,"ND",0))),"-")</f>
        <v>4</v>
      </c>
      <c r="B5445" s="116">
        <v>49284</v>
      </c>
      <c r="C5445" s="117">
        <v>45566</v>
      </c>
      <c r="D5445" s="116">
        <v>120.32</v>
      </c>
      <c r="E5445" s="117">
        <v>45580</v>
      </c>
      <c r="F5445" s="116">
        <f>COUNTIFS($A$3:A13695,A5445,$B$3:B13695,B5445)</f>
        <v>1</v>
      </c>
      <c r="G5445" s="116"/>
    </row>
    <row r="5446" spans="1:7" x14ac:dyDescent="0.2">
      <c r="A5446" s="116">
        <f>IF(ISNUMBER(Tabela2[[#This Row],[CT-e/NFS]])=TRUE,(IF(B5446&gt;30000,4,IF(B5446&lt;1000,"ND",0))),"-")</f>
        <v>4</v>
      </c>
      <c r="B5446" s="116">
        <v>49286</v>
      </c>
      <c r="C5446" s="117">
        <v>45566</v>
      </c>
      <c r="D5446" s="116">
        <v>216.76</v>
      </c>
      <c r="E5446" s="117">
        <v>45580</v>
      </c>
      <c r="F5446" s="116">
        <f>COUNTIFS($A$3:A13696,A5446,$B$3:B13696,B5446)</f>
        <v>1</v>
      </c>
      <c r="G5446" s="116"/>
    </row>
    <row r="5447" spans="1:7" x14ac:dyDescent="0.2">
      <c r="A5447" s="116">
        <f>IF(ISNUMBER(Tabela2[[#This Row],[CT-e/NFS]])=TRUE,(IF(B5447&gt;30000,4,IF(B5447&lt;1000,"ND",0))),"-")</f>
        <v>4</v>
      </c>
      <c r="B5447" s="116">
        <v>49289</v>
      </c>
      <c r="C5447" s="117">
        <v>45566</v>
      </c>
      <c r="D5447" s="116">
        <v>124.2</v>
      </c>
      <c r="E5447" s="117">
        <v>45580</v>
      </c>
      <c r="F5447" s="116">
        <f>COUNTIFS($A$3:A13697,A5447,$B$3:B13697,B5447)</f>
        <v>1</v>
      </c>
      <c r="G5447" s="116"/>
    </row>
    <row r="5448" spans="1:7" x14ac:dyDescent="0.2">
      <c r="A5448" s="116">
        <f>IF(ISNUMBER(Tabela2[[#This Row],[CT-e/NFS]])=TRUE,(IF(B5448&gt;30000,4,IF(B5448&lt;1000,"ND",0))),"-")</f>
        <v>4</v>
      </c>
      <c r="B5448" s="116">
        <v>49303</v>
      </c>
      <c r="C5448" s="117">
        <v>45566</v>
      </c>
      <c r="D5448" s="116">
        <v>62.61</v>
      </c>
      <c r="E5448" s="117">
        <v>45580</v>
      </c>
      <c r="F5448" s="116">
        <f>COUNTIFS($A$3:A13698,A5448,$B$3:B13698,B5448)</f>
        <v>1</v>
      </c>
      <c r="G5448" s="116"/>
    </row>
    <row r="5449" spans="1:7" x14ac:dyDescent="0.2">
      <c r="A5449" s="116">
        <f>IF(ISNUMBER(Tabela2[[#This Row],[CT-e/NFS]])=TRUE,(IF(B5449&gt;30000,4,IF(B5449&lt;1000,"ND",0))),"-")</f>
        <v>4</v>
      </c>
      <c r="B5449" s="116">
        <v>49291</v>
      </c>
      <c r="C5449" s="117">
        <v>45566</v>
      </c>
      <c r="D5449" s="116">
        <v>235.52</v>
      </c>
      <c r="E5449" s="117">
        <v>45580</v>
      </c>
      <c r="F5449" s="116">
        <f>COUNTIFS($A$3:A13699,A5449,$B$3:B13699,B5449)</f>
        <v>1</v>
      </c>
      <c r="G5449" s="116"/>
    </row>
    <row r="5450" spans="1:7" x14ac:dyDescent="0.2">
      <c r="A5450" s="116">
        <f>IF(ISNUMBER(Tabela2[[#This Row],[CT-e/NFS]])=TRUE,(IF(B5450&gt;30000,4,IF(B5450&lt;1000,"ND",0))),"-")</f>
        <v>4</v>
      </c>
      <c r="B5450" s="116">
        <v>49296</v>
      </c>
      <c r="C5450" s="117">
        <v>45566</v>
      </c>
      <c r="D5450" s="116">
        <v>1027.68</v>
      </c>
      <c r="E5450" s="117">
        <v>45580</v>
      </c>
      <c r="F5450" s="116">
        <f>COUNTIFS($A$3:A13700,A5450,$B$3:B13700,B5450)</f>
        <v>1</v>
      </c>
      <c r="G5450" s="116"/>
    </row>
    <row r="5451" spans="1:7" x14ac:dyDescent="0.2">
      <c r="A5451" s="116">
        <f>IF(ISNUMBER(Tabela2[[#This Row],[CT-e/NFS]])=TRUE,(IF(B5451&gt;30000,4,IF(B5451&lt;1000,"ND",0))),"-")</f>
        <v>4</v>
      </c>
      <c r="B5451" s="116">
        <v>49290</v>
      </c>
      <c r="C5451" s="117">
        <v>45566</v>
      </c>
      <c r="D5451" s="116">
        <v>124.15</v>
      </c>
      <c r="E5451" s="117">
        <v>45580</v>
      </c>
      <c r="F5451" s="116">
        <f>COUNTIFS($A$3:A13701,A5451,$B$3:B13701,B5451)</f>
        <v>1</v>
      </c>
      <c r="G5451" s="116"/>
    </row>
    <row r="5452" spans="1:7" x14ac:dyDescent="0.2">
      <c r="A5452" s="116">
        <f>IF(ISNUMBER(Tabela2[[#This Row],[CT-e/NFS]])=TRUE,(IF(B5452&gt;30000,4,IF(B5452&lt;1000,"ND",0))),"-")</f>
        <v>4</v>
      </c>
      <c r="B5452" s="116">
        <v>49301</v>
      </c>
      <c r="C5452" s="117">
        <v>45566</v>
      </c>
      <c r="D5452" s="116">
        <v>67.02</v>
      </c>
      <c r="E5452" s="117">
        <v>45580</v>
      </c>
      <c r="F5452" s="116">
        <f>COUNTIFS($A$3:A13702,A5452,$B$3:B13702,B5452)</f>
        <v>1</v>
      </c>
      <c r="G5452" s="116"/>
    </row>
    <row r="5453" spans="1:7" x14ac:dyDescent="0.2">
      <c r="A5453" s="116">
        <f>IF(ISNUMBER(Tabela2[[#This Row],[CT-e/NFS]])=TRUE,(IF(B5453&gt;30000,4,IF(B5453&lt;1000,"ND",0))),"-")</f>
        <v>4</v>
      </c>
      <c r="B5453" s="116">
        <v>49304</v>
      </c>
      <c r="C5453" s="117">
        <v>45566</v>
      </c>
      <c r="D5453" s="116">
        <v>112.94</v>
      </c>
      <c r="E5453" s="117">
        <v>45580</v>
      </c>
      <c r="F5453" s="116">
        <f>COUNTIFS($A$3:A13703,A5453,$B$3:B13703,B5453)</f>
        <v>1</v>
      </c>
      <c r="G5453" s="116"/>
    </row>
    <row r="5454" spans="1:7" x14ac:dyDescent="0.2">
      <c r="A5454" s="116">
        <f>IF(ISNUMBER(Tabela2[[#This Row],[CT-e/NFS]])=TRUE,(IF(B5454&gt;30000,4,IF(B5454&lt;1000,"ND",0))),"-")</f>
        <v>4</v>
      </c>
      <c r="B5454" s="116">
        <v>49302</v>
      </c>
      <c r="C5454" s="117">
        <v>45566</v>
      </c>
      <c r="D5454" s="116">
        <v>121.06</v>
      </c>
      <c r="E5454" s="117">
        <v>45580</v>
      </c>
      <c r="F5454" s="116">
        <f>COUNTIFS($A$3:A13704,A5454,$B$3:B13704,B5454)</f>
        <v>1</v>
      </c>
      <c r="G5454" s="116"/>
    </row>
    <row r="5455" spans="1:7" x14ac:dyDescent="0.2">
      <c r="A5455" s="116">
        <f>IF(ISNUMBER(Tabela2[[#This Row],[CT-e/NFS]])=TRUE,(IF(B5455&gt;30000,4,IF(B5455&lt;1000,"ND",0))),"-")</f>
        <v>4</v>
      </c>
      <c r="B5455" s="116">
        <v>49297</v>
      </c>
      <c r="C5455" s="117">
        <v>45566</v>
      </c>
      <c r="D5455" s="116">
        <v>710.23</v>
      </c>
      <c r="E5455" s="117">
        <v>45580</v>
      </c>
      <c r="F5455" s="116">
        <f>COUNTIFS($A$3:A13705,A5455,$B$3:B13705,B5455)</f>
        <v>1</v>
      </c>
      <c r="G5455" s="116"/>
    </row>
    <row r="5456" spans="1:7" x14ac:dyDescent="0.2">
      <c r="A5456" s="116">
        <f>IF(ISNUMBER(Tabela2[[#This Row],[CT-e/NFS]])=TRUE,(IF(B5456&gt;30000,4,IF(B5456&lt;1000,"ND",0))),"-")</f>
        <v>4</v>
      </c>
      <c r="B5456" s="116">
        <v>49306</v>
      </c>
      <c r="C5456" s="117">
        <v>45566</v>
      </c>
      <c r="D5456" s="116">
        <v>396.45</v>
      </c>
      <c r="E5456" s="117">
        <v>45580</v>
      </c>
      <c r="F5456" s="116">
        <f>COUNTIFS($A$3:A13706,A5456,$B$3:B13706,B5456)</f>
        <v>1</v>
      </c>
      <c r="G5456" s="116"/>
    </row>
    <row r="5457" spans="1:7" x14ac:dyDescent="0.2">
      <c r="A5457" s="116">
        <f>IF(ISNUMBER(Tabela2[[#This Row],[CT-e/NFS]])=TRUE,(IF(B5457&gt;30000,4,IF(B5457&lt;1000,"ND",0))),"-")</f>
        <v>0</v>
      </c>
      <c r="B5457" s="116">
        <v>22143</v>
      </c>
      <c r="C5457" s="117">
        <v>45566</v>
      </c>
      <c r="D5457" s="116">
        <v>76.510000000000005</v>
      </c>
      <c r="E5457" s="117">
        <v>45580</v>
      </c>
      <c r="F5457" s="116">
        <f>COUNTIFS($A$3:A13707,A5457,$B$3:B13707,B5457)</f>
        <v>1</v>
      </c>
      <c r="G5457" s="116"/>
    </row>
    <row r="5458" spans="1:7" x14ac:dyDescent="0.2">
      <c r="A5458" s="116">
        <f>IF(ISNUMBER(Tabela2[[#This Row],[CT-e/NFS]])=TRUE,(IF(B5458&gt;30000,4,IF(B5458&lt;1000,"ND",0))),"-")</f>
        <v>0</v>
      </c>
      <c r="B5458" s="116">
        <v>22144</v>
      </c>
      <c r="C5458" s="117">
        <v>45566</v>
      </c>
      <c r="D5458" s="116">
        <v>75.62</v>
      </c>
      <c r="E5458" s="117">
        <v>45580</v>
      </c>
      <c r="F5458" s="116">
        <f>COUNTIFS($A$3:A13708,A5458,$B$3:B13708,B5458)</f>
        <v>1</v>
      </c>
      <c r="G5458" s="116"/>
    </row>
    <row r="5459" spans="1:7" x14ac:dyDescent="0.2">
      <c r="A5459" s="116">
        <f>IF(ISNUMBER(Tabela2[[#This Row],[CT-e/NFS]])=TRUE,(IF(B5459&gt;30000,4,IF(B5459&lt;1000,"ND",0))),"-")</f>
        <v>0</v>
      </c>
      <c r="B5459" s="116">
        <v>22145</v>
      </c>
      <c r="C5459" s="117">
        <v>45566</v>
      </c>
      <c r="D5459" s="116">
        <v>76.8</v>
      </c>
      <c r="E5459" s="117">
        <v>45580</v>
      </c>
      <c r="F5459" s="116">
        <f>COUNTIFS($A$3:A13709,A5459,$B$3:B13709,B5459)</f>
        <v>1</v>
      </c>
      <c r="G5459" s="116"/>
    </row>
    <row r="5460" spans="1:7" x14ac:dyDescent="0.2">
      <c r="A5460" s="116">
        <f>IF(ISNUMBER(Tabela2[[#This Row],[CT-e/NFS]])=TRUE,(IF(B5460&gt;30000,4,IF(B5460&lt;1000,"ND",0))),"-")</f>
        <v>4</v>
      </c>
      <c r="B5460" s="116">
        <v>49305</v>
      </c>
      <c r="C5460" s="117">
        <v>45566</v>
      </c>
      <c r="D5460" s="116">
        <v>585.70000000000005</v>
      </c>
      <c r="E5460" s="117">
        <v>45580</v>
      </c>
      <c r="F5460" s="116">
        <f>COUNTIFS($A$3:A13710,A5460,$B$3:B13710,B5460)</f>
        <v>1</v>
      </c>
      <c r="G5460" s="116"/>
    </row>
    <row r="5461" spans="1:7" x14ac:dyDescent="0.2">
      <c r="A5461" s="116">
        <f>IF(ISNUMBER(Tabela2[[#This Row],[CT-e/NFS]])=TRUE,(IF(B5461&gt;30000,4,IF(B5461&lt;1000,"ND",0))),"-")</f>
        <v>4</v>
      </c>
      <c r="B5461" s="116">
        <v>49294</v>
      </c>
      <c r="C5461" s="117">
        <v>45566</v>
      </c>
      <c r="D5461" s="116">
        <v>122.74</v>
      </c>
      <c r="E5461" s="117">
        <v>45580</v>
      </c>
      <c r="F5461" s="116">
        <f>COUNTIFS($A$3:A13711,A5461,$B$3:B13711,B5461)</f>
        <v>1</v>
      </c>
      <c r="G5461" s="116"/>
    </row>
    <row r="5462" spans="1:7" x14ac:dyDescent="0.2">
      <c r="A5462" s="116">
        <f>IF(ISNUMBER(Tabela2[[#This Row],[CT-e/NFS]])=TRUE,(IF(B5462&gt;30000,4,IF(B5462&lt;1000,"ND",0))),"-")</f>
        <v>4</v>
      </c>
      <c r="B5462" s="116">
        <v>49295</v>
      </c>
      <c r="C5462" s="117">
        <v>45566</v>
      </c>
      <c r="D5462" s="116">
        <v>2906.31</v>
      </c>
      <c r="E5462" s="117">
        <v>45580</v>
      </c>
      <c r="F5462" s="116">
        <f>COUNTIFS($A$3:A13712,A5462,$B$3:B13712,B5462)</f>
        <v>1</v>
      </c>
      <c r="G5462" s="116"/>
    </row>
    <row r="5463" spans="1:7" x14ac:dyDescent="0.2">
      <c r="A5463" s="116">
        <f>IF(ISNUMBER(Tabela2[[#This Row],[CT-e/NFS]])=TRUE,(IF(B5463&gt;30000,4,IF(B5463&lt;1000,"ND",0))),"-")</f>
        <v>4</v>
      </c>
      <c r="B5463" s="116">
        <v>49254</v>
      </c>
      <c r="C5463" s="117">
        <v>45566</v>
      </c>
      <c r="D5463" s="116">
        <v>122.95</v>
      </c>
      <c r="E5463" s="117">
        <v>45580</v>
      </c>
      <c r="F5463" s="116">
        <f>COUNTIFS($A$3:A13713,A5463,$B$3:B13713,B5463)</f>
        <v>1</v>
      </c>
      <c r="G5463" s="116"/>
    </row>
    <row r="5464" spans="1:7" x14ac:dyDescent="0.2">
      <c r="A5464" s="116">
        <f>IF(ISNUMBER(Tabela2[[#This Row],[CT-e/NFS]])=TRUE,(IF(B5464&gt;30000,4,IF(B5464&lt;1000,"ND",0))),"-")</f>
        <v>4</v>
      </c>
      <c r="B5464" s="116">
        <v>49299</v>
      </c>
      <c r="C5464" s="117">
        <v>45566</v>
      </c>
      <c r="D5464" s="116">
        <v>549.78</v>
      </c>
      <c r="E5464" s="117">
        <v>45580</v>
      </c>
      <c r="F5464" s="116">
        <f>COUNTIFS($A$3:A13714,A5464,$B$3:B13714,B5464)</f>
        <v>1</v>
      </c>
      <c r="G5464" s="116"/>
    </row>
    <row r="5465" spans="1:7" x14ac:dyDescent="0.2">
      <c r="A5465" s="116">
        <f>IF(ISNUMBER(Tabela2[[#This Row],[CT-e/NFS]])=TRUE,(IF(B5465&gt;30000,4,IF(B5465&lt;1000,"ND",0))),"-")</f>
        <v>4</v>
      </c>
      <c r="B5465" s="116">
        <v>49300</v>
      </c>
      <c r="C5465" s="117">
        <v>45566</v>
      </c>
      <c r="D5465" s="116">
        <v>993.05</v>
      </c>
      <c r="E5465" s="117">
        <v>45580</v>
      </c>
      <c r="F5465" s="116">
        <f>COUNTIFS($A$3:A13715,A5465,$B$3:B13715,B5465)</f>
        <v>1</v>
      </c>
      <c r="G5465" s="116"/>
    </row>
    <row r="5466" spans="1:7" x14ac:dyDescent="0.2">
      <c r="A5466" s="116">
        <f>IF(ISNUMBER(Tabela2[[#This Row],[CT-e/NFS]])=TRUE,(IF(B5466&gt;30000,4,IF(B5466&lt;1000,"ND",0))),"-")</f>
        <v>4</v>
      </c>
      <c r="B5466" s="116">
        <v>49308</v>
      </c>
      <c r="C5466" s="117">
        <v>45566</v>
      </c>
      <c r="D5466" s="116">
        <v>261.64999999999998</v>
      </c>
      <c r="E5466" s="117">
        <v>45580</v>
      </c>
      <c r="F5466" s="116">
        <f>COUNTIFS($A$3:A13716,A5466,$B$3:B13716,B5466)</f>
        <v>1</v>
      </c>
      <c r="G5466" s="116"/>
    </row>
    <row r="5467" spans="1:7" x14ac:dyDescent="0.2">
      <c r="A5467" s="116">
        <f>IF(ISNUMBER(Tabela2[[#This Row],[CT-e/NFS]])=TRUE,(IF(B5467&gt;30000,4,IF(B5467&lt;1000,"ND",0))),"-")</f>
        <v>4</v>
      </c>
      <c r="B5467" s="116">
        <v>49309</v>
      </c>
      <c r="C5467" s="117">
        <v>45566</v>
      </c>
      <c r="D5467" s="116">
        <v>1203.5899999999999</v>
      </c>
      <c r="E5467" s="117">
        <v>45580</v>
      </c>
      <c r="F5467" s="116">
        <f>COUNTIFS($A$3:A13717,A5467,$B$3:B13717,B5467)</f>
        <v>1</v>
      </c>
      <c r="G5467" s="116"/>
    </row>
    <row r="5468" spans="1:7" x14ac:dyDescent="0.2">
      <c r="A5468" s="116">
        <f>IF(ISNUMBER(Tabela2[[#This Row],[CT-e/NFS]])=TRUE,(IF(B5468&gt;30000,4,IF(B5468&lt;1000,"ND",0))),"-")</f>
        <v>4</v>
      </c>
      <c r="B5468" s="116">
        <v>49310</v>
      </c>
      <c r="C5468" s="117">
        <v>45566</v>
      </c>
      <c r="D5468" s="116">
        <v>293.05</v>
      </c>
      <c r="E5468" s="117">
        <v>45580</v>
      </c>
      <c r="F5468" s="116">
        <f>COUNTIFS($A$3:A13718,A5468,$B$3:B13718,B5468)</f>
        <v>1</v>
      </c>
      <c r="G5468" s="116"/>
    </row>
    <row r="5469" spans="1:7" x14ac:dyDescent="0.2">
      <c r="A5469" s="116">
        <f>IF(ISNUMBER(Tabela2[[#This Row],[CT-e/NFS]])=TRUE,(IF(B5469&gt;30000,4,IF(B5469&lt;1000,"ND",0))),"-")</f>
        <v>4</v>
      </c>
      <c r="B5469" s="116">
        <v>49323</v>
      </c>
      <c r="C5469" s="117">
        <v>45566</v>
      </c>
      <c r="D5469" s="116">
        <v>124.15</v>
      </c>
      <c r="E5469" s="117">
        <v>45580</v>
      </c>
      <c r="F5469" s="116">
        <f>COUNTIFS($A$3:A13719,A5469,$B$3:B13719,B5469)</f>
        <v>1</v>
      </c>
      <c r="G5469" s="116"/>
    </row>
    <row r="5470" spans="1:7" x14ac:dyDescent="0.2">
      <c r="A5470" s="116">
        <f>IF(ISNUMBER(Tabela2[[#This Row],[CT-e/NFS]])=TRUE,(IF(B5470&gt;30000,4,IF(B5470&lt;1000,"ND",0))),"-")</f>
        <v>4</v>
      </c>
      <c r="B5470" s="116">
        <v>49317</v>
      </c>
      <c r="C5470" s="117">
        <v>45566</v>
      </c>
      <c r="D5470" s="116">
        <v>210.11</v>
      </c>
      <c r="E5470" s="117">
        <v>45580</v>
      </c>
      <c r="F5470" s="116">
        <f>COUNTIFS($A$3:A13720,A5470,$B$3:B13720,B5470)</f>
        <v>1</v>
      </c>
      <c r="G5470" s="116"/>
    </row>
    <row r="5471" spans="1:7" x14ac:dyDescent="0.2">
      <c r="A5471" s="116">
        <f>IF(ISNUMBER(Tabela2[[#This Row],[CT-e/NFS]])=TRUE,(IF(B5471&gt;30000,4,IF(B5471&lt;1000,"ND",0))),"-")</f>
        <v>4</v>
      </c>
      <c r="B5471" s="116">
        <v>49318</v>
      </c>
      <c r="C5471" s="117">
        <v>45566</v>
      </c>
      <c r="D5471" s="116">
        <v>122.89</v>
      </c>
      <c r="E5471" s="117">
        <v>45580</v>
      </c>
      <c r="F5471" s="116">
        <f>COUNTIFS($A$3:A13721,A5471,$B$3:B13721,B5471)</f>
        <v>1</v>
      </c>
      <c r="G5471" s="116"/>
    </row>
    <row r="5472" spans="1:7" x14ac:dyDescent="0.2">
      <c r="A5472" s="116">
        <f>IF(ISNUMBER(Tabela2[[#This Row],[CT-e/NFS]])=TRUE,(IF(B5472&gt;30000,4,IF(B5472&lt;1000,"ND",0))),"-")</f>
        <v>4</v>
      </c>
      <c r="B5472" s="116">
        <v>49324</v>
      </c>
      <c r="C5472" s="117">
        <v>45566</v>
      </c>
      <c r="D5472" s="116">
        <v>126.6</v>
      </c>
      <c r="E5472" s="117">
        <v>45580</v>
      </c>
      <c r="F5472" s="116">
        <f>COUNTIFS($A$3:A13722,A5472,$B$3:B13722,B5472)</f>
        <v>1</v>
      </c>
      <c r="G5472" s="116"/>
    </row>
    <row r="5473" spans="1:7" x14ac:dyDescent="0.2">
      <c r="A5473" s="116">
        <f>IF(ISNUMBER(Tabela2[[#This Row],[CT-e/NFS]])=TRUE,(IF(B5473&gt;30000,4,IF(B5473&lt;1000,"ND",0))),"-")</f>
        <v>4</v>
      </c>
      <c r="B5473" s="116">
        <v>49322</v>
      </c>
      <c r="C5473" s="117">
        <v>45566</v>
      </c>
      <c r="D5473" s="116">
        <v>1519.15</v>
      </c>
      <c r="E5473" s="117">
        <v>45580</v>
      </c>
      <c r="F5473" s="116">
        <f>COUNTIFS($A$3:A13723,A5473,$B$3:B13723,B5473)</f>
        <v>1</v>
      </c>
      <c r="G5473" s="116"/>
    </row>
    <row r="5474" spans="1:7" x14ac:dyDescent="0.2">
      <c r="A5474" s="116">
        <f>IF(ISNUMBER(Tabela2[[#This Row],[CT-e/NFS]])=TRUE,(IF(B5474&gt;30000,4,IF(B5474&lt;1000,"ND",0))),"-")</f>
        <v>4</v>
      </c>
      <c r="B5474" s="116">
        <v>49328</v>
      </c>
      <c r="C5474" s="117">
        <v>45566</v>
      </c>
      <c r="D5474" s="116">
        <v>124.52</v>
      </c>
      <c r="E5474" s="117">
        <v>45580</v>
      </c>
      <c r="F5474" s="116">
        <f>COUNTIFS($A$3:A13724,A5474,$B$3:B13724,B5474)</f>
        <v>1</v>
      </c>
      <c r="G5474" s="116"/>
    </row>
    <row r="5475" spans="1:7" x14ac:dyDescent="0.2">
      <c r="A5475" s="116">
        <f>IF(ISNUMBER(Tabela2[[#This Row],[CT-e/NFS]])=TRUE,(IF(B5475&gt;30000,4,IF(B5475&lt;1000,"ND",0))),"-")</f>
        <v>4</v>
      </c>
      <c r="B5475" s="116">
        <v>49315</v>
      </c>
      <c r="C5475" s="117">
        <v>45566</v>
      </c>
      <c r="D5475" s="116">
        <v>609.22</v>
      </c>
      <c r="E5475" s="117">
        <v>45580</v>
      </c>
      <c r="F5475" s="116">
        <f>COUNTIFS($A$3:A13725,A5475,$B$3:B13725,B5475)</f>
        <v>1</v>
      </c>
      <c r="G5475" s="116"/>
    </row>
    <row r="5476" spans="1:7" x14ac:dyDescent="0.2">
      <c r="A5476" s="116">
        <f>IF(ISNUMBER(Tabela2[[#This Row],[CT-e/NFS]])=TRUE,(IF(B5476&gt;30000,4,IF(B5476&lt;1000,"ND",0))),"-")</f>
        <v>4</v>
      </c>
      <c r="B5476" s="116">
        <v>49314</v>
      </c>
      <c r="C5476" s="117">
        <v>45566</v>
      </c>
      <c r="D5476" s="116">
        <v>123.19</v>
      </c>
      <c r="E5476" s="117">
        <v>45580</v>
      </c>
      <c r="F5476" s="116">
        <f>COUNTIFS($A$3:A13726,A5476,$B$3:B13726,B5476)</f>
        <v>1</v>
      </c>
      <c r="G5476" s="116"/>
    </row>
    <row r="5477" spans="1:7" x14ac:dyDescent="0.2">
      <c r="A5477" s="116">
        <f>IF(ISNUMBER(Tabela2[[#This Row],[CT-e/NFS]])=TRUE,(IF(B5477&gt;30000,4,IF(B5477&lt;1000,"ND",0))),"-")</f>
        <v>4</v>
      </c>
      <c r="B5477" s="116">
        <v>49321</v>
      </c>
      <c r="C5477" s="117">
        <v>45566</v>
      </c>
      <c r="D5477" s="116">
        <v>124.51</v>
      </c>
      <c r="E5477" s="117">
        <v>45580</v>
      </c>
      <c r="F5477" s="116">
        <f>COUNTIFS($A$3:A13727,A5477,$B$3:B13727,B5477)</f>
        <v>1</v>
      </c>
      <c r="G5477" s="116"/>
    </row>
    <row r="5478" spans="1:7" x14ac:dyDescent="0.2">
      <c r="A5478" s="116">
        <f>IF(ISNUMBER(Tabela2[[#This Row],[CT-e/NFS]])=TRUE,(IF(B5478&gt;30000,4,IF(B5478&lt;1000,"ND",0))),"-")</f>
        <v>4</v>
      </c>
      <c r="B5478" s="116">
        <v>49312</v>
      </c>
      <c r="C5478" s="117">
        <v>45566</v>
      </c>
      <c r="D5478" s="116">
        <v>240.47</v>
      </c>
      <c r="E5478" s="117">
        <v>45580</v>
      </c>
      <c r="F5478" s="116">
        <f>COUNTIFS($A$3:A13728,A5478,$B$3:B13728,B5478)</f>
        <v>1</v>
      </c>
      <c r="G5478" s="116"/>
    </row>
    <row r="5479" spans="1:7" x14ac:dyDescent="0.2">
      <c r="A5479" s="116">
        <f>IF(ISNUMBER(Tabela2[[#This Row],[CT-e/NFS]])=TRUE,(IF(B5479&gt;30000,4,IF(B5479&lt;1000,"ND",0))),"-")</f>
        <v>4</v>
      </c>
      <c r="B5479" s="116">
        <v>49313</v>
      </c>
      <c r="C5479" s="117">
        <v>45566</v>
      </c>
      <c r="D5479" s="116">
        <v>125.42</v>
      </c>
      <c r="E5479" s="117">
        <v>45580</v>
      </c>
      <c r="F5479" s="116">
        <f>COUNTIFS($A$3:A13729,A5479,$B$3:B13729,B5479)</f>
        <v>1</v>
      </c>
      <c r="G5479" s="116"/>
    </row>
    <row r="5480" spans="1:7" x14ac:dyDescent="0.2">
      <c r="A5480" s="116">
        <f>IF(ISNUMBER(Tabela2[[#This Row],[CT-e/NFS]])=TRUE,(IF(B5480&gt;30000,4,IF(B5480&lt;1000,"ND",0))),"-")</f>
        <v>4</v>
      </c>
      <c r="B5480" s="116">
        <v>49320</v>
      </c>
      <c r="C5480" s="117">
        <v>45566</v>
      </c>
      <c r="D5480" s="116">
        <v>124.3</v>
      </c>
      <c r="E5480" s="117">
        <v>45580</v>
      </c>
      <c r="F5480" s="116">
        <f>COUNTIFS($A$3:A13730,A5480,$B$3:B13730,B5480)</f>
        <v>1</v>
      </c>
      <c r="G5480" s="116"/>
    </row>
    <row r="5481" spans="1:7" x14ac:dyDescent="0.2">
      <c r="A5481" s="116">
        <f>IF(ISNUMBER(Tabela2[[#This Row],[CT-e/NFS]])=TRUE,(IF(B5481&gt;30000,4,IF(B5481&lt;1000,"ND",0))),"-")</f>
        <v>4</v>
      </c>
      <c r="B5481" s="116">
        <v>49319</v>
      </c>
      <c r="C5481" s="117">
        <v>45566</v>
      </c>
      <c r="D5481" s="116">
        <v>125.93</v>
      </c>
      <c r="E5481" s="117">
        <v>45580</v>
      </c>
      <c r="F5481" s="116">
        <f>COUNTIFS($A$3:A13731,A5481,$B$3:B13731,B5481)</f>
        <v>1</v>
      </c>
      <c r="G5481" s="116"/>
    </row>
    <row r="5482" spans="1:7" x14ac:dyDescent="0.2">
      <c r="A5482" s="116">
        <f>IF(ISNUMBER(Tabela2[[#This Row],[CT-e/NFS]])=TRUE,(IF(B5482&gt;30000,4,IF(B5482&lt;1000,"ND",0))),"-")</f>
        <v>4</v>
      </c>
      <c r="B5482" s="116">
        <v>49311</v>
      </c>
      <c r="C5482" s="117">
        <v>45566</v>
      </c>
      <c r="D5482" s="116">
        <v>240.22</v>
      </c>
      <c r="E5482" s="117">
        <v>45580</v>
      </c>
      <c r="F5482" s="116">
        <f>COUNTIFS($A$3:A13732,A5482,$B$3:B13732,B5482)</f>
        <v>1</v>
      </c>
      <c r="G5482" s="116"/>
    </row>
    <row r="5483" spans="1:7" x14ac:dyDescent="0.2">
      <c r="A5483" s="116">
        <f>IF(ISNUMBER(Tabela2[[#This Row],[CT-e/NFS]])=TRUE,(IF(B5483&gt;30000,4,IF(B5483&lt;1000,"ND",0))),"-")</f>
        <v>4</v>
      </c>
      <c r="B5483" s="116">
        <v>49330</v>
      </c>
      <c r="C5483" s="117">
        <v>45566</v>
      </c>
      <c r="D5483" s="116">
        <v>1137.73</v>
      </c>
      <c r="E5483" s="117">
        <v>45580</v>
      </c>
      <c r="F5483" s="116">
        <f>COUNTIFS($A$3:A13733,A5483,$B$3:B13733,B5483)</f>
        <v>1</v>
      </c>
      <c r="G5483" s="116"/>
    </row>
    <row r="5484" spans="1:7" x14ac:dyDescent="0.2">
      <c r="A5484" s="116">
        <f>IF(ISNUMBER(Tabela2[[#This Row],[CT-e/NFS]])=TRUE,(IF(B5484&gt;30000,4,IF(B5484&lt;1000,"ND",0))),"-")</f>
        <v>4</v>
      </c>
      <c r="B5484" s="116">
        <v>49271</v>
      </c>
      <c r="C5484" s="117">
        <v>45566</v>
      </c>
      <c r="D5484" s="116">
        <v>204.01</v>
      </c>
      <c r="E5484" s="117">
        <v>45580</v>
      </c>
      <c r="F5484" s="116">
        <f>COUNTIFS($A$3:A13734,A5484,$B$3:B13734,B5484)</f>
        <v>1</v>
      </c>
      <c r="G5484" s="116"/>
    </row>
    <row r="5485" spans="1:7" x14ac:dyDescent="0.2">
      <c r="A5485" s="116">
        <f>IF(ISNUMBER(Tabela2[[#This Row],[CT-e/NFS]])=TRUE,(IF(B5485&gt;30000,4,IF(B5485&lt;1000,"ND",0))),"-")</f>
        <v>4</v>
      </c>
      <c r="B5485" s="116">
        <v>49272</v>
      </c>
      <c r="C5485" s="117">
        <v>45566</v>
      </c>
      <c r="D5485" s="116">
        <v>369.44</v>
      </c>
      <c r="E5485" s="117">
        <v>45580</v>
      </c>
      <c r="F5485" s="116">
        <f>COUNTIFS($A$3:A13735,A5485,$B$3:B13735,B5485)</f>
        <v>1</v>
      </c>
      <c r="G5485" s="116"/>
    </row>
    <row r="5486" spans="1:7" x14ac:dyDescent="0.2">
      <c r="A5486" s="116">
        <f>IF(ISNUMBER(Tabela2[[#This Row],[CT-e/NFS]])=TRUE,(IF(B5486&gt;30000,4,IF(B5486&lt;1000,"ND",0))),"-")</f>
        <v>4</v>
      </c>
      <c r="B5486" s="116">
        <v>49316</v>
      </c>
      <c r="C5486" s="117">
        <v>45566</v>
      </c>
      <c r="D5486" s="116">
        <v>1086.26</v>
      </c>
      <c r="E5486" s="117">
        <v>45580</v>
      </c>
      <c r="F5486" s="116">
        <f>COUNTIFS($A$3:A13736,A5486,$B$3:B13736,B5486)</f>
        <v>1</v>
      </c>
      <c r="G5486" s="116"/>
    </row>
    <row r="5487" spans="1:7" x14ac:dyDescent="0.2">
      <c r="A5487" s="116">
        <f>IF(ISNUMBER(Tabela2[[#This Row],[CT-e/NFS]])=TRUE,(IF(B5487&gt;30000,4,IF(B5487&lt;1000,"ND",0))),"-")</f>
        <v>0</v>
      </c>
      <c r="B5487" s="116">
        <v>22147</v>
      </c>
      <c r="C5487" s="117">
        <v>45566</v>
      </c>
      <c r="D5487" s="116">
        <v>1257.29</v>
      </c>
      <c r="E5487" s="117">
        <v>45580</v>
      </c>
      <c r="F5487" s="116">
        <f>COUNTIFS($A$3:A13737,A5487,$B$3:B13737,B5487)</f>
        <v>1</v>
      </c>
      <c r="G5487" s="116"/>
    </row>
    <row r="5488" spans="1:7" x14ac:dyDescent="0.2">
      <c r="A5488" s="116">
        <f>IF(ISNUMBER(Tabela2[[#This Row],[CT-e/NFS]])=TRUE,(IF(B5488&gt;30000,4,IF(B5488&lt;1000,"ND",0))),"-")</f>
        <v>0</v>
      </c>
      <c r="B5488" s="116">
        <v>22148</v>
      </c>
      <c r="C5488" s="117">
        <v>45566</v>
      </c>
      <c r="D5488" s="116">
        <v>76.28</v>
      </c>
      <c r="E5488" s="117">
        <v>45580</v>
      </c>
      <c r="F5488" s="116">
        <f>COUNTIFS($A$3:A13738,A5488,$B$3:B13738,B5488)</f>
        <v>1</v>
      </c>
      <c r="G5488" s="116"/>
    </row>
    <row r="5489" spans="1:7" x14ac:dyDescent="0.2">
      <c r="A5489" s="116">
        <f>IF(ISNUMBER(Tabela2[[#This Row],[CT-e/NFS]])=TRUE,(IF(B5489&gt;30000,4,IF(B5489&lt;1000,"ND",0))),"-")</f>
        <v>4</v>
      </c>
      <c r="B5489" s="116">
        <v>49325</v>
      </c>
      <c r="C5489" s="117">
        <v>45566</v>
      </c>
      <c r="D5489" s="116">
        <v>3872.13</v>
      </c>
      <c r="E5489" s="117">
        <v>45580</v>
      </c>
      <c r="F5489" s="116">
        <f>COUNTIFS($A$3:A13739,A5489,$B$3:B13739,B5489)</f>
        <v>1</v>
      </c>
      <c r="G5489" s="116"/>
    </row>
    <row r="5490" spans="1:7" x14ac:dyDescent="0.2">
      <c r="A5490" s="116">
        <f>IF(ISNUMBER(Tabela2[[#This Row],[CT-e/NFS]])=TRUE,(IF(B5490&gt;30000,4,IF(B5490&lt;1000,"ND",0))),"-")</f>
        <v>4</v>
      </c>
      <c r="B5490" s="116">
        <v>49327</v>
      </c>
      <c r="C5490" s="117">
        <v>45566</v>
      </c>
      <c r="D5490" s="116">
        <v>473.07</v>
      </c>
      <c r="E5490" s="117">
        <v>45580</v>
      </c>
      <c r="F5490" s="116">
        <f>COUNTIFS($A$3:A13740,A5490,$B$3:B13740,B5490)</f>
        <v>1</v>
      </c>
      <c r="G5490" s="116"/>
    </row>
    <row r="5491" spans="1:7" x14ac:dyDescent="0.2">
      <c r="A5491" s="116">
        <f>IF(ISNUMBER(Tabela2[[#This Row],[CT-e/NFS]])=TRUE,(IF(B5491&gt;30000,4,IF(B5491&lt;1000,"ND",0))),"-")</f>
        <v>4</v>
      </c>
      <c r="B5491" s="116">
        <v>49333</v>
      </c>
      <c r="C5491" s="117">
        <v>45566</v>
      </c>
      <c r="D5491" s="116">
        <v>3413.09</v>
      </c>
      <c r="E5491" s="117">
        <v>45580</v>
      </c>
      <c r="F5491" s="116">
        <f>COUNTIFS($A$3:A13741,A5491,$B$3:B13741,B5491)</f>
        <v>1</v>
      </c>
      <c r="G5491" s="116"/>
    </row>
    <row r="5492" spans="1:7" x14ac:dyDescent="0.2">
      <c r="A5492" s="116">
        <f>IF(ISNUMBER(Tabela2[[#This Row],[CT-e/NFS]])=TRUE,(IF(B5492&gt;30000,4,IF(B5492&lt;1000,"ND",0))),"-")</f>
        <v>4</v>
      </c>
      <c r="B5492" s="116">
        <v>49334</v>
      </c>
      <c r="C5492" s="117">
        <v>45566</v>
      </c>
      <c r="D5492" s="116">
        <v>6252.78</v>
      </c>
      <c r="E5492" s="117">
        <v>45580</v>
      </c>
      <c r="F5492" s="116">
        <f>COUNTIFS($A$3:A13742,A5492,$B$3:B13742,B5492)</f>
        <v>1</v>
      </c>
      <c r="G5492" s="116"/>
    </row>
    <row r="5493" spans="1:7" x14ac:dyDescent="0.2">
      <c r="A5493" s="116">
        <f>IF(ISNUMBER(Tabela2[[#This Row],[CT-e/NFS]])=TRUE,(IF(B5493&gt;30000,4,IF(B5493&lt;1000,"ND",0))),"-")</f>
        <v>4</v>
      </c>
      <c r="B5493" s="116">
        <v>49335</v>
      </c>
      <c r="C5493" s="117">
        <v>45566</v>
      </c>
      <c r="D5493" s="116">
        <v>260.13</v>
      </c>
      <c r="E5493" s="117">
        <v>45580</v>
      </c>
      <c r="F5493" s="116">
        <f>COUNTIFS($A$3:A13743,A5493,$B$3:B13743,B5493)</f>
        <v>1</v>
      </c>
      <c r="G5493" s="116"/>
    </row>
    <row r="5494" spans="1:7" x14ac:dyDescent="0.2">
      <c r="A5494" s="116">
        <f>IF(ISNUMBER(Tabela2[[#This Row],[CT-e/NFS]])=TRUE,(IF(B5494&gt;30000,4,IF(B5494&lt;1000,"ND",0))),"-")</f>
        <v>4</v>
      </c>
      <c r="B5494" s="116">
        <v>49336</v>
      </c>
      <c r="C5494" s="117">
        <v>45566</v>
      </c>
      <c r="D5494" s="116">
        <v>282.2</v>
      </c>
      <c r="E5494" s="117">
        <v>45580</v>
      </c>
      <c r="F5494" s="116">
        <f>COUNTIFS($A$3:A13744,A5494,$B$3:B13744,B5494)</f>
        <v>1</v>
      </c>
      <c r="G5494" s="116"/>
    </row>
    <row r="5495" spans="1:7" x14ac:dyDescent="0.2">
      <c r="A5495" s="116">
        <f>IF(ISNUMBER(Tabela2[[#This Row],[CT-e/NFS]])=TRUE,(IF(B5495&gt;30000,4,IF(B5495&lt;1000,"ND",0))),"-")</f>
        <v>4</v>
      </c>
      <c r="B5495" s="116">
        <v>49337</v>
      </c>
      <c r="C5495" s="117">
        <v>45566</v>
      </c>
      <c r="D5495" s="116">
        <v>476.27</v>
      </c>
      <c r="E5495" s="117">
        <v>45580</v>
      </c>
      <c r="F5495" s="116">
        <f>COUNTIFS($A$3:A13745,A5495,$B$3:B13745,B5495)</f>
        <v>1</v>
      </c>
      <c r="G5495" s="116"/>
    </row>
    <row r="5496" spans="1:7" x14ac:dyDescent="0.2">
      <c r="A5496" s="116">
        <f>IF(ISNUMBER(Tabela2[[#This Row],[CT-e/NFS]])=TRUE,(IF(B5496&gt;30000,4,IF(B5496&lt;1000,"ND",0))),"-")</f>
        <v>4</v>
      </c>
      <c r="B5496" s="116">
        <v>49350</v>
      </c>
      <c r="C5496" s="117">
        <v>45566</v>
      </c>
      <c r="D5496" s="116">
        <v>126.65</v>
      </c>
      <c r="E5496" s="117">
        <v>45580</v>
      </c>
      <c r="F5496" s="116">
        <f>COUNTIFS($A$3:A13746,A5496,$B$3:B13746,B5496)</f>
        <v>1</v>
      </c>
      <c r="G5496" s="116"/>
    </row>
    <row r="5497" spans="1:7" x14ac:dyDescent="0.2">
      <c r="A5497" s="116">
        <f>IF(ISNUMBER(Tabela2[[#This Row],[CT-e/NFS]])=TRUE,(IF(B5497&gt;30000,4,IF(B5497&lt;1000,"ND",0))),"-")</f>
        <v>4</v>
      </c>
      <c r="B5497" s="116">
        <v>49341</v>
      </c>
      <c r="C5497" s="117">
        <v>45566</v>
      </c>
      <c r="D5497" s="116">
        <v>123.89</v>
      </c>
      <c r="E5497" s="117">
        <v>45580</v>
      </c>
      <c r="F5497" s="116">
        <f>COUNTIFS($A$3:A13747,A5497,$B$3:B13747,B5497)</f>
        <v>1</v>
      </c>
      <c r="G5497" s="116"/>
    </row>
    <row r="5498" spans="1:7" x14ac:dyDescent="0.2">
      <c r="A5498" s="116">
        <f>IF(ISNUMBER(Tabela2[[#This Row],[CT-e/NFS]])=TRUE,(IF(B5498&gt;30000,4,IF(B5498&lt;1000,"ND",0))),"-")</f>
        <v>4</v>
      </c>
      <c r="B5498" s="116">
        <v>49338</v>
      </c>
      <c r="C5498" s="117">
        <v>45566</v>
      </c>
      <c r="D5498" s="116">
        <v>124.31</v>
      </c>
      <c r="E5498" s="117">
        <v>45580</v>
      </c>
      <c r="F5498" s="116">
        <f>COUNTIFS($A$3:A13748,A5498,$B$3:B13748,B5498)</f>
        <v>1</v>
      </c>
      <c r="G5498" s="116"/>
    </row>
    <row r="5499" spans="1:7" x14ac:dyDescent="0.2">
      <c r="A5499" s="116">
        <f>IF(ISNUMBER(Tabela2[[#This Row],[CT-e/NFS]])=TRUE,(IF(B5499&gt;30000,4,IF(B5499&lt;1000,"ND",0))),"-")</f>
        <v>4</v>
      </c>
      <c r="B5499" s="116">
        <v>49343</v>
      </c>
      <c r="C5499" s="117">
        <v>45566</v>
      </c>
      <c r="D5499" s="116">
        <v>126.32</v>
      </c>
      <c r="E5499" s="117">
        <v>45580</v>
      </c>
      <c r="F5499" s="116">
        <f>COUNTIFS($A$3:A13749,A5499,$B$3:B13749,B5499)</f>
        <v>1</v>
      </c>
      <c r="G5499" s="116"/>
    </row>
    <row r="5500" spans="1:7" x14ac:dyDescent="0.2">
      <c r="A5500" s="116">
        <f>IF(ISNUMBER(Tabela2[[#This Row],[CT-e/NFS]])=TRUE,(IF(B5500&gt;30000,4,IF(B5500&lt;1000,"ND",0))),"-")</f>
        <v>4</v>
      </c>
      <c r="B5500" s="116">
        <v>49339</v>
      </c>
      <c r="C5500" s="117">
        <v>45566</v>
      </c>
      <c r="D5500" s="116">
        <v>124.31</v>
      </c>
      <c r="E5500" s="117">
        <v>45580</v>
      </c>
      <c r="F5500" s="116">
        <f>COUNTIFS($A$3:A13750,A5500,$B$3:B13750,B5500)</f>
        <v>1</v>
      </c>
      <c r="G5500" s="116"/>
    </row>
    <row r="5501" spans="1:7" x14ac:dyDescent="0.2">
      <c r="A5501" s="116">
        <f>IF(ISNUMBER(Tabela2[[#This Row],[CT-e/NFS]])=TRUE,(IF(B5501&gt;30000,4,IF(B5501&lt;1000,"ND",0))),"-")</f>
        <v>4</v>
      </c>
      <c r="B5501" s="116">
        <v>49340</v>
      </c>
      <c r="C5501" s="117">
        <v>45566</v>
      </c>
      <c r="D5501" s="116">
        <v>124.32</v>
      </c>
      <c r="E5501" s="117">
        <v>45580</v>
      </c>
      <c r="F5501" s="116">
        <f>COUNTIFS($A$3:A13751,A5501,$B$3:B13751,B5501)</f>
        <v>1</v>
      </c>
      <c r="G5501" s="116"/>
    </row>
    <row r="5502" spans="1:7" x14ac:dyDescent="0.2">
      <c r="A5502" s="116">
        <f>IF(ISNUMBER(Tabela2[[#This Row],[CT-e/NFS]])=TRUE,(IF(B5502&gt;30000,4,IF(B5502&lt;1000,"ND",0))),"-")</f>
        <v>4</v>
      </c>
      <c r="B5502" s="116">
        <v>49344</v>
      </c>
      <c r="C5502" s="117">
        <v>45566</v>
      </c>
      <c r="D5502" s="116">
        <v>246.33</v>
      </c>
      <c r="E5502" s="117">
        <v>45580</v>
      </c>
      <c r="F5502" s="116">
        <f>COUNTIFS($A$3:A13752,A5502,$B$3:B13752,B5502)</f>
        <v>1</v>
      </c>
      <c r="G5502" s="116"/>
    </row>
    <row r="5503" spans="1:7" x14ac:dyDescent="0.2">
      <c r="A5503" s="116">
        <f>IF(ISNUMBER(Tabela2[[#This Row],[CT-e/NFS]])=TRUE,(IF(B5503&gt;30000,4,IF(B5503&lt;1000,"ND",0))),"-")</f>
        <v>4</v>
      </c>
      <c r="B5503" s="116">
        <v>49346</v>
      </c>
      <c r="C5503" s="117">
        <v>45566</v>
      </c>
      <c r="D5503" s="116">
        <v>126.58</v>
      </c>
      <c r="E5503" s="117">
        <v>45580</v>
      </c>
      <c r="F5503" s="116">
        <f>COUNTIFS($A$3:A13753,A5503,$B$3:B13753,B5503)</f>
        <v>1</v>
      </c>
      <c r="G5503" s="116"/>
    </row>
    <row r="5504" spans="1:7" x14ac:dyDescent="0.2">
      <c r="A5504" s="116">
        <f>IF(ISNUMBER(Tabela2[[#This Row],[CT-e/NFS]])=TRUE,(IF(B5504&gt;30000,4,IF(B5504&lt;1000,"ND",0))),"-")</f>
        <v>4</v>
      </c>
      <c r="B5504" s="116">
        <v>49345</v>
      </c>
      <c r="C5504" s="117">
        <v>45566</v>
      </c>
      <c r="D5504" s="116">
        <v>251.26</v>
      </c>
      <c r="E5504" s="117">
        <v>45580</v>
      </c>
      <c r="F5504" s="116">
        <f>COUNTIFS($A$3:A13754,A5504,$B$3:B13754,B5504)</f>
        <v>1</v>
      </c>
      <c r="G5504" s="116"/>
    </row>
    <row r="5505" spans="1:7" x14ac:dyDescent="0.2">
      <c r="A5505" s="116">
        <f>IF(ISNUMBER(Tabela2[[#This Row],[CT-e/NFS]])=TRUE,(IF(B5505&gt;30000,4,IF(B5505&lt;1000,"ND",0))),"-")</f>
        <v>4</v>
      </c>
      <c r="B5505" s="116">
        <v>49349</v>
      </c>
      <c r="C5505" s="117">
        <v>45566</v>
      </c>
      <c r="D5505" s="116">
        <v>361.18</v>
      </c>
      <c r="E5505" s="117">
        <v>45580</v>
      </c>
      <c r="F5505" s="116">
        <f>COUNTIFS($A$3:A13755,A5505,$B$3:B13755,B5505)</f>
        <v>1</v>
      </c>
      <c r="G5505" s="116"/>
    </row>
    <row r="5506" spans="1:7" x14ac:dyDescent="0.2">
      <c r="A5506" s="116">
        <f>IF(ISNUMBER(Tabela2[[#This Row],[CT-e/NFS]])=TRUE,(IF(B5506&gt;30000,4,IF(B5506&lt;1000,"ND",0))),"-")</f>
        <v>4</v>
      </c>
      <c r="B5506" s="116">
        <v>49348</v>
      </c>
      <c r="C5506" s="117">
        <v>45566</v>
      </c>
      <c r="D5506" s="116">
        <v>361.18</v>
      </c>
      <c r="E5506" s="117">
        <v>45580</v>
      </c>
      <c r="F5506" s="116">
        <f>COUNTIFS($A$3:A13756,A5506,$B$3:B13756,B5506)</f>
        <v>1</v>
      </c>
      <c r="G5506" s="116"/>
    </row>
    <row r="5507" spans="1:7" x14ac:dyDescent="0.2">
      <c r="A5507" s="116">
        <f>IF(ISNUMBER(Tabela2[[#This Row],[CT-e/NFS]])=TRUE,(IF(B5507&gt;30000,4,IF(B5507&lt;1000,"ND",0))),"-")</f>
        <v>4</v>
      </c>
      <c r="B5507" s="116">
        <v>49347</v>
      </c>
      <c r="C5507" s="117">
        <v>45566</v>
      </c>
      <c r="D5507" s="116">
        <v>415.36</v>
      </c>
      <c r="E5507" s="117">
        <v>45580</v>
      </c>
      <c r="F5507" s="116">
        <f>COUNTIFS($A$3:A13757,A5507,$B$3:B13757,B5507)</f>
        <v>1</v>
      </c>
      <c r="G5507" s="116"/>
    </row>
    <row r="5508" spans="1:7" x14ac:dyDescent="0.2">
      <c r="A5508" s="116">
        <f>IF(ISNUMBER(Tabela2[[#This Row],[CT-e/NFS]])=TRUE,(IF(B5508&gt;30000,4,IF(B5508&lt;1000,"ND",0))),"-")</f>
        <v>4</v>
      </c>
      <c r="B5508" s="116">
        <v>49353</v>
      </c>
      <c r="C5508" s="117">
        <v>45566</v>
      </c>
      <c r="D5508" s="116">
        <v>995.84</v>
      </c>
      <c r="E5508" s="117">
        <v>45580</v>
      </c>
      <c r="F5508" s="116">
        <f>COUNTIFS($A$3:A13758,A5508,$B$3:B13758,B5508)</f>
        <v>1</v>
      </c>
      <c r="G5508" s="116"/>
    </row>
    <row r="5509" spans="1:7" x14ac:dyDescent="0.2">
      <c r="A5509" s="116">
        <f>IF(ISNUMBER(Tabela2[[#This Row],[CT-e/NFS]])=TRUE,(IF(B5509&gt;30000,4,IF(B5509&lt;1000,"ND",0))),"-")</f>
        <v>4</v>
      </c>
      <c r="B5509" s="116">
        <v>49298</v>
      </c>
      <c r="C5509" s="117">
        <v>45566</v>
      </c>
      <c r="D5509" s="116">
        <v>17049.91</v>
      </c>
      <c r="E5509" s="117">
        <v>45580</v>
      </c>
      <c r="F5509" s="116">
        <f>COUNTIFS($A$3:A13759,A5509,$B$3:B13759,B5509)</f>
        <v>1</v>
      </c>
      <c r="G5509" s="116"/>
    </row>
    <row r="5510" spans="1:7" x14ac:dyDescent="0.2">
      <c r="A5510" s="116">
        <f>IF(ISNUMBER(Tabela2[[#This Row],[CT-e/NFS]])=TRUE,(IF(B5510&gt;30000,4,IF(B5510&lt;1000,"ND",0))),"-")</f>
        <v>4</v>
      </c>
      <c r="B5510" s="116">
        <v>49351</v>
      </c>
      <c r="C5510" s="117">
        <v>45566</v>
      </c>
      <c r="D5510" s="116">
        <v>986.92</v>
      </c>
      <c r="E5510" s="117">
        <v>45580</v>
      </c>
      <c r="F5510" s="116">
        <f>COUNTIFS($A$3:A13760,A5510,$B$3:B13760,B5510)</f>
        <v>1</v>
      </c>
      <c r="G5510" s="116"/>
    </row>
    <row r="5511" spans="1:7" x14ac:dyDescent="0.2">
      <c r="A5511" s="116">
        <f>IF(ISNUMBER(Tabela2[[#This Row],[CT-e/NFS]])=TRUE,(IF(B5511&gt;30000,4,IF(B5511&lt;1000,"ND",0))),"-")</f>
        <v>4</v>
      </c>
      <c r="B5511" s="116">
        <v>49363</v>
      </c>
      <c r="C5511" s="117">
        <v>45566</v>
      </c>
      <c r="D5511" s="116">
        <v>125.56</v>
      </c>
      <c r="E5511" s="117">
        <v>45580</v>
      </c>
      <c r="F5511" s="116">
        <f>COUNTIFS($A$3:A13761,A5511,$B$3:B13761,B5511)</f>
        <v>1</v>
      </c>
      <c r="G5511" s="116"/>
    </row>
    <row r="5512" spans="1:7" x14ac:dyDescent="0.2">
      <c r="A5512" s="116">
        <f>IF(ISNUMBER(Tabela2[[#This Row],[CT-e/NFS]])=TRUE,(IF(B5512&gt;30000,4,IF(B5512&lt;1000,"ND",0))),"-")</f>
        <v>4</v>
      </c>
      <c r="B5512" s="116">
        <v>49361</v>
      </c>
      <c r="C5512" s="117">
        <v>45566</v>
      </c>
      <c r="D5512" s="116">
        <v>125.25</v>
      </c>
      <c r="E5512" s="117">
        <v>45580</v>
      </c>
      <c r="F5512" s="116">
        <f>COUNTIFS($A$3:A13762,A5512,$B$3:B13762,B5512)</f>
        <v>1</v>
      </c>
      <c r="G5512" s="116"/>
    </row>
    <row r="5513" spans="1:7" x14ac:dyDescent="0.2">
      <c r="A5513" s="116">
        <f>IF(ISNUMBER(Tabela2[[#This Row],[CT-e/NFS]])=TRUE,(IF(B5513&gt;30000,4,IF(B5513&lt;1000,"ND",0))),"-")</f>
        <v>4</v>
      </c>
      <c r="B5513" s="116">
        <v>49359</v>
      </c>
      <c r="C5513" s="117">
        <v>45566</v>
      </c>
      <c r="D5513" s="116">
        <v>124.89</v>
      </c>
      <c r="E5513" s="117">
        <v>45580</v>
      </c>
      <c r="F5513" s="116">
        <f>COUNTIFS($A$3:A13763,A5513,$B$3:B13763,B5513)</f>
        <v>1</v>
      </c>
      <c r="G5513" s="116"/>
    </row>
    <row r="5514" spans="1:7" x14ac:dyDescent="0.2">
      <c r="A5514" s="116">
        <f>IF(ISNUMBER(Tabela2[[#This Row],[CT-e/NFS]])=TRUE,(IF(B5514&gt;30000,4,IF(B5514&lt;1000,"ND",0))),"-")</f>
        <v>4</v>
      </c>
      <c r="B5514" s="116">
        <v>49357</v>
      </c>
      <c r="C5514" s="117">
        <v>45566</v>
      </c>
      <c r="D5514" s="116">
        <v>154.15</v>
      </c>
      <c r="E5514" s="117">
        <v>45580</v>
      </c>
      <c r="F5514" s="116">
        <f>COUNTIFS($A$3:A13764,A5514,$B$3:B13764,B5514)</f>
        <v>1</v>
      </c>
      <c r="G5514" s="116"/>
    </row>
    <row r="5515" spans="1:7" x14ac:dyDescent="0.2">
      <c r="A5515" s="116">
        <f>IF(ISNUMBER(Tabela2[[#This Row],[CT-e/NFS]])=TRUE,(IF(B5515&gt;30000,4,IF(B5515&lt;1000,"ND",0))),"-")</f>
        <v>4</v>
      </c>
      <c r="B5515" s="116">
        <v>49368</v>
      </c>
      <c r="C5515" s="117">
        <v>45566</v>
      </c>
      <c r="D5515" s="116">
        <v>112.05</v>
      </c>
      <c r="E5515" s="117">
        <v>45580</v>
      </c>
      <c r="F5515" s="116">
        <f>COUNTIFS($A$3:A13765,A5515,$B$3:B13765,B5515)</f>
        <v>1</v>
      </c>
      <c r="G5515" s="116"/>
    </row>
    <row r="5516" spans="1:7" x14ac:dyDescent="0.2">
      <c r="A5516" s="116">
        <f>IF(ISNUMBER(Tabela2[[#This Row],[CT-e/NFS]])=TRUE,(IF(B5516&gt;30000,4,IF(B5516&lt;1000,"ND",0))),"-")</f>
        <v>4</v>
      </c>
      <c r="B5516" s="116">
        <v>49358</v>
      </c>
      <c r="C5516" s="117">
        <v>45566</v>
      </c>
      <c r="D5516" s="116">
        <v>123.52</v>
      </c>
      <c r="E5516" s="117">
        <v>45580</v>
      </c>
      <c r="F5516" s="116">
        <f>COUNTIFS($A$3:A13766,A5516,$B$3:B13766,B5516)</f>
        <v>1</v>
      </c>
      <c r="G5516" s="116"/>
    </row>
    <row r="5517" spans="1:7" x14ac:dyDescent="0.2">
      <c r="A5517" s="116">
        <f>IF(ISNUMBER(Tabela2[[#This Row],[CT-e/NFS]])=TRUE,(IF(B5517&gt;30000,4,IF(B5517&lt;1000,"ND",0))),"-")</f>
        <v>4</v>
      </c>
      <c r="B5517" s="116">
        <v>49367</v>
      </c>
      <c r="C5517" s="117">
        <v>45566</v>
      </c>
      <c r="D5517" s="116">
        <v>62.16</v>
      </c>
      <c r="E5517" s="117">
        <v>45580</v>
      </c>
      <c r="F5517" s="116">
        <f>COUNTIFS($A$3:A13767,A5517,$B$3:B13767,B5517)</f>
        <v>1</v>
      </c>
      <c r="G5517" s="116"/>
    </row>
    <row r="5518" spans="1:7" x14ac:dyDescent="0.2">
      <c r="A5518" s="116">
        <f>IF(ISNUMBER(Tabela2[[#This Row],[CT-e/NFS]])=TRUE,(IF(B5518&gt;30000,4,IF(B5518&lt;1000,"ND",0))),"-")</f>
        <v>4</v>
      </c>
      <c r="B5518" s="116">
        <v>49366</v>
      </c>
      <c r="C5518" s="117">
        <v>45566</v>
      </c>
      <c r="D5518" s="116">
        <v>126.01</v>
      </c>
      <c r="E5518" s="117">
        <v>45580</v>
      </c>
      <c r="F5518" s="116">
        <f>COUNTIFS($A$3:A13768,A5518,$B$3:B13768,B5518)</f>
        <v>1</v>
      </c>
      <c r="G5518" s="116"/>
    </row>
    <row r="5519" spans="1:7" x14ac:dyDescent="0.2">
      <c r="A5519" s="116">
        <f>IF(ISNUMBER(Tabela2[[#This Row],[CT-e/NFS]])=TRUE,(IF(B5519&gt;30000,4,IF(B5519&lt;1000,"ND",0))),"-")</f>
        <v>4</v>
      </c>
      <c r="B5519" s="116">
        <v>49364</v>
      </c>
      <c r="C5519" s="117">
        <v>45566</v>
      </c>
      <c r="D5519" s="116">
        <v>126.1</v>
      </c>
      <c r="E5519" s="117">
        <v>45580</v>
      </c>
      <c r="F5519" s="116">
        <f>COUNTIFS($A$3:A13769,A5519,$B$3:B13769,B5519)</f>
        <v>1</v>
      </c>
      <c r="G5519" s="116"/>
    </row>
    <row r="5520" spans="1:7" x14ac:dyDescent="0.2">
      <c r="A5520" s="116">
        <f>IF(ISNUMBER(Tabela2[[#This Row],[CT-e/NFS]])=TRUE,(IF(B5520&gt;30000,4,IF(B5520&lt;1000,"ND",0))),"-")</f>
        <v>4</v>
      </c>
      <c r="B5520" s="116">
        <v>49356</v>
      </c>
      <c r="C5520" s="117">
        <v>45566</v>
      </c>
      <c r="D5520" s="116">
        <v>396.45</v>
      </c>
      <c r="E5520" s="117">
        <v>45580</v>
      </c>
      <c r="F5520" s="116">
        <f>COUNTIFS($A$3:A13770,A5520,$B$3:B13770,B5520)</f>
        <v>1</v>
      </c>
      <c r="G5520" s="116"/>
    </row>
    <row r="5521" spans="1:7" x14ac:dyDescent="0.2">
      <c r="A5521" s="116">
        <f>IF(ISNUMBER(Tabela2[[#This Row],[CT-e/NFS]])=TRUE,(IF(B5521&gt;30000,4,IF(B5521&lt;1000,"ND",0))),"-")</f>
        <v>4</v>
      </c>
      <c r="B5521" s="116">
        <v>49362</v>
      </c>
      <c r="C5521" s="117">
        <v>45566</v>
      </c>
      <c r="D5521" s="116">
        <v>122.88</v>
      </c>
      <c r="E5521" s="117">
        <v>45580</v>
      </c>
      <c r="F5521" s="116">
        <f>COUNTIFS($A$3:A13771,A5521,$B$3:B13771,B5521)</f>
        <v>1</v>
      </c>
      <c r="G5521" s="116"/>
    </row>
    <row r="5522" spans="1:7" x14ac:dyDescent="0.2">
      <c r="A5522" s="116">
        <f>IF(ISNUMBER(Tabela2[[#This Row],[CT-e/NFS]])=TRUE,(IF(B5522&gt;30000,4,IF(B5522&lt;1000,"ND",0))),"-")</f>
        <v>4</v>
      </c>
      <c r="B5522" s="116">
        <v>49360</v>
      </c>
      <c r="C5522" s="117">
        <v>45566</v>
      </c>
      <c r="D5522" s="116">
        <v>240.1</v>
      </c>
      <c r="E5522" s="117">
        <v>45580</v>
      </c>
      <c r="F5522" s="116">
        <f>COUNTIFS($A$3:A13772,A5522,$B$3:B13772,B5522)</f>
        <v>1</v>
      </c>
      <c r="G5522" s="116"/>
    </row>
    <row r="5523" spans="1:7" x14ac:dyDescent="0.2">
      <c r="A5523" s="116">
        <f>IF(ISNUMBER(Tabela2[[#This Row],[CT-e/NFS]])=TRUE,(IF(B5523&gt;30000,4,IF(B5523&lt;1000,"ND",0))),"-")</f>
        <v>4</v>
      </c>
      <c r="B5523" s="116">
        <v>49355</v>
      </c>
      <c r="C5523" s="117">
        <v>45566</v>
      </c>
      <c r="D5523" s="116">
        <v>681.82</v>
      </c>
      <c r="E5523" s="117">
        <v>45580</v>
      </c>
      <c r="F5523" s="116">
        <f>COUNTIFS($A$3:A13773,A5523,$B$3:B13773,B5523)</f>
        <v>1</v>
      </c>
      <c r="G5523" s="116"/>
    </row>
    <row r="5524" spans="1:7" x14ac:dyDescent="0.2">
      <c r="A5524" s="116">
        <f>IF(ISNUMBER(Tabela2[[#This Row],[CT-e/NFS]])=TRUE,(IF(B5524&gt;30000,4,IF(B5524&lt;1000,"ND",0))),"-")</f>
        <v>4</v>
      </c>
      <c r="B5524" s="116">
        <v>49354</v>
      </c>
      <c r="C5524" s="117">
        <v>45566</v>
      </c>
      <c r="D5524" s="116">
        <v>931.82</v>
      </c>
      <c r="E5524" s="117">
        <v>45580</v>
      </c>
      <c r="F5524" s="116">
        <f>COUNTIFS($A$3:A13774,A5524,$B$3:B13774,B5524)</f>
        <v>1</v>
      </c>
      <c r="G5524" s="116"/>
    </row>
    <row r="5525" spans="1:7" x14ac:dyDescent="0.2">
      <c r="A5525" s="116">
        <f>IF(ISNUMBER(Tabela2[[#This Row],[CT-e/NFS]])=TRUE,(IF(B5525&gt;30000,4,IF(B5525&lt;1000,"ND",0))),"-")</f>
        <v>0</v>
      </c>
      <c r="B5525" s="116">
        <v>22130</v>
      </c>
      <c r="C5525" s="117">
        <v>45566</v>
      </c>
      <c r="D5525" s="116">
        <v>597.04</v>
      </c>
      <c r="E5525" s="117">
        <v>45580</v>
      </c>
      <c r="F5525" s="116">
        <f>COUNTIFS($A$3:A13775,A5525,$B$3:B13775,B5525)</f>
        <v>1</v>
      </c>
      <c r="G5525" s="116"/>
    </row>
    <row r="5526" spans="1:7" x14ac:dyDescent="0.2">
      <c r="A5526" s="116">
        <f>IF(ISNUMBER(Tabela2[[#This Row],[CT-e/NFS]])=TRUE,(IF(B5526&gt;30000,4,IF(B5526&lt;1000,"ND",0))),"-")</f>
        <v>0</v>
      </c>
      <c r="B5526" s="116">
        <v>22146</v>
      </c>
      <c r="C5526" s="117">
        <v>45566</v>
      </c>
      <c r="D5526" s="116">
        <v>515.41</v>
      </c>
      <c r="E5526" s="117">
        <v>45580</v>
      </c>
      <c r="F5526" s="116">
        <f>COUNTIFS($A$3:A13776,A5526,$B$3:B13776,B5526)</f>
        <v>1</v>
      </c>
      <c r="G5526" s="116"/>
    </row>
    <row r="5527" spans="1:7" x14ac:dyDescent="0.2">
      <c r="A5527" s="116">
        <f>IF(ISNUMBER(Tabela2[[#This Row],[CT-e/NFS]])=TRUE,(IF(B5527&gt;30000,4,IF(B5527&lt;1000,"ND",0))),"-")</f>
        <v>4</v>
      </c>
      <c r="B5527" s="116">
        <v>49370</v>
      </c>
      <c r="C5527" s="117">
        <v>45566</v>
      </c>
      <c r="D5527" s="116">
        <v>2192.39</v>
      </c>
      <c r="E5527" s="117">
        <v>45580</v>
      </c>
      <c r="F5527" s="116">
        <f>COUNTIFS($A$3:A13777,A5527,$B$3:B13777,B5527)</f>
        <v>1</v>
      </c>
      <c r="G5527" s="116"/>
    </row>
    <row r="5528" spans="1:7" x14ac:dyDescent="0.2">
      <c r="A5528" s="116">
        <f>IF(ISNUMBER(Tabela2[[#This Row],[CT-e/NFS]])=TRUE,(IF(B5528&gt;30000,4,IF(B5528&lt;1000,"ND",0))),"-")</f>
        <v>4</v>
      </c>
      <c r="B5528" s="116">
        <v>49379</v>
      </c>
      <c r="C5528" s="117">
        <v>45566</v>
      </c>
      <c r="D5528" s="116">
        <v>552.94000000000005</v>
      </c>
      <c r="E5528" s="117">
        <v>45580</v>
      </c>
      <c r="F5528" s="116">
        <f>COUNTIFS($A$3:A13778,A5528,$B$3:B13778,B5528)</f>
        <v>1</v>
      </c>
      <c r="G5528" s="116"/>
    </row>
    <row r="5529" spans="1:7" x14ac:dyDescent="0.2">
      <c r="A5529" s="116">
        <f>IF(ISNUMBER(Tabela2[[#This Row],[CT-e/NFS]])=TRUE,(IF(B5529&gt;30000,4,IF(B5529&lt;1000,"ND",0))),"-")</f>
        <v>4</v>
      </c>
      <c r="B5529" s="116">
        <v>49378</v>
      </c>
      <c r="C5529" s="117">
        <v>45566</v>
      </c>
      <c r="D5529" s="116">
        <v>323.58999999999997</v>
      </c>
      <c r="E5529" s="117">
        <v>45580</v>
      </c>
      <c r="F5529" s="116">
        <f>COUNTIFS($A$3:A13779,A5529,$B$3:B13779,B5529)</f>
        <v>1</v>
      </c>
      <c r="G5529" s="116"/>
    </row>
    <row r="5530" spans="1:7" x14ac:dyDescent="0.2">
      <c r="A5530" s="116">
        <f>IF(ISNUMBER(Tabela2[[#This Row],[CT-e/NFS]])=TRUE,(IF(B5530&gt;30000,4,IF(B5530&lt;1000,"ND",0))),"-")</f>
        <v>4</v>
      </c>
      <c r="B5530" s="116">
        <v>49375</v>
      </c>
      <c r="C5530" s="117">
        <v>45566</v>
      </c>
      <c r="D5530" s="116">
        <v>317.38</v>
      </c>
      <c r="E5530" s="117">
        <v>45580</v>
      </c>
      <c r="F5530" s="116">
        <f>COUNTIFS($A$3:A13780,A5530,$B$3:B13780,B5530)</f>
        <v>1</v>
      </c>
      <c r="G5530" s="116"/>
    </row>
    <row r="5531" spans="1:7" x14ac:dyDescent="0.2">
      <c r="A5531" s="116">
        <f>IF(ISNUMBER(Tabela2[[#This Row],[CT-e/NFS]])=TRUE,(IF(B5531&gt;30000,4,IF(B5531&lt;1000,"ND",0))),"-")</f>
        <v>4</v>
      </c>
      <c r="B5531" s="116">
        <v>49376</v>
      </c>
      <c r="C5531" s="117">
        <v>45566</v>
      </c>
      <c r="D5531" s="116">
        <v>283.01</v>
      </c>
      <c r="E5531" s="117">
        <v>45580</v>
      </c>
      <c r="F5531" s="116">
        <f>COUNTIFS($A$3:A13781,A5531,$B$3:B13781,B5531)</f>
        <v>1</v>
      </c>
      <c r="G5531" s="116"/>
    </row>
    <row r="5532" spans="1:7" x14ac:dyDescent="0.2">
      <c r="A5532" s="116">
        <f>IF(ISNUMBER(Tabela2[[#This Row],[CT-e/NFS]])=TRUE,(IF(B5532&gt;30000,4,IF(B5532&lt;1000,"ND",0))),"-")</f>
        <v>4</v>
      </c>
      <c r="B5532" s="116">
        <v>49373</v>
      </c>
      <c r="C5532" s="117">
        <v>45566</v>
      </c>
      <c r="D5532" s="116">
        <v>281.38</v>
      </c>
      <c r="E5532" s="117">
        <v>45580</v>
      </c>
      <c r="F5532" s="116">
        <f>COUNTIFS($A$3:A13782,A5532,$B$3:B13782,B5532)</f>
        <v>1</v>
      </c>
      <c r="G5532" s="116"/>
    </row>
    <row r="5533" spans="1:7" x14ac:dyDescent="0.2">
      <c r="A5533" s="116">
        <f>IF(ISNUMBER(Tabela2[[#This Row],[CT-e/NFS]])=TRUE,(IF(B5533&gt;30000,4,IF(B5533&lt;1000,"ND",0))),"-")</f>
        <v>4</v>
      </c>
      <c r="B5533" s="116">
        <v>49374</v>
      </c>
      <c r="C5533" s="117">
        <v>45566</v>
      </c>
      <c r="D5533" s="116">
        <v>609.98</v>
      </c>
      <c r="E5533" s="117">
        <v>45580</v>
      </c>
      <c r="F5533" s="116">
        <f>COUNTIFS($A$3:A13783,A5533,$B$3:B13783,B5533)</f>
        <v>1</v>
      </c>
      <c r="G5533" s="116"/>
    </row>
    <row r="5534" spans="1:7" x14ac:dyDescent="0.2">
      <c r="A5534" s="116">
        <f>IF(ISNUMBER(Tabela2[[#This Row],[CT-e/NFS]])=TRUE,(IF(B5534&gt;30000,4,IF(B5534&lt;1000,"ND",0))),"-")</f>
        <v>4</v>
      </c>
      <c r="B5534" s="116">
        <v>49384</v>
      </c>
      <c r="C5534" s="117">
        <v>45566</v>
      </c>
      <c r="D5534" s="116">
        <v>240.16</v>
      </c>
      <c r="E5534" s="117">
        <v>45580</v>
      </c>
      <c r="F5534" s="116">
        <f>COUNTIFS($A$3:A13784,A5534,$B$3:B13784,B5534)</f>
        <v>1</v>
      </c>
      <c r="G5534" s="116"/>
    </row>
    <row r="5535" spans="1:7" x14ac:dyDescent="0.2">
      <c r="A5535" s="116">
        <f>IF(ISNUMBER(Tabela2[[#This Row],[CT-e/NFS]])=TRUE,(IF(B5535&gt;30000,4,IF(B5535&lt;1000,"ND",0))),"-")</f>
        <v>4</v>
      </c>
      <c r="B5535" s="116">
        <v>49387</v>
      </c>
      <c r="C5535" s="117">
        <v>45566</v>
      </c>
      <c r="D5535" s="116">
        <v>112.98</v>
      </c>
      <c r="E5535" s="117">
        <v>45580</v>
      </c>
      <c r="F5535" s="116">
        <f>COUNTIFS($A$3:A13785,A5535,$B$3:B13785,B5535)</f>
        <v>1</v>
      </c>
      <c r="G5535" s="116"/>
    </row>
    <row r="5536" spans="1:7" x14ac:dyDescent="0.2">
      <c r="A5536" s="116">
        <f>IF(ISNUMBER(Tabela2[[#This Row],[CT-e/NFS]])=TRUE,(IF(B5536&gt;30000,4,IF(B5536&lt;1000,"ND",0))),"-")</f>
        <v>4</v>
      </c>
      <c r="B5536" s="116">
        <v>49382</v>
      </c>
      <c r="C5536" s="117">
        <v>45566</v>
      </c>
      <c r="D5536" s="116">
        <v>123.99</v>
      </c>
      <c r="E5536" s="117">
        <v>45580</v>
      </c>
      <c r="F5536" s="116">
        <f>COUNTIFS($A$3:A13786,A5536,$B$3:B13786,B5536)</f>
        <v>1</v>
      </c>
      <c r="G5536" s="116"/>
    </row>
    <row r="5537" spans="1:7" x14ac:dyDescent="0.2">
      <c r="A5537" s="116">
        <f>IF(ISNUMBER(Tabela2[[#This Row],[CT-e/NFS]])=TRUE,(IF(B5537&gt;30000,4,IF(B5537&lt;1000,"ND",0))),"-")</f>
        <v>4</v>
      </c>
      <c r="B5537" s="116">
        <v>49383</v>
      </c>
      <c r="C5537" s="117">
        <v>45566</v>
      </c>
      <c r="D5537" s="116">
        <v>123.13</v>
      </c>
      <c r="E5537" s="117">
        <v>45580</v>
      </c>
      <c r="F5537" s="116">
        <f>COUNTIFS($A$3:A13787,A5537,$B$3:B13787,B5537)</f>
        <v>1</v>
      </c>
      <c r="G5537" s="116"/>
    </row>
    <row r="5538" spans="1:7" x14ac:dyDescent="0.2">
      <c r="A5538" s="116">
        <f>IF(ISNUMBER(Tabela2[[#This Row],[CT-e/NFS]])=TRUE,(IF(B5538&gt;30000,4,IF(B5538&lt;1000,"ND",0))),"-")</f>
        <v>4</v>
      </c>
      <c r="B5538" s="116">
        <v>49386</v>
      </c>
      <c r="C5538" s="117">
        <v>45566</v>
      </c>
      <c r="D5538" s="116">
        <v>62.63</v>
      </c>
      <c r="E5538" s="117">
        <v>45580</v>
      </c>
      <c r="F5538" s="116">
        <f>COUNTIFS($A$3:A13788,A5538,$B$3:B13788,B5538)</f>
        <v>1</v>
      </c>
      <c r="G5538" s="116"/>
    </row>
    <row r="5539" spans="1:7" x14ac:dyDescent="0.2">
      <c r="A5539" s="116">
        <f>IF(ISNUMBER(Tabela2[[#This Row],[CT-e/NFS]])=TRUE,(IF(B5539&gt;30000,4,IF(B5539&lt;1000,"ND",0))),"-")</f>
        <v>4</v>
      </c>
      <c r="B5539" s="116">
        <v>49385</v>
      </c>
      <c r="C5539" s="117">
        <v>45566</v>
      </c>
      <c r="D5539" s="116">
        <v>240.59</v>
      </c>
      <c r="E5539" s="117">
        <v>45580</v>
      </c>
      <c r="F5539" s="116">
        <f>COUNTIFS($A$3:A13789,A5539,$B$3:B13789,B5539)</f>
        <v>1</v>
      </c>
      <c r="G5539" s="116"/>
    </row>
    <row r="5540" spans="1:7" x14ac:dyDescent="0.2">
      <c r="A5540" s="116">
        <f>IF(ISNUMBER(Tabela2[[#This Row],[CT-e/NFS]])=TRUE,(IF(B5540&gt;30000,4,IF(B5540&lt;1000,"ND",0))),"-")</f>
        <v>4</v>
      </c>
      <c r="B5540" s="116">
        <v>49381</v>
      </c>
      <c r="C5540" s="117">
        <v>45566</v>
      </c>
      <c r="D5540" s="116">
        <v>125.07</v>
      </c>
      <c r="E5540" s="117">
        <v>45580</v>
      </c>
      <c r="F5540" s="116">
        <f>COUNTIFS($A$3:A13790,A5540,$B$3:B13790,B5540)</f>
        <v>1</v>
      </c>
      <c r="G5540" s="116"/>
    </row>
    <row r="5541" spans="1:7" x14ac:dyDescent="0.2">
      <c r="A5541" s="116">
        <f>IF(ISNUMBER(Tabela2[[#This Row],[CT-e/NFS]])=TRUE,(IF(B5541&gt;30000,4,IF(B5541&lt;1000,"ND",0))),"-")</f>
        <v>4</v>
      </c>
      <c r="B5541" s="116">
        <v>49380</v>
      </c>
      <c r="C5541" s="117">
        <v>45566</v>
      </c>
      <c r="D5541" s="116">
        <v>242.2</v>
      </c>
      <c r="E5541" s="117">
        <v>45580</v>
      </c>
      <c r="F5541" s="116">
        <f>COUNTIFS($A$3:A13791,A5541,$B$3:B13791,B5541)</f>
        <v>1</v>
      </c>
      <c r="G5541" s="116"/>
    </row>
    <row r="5542" spans="1:7" x14ac:dyDescent="0.2">
      <c r="A5542" s="116">
        <f>IF(ISNUMBER(Tabela2[[#This Row],[CT-e/NFS]])=TRUE,(IF(B5542&gt;30000,4,IF(B5542&lt;1000,"ND",0))),"-")</f>
        <v>4</v>
      </c>
      <c r="B5542" s="116">
        <v>49388</v>
      </c>
      <c r="C5542" s="117">
        <v>45566</v>
      </c>
      <c r="D5542" s="116">
        <v>126.65</v>
      </c>
      <c r="E5542" s="117">
        <v>45580</v>
      </c>
      <c r="F5542" s="116">
        <f>COUNTIFS($A$3:A13792,A5542,$B$3:B13792,B5542)</f>
        <v>1</v>
      </c>
      <c r="G5542" s="116"/>
    </row>
    <row r="5543" spans="1:7" x14ac:dyDescent="0.2">
      <c r="A5543" s="116">
        <f>IF(ISNUMBER(Tabela2[[#This Row],[CT-e/NFS]])=TRUE,(IF(B5543&gt;30000,4,IF(B5543&lt;1000,"ND",0))),"-")</f>
        <v>4</v>
      </c>
      <c r="B5543" s="116">
        <v>49389</v>
      </c>
      <c r="C5543" s="117">
        <v>45566</v>
      </c>
      <c r="D5543" s="116">
        <v>693.23</v>
      </c>
      <c r="E5543" s="117">
        <v>45580</v>
      </c>
      <c r="F5543" s="116">
        <f>COUNTIFS($A$3:A13793,A5543,$B$3:B13793,B5543)</f>
        <v>1</v>
      </c>
      <c r="G5543" s="116"/>
    </row>
    <row r="5544" spans="1:7" x14ac:dyDescent="0.2">
      <c r="A5544" s="116">
        <f>IF(ISNUMBER(Tabela2[[#This Row],[CT-e/NFS]])=TRUE,(IF(B5544&gt;30000,4,IF(B5544&lt;1000,"ND",0))),"-")</f>
        <v>4</v>
      </c>
      <c r="B5544" s="116">
        <v>49390</v>
      </c>
      <c r="C5544" s="117">
        <v>45566</v>
      </c>
      <c r="D5544" s="116">
        <v>123.92</v>
      </c>
      <c r="E5544" s="117">
        <v>45580</v>
      </c>
      <c r="F5544" s="116">
        <f>COUNTIFS($A$3:A13794,A5544,$B$3:B13794,B5544)</f>
        <v>1</v>
      </c>
      <c r="G5544" s="116"/>
    </row>
    <row r="5545" spans="1:7" x14ac:dyDescent="0.2">
      <c r="A5545" s="116">
        <f>IF(ISNUMBER(Tabela2[[#This Row],[CT-e/NFS]])=TRUE,(IF(B5545&gt;30000,4,IF(B5545&lt;1000,"ND",0))),"-")</f>
        <v>4</v>
      </c>
      <c r="B5545" s="116">
        <v>49391</v>
      </c>
      <c r="C5545" s="117">
        <v>45566</v>
      </c>
      <c r="D5545" s="116">
        <v>1832.61</v>
      </c>
      <c r="E5545" s="117">
        <v>45580</v>
      </c>
      <c r="F5545" s="116">
        <f>COUNTIFS($A$3:A13795,A5545,$B$3:B13795,B5545)</f>
        <v>1</v>
      </c>
      <c r="G5545" s="116"/>
    </row>
    <row r="5546" spans="1:7" x14ac:dyDescent="0.2">
      <c r="A5546" s="116">
        <f>IF(ISNUMBER(Tabela2[[#This Row],[CT-e/NFS]])=TRUE,(IF(B5546&gt;30000,4,IF(B5546&lt;1000,"ND",0))),"-")</f>
        <v>4</v>
      </c>
      <c r="B5546" s="116">
        <v>49394</v>
      </c>
      <c r="C5546" s="117">
        <v>45566</v>
      </c>
      <c r="D5546" s="116">
        <v>124.18</v>
      </c>
      <c r="E5546" s="117">
        <v>45580</v>
      </c>
      <c r="F5546" s="116">
        <f>COUNTIFS($A$3:A13796,A5546,$B$3:B13796,B5546)</f>
        <v>1</v>
      </c>
      <c r="G5546" s="116"/>
    </row>
    <row r="5547" spans="1:7" x14ac:dyDescent="0.2">
      <c r="A5547" s="116">
        <f>IF(ISNUMBER(Tabela2[[#This Row],[CT-e/NFS]])=TRUE,(IF(B5547&gt;30000,4,IF(B5547&lt;1000,"ND",0))),"-")</f>
        <v>4</v>
      </c>
      <c r="B5547" s="116">
        <v>49395</v>
      </c>
      <c r="C5547" s="117">
        <v>45566</v>
      </c>
      <c r="D5547" s="116">
        <v>122.92</v>
      </c>
      <c r="E5547" s="117">
        <v>45580</v>
      </c>
      <c r="F5547" s="116">
        <f>COUNTIFS($A$3:A13797,A5547,$B$3:B13797,B5547)</f>
        <v>1</v>
      </c>
      <c r="G5547" s="116"/>
    </row>
    <row r="5548" spans="1:7" x14ac:dyDescent="0.2">
      <c r="A5548" s="116">
        <f>IF(ISNUMBER(Tabela2[[#This Row],[CT-e/NFS]])=TRUE,(IF(B5548&gt;30000,4,IF(B5548&lt;1000,"ND",0))),"-")</f>
        <v>4</v>
      </c>
      <c r="B5548" s="116">
        <v>49393</v>
      </c>
      <c r="C5548" s="117">
        <v>45566</v>
      </c>
      <c r="D5548" s="116">
        <v>126.5</v>
      </c>
      <c r="E5548" s="117">
        <v>45580</v>
      </c>
      <c r="F5548" s="116">
        <f>COUNTIFS($A$3:A13798,A5548,$B$3:B13798,B5548)</f>
        <v>1</v>
      </c>
      <c r="G5548" s="116"/>
    </row>
    <row r="5549" spans="1:7" x14ac:dyDescent="0.2">
      <c r="A5549" s="116">
        <f>IF(ISNUMBER(Tabela2[[#This Row],[CT-e/NFS]])=TRUE,(IF(B5549&gt;30000,4,IF(B5549&lt;1000,"ND",0))),"-")</f>
        <v>4</v>
      </c>
      <c r="B5549" s="116">
        <v>49392</v>
      </c>
      <c r="C5549" s="117">
        <v>45566</v>
      </c>
      <c r="D5549" s="116">
        <v>125.42</v>
      </c>
      <c r="E5549" s="117">
        <v>45580</v>
      </c>
      <c r="F5549" s="116">
        <f>COUNTIFS($A$3:A13799,A5549,$B$3:B13799,B5549)</f>
        <v>1</v>
      </c>
      <c r="G5549" s="116"/>
    </row>
    <row r="5550" spans="1:7" x14ac:dyDescent="0.2">
      <c r="A5550" s="116">
        <f>IF(ISNUMBER(Tabela2[[#This Row],[CT-e/NFS]])=TRUE,(IF(B5550&gt;30000,4,IF(B5550&lt;1000,"ND",0))),"-")</f>
        <v>4</v>
      </c>
      <c r="B5550" s="116">
        <v>49400</v>
      </c>
      <c r="C5550" s="117">
        <v>45566</v>
      </c>
      <c r="D5550" s="116">
        <v>2565.66</v>
      </c>
      <c r="E5550" s="117">
        <v>45580</v>
      </c>
      <c r="F5550" s="116">
        <f>COUNTIFS($A$3:A13800,A5550,$B$3:B13800,B5550)</f>
        <v>1</v>
      </c>
      <c r="G5550" s="116"/>
    </row>
    <row r="5551" spans="1:7" x14ac:dyDescent="0.2">
      <c r="A5551" s="116">
        <f>IF(ISNUMBER(Tabela2[[#This Row],[CT-e/NFS]])=TRUE,(IF(B5551&gt;30000,4,IF(B5551&lt;1000,"ND",0))),"-")</f>
        <v>4</v>
      </c>
      <c r="B5551" s="116">
        <v>49399</v>
      </c>
      <c r="C5551" s="117">
        <v>45566</v>
      </c>
      <c r="D5551" s="116">
        <v>2565.66</v>
      </c>
      <c r="E5551" s="117">
        <v>45580</v>
      </c>
      <c r="F5551" s="116">
        <f>COUNTIFS($A$3:A13801,A5551,$B$3:B13801,B5551)</f>
        <v>1</v>
      </c>
      <c r="G5551" s="116"/>
    </row>
    <row r="5552" spans="1:7" x14ac:dyDescent="0.2">
      <c r="A5552" s="116">
        <f>IF(ISNUMBER(Tabela2[[#This Row],[CT-e/NFS]])=TRUE,(IF(B5552&gt;30000,4,IF(B5552&lt;1000,"ND",0))),"-")</f>
        <v>4</v>
      </c>
      <c r="B5552" s="116">
        <v>49397</v>
      </c>
      <c r="C5552" s="117">
        <v>45566</v>
      </c>
      <c r="D5552" s="116">
        <v>172.34</v>
      </c>
      <c r="E5552" s="117">
        <v>45580</v>
      </c>
      <c r="F5552" s="116">
        <f>COUNTIFS($A$3:A13802,A5552,$B$3:B13802,B5552)</f>
        <v>1</v>
      </c>
      <c r="G5552" s="116"/>
    </row>
    <row r="5553" spans="1:7" x14ac:dyDescent="0.2">
      <c r="A5553" s="116">
        <f>IF(ISNUMBER(Tabela2[[#This Row],[CT-e/NFS]])=TRUE,(IF(B5553&gt;30000,4,IF(B5553&lt;1000,"ND",0))),"-")</f>
        <v>4</v>
      </c>
      <c r="B5553" s="116">
        <v>49396</v>
      </c>
      <c r="C5553" s="117">
        <v>45566</v>
      </c>
      <c r="D5553" s="116">
        <v>124.74</v>
      </c>
      <c r="E5553" s="117">
        <v>45580</v>
      </c>
      <c r="F5553" s="116">
        <f>COUNTIFS($A$3:A13803,A5553,$B$3:B13803,B5553)</f>
        <v>1</v>
      </c>
      <c r="G5553" s="116"/>
    </row>
    <row r="5554" spans="1:7" x14ac:dyDescent="0.2">
      <c r="A5554" s="116">
        <f>IF(ISNUMBER(Tabela2[[#This Row],[CT-e/NFS]])=TRUE,(IF(B5554&gt;30000,4,IF(B5554&lt;1000,"ND",0))),"-")</f>
        <v>4</v>
      </c>
      <c r="B5554" s="116">
        <v>49398</v>
      </c>
      <c r="C5554" s="117">
        <v>45566</v>
      </c>
      <c r="D5554" s="116">
        <v>125.16</v>
      </c>
      <c r="E5554" s="117">
        <v>45580</v>
      </c>
      <c r="F5554" s="116">
        <f>COUNTIFS($A$3:A13804,A5554,$B$3:B13804,B5554)</f>
        <v>1</v>
      </c>
      <c r="G5554" s="116"/>
    </row>
    <row r="5555" spans="1:7" x14ac:dyDescent="0.2">
      <c r="A5555" s="116">
        <f>IF(ISNUMBER(Tabela2[[#This Row],[CT-e/NFS]])=TRUE,(IF(B5555&gt;30000,4,IF(B5555&lt;1000,"ND",0))),"-")</f>
        <v>4</v>
      </c>
      <c r="B5555" s="116">
        <v>49403</v>
      </c>
      <c r="C5555" s="117">
        <v>45566</v>
      </c>
      <c r="D5555" s="116">
        <v>959.44</v>
      </c>
      <c r="E5555" s="117">
        <v>45580</v>
      </c>
      <c r="F5555" s="116">
        <f>COUNTIFS($A$3:A13805,A5555,$B$3:B13805,B5555)</f>
        <v>1</v>
      </c>
      <c r="G5555" s="116"/>
    </row>
    <row r="5556" spans="1:7" x14ac:dyDescent="0.2">
      <c r="A5556" s="116">
        <f>IF(ISNUMBER(Tabela2[[#This Row],[CT-e/NFS]])=TRUE,(IF(B5556&gt;30000,4,IF(B5556&lt;1000,"ND",0))),"-")</f>
        <v>4</v>
      </c>
      <c r="B5556" s="116">
        <v>49372</v>
      </c>
      <c r="C5556" s="117">
        <v>45566</v>
      </c>
      <c r="D5556" s="116">
        <v>496.94</v>
      </c>
      <c r="E5556" s="117">
        <v>45580</v>
      </c>
      <c r="F5556" s="116">
        <f>COUNTIFS($A$3:A13806,A5556,$B$3:B13806,B5556)</f>
        <v>1</v>
      </c>
      <c r="G5556" s="116"/>
    </row>
    <row r="5557" spans="1:7" x14ac:dyDescent="0.2">
      <c r="A5557" s="116">
        <f>IF(ISNUMBER(Tabela2[[#This Row],[CT-e/NFS]])=TRUE,(IF(B5557&gt;30000,4,IF(B5557&lt;1000,"ND",0))),"-")</f>
        <v>4</v>
      </c>
      <c r="B5557" s="116">
        <v>49371</v>
      </c>
      <c r="C5557" s="117">
        <v>45566</v>
      </c>
      <c r="D5557" s="116">
        <v>640.78</v>
      </c>
      <c r="E5557" s="117">
        <v>45580</v>
      </c>
      <c r="F5557" s="116">
        <f>COUNTIFS($A$3:A13807,A5557,$B$3:B13807,B5557)</f>
        <v>1</v>
      </c>
      <c r="G5557" s="116"/>
    </row>
    <row r="5558" spans="1:7" x14ac:dyDescent="0.2">
      <c r="A5558" s="116">
        <f>IF(ISNUMBER(Tabela2[[#This Row],[CT-e/NFS]])=TRUE,(IF(B5558&gt;30000,4,IF(B5558&lt;1000,"ND",0))),"-")</f>
        <v>4</v>
      </c>
      <c r="B5558" s="116">
        <v>49331</v>
      </c>
      <c r="C5558" s="117">
        <v>45566</v>
      </c>
      <c r="D5558" s="116">
        <v>240.2</v>
      </c>
      <c r="E5558" s="117">
        <v>45580</v>
      </c>
      <c r="F5558" s="116">
        <f>COUNTIFS($A$3:A13808,A5558,$B$3:B13808,B5558)</f>
        <v>1</v>
      </c>
      <c r="G5558" s="116"/>
    </row>
    <row r="5559" spans="1:7" x14ac:dyDescent="0.2">
      <c r="A5559" s="116">
        <f>IF(ISNUMBER(Tabela2[[#This Row],[CT-e/NFS]])=TRUE,(IF(B5559&gt;30000,4,IF(B5559&lt;1000,"ND",0))),"-")</f>
        <v>4</v>
      </c>
      <c r="B5559" s="116">
        <v>49369</v>
      </c>
      <c r="C5559" s="117">
        <v>45566</v>
      </c>
      <c r="D5559" s="116">
        <v>1559.26</v>
      </c>
      <c r="E5559" s="117">
        <v>45580</v>
      </c>
      <c r="F5559" s="116">
        <f>COUNTIFS($A$3:A13809,A5559,$B$3:B13809,B5559)</f>
        <v>1</v>
      </c>
      <c r="G5559" s="116"/>
    </row>
    <row r="5560" spans="1:7" x14ac:dyDescent="0.2">
      <c r="A5560" s="116">
        <f>IF(ISNUMBER(Tabela2[[#This Row],[CT-e/NFS]])=TRUE,(IF(B5560&gt;30000,4,IF(B5560&lt;1000,"ND",0))),"-")</f>
        <v>4</v>
      </c>
      <c r="B5560" s="116">
        <v>49377</v>
      </c>
      <c r="C5560" s="117">
        <v>45566</v>
      </c>
      <c r="D5560" s="116">
        <v>609.98</v>
      </c>
      <c r="E5560" s="117">
        <v>45580</v>
      </c>
      <c r="F5560" s="116">
        <f>COUNTIFS($A$3:A13810,A5560,$B$3:B13810,B5560)</f>
        <v>1</v>
      </c>
      <c r="G5560" s="116"/>
    </row>
    <row r="5561" spans="1:7" x14ac:dyDescent="0.2">
      <c r="A5561" s="116">
        <f>IF(ISNUMBER(Tabela2[[#This Row],[CT-e/NFS]])=TRUE,(IF(B5561&gt;30000,4,IF(B5561&lt;1000,"ND",0))),"-")</f>
        <v>4</v>
      </c>
      <c r="B5561" s="116">
        <v>49408</v>
      </c>
      <c r="C5561" s="117">
        <v>45566</v>
      </c>
      <c r="D5561" s="116">
        <v>122.78</v>
      </c>
      <c r="E5561" s="117">
        <v>45580</v>
      </c>
      <c r="F5561" s="116">
        <f>COUNTIFS($A$3:A13811,A5561,$B$3:B13811,B5561)</f>
        <v>1</v>
      </c>
      <c r="G5561" s="116"/>
    </row>
    <row r="5562" spans="1:7" x14ac:dyDescent="0.2">
      <c r="A5562" s="116">
        <f>IF(ISNUMBER(Tabela2[[#This Row],[CT-e/NFS]])=TRUE,(IF(B5562&gt;30000,4,IF(B5562&lt;1000,"ND",0))),"-")</f>
        <v>4</v>
      </c>
      <c r="B5562" s="116">
        <v>49406</v>
      </c>
      <c r="C5562" s="117">
        <v>45566</v>
      </c>
      <c r="D5562" s="116">
        <v>154.16</v>
      </c>
      <c r="E5562" s="117">
        <v>45580</v>
      </c>
      <c r="F5562" s="116">
        <f>COUNTIFS($A$3:A13812,A5562,$B$3:B13812,B5562)</f>
        <v>1</v>
      </c>
      <c r="G5562" s="116"/>
    </row>
    <row r="5563" spans="1:7" x14ac:dyDescent="0.2">
      <c r="A5563" s="116">
        <f>IF(ISNUMBER(Tabela2[[#This Row],[CT-e/NFS]])=TRUE,(IF(B5563&gt;30000,4,IF(B5563&lt;1000,"ND",0))),"-")</f>
        <v>4</v>
      </c>
      <c r="B5563" s="116">
        <v>49416</v>
      </c>
      <c r="C5563" s="117">
        <v>45566</v>
      </c>
      <c r="D5563" s="116">
        <v>122.93</v>
      </c>
      <c r="E5563" s="117">
        <v>45580</v>
      </c>
      <c r="F5563" s="116">
        <f>COUNTIFS($A$3:A13813,A5563,$B$3:B13813,B5563)</f>
        <v>1</v>
      </c>
      <c r="G5563" s="116"/>
    </row>
    <row r="5564" spans="1:7" x14ac:dyDescent="0.2">
      <c r="A5564" s="116">
        <f>IF(ISNUMBER(Tabela2[[#This Row],[CT-e/NFS]])=TRUE,(IF(B5564&gt;30000,4,IF(B5564&lt;1000,"ND",0))),"-")</f>
        <v>4</v>
      </c>
      <c r="B5564" s="116">
        <v>49422</v>
      </c>
      <c r="C5564" s="117">
        <v>45566</v>
      </c>
      <c r="D5564" s="116">
        <v>357.4</v>
      </c>
      <c r="E5564" s="117">
        <v>45580</v>
      </c>
      <c r="F5564" s="116">
        <f>COUNTIFS($A$3:A13814,A5564,$B$3:B13814,B5564)</f>
        <v>1</v>
      </c>
      <c r="G5564" s="116"/>
    </row>
    <row r="5565" spans="1:7" x14ac:dyDescent="0.2">
      <c r="A5565" s="116">
        <f>IF(ISNUMBER(Tabela2[[#This Row],[CT-e/NFS]])=TRUE,(IF(B5565&gt;30000,4,IF(B5565&lt;1000,"ND",0))),"-")</f>
        <v>4</v>
      </c>
      <c r="B5565" s="116">
        <v>49421</v>
      </c>
      <c r="C5565" s="117">
        <v>45566</v>
      </c>
      <c r="D5565" s="116">
        <v>281.52999999999997</v>
      </c>
      <c r="E5565" s="117">
        <v>45580</v>
      </c>
      <c r="F5565" s="116">
        <f>COUNTIFS($A$3:A13815,A5565,$B$3:B13815,B5565)</f>
        <v>1</v>
      </c>
      <c r="G5565" s="116"/>
    </row>
    <row r="5566" spans="1:7" x14ac:dyDescent="0.2">
      <c r="A5566" s="116">
        <f>IF(ISNUMBER(Tabela2[[#This Row],[CT-e/NFS]])=TRUE,(IF(B5566&gt;30000,4,IF(B5566&lt;1000,"ND",0))),"-")</f>
        <v>4</v>
      </c>
      <c r="B5566" s="116">
        <v>49420</v>
      </c>
      <c r="C5566" s="117">
        <v>45566</v>
      </c>
      <c r="D5566" s="116">
        <v>395.08</v>
      </c>
      <c r="E5566" s="117">
        <v>45580</v>
      </c>
      <c r="F5566" s="116">
        <f>COUNTIFS($A$3:A13816,A5566,$B$3:B13816,B5566)</f>
        <v>1</v>
      </c>
      <c r="G5566" s="116"/>
    </row>
    <row r="5567" spans="1:7" x14ac:dyDescent="0.2">
      <c r="A5567" s="116">
        <f>IF(ISNUMBER(Tabela2[[#This Row],[CT-e/NFS]])=TRUE,(IF(B5567&gt;30000,4,IF(B5567&lt;1000,"ND",0))),"-")</f>
        <v>4</v>
      </c>
      <c r="B5567" s="116">
        <v>49407</v>
      </c>
      <c r="C5567" s="117">
        <v>45566</v>
      </c>
      <c r="D5567" s="116">
        <v>126.11</v>
      </c>
      <c r="E5567" s="117">
        <v>45580</v>
      </c>
      <c r="F5567" s="116">
        <f>COUNTIFS($A$3:A13817,A5567,$B$3:B13817,B5567)</f>
        <v>1</v>
      </c>
      <c r="G5567" s="116"/>
    </row>
    <row r="5568" spans="1:7" x14ac:dyDescent="0.2">
      <c r="A5568" s="116">
        <f>IF(ISNUMBER(Tabela2[[#This Row],[CT-e/NFS]])=TRUE,(IF(B5568&gt;30000,4,IF(B5568&lt;1000,"ND",0))),"-")</f>
        <v>4</v>
      </c>
      <c r="B5568" s="116">
        <v>49419</v>
      </c>
      <c r="C5568" s="117">
        <v>45566</v>
      </c>
      <c r="D5568" s="116">
        <v>126.42</v>
      </c>
      <c r="E5568" s="117">
        <v>45580</v>
      </c>
      <c r="F5568" s="116">
        <f>COUNTIFS($A$3:A13818,A5568,$B$3:B13818,B5568)</f>
        <v>1</v>
      </c>
      <c r="G5568" s="116"/>
    </row>
    <row r="5569" spans="1:7" x14ac:dyDescent="0.2">
      <c r="A5569" s="116">
        <f>IF(ISNUMBER(Tabela2[[#This Row],[CT-e/NFS]])=TRUE,(IF(B5569&gt;30000,4,IF(B5569&lt;1000,"ND",0))),"-")</f>
        <v>4</v>
      </c>
      <c r="B5569" s="116">
        <v>49418</v>
      </c>
      <c r="C5569" s="117">
        <v>45566</v>
      </c>
      <c r="D5569" s="116">
        <v>123.99</v>
      </c>
      <c r="E5569" s="117">
        <v>45580</v>
      </c>
      <c r="F5569" s="116">
        <f>COUNTIFS($A$3:A13819,A5569,$B$3:B13819,B5569)</f>
        <v>1</v>
      </c>
      <c r="G5569" s="116"/>
    </row>
    <row r="5570" spans="1:7" x14ac:dyDescent="0.2">
      <c r="A5570" s="116">
        <f>IF(ISNUMBER(Tabela2[[#This Row],[CT-e/NFS]])=TRUE,(IF(B5570&gt;30000,4,IF(B5570&lt;1000,"ND",0))),"-")</f>
        <v>4</v>
      </c>
      <c r="B5570" s="116">
        <v>49415</v>
      </c>
      <c r="C5570" s="117">
        <v>45566</v>
      </c>
      <c r="D5570" s="116">
        <v>125.03</v>
      </c>
      <c r="E5570" s="117">
        <v>45580</v>
      </c>
      <c r="F5570" s="116">
        <f>COUNTIFS($A$3:A13820,A5570,$B$3:B13820,B5570)</f>
        <v>1</v>
      </c>
      <c r="G5570" s="116"/>
    </row>
    <row r="5571" spans="1:7" x14ac:dyDescent="0.2">
      <c r="A5571" s="116">
        <f>IF(ISNUMBER(Tabela2[[#This Row],[CT-e/NFS]])=TRUE,(IF(B5571&gt;30000,4,IF(B5571&lt;1000,"ND",0))),"-")</f>
        <v>4</v>
      </c>
      <c r="B5571" s="116">
        <v>49417</v>
      </c>
      <c r="C5571" s="117">
        <v>45566</v>
      </c>
      <c r="D5571" s="116">
        <v>124.16</v>
      </c>
      <c r="E5571" s="117">
        <v>45580</v>
      </c>
      <c r="F5571" s="116">
        <f>COUNTIFS($A$3:A13821,A5571,$B$3:B13821,B5571)</f>
        <v>1</v>
      </c>
      <c r="G5571" s="116"/>
    </row>
    <row r="5572" spans="1:7" x14ac:dyDescent="0.2">
      <c r="A5572" s="116">
        <f>IF(ISNUMBER(Tabela2[[#This Row],[CT-e/NFS]])=TRUE,(IF(B5572&gt;30000,4,IF(B5572&lt;1000,"ND",0))),"-")</f>
        <v>4</v>
      </c>
      <c r="B5572" s="116">
        <v>49413</v>
      </c>
      <c r="C5572" s="117">
        <v>45566</v>
      </c>
      <c r="D5572" s="116">
        <v>124.61</v>
      </c>
      <c r="E5572" s="117">
        <v>45580</v>
      </c>
      <c r="F5572" s="116">
        <f>COUNTIFS($A$3:A13822,A5572,$B$3:B13822,B5572)</f>
        <v>1</v>
      </c>
      <c r="G5572" s="116"/>
    </row>
    <row r="5573" spans="1:7" x14ac:dyDescent="0.2">
      <c r="A5573" s="116">
        <f>IF(ISNUMBER(Tabela2[[#This Row],[CT-e/NFS]])=TRUE,(IF(B5573&gt;30000,4,IF(B5573&lt;1000,"ND",0))),"-")</f>
        <v>4</v>
      </c>
      <c r="B5573" s="116">
        <v>49411</v>
      </c>
      <c r="C5573" s="117">
        <v>45566</v>
      </c>
      <c r="D5573" s="116">
        <v>211.56</v>
      </c>
      <c r="E5573" s="117">
        <v>45580</v>
      </c>
      <c r="F5573" s="116">
        <f>COUNTIFS($A$3:A13823,A5573,$B$3:B13823,B5573)</f>
        <v>1</v>
      </c>
      <c r="G5573" s="116"/>
    </row>
    <row r="5574" spans="1:7" x14ac:dyDescent="0.2">
      <c r="A5574" s="116">
        <f>IF(ISNUMBER(Tabela2[[#This Row],[CT-e/NFS]])=TRUE,(IF(B5574&gt;30000,4,IF(B5574&lt;1000,"ND",0))),"-")</f>
        <v>4</v>
      </c>
      <c r="B5574" s="116">
        <v>49414</v>
      </c>
      <c r="C5574" s="117">
        <v>45566</v>
      </c>
      <c r="D5574" s="116">
        <v>124.31</v>
      </c>
      <c r="E5574" s="117">
        <v>45580</v>
      </c>
      <c r="F5574" s="116">
        <f>COUNTIFS($A$3:A13824,A5574,$B$3:B13824,B5574)</f>
        <v>1</v>
      </c>
      <c r="G5574" s="116"/>
    </row>
    <row r="5575" spans="1:7" x14ac:dyDescent="0.2">
      <c r="A5575" s="116">
        <f>IF(ISNUMBER(Tabela2[[#This Row],[CT-e/NFS]])=TRUE,(IF(B5575&gt;30000,4,IF(B5575&lt;1000,"ND",0))),"-")</f>
        <v>4</v>
      </c>
      <c r="B5575" s="116">
        <v>49410</v>
      </c>
      <c r="C5575" s="117">
        <v>45566</v>
      </c>
      <c r="D5575" s="116">
        <v>241.3</v>
      </c>
      <c r="E5575" s="117">
        <v>45580</v>
      </c>
      <c r="F5575" s="116">
        <f>COUNTIFS($A$3:A13825,A5575,$B$3:B13825,B5575)</f>
        <v>1</v>
      </c>
      <c r="G5575" s="116"/>
    </row>
    <row r="5576" spans="1:7" x14ac:dyDescent="0.2">
      <c r="A5576" s="116">
        <f>IF(ISNUMBER(Tabela2[[#This Row],[CT-e/NFS]])=TRUE,(IF(B5576&gt;30000,4,IF(B5576&lt;1000,"ND",0))),"-")</f>
        <v>4</v>
      </c>
      <c r="B5576" s="116">
        <v>49409</v>
      </c>
      <c r="C5576" s="117">
        <v>45566</v>
      </c>
      <c r="D5576" s="116">
        <v>122.89</v>
      </c>
      <c r="E5576" s="117">
        <v>45580</v>
      </c>
      <c r="F5576" s="116">
        <f>COUNTIFS($A$3:A13826,A5576,$B$3:B13826,B5576)</f>
        <v>1</v>
      </c>
      <c r="G5576" s="116"/>
    </row>
    <row r="5577" spans="1:7" x14ac:dyDescent="0.2">
      <c r="A5577" s="116">
        <f>IF(ISNUMBER(Tabela2[[#This Row],[CT-e/NFS]])=TRUE,(IF(B5577&gt;30000,4,IF(B5577&lt;1000,"ND",0))),"-")</f>
        <v>4</v>
      </c>
      <c r="B5577" s="116">
        <v>49423</v>
      </c>
      <c r="C5577" s="117">
        <v>45566</v>
      </c>
      <c r="D5577" s="116">
        <v>3388.01</v>
      </c>
      <c r="E5577" s="117">
        <v>45580</v>
      </c>
      <c r="F5577" s="116">
        <f>COUNTIFS($A$3:A13827,A5577,$B$3:B13827,B5577)</f>
        <v>1</v>
      </c>
      <c r="G5577" s="116"/>
    </row>
    <row r="5578" spans="1:7" x14ac:dyDescent="0.2">
      <c r="A5578" s="116">
        <f>IF(ISNUMBER(Tabela2[[#This Row],[CT-e/NFS]])=TRUE,(IF(B5578&gt;30000,4,IF(B5578&lt;1000,"ND",0))),"-")</f>
        <v>4</v>
      </c>
      <c r="B5578" s="116">
        <v>49432</v>
      </c>
      <c r="C5578" s="117">
        <v>45566</v>
      </c>
      <c r="D5578" s="116">
        <v>122.73</v>
      </c>
      <c r="E5578" s="117">
        <v>45580</v>
      </c>
      <c r="F5578" s="116">
        <f>COUNTIFS($A$3:A13828,A5578,$B$3:B13828,B5578)</f>
        <v>1</v>
      </c>
      <c r="G5578" s="116"/>
    </row>
    <row r="5579" spans="1:7" x14ac:dyDescent="0.2">
      <c r="A5579" s="116">
        <f>IF(ISNUMBER(Tabela2[[#This Row],[CT-e/NFS]])=TRUE,(IF(B5579&gt;30000,4,IF(B5579&lt;1000,"ND",0))),"-")</f>
        <v>4</v>
      </c>
      <c r="B5579" s="116">
        <v>49405</v>
      </c>
      <c r="C5579" s="117">
        <v>45566</v>
      </c>
      <c r="D5579" s="116">
        <v>238.68</v>
      </c>
      <c r="E5579" s="117">
        <v>45580</v>
      </c>
      <c r="F5579" s="116">
        <f>COUNTIFS($A$3:A13829,A5579,$B$3:B13829,B5579)</f>
        <v>1</v>
      </c>
      <c r="G5579" s="116"/>
    </row>
    <row r="5580" spans="1:7" x14ac:dyDescent="0.2">
      <c r="A5580" s="116">
        <f>IF(ISNUMBER(Tabela2[[#This Row],[CT-e/NFS]])=TRUE,(IF(B5580&gt;30000,4,IF(B5580&lt;1000,"ND",0))),"-")</f>
        <v>4</v>
      </c>
      <c r="B5580" s="116">
        <v>49404</v>
      </c>
      <c r="C5580" s="117">
        <v>45566</v>
      </c>
      <c r="D5580" s="116">
        <v>239.15</v>
      </c>
      <c r="E5580" s="117">
        <v>45580</v>
      </c>
      <c r="F5580" s="116">
        <f>COUNTIFS($A$3:A13830,A5580,$B$3:B13830,B5580)</f>
        <v>1</v>
      </c>
      <c r="G5580" s="116"/>
    </row>
    <row r="5581" spans="1:7" x14ac:dyDescent="0.2">
      <c r="A5581" s="116">
        <f>IF(ISNUMBER(Tabela2[[#This Row],[CT-e/NFS]])=TRUE,(IF(B5581&gt;30000,4,IF(B5581&lt;1000,"ND",0))),"-")</f>
        <v>0</v>
      </c>
      <c r="B5581" s="116">
        <v>22138</v>
      </c>
      <c r="C5581" s="117">
        <v>45566</v>
      </c>
      <c r="D5581" s="116">
        <v>106.92</v>
      </c>
      <c r="E5581" s="117">
        <v>45580</v>
      </c>
      <c r="F5581" s="116">
        <f>COUNTIFS($A$3:A13831,A5581,$B$3:B13831,B5581)</f>
        <v>1</v>
      </c>
      <c r="G5581" s="116"/>
    </row>
    <row r="5582" spans="1:7" x14ac:dyDescent="0.2">
      <c r="A5582" s="116">
        <f>IF(ISNUMBER(Tabela2[[#This Row],[CT-e/NFS]])=TRUE,(IF(B5582&gt;30000,4,IF(B5582&lt;1000,"ND",0))),"-")</f>
        <v>4</v>
      </c>
      <c r="B5582" s="116">
        <v>49426</v>
      </c>
      <c r="C5582" s="117">
        <v>45566</v>
      </c>
      <c r="D5582" s="116">
        <v>2906.31</v>
      </c>
      <c r="E5582" s="117">
        <v>45580</v>
      </c>
      <c r="F5582" s="116">
        <f>COUNTIFS($A$3:A13832,A5582,$B$3:B13832,B5582)</f>
        <v>1</v>
      </c>
      <c r="G5582" s="116"/>
    </row>
    <row r="5583" spans="1:7" x14ac:dyDescent="0.2">
      <c r="A5583" s="116">
        <f>IF(ISNUMBER(Tabela2[[#This Row],[CT-e/NFS]])=TRUE,(IF(B5583&gt;30000,4,IF(B5583&lt;1000,"ND",0))),"-")</f>
        <v>4</v>
      </c>
      <c r="B5583" s="116">
        <v>49433</v>
      </c>
      <c r="C5583" s="117">
        <v>45566</v>
      </c>
      <c r="D5583" s="116">
        <v>609.22</v>
      </c>
      <c r="E5583" s="117">
        <v>45580</v>
      </c>
      <c r="F5583" s="116">
        <f>COUNTIFS($A$3:A13833,A5583,$B$3:B13833,B5583)</f>
        <v>1</v>
      </c>
      <c r="G5583" s="116"/>
    </row>
    <row r="5584" spans="1:7" x14ac:dyDescent="0.2">
      <c r="A5584" s="116">
        <f>IF(ISNUMBER(Tabela2[[#This Row],[CT-e/NFS]])=TRUE,(IF(B5584&gt;30000,4,IF(B5584&lt;1000,"ND",0))),"-")</f>
        <v>4</v>
      </c>
      <c r="B5584" s="116">
        <v>49332</v>
      </c>
      <c r="C5584" s="117">
        <v>45566</v>
      </c>
      <c r="D5584" s="116">
        <v>227.27</v>
      </c>
      <c r="E5584" s="117">
        <v>45580</v>
      </c>
      <c r="F5584" s="116">
        <f>COUNTIFS($A$3:A13834,A5584,$B$3:B13834,B5584)</f>
        <v>1</v>
      </c>
      <c r="G5584" s="116"/>
    </row>
    <row r="5585" spans="1:7" x14ac:dyDescent="0.2">
      <c r="A5585" s="116">
        <f>IF(ISNUMBER(Tabela2[[#This Row],[CT-e/NFS]])=TRUE,(IF(B5585&gt;30000,4,IF(B5585&lt;1000,"ND",0))),"-")</f>
        <v>4</v>
      </c>
      <c r="B5585" s="116">
        <v>49307</v>
      </c>
      <c r="C5585" s="117">
        <v>45566</v>
      </c>
      <c r="D5585" s="116">
        <v>396.45</v>
      </c>
      <c r="E5585" s="117">
        <v>45580</v>
      </c>
      <c r="F5585" s="116">
        <f>COUNTIFS($A$3:A13835,A5585,$B$3:B13835,B5585)</f>
        <v>1</v>
      </c>
      <c r="G5585" s="116"/>
    </row>
    <row r="5586" spans="1:7" x14ac:dyDescent="0.2">
      <c r="A5586" s="116">
        <f>IF(ISNUMBER(Tabela2[[#This Row],[CT-e/NFS]])=TRUE,(IF(B5586&gt;30000,4,IF(B5586&lt;1000,"ND",0))),"-")</f>
        <v>4</v>
      </c>
      <c r="B5586" s="116">
        <v>49627</v>
      </c>
      <c r="C5586" s="117">
        <v>45586</v>
      </c>
      <c r="D5586" s="116">
        <v>278.44</v>
      </c>
      <c r="E5586" s="117">
        <v>45595</v>
      </c>
      <c r="F5586" s="116">
        <f>COUNTIFS($A$3:A13836,A5586,$B$3:B13836,B5586)</f>
        <v>1</v>
      </c>
      <c r="G5586" s="116"/>
    </row>
    <row r="5587" spans="1:7" x14ac:dyDescent="0.2">
      <c r="A5587" s="116">
        <f>IF(ISNUMBER(Tabela2[[#This Row],[CT-e/NFS]])=TRUE,(IF(B5587&gt;30000,4,IF(B5587&lt;1000,"ND",0))),"-")</f>
        <v>4</v>
      </c>
      <c r="B5587" s="116">
        <v>49630</v>
      </c>
      <c r="C5587" s="117">
        <v>45586</v>
      </c>
      <c r="D5587" s="116">
        <v>312.11</v>
      </c>
      <c r="E5587" s="117">
        <v>45595</v>
      </c>
      <c r="F5587" s="116">
        <f>COUNTIFS($A$3:A13837,A5587,$B$3:B13837,B5587)</f>
        <v>1</v>
      </c>
      <c r="G5587" s="116"/>
    </row>
    <row r="5588" spans="1:7" x14ac:dyDescent="0.2">
      <c r="A5588" s="116">
        <f>IF(ISNUMBER(Tabela2[[#This Row],[CT-e/NFS]])=TRUE,(IF(B5588&gt;30000,4,IF(B5588&lt;1000,"ND",0))),"-")</f>
        <v>4</v>
      </c>
      <c r="B5588" s="116">
        <v>49628</v>
      </c>
      <c r="C5588" s="117">
        <v>45586</v>
      </c>
      <c r="D5588" s="116">
        <v>275.2</v>
      </c>
      <c r="E5588" s="117">
        <v>45595</v>
      </c>
      <c r="F5588" s="116">
        <f>COUNTIFS($A$3:A13838,A5588,$B$3:B13838,B5588)</f>
        <v>1</v>
      </c>
      <c r="G5588" s="116"/>
    </row>
    <row r="5589" spans="1:7" x14ac:dyDescent="0.2">
      <c r="A5589" s="116">
        <f>IF(ISNUMBER(Tabela2[[#This Row],[CT-e/NFS]])=TRUE,(IF(B5589&gt;30000,4,IF(B5589&lt;1000,"ND",0))),"-")</f>
        <v>4</v>
      </c>
      <c r="B5589" s="116">
        <v>49645</v>
      </c>
      <c r="C5589" s="117">
        <v>45586</v>
      </c>
      <c r="D5589" s="116">
        <v>184.45</v>
      </c>
      <c r="E5589" s="117">
        <v>45595</v>
      </c>
      <c r="F5589" s="116">
        <f>COUNTIFS($A$3:A13839,A5589,$B$3:B13839,B5589)</f>
        <v>1</v>
      </c>
      <c r="G5589" s="116"/>
    </row>
    <row r="5590" spans="1:7" x14ac:dyDescent="0.2">
      <c r="A5590" s="116">
        <f>IF(ISNUMBER(Tabela2[[#This Row],[CT-e/NFS]])=TRUE,(IF(B5590&gt;30000,4,IF(B5590&lt;1000,"ND",0))),"-")</f>
        <v>4</v>
      </c>
      <c r="B5590" s="116">
        <v>49644</v>
      </c>
      <c r="C5590" s="117">
        <v>45586</v>
      </c>
      <c r="D5590" s="116">
        <v>102.11</v>
      </c>
      <c r="E5590" s="117">
        <v>45595</v>
      </c>
      <c r="F5590" s="116">
        <f>COUNTIFS($A$3:A13840,A5590,$B$3:B13840,B5590)</f>
        <v>1</v>
      </c>
      <c r="G5590" s="116"/>
    </row>
    <row r="5591" spans="1:7" x14ac:dyDescent="0.2">
      <c r="A5591" s="116">
        <f>IF(ISNUMBER(Tabela2[[#This Row],[CT-e/NFS]])=TRUE,(IF(B5591&gt;30000,4,IF(B5591&lt;1000,"ND",0))),"-")</f>
        <v>4</v>
      </c>
      <c r="B5591" s="116">
        <v>49643</v>
      </c>
      <c r="C5591" s="117">
        <v>45586</v>
      </c>
      <c r="D5591" s="116">
        <v>123.52</v>
      </c>
      <c r="E5591" s="117">
        <v>45595</v>
      </c>
      <c r="F5591" s="116">
        <f>COUNTIFS($A$3:A13841,A5591,$B$3:B13841,B5591)</f>
        <v>1</v>
      </c>
      <c r="G5591" s="116"/>
    </row>
    <row r="5592" spans="1:7" x14ac:dyDescent="0.2">
      <c r="A5592" s="116">
        <f>IF(ISNUMBER(Tabela2[[#This Row],[CT-e/NFS]])=TRUE,(IF(B5592&gt;30000,4,IF(B5592&lt;1000,"ND",0))),"-")</f>
        <v>4</v>
      </c>
      <c r="B5592" s="116">
        <v>49634</v>
      </c>
      <c r="C5592" s="117">
        <v>45586</v>
      </c>
      <c r="D5592" s="116">
        <v>125.25</v>
      </c>
      <c r="E5592" s="117">
        <v>45595</v>
      </c>
      <c r="F5592" s="116">
        <f>COUNTIFS($A$3:A13842,A5592,$B$3:B13842,B5592)</f>
        <v>1</v>
      </c>
      <c r="G5592" s="116"/>
    </row>
    <row r="5593" spans="1:7" x14ac:dyDescent="0.2">
      <c r="A5593" s="116">
        <f>IF(ISNUMBER(Tabela2[[#This Row],[CT-e/NFS]])=TRUE,(IF(B5593&gt;30000,4,IF(B5593&lt;1000,"ND",0))),"-")</f>
        <v>4</v>
      </c>
      <c r="B5593" s="116">
        <v>49633</v>
      </c>
      <c r="C5593" s="117">
        <v>45586</v>
      </c>
      <c r="D5593" s="116">
        <v>420.24</v>
      </c>
      <c r="E5593" s="117">
        <v>45595</v>
      </c>
      <c r="F5593" s="116">
        <f>COUNTIFS($A$3:A13843,A5593,$B$3:B13843,B5593)</f>
        <v>1</v>
      </c>
      <c r="G5593" s="116"/>
    </row>
    <row r="5594" spans="1:7" x14ac:dyDescent="0.2">
      <c r="A5594" s="116">
        <f>IF(ISNUMBER(Tabela2[[#This Row],[CT-e/NFS]])=TRUE,(IF(B5594&gt;30000,4,IF(B5594&lt;1000,"ND",0))),"-")</f>
        <v>4</v>
      </c>
      <c r="B5594" s="116">
        <v>49636</v>
      </c>
      <c r="C5594" s="117">
        <v>45586</v>
      </c>
      <c r="D5594" s="116">
        <v>125.93</v>
      </c>
      <c r="E5594" s="117">
        <v>45595</v>
      </c>
      <c r="F5594" s="116">
        <f>COUNTIFS($A$3:A13844,A5594,$B$3:B13844,B5594)</f>
        <v>1</v>
      </c>
      <c r="G5594" s="116"/>
    </row>
    <row r="5595" spans="1:7" x14ac:dyDescent="0.2">
      <c r="A5595" s="116">
        <f>IF(ISNUMBER(Tabela2[[#This Row],[CT-e/NFS]])=TRUE,(IF(B5595&gt;30000,4,IF(B5595&lt;1000,"ND",0))),"-")</f>
        <v>4</v>
      </c>
      <c r="B5595" s="116">
        <v>49632</v>
      </c>
      <c r="C5595" s="117">
        <v>45586</v>
      </c>
      <c r="D5595" s="116">
        <v>240.26</v>
      </c>
      <c r="E5595" s="117">
        <v>45595</v>
      </c>
      <c r="F5595" s="116">
        <f>COUNTIFS($A$3:A13845,A5595,$B$3:B13845,B5595)</f>
        <v>1</v>
      </c>
      <c r="G5595" s="116"/>
    </row>
    <row r="5596" spans="1:7" x14ac:dyDescent="0.2">
      <c r="A5596" s="116">
        <f>IF(ISNUMBER(Tabela2[[#This Row],[CT-e/NFS]])=TRUE,(IF(B5596&gt;30000,4,IF(B5596&lt;1000,"ND",0))),"-")</f>
        <v>4</v>
      </c>
      <c r="B5596" s="116">
        <v>49631</v>
      </c>
      <c r="C5596" s="117">
        <v>45586</v>
      </c>
      <c r="D5596" s="116">
        <v>124.15</v>
      </c>
      <c r="E5596" s="117">
        <v>45595</v>
      </c>
      <c r="F5596" s="116">
        <f>COUNTIFS($A$3:A13846,A5596,$B$3:B13846,B5596)</f>
        <v>1</v>
      </c>
      <c r="G5596" s="116"/>
    </row>
    <row r="5597" spans="1:7" x14ac:dyDescent="0.2">
      <c r="A5597" s="116">
        <f>IF(ISNUMBER(Tabela2[[#This Row],[CT-e/NFS]])=TRUE,(IF(B5597&gt;30000,4,IF(B5597&lt;1000,"ND",0))),"-")</f>
        <v>4</v>
      </c>
      <c r="B5597" s="116">
        <v>49635</v>
      </c>
      <c r="C5597" s="117">
        <v>45586</v>
      </c>
      <c r="D5597" s="116">
        <v>464.26</v>
      </c>
      <c r="E5597" s="117">
        <v>45595</v>
      </c>
      <c r="F5597" s="116">
        <f>COUNTIFS($A$3:A13847,A5597,$B$3:B13847,B5597)</f>
        <v>1</v>
      </c>
      <c r="G5597" s="116"/>
    </row>
    <row r="5598" spans="1:7" x14ac:dyDescent="0.2">
      <c r="A5598" s="116">
        <f>IF(ISNUMBER(Tabela2[[#This Row],[CT-e/NFS]])=TRUE,(IF(B5598&gt;30000,4,IF(B5598&lt;1000,"ND",0))),"-")</f>
        <v>4</v>
      </c>
      <c r="B5598" s="116">
        <v>49640</v>
      </c>
      <c r="C5598" s="117">
        <v>45586</v>
      </c>
      <c r="D5598" s="116">
        <v>124.41</v>
      </c>
      <c r="E5598" s="117">
        <v>45595</v>
      </c>
      <c r="F5598" s="116">
        <f>COUNTIFS($A$3:A13848,A5598,$B$3:B13848,B5598)</f>
        <v>1</v>
      </c>
      <c r="G5598" s="116"/>
    </row>
    <row r="5599" spans="1:7" x14ac:dyDescent="0.2">
      <c r="A5599" s="116">
        <f>IF(ISNUMBER(Tabela2[[#This Row],[CT-e/NFS]])=TRUE,(IF(B5599&gt;30000,4,IF(B5599&lt;1000,"ND",0))),"-")</f>
        <v>4</v>
      </c>
      <c r="B5599" s="116">
        <v>49642</v>
      </c>
      <c r="C5599" s="117">
        <v>45586</v>
      </c>
      <c r="D5599" s="116">
        <v>124.35</v>
      </c>
      <c r="E5599" s="117">
        <v>45595</v>
      </c>
      <c r="F5599" s="116">
        <f>COUNTIFS($A$3:A13849,A5599,$B$3:B13849,B5599)</f>
        <v>1</v>
      </c>
      <c r="G5599" s="116"/>
    </row>
    <row r="5600" spans="1:7" x14ac:dyDescent="0.2">
      <c r="A5600" s="116">
        <f>IF(ISNUMBER(Tabela2[[#This Row],[CT-e/NFS]])=TRUE,(IF(B5600&gt;30000,4,IF(B5600&lt;1000,"ND",0))),"-")</f>
        <v>4</v>
      </c>
      <c r="B5600" s="116">
        <v>49641</v>
      </c>
      <c r="C5600" s="117">
        <v>45586</v>
      </c>
      <c r="D5600" s="116">
        <v>122.82</v>
      </c>
      <c r="E5600" s="117">
        <v>45595</v>
      </c>
      <c r="F5600" s="116">
        <f>COUNTIFS($A$3:A13850,A5600,$B$3:B13850,B5600)</f>
        <v>1</v>
      </c>
      <c r="G5600" s="116"/>
    </row>
    <row r="5601" spans="1:7" x14ac:dyDescent="0.2">
      <c r="A5601" s="116">
        <f>IF(ISNUMBER(Tabela2[[#This Row],[CT-e/NFS]])=TRUE,(IF(B5601&gt;30000,4,IF(B5601&lt;1000,"ND",0))),"-")</f>
        <v>4</v>
      </c>
      <c r="B5601" s="116">
        <v>49638</v>
      </c>
      <c r="C5601" s="117">
        <v>45586</v>
      </c>
      <c r="D5601" s="116">
        <v>123.94</v>
      </c>
      <c r="E5601" s="117">
        <v>45595</v>
      </c>
      <c r="F5601" s="116">
        <f>COUNTIFS($A$3:A13851,A5601,$B$3:B13851,B5601)</f>
        <v>1</v>
      </c>
      <c r="G5601" s="116"/>
    </row>
    <row r="5602" spans="1:7" x14ac:dyDescent="0.2">
      <c r="A5602" s="116">
        <f>IF(ISNUMBER(Tabela2[[#This Row],[CT-e/NFS]])=TRUE,(IF(B5602&gt;30000,4,IF(B5602&lt;1000,"ND",0))),"-")</f>
        <v>4</v>
      </c>
      <c r="B5602" s="116">
        <v>49637</v>
      </c>
      <c r="C5602" s="117">
        <v>45586</v>
      </c>
      <c r="D5602" s="116">
        <v>150.47</v>
      </c>
      <c r="E5602" s="117">
        <v>45595</v>
      </c>
      <c r="F5602" s="116">
        <f>COUNTIFS($A$3:A13852,A5602,$B$3:B13852,B5602)</f>
        <v>1</v>
      </c>
      <c r="G5602" s="116"/>
    </row>
    <row r="5603" spans="1:7" x14ac:dyDescent="0.2">
      <c r="A5603" s="116">
        <f>IF(ISNUMBER(Tabela2[[#This Row],[CT-e/NFS]])=TRUE,(IF(B5603&gt;30000,4,IF(B5603&lt;1000,"ND",0))),"-")</f>
        <v>0</v>
      </c>
      <c r="B5603" s="116">
        <v>22216</v>
      </c>
      <c r="C5603" s="117">
        <v>45586</v>
      </c>
      <c r="D5603" s="116">
        <v>239.33</v>
      </c>
      <c r="E5603" s="117">
        <v>45595</v>
      </c>
      <c r="F5603" s="116">
        <f>COUNTIFS($A$3:A13853,A5603,$B$3:B13853,B5603)</f>
        <v>1</v>
      </c>
      <c r="G5603" s="116"/>
    </row>
    <row r="5604" spans="1:7" x14ac:dyDescent="0.2">
      <c r="A5604" s="116">
        <f>IF(ISNUMBER(Tabela2[[#This Row],[CT-e/NFS]])=TRUE,(IF(B5604&gt;30000,4,IF(B5604&lt;1000,"ND",0))),"-")</f>
        <v>0</v>
      </c>
      <c r="B5604" s="116">
        <v>22220</v>
      </c>
      <c r="C5604" s="117">
        <v>45586</v>
      </c>
      <c r="D5604" s="116">
        <v>76.47</v>
      </c>
      <c r="E5604" s="117">
        <v>45595</v>
      </c>
      <c r="F5604" s="116">
        <f>COUNTIFS($A$3:A13854,A5604,$B$3:B13854,B5604)</f>
        <v>1</v>
      </c>
      <c r="G5604" s="116"/>
    </row>
    <row r="5605" spans="1:7" x14ac:dyDescent="0.2">
      <c r="A5605" s="116">
        <f>IF(ISNUMBER(Tabela2[[#This Row],[CT-e/NFS]])=TRUE,(IF(B5605&gt;30000,4,IF(B5605&lt;1000,"ND",0))),"-")</f>
        <v>0</v>
      </c>
      <c r="B5605" s="116">
        <v>22218</v>
      </c>
      <c r="C5605" s="117">
        <v>45586</v>
      </c>
      <c r="D5605" s="116">
        <v>77.260000000000005</v>
      </c>
      <c r="E5605" s="117">
        <v>45595</v>
      </c>
      <c r="F5605" s="116">
        <f>COUNTIFS($A$3:A13855,A5605,$B$3:B13855,B5605)</f>
        <v>1</v>
      </c>
      <c r="G5605" s="116"/>
    </row>
    <row r="5606" spans="1:7" x14ac:dyDescent="0.2">
      <c r="A5606" s="116">
        <f>IF(ISNUMBER(Tabela2[[#This Row],[CT-e/NFS]])=TRUE,(IF(B5606&gt;30000,4,IF(B5606&lt;1000,"ND",0))),"-")</f>
        <v>0</v>
      </c>
      <c r="B5606" s="116">
        <v>22219</v>
      </c>
      <c r="C5606" s="117">
        <v>45586</v>
      </c>
      <c r="D5606" s="116">
        <v>505.32</v>
      </c>
      <c r="E5606" s="117">
        <v>45595</v>
      </c>
      <c r="F5606" s="116">
        <f>COUNTIFS($A$3:A13856,A5606,$B$3:B13856,B5606)</f>
        <v>1</v>
      </c>
      <c r="G5606" s="116"/>
    </row>
    <row r="5607" spans="1:7" x14ac:dyDescent="0.2">
      <c r="A5607" s="116">
        <f>IF(ISNUMBER(Tabela2[[#This Row],[CT-e/NFS]])=TRUE,(IF(B5607&gt;30000,4,IF(B5607&lt;1000,"ND",0))),"-")</f>
        <v>0</v>
      </c>
      <c r="B5607" s="116">
        <v>22217</v>
      </c>
      <c r="C5607" s="117">
        <v>45586</v>
      </c>
      <c r="D5607" s="116">
        <v>173.5</v>
      </c>
      <c r="E5607" s="117">
        <v>45595</v>
      </c>
      <c r="F5607" s="116">
        <f>COUNTIFS($A$3:A13857,A5607,$B$3:B13857,B5607)</f>
        <v>1</v>
      </c>
      <c r="G5607" s="116"/>
    </row>
    <row r="5608" spans="1:7" x14ac:dyDescent="0.2">
      <c r="A5608" s="116">
        <f>IF(ISNUMBER(Tabela2[[#This Row],[CT-e/NFS]])=TRUE,(IF(B5608&gt;30000,4,IF(B5608&lt;1000,"ND",0))),"-")</f>
        <v>4</v>
      </c>
      <c r="B5608" s="116">
        <v>49655</v>
      </c>
      <c r="C5608" s="117">
        <v>45586</v>
      </c>
      <c r="D5608" s="116">
        <v>122.92</v>
      </c>
      <c r="E5608" s="117">
        <v>45595</v>
      </c>
      <c r="F5608" s="116">
        <f>COUNTIFS($A$3:A13858,A5608,$B$3:B13858,B5608)</f>
        <v>1</v>
      </c>
      <c r="G5608" s="116"/>
    </row>
    <row r="5609" spans="1:7" x14ac:dyDescent="0.2">
      <c r="A5609" s="116">
        <f>IF(ISNUMBER(Tabela2[[#This Row],[CT-e/NFS]])=TRUE,(IF(B5609&gt;30000,4,IF(B5609&lt;1000,"ND",0))),"-")</f>
        <v>4</v>
      </c>
      <c r="B5609" s="116">
        <v>49656</v>
      </c>
      <c r="C5609" s="117">
        <v>45586</v>
      </c>
      <c r="D5609" s="116">
        <v>122.89</v>
      </c>
      <c r="E5609" s="117">
        <v>45595</v>
      </c>
      <c r="F5609" s="116">
        <f>COUNTIFS($A$3:A13859,A5609,$B$3:B13859,B5609)</f>
        <v>1</v>
      </c>
      <c r="G5609" s="116"/>
    </row>
    <row r="5610" spans="1:7" x14ac:dyDescent="0.2">
      <c r="A5610" s="116">
        <f>IF(ISNUMBER(Tabela2[[#This Row],[CT-e/NFS]])=TRUE,(IF(B5610&gt;30000,4,IF(B5610&lt;1000,"ND",0))),"-")</f>
        <v>4</v>
      </c>
      <c r="B5610" s="116">
        <v>49654</v>
      </c>
      <c r="C5610" s="117">
        <v>45586</v>
      </c>
      <c r="D5610" s="116">
        <v>124.15</v>
      </c>
      <c r="E5610" s="117">
        <v>45595</v>
      </c>
      <c r="F5610" s="116">
        <f>COUNTIFS($A$3:A13860,A5610,$B$3:B13860,B5610)</f>
        <v>1</v>
      </c>
      <c r="G5610" s="116"/>
    </row>
    <row r="5611" spans="1:7" x14ac:dyDescent="0.2">
      <c r="A5611" s="116">
        <f>IF(ISNUMBER(Tabela2[[#This Row],[CT-e/NFS]])=TRUE,(IF(B5611&gt;30000,4,IF(B5611&lt;1000,"ND",0))),"-")</f>
        <v>4</v>
      </c>
      <c r="B5611" s="116">
        <v>49658</v>
      </c>
      <c r="C5611" s="117">
        <v>45586</v>
      </c>
      <c r="D5611" s="116">
        <v>61.97</v>
      </c>
      <c r="E5611" s="117">
        <v>45595</v>
      </c>
      <c r="F5611" s="116">
        <f>COUNTIFS($A$3:A13861,A5611,$B$3:B13861,B5611)</f>
        <v>1</v>
      </c>
      <c r="G5611" s="116"/>
    </row>
    <row r="5612" spans="1:7" x14ac:dyDescent="0.2">
      <c r="A5612" s="116">
        <f>IF(ISNUMBER(Tabela2[[#This Row],[CT-e/NFS]])=TRUE,(IF(B5612&gt;30000,4,IF(B5612&lt;1000,"ND",0))),"-")</f>
        <v>4</v>
      </c>
      <c r="B5612" s="116">
        <v>49659</v>
      </c>
      <c r="C5612" s="117">
        <v>45586</v>
      </c>
      <c r="D5612" s="116">
        <v>111.67</v>
      </c>
      <c r="E5612" s="117">
        <v>45595</v>
      </c>
      <c r="F5612" s="116">
        <f>COUNTIFS($A$3:A13862,A5612,$B$3:B13862,B5612)</f>
        <v>1</v>
      </c>
      <c r="G5612" s="116"/>
    </row>
    <row r="5613" spans="1:7" x14ac:dyDescent="0.2">
      <c r="A5613" s="116">
        <f>IF(ISNUMBER(Tabela2[[#This Row],[CT-e/NFS]])=TRUE,(IF(B5613&gt;30000,4,IF(B5613&lt;1000,"ND",0))),"-")</f>
        <v>4</v>
      </c>
      <c r="B5613" s="116">
        <v>49663</v>
      </c>
      <c r="C5613" s="117">
        <v>45586</v>
      </c>
      <c r="D5613" s="116">
        <v>124.03</v>
      </c>
      <c r="E5613" s="117">
        <v>45595</v>
      </c>
      <c r="F5613" s="116">
        <f>COUNTIFS($A$3:A13863,A5613,$B$3:B13863,B5613)</f>
        <v>1</v>
      </c>
      <c r="G5613" s="116"/>
    </row>
    <row r="5614" spans="1:7" x14ac:dyDescent="0.2">
      <c r="A5614" s="116">
        <f>IF(ISNUMBER(Tabela2[[#This Row],[CT-e/NFS]])=TRUE,(IF(B5614&gt;30000,4,IF(B5614&lt;1000,"ND",0))),"-")</f>
        <v>4</v>
      </c>
      <c r="B5614" s="116">
        <v>49662</v>
      </c>
      <c r="C5614" s="117">
        <v>45586</v>
      </c>
      <c r="D5614" s="116">
        <v>347.81</v>
      </c>
      <c r="E5614" s="117">
        <v>45595</v>
      </c>
      <c r="F5614" s="116">
        <f>COUNTIFS($A$3:A13864,A5614,$B$3:B13864,B5614)</f>
        <v>1</v>
      </c>
      <c r="G5614" s="116"/>
    </row>
    <row r="5615" spans="1:7" x14ac:dyDescent="0.2">
      <c r="A5615" s="116">
        <f>IF(ISNUMBER(Tabela2[[#This Row],[CT-e/NFS]])=TRUE,(IF(B5615&gt;30000,4,IF(B5615&lt;1000,"ND",0))),"-")</f>
        <v>4</v>
      </c>
      <c r="B5615" s="116">
        <v>49661</v>
      </c>
      <c r="C5615" s="117">
        <v>45586</v>
      </c>
      <c r="D5615" s="116">
        <v>124.38</v>
      </c>
      <c r="E5615" s="117">
        <v>45595</v>
      </c>
      <c r="F5615" s="116">
        <f>COUNTIFS($A$3:A13865,A5615,$B$3:B13865,B5615)</f>
        <v>1</v>
      </c>
      <c r="G5615" s="116"/>
    </row>
    <row r="5616" spans="1:7" x14ac:dyDescent="0.2">
      <c r="A5616" s="116">
        <f>IF(ISNUMBER(Tabela2[[#This Row],[CT-e/NFS]])=TRUE,(IF(B5616&gt;30000,4,IF(B5616&lt;1000,"ND",0))),"-")</f>
        <v>4</v>
      </c>
      <c r="B5616" s="116">
        <v>49664</v>
      </c>
      <c r="C5616" s="117">
        <v>45586</v>
      </c>
      <c r="D5616" s="116">
        <v>165.83</v>
      </c>
      <c r="E5616" s="117">
        <v>45595</v>
      </c>
      <c r="F5616" s="116">
        <f>COUNTIFS($A$3:A13866,A5616,$B$3:B13866,B5616)</f>
        <v>1</v>
      </c>
      <c r="G5616" s="116"/>
    </row>
    <row r="5617" spans="1:7" x14ac:dyDescent="0.2">
      <c r="A5617" s="116">
        <f>IF(ISNUMBER(Tabela2[[#This Row],[CT-e/NFS]])=TRUE,(IF(B5617&gt;30000,4,IF(B5617&lt;1000,"ND",0))),"-")</f>
        <v>4</v>
      </c>
      <c r="B5617" s="116">
        <v>49653</v>
      </c>
      <c r="C5617" s="117">
        <v>45586</v>
      </c>
      <c r="D5617" s="116">
        <v>816.74</v>
      </c>
      <c r="E5617" s="117">
        <v>45595</v>
      </c>
      <c r="F5617" s="116">
        <f>COUNTIFS($A$3:A13867,A5617,$B$3:B13867,B5617)</f>
        <v>1</v>
      </c>
      <c r="G5617" s="116"/>
    </row>
    <row r="5618" spans="1:7" x14ac:dyDescent="0.2">
      <c r="A5618" s="116">
        <f>IF(ISNUMBER(Tabela2[[#This Row],[CT-e/NFS]])=TRUE,(IF(B5618&gt;30000,4,IF(B5618&lt;1000,"ND",0))),"-")</f>
        <v>4</v>
      </c>
      <c r="B5618" s="116">
        <v>49652</v>
      </c>
      <c r="C5618" s="117">
        <v>45586</v>
      </c>
      <c r="D5618" s="116">
        <v>267.49</v>
      </c>
      <c r="E5618" s="117">
        <v>45595</v>
      </c>
      <c r="F5618" s="116">
        <f>COUNTIFS($A$3:A13868,A5618,$B$3:B13868,B5618)</f>
        <v>1</v>
      </c>
      <c r="G5618" s="116"/>
    </row>
    <row r="5619" spans="1:7" x14ac:dyDescent="0.2">
      <c r="A5619" s="116">
        <f>IF(ISNUMBER(Tabela2[[#This Row],[CT-e/NFS]])=TRUE,(IF(B5619&gt;30000,4,IF(B5619&lt;1000,"ND",0))),"-")</f>
        <v>0</v>
      </c>
      <c r="B5619" s="116">
        <v>22221</v>
      </c>
      <c r="C5619" s="117">
        <v>45586</v>
      </c>
      <c r="D5619" s="116">
        <v>76.900000000000006</v>
      </c>
      <c r="E5619" s="117">
        <v>45595</v>
      </c>
      <c r="F5619" s="116">
        <f>COUNTIFS($A$3:A13869,A5619,$B$3:B13869,B5619)</f>
        <v>1</v>
      </c>
      <c r="G5619" s="116"/>
    </row>
    <row r="5620" spans="1:7" x14ac:dyDescent="0.2">
      <c r="A5620" s="116">
        <f>IF(ISNUMBER(Tabela2[[#This Row],[CT-e/NFS]])=TRUE,(IF(B5620&gt;30000,4,IF(B5620&lt;1000,"ND",0))),"-")</f>
        <v>0</v>
      </c>
      <c r="B5620" s="116">
        <v>22225</v>
      </c>
      <c r="C5620" s="117">
        <v>45586</v>
      </c>
      <c r="D5620" s="116">
        <v>76.8</v>
      </c>
      <c r="E5620" s="117">
        <v>45595</v>
      </c>
      <c r="F5620" s="116">
        <f>COUNTIFS($A$3:A13870,A5620,$B$3:B13870,B5620)</f>
        <v>1</v>
      </c>
      <c r="G5620" s="116"/>
    </row>
    <row r="5621" spans="1:7" x14ac:dyDescent="0.2">
      <c r="A5621" s="116">
        <f>IF(ISNUMBER(Tabela2[[#This Row],[CT-e/NFS]])=TRUE,(IF(B5621&gt;30000,4,IF(B5621&lt;1000,"ND",0))),"-")</f>
        <v>0</v>
      </c>
      <c r="B5621" s="116">
        <v>22223</v>
      </c>
      <c r="C5621" s="117">
        <v>45586</v>
      </c>
      <c r="D5621" s="116">
        <v>76.42</v>
      </c>
      <c r="E5621" s="117">
        <v>45595</v>
      </c>
      <c r="F5621" s="116">
        <f>COUNTIFS($A$3:A13871,A5621,$B$3:B13871,B5621)</f>
        <v>1</v>
      </c>
      <c r="G5621" s="116"/>
    </row>
    <row r="5622" spans="1:7" x14ac:dyDescent="0.2">
      <c r="A5622" s="116">
        <f>IF(ISNUMBER(Tabela2[[#This Row],[CT-e/NFS]])=TRUE,(IF(B5622&gt;30000,4,IF(B5622&lt;1000,"ND",0))),"-")</f>
        <v>0</v>
      </c>
      <c r="B5622" s="116">
        <v>22222</v>
      </c>
      <c r="C5622" s="117">
        <v>45586</v>
      </c>
      <c r="D5622" s="116">
        <v>75.7</v>
      </c>
      <c r="E5622" s="117">
        <v>45595</v>
      </c>
      <c r="F5622" s="116">
        <f>COUNTIFS($A$3:A13872,A5622,$B$3:B13872,B5622)</f>
        <v>1</v>
      </c>
      <c r="G5622" s="116"/>
    </row>
    <row r="5623" spans="1:7" x14ac:dyDescent="0.2">
      <c r="A5623" s="116">
        <f>IF(ISNUMBER(Tabela2[[#This Row],[CT-e/NFS]])=TRUE,(IF(B5623&gt;30000,4,IF(B5623&lt;1000,"ND",0))),"-")</f>
        <v>4</v>
      </c>
      <c r="B5623" s="116">
        <v>49651</v>
      </c>
      <c r="C5623" s="117">
        <v>45586</v>
      </c>
      <c r="D5623" s="116">
        <v>674.07</v>
      </c>
      <c r="E5623" s="117">
        <v>45595</v>
      </c>
      <c r="F5623" s="116">
        <f>COUNTIFS($A$3:A13873,A5623,$B$3:B13873,B5623)</f>
        <v>1</v>
      </c>
      <c r="G5623" s="116"/>
    </row>
    <row r="5624" spans="1:7" x14ac:dyDescent="0.2">
      <c r="A5624" s="116">
        <f>IF(ISNUMBER(Tabela2[[#This Row],[CT-e/NFS]])=TRUE,(IF(B5624&gt;30000,4,IF(B5624&lt;1000,"ND",0))),"-")</f>
        <v>4</v>
      </c>
      <c r="B5624" s="116">
        <v>49670</v>
      </c>
      <c r="C5624" s="117">
        <v>45586</v>
      </c>
      <c r="D5624" s="116">
        <v>82.91</v>
      </c>
      <c r="E5624" s="117">
        <v>45595</v>
      </c>
      <c r="F5624" s="116">
        <f>COUNTIFS($A$3:A13874,A5624,$B$3:B13874,B5624)</f>
        <v>1</v>
      </c>
      <c r="G5624" s="116"/>
    </row>
    <row r="5625" spans="1:7" x14ac:dyDescent="0.2">
      <c r="A5625" s="116">
        <f>IF(ISNUMBER(Tabela2[[#This Row],[CT-e/NFS]])=TRUE,(IF(B5625&gt;30000,4,IF(B5625&lt;1000,"ND",0))),"-")</f>
        <v>4</v>
      </c>
      <c r="B5625" s="116">
        <v>49671</v>
      </c>
      <c r="C5625" s="117">
        <v>45586</v>
      </c>
      <c r="D5625" s="116">
        <v>149.72999999999999</v>
      </c>
      <c r="E5625" s="117">
        <v>45595</v>
      </c>
      <c r="F5625" s="116">
        <f>COUNTIFS($A$3:A13875,A5625,$B$3:B13875,B5625)</f>
        <v>1</v>
      </c>
      <c r="G5625" s="116"/>
    </row>
    <row r="5626" spans="1:7" x14ac:dyDescent="0.2">
      <c r="A5626" s="116">
        <f>IF(ISNUMBER(Tabela2[[#This Row],[CT-e/NFS]])=TRUE,(IF(B5626&gt;30000,4,IF(B5626&lt;1000,"ND",0))),"-")</f>
        <v>4</v>
      </c>
      <c r="B5626" s="116">
        <v>49646</v>
      </c>
      <c r="C5626" s="117">
        <v>45586</v>
      </c>
      <c r="D5626" s="116">
        <v>219.44</v>
      </c>
      <c r="E5626" s="117">
        <v>45595</v>
      </c>
      <c r="F5626" s="116">
        <f>COUNTIFS($A$3:A13876,A5626,$B$3:B13876,B5626)</f>
        <v>1</v>
      </c>
      <c r="G5626" s="116"/>
    </row>
    <row r="5627" spans="1:7" x14ac:dyDescent="0.2">
      <c r="A5627" s="116">
        <f>IF(ISNUMBER(Tabela2[[#This Row],[CT-e/NFS]])=TRUE,(IF(B5627&gt;30000,4,IF(B5627&lt;1000,"ND",0))),"-")</f>
        <v>4</v>
      </c>
      <c r="B5627" s="116">
        <v>49649</v>
      </c>
      <c r="C5627" s="117">
        <v>45586</v>
      </c>
      <c r="D5627" s="116">
        <v>62.15</v>
      </c>
      <c r="E5627" s="117">
        <v>45595</v>
      </c>
      <c r="F5627" s="116">
        <f>COUNTIFS($A$3:A13877,A5627,$B$3:B13877,B5627)</f>
        <v>1</v>
      </c>
      <c r="G5627" s="116"/>
    </row>
    <row r="5628" spans="1:7" x14ac:dyDescent="0.2">
      <c r="A5628" s="116">
        <f>IF(ISNUMBER(Tabela2[[#This Row],[CT-e/NFS]])=TRUE,(IF(B5628&gt;30000,4,IF(B5628&lt;1000,"ND",0))),"-")</f>
        <v>4</v>
      </c>
      <c r="B5628" s="116">
        <v>49650</v>
      </c>
      <c r="C5628" s="117">
        <v>45586</v>
      </c>
      <c r="D5628" s="116">
        <v>112.02</v>
      </c>
      <c r="E5628" s="117">
        <v>45595</v>
      </c>
      <c r="F5628" s="116">
        <f>COUNTIFS($A$3:A13878,A5628,$B$3:B13878,B5628)</f>
        <v>1</v>
      </c>
      <c r="G5628" s="116"/>
    </row>
    <row r="5629" spans="1:7" x14ac:dyDescent="0.2">
      <c r="A5629" s="116">
        <f>IF(ISNUMBER(Tabela2[[#This Row],[CT-e/NFS]])=TRUE,(IF(B5629&gt;30000,4,IF(B5629&lt;1000,"ND",0))),"-")</f>
        <v>4</v>
      </c>
      <c r="B5629" s="116">
        <v>49667</v>
      </c>
      <c r="C5629" s="117">
        <v>45586</v>
      </c>
      <c r="D5629" s="116">
        <v>123.52</v>
      </c>
      <c r="E5629" s="117">
        <v>45595</v>
      </c>
      <c r="F5629" s="116">
        <f>COUNTIFS($A$3:A13879,A5629,$B$3:B13879,B5629)</f>
        <v>1</v>
      </c>
      <c r="G5629" s="116"/>
    </row>
    <row r="5630" spans="1:7" x14ac:dyDescent="0.2">
      <c r="A5630" s="116">
        <f>IF(ISNUMBER(Tabela2[[#This Row],[CT-e/NFS]])=TRUE,(IF(B5630&gt;30000,4,IF(B5630&lt;1000,"ND",0))),"-")</f>
        <v>4</v>
      </c>
      <c r="B5630" s="116">
        <v>49668</v>
      </c>
      <c r="C5630" s="117">
        <v>45586</v>
      </c>
      <c r="D5630" s="116">
        <v>124.97</v>
      </c>
      <c r="E5630" s="117">
        <v>45595</v>
      </c>
      <c r="F5630" s="116">
        <f>COUNTIFS($A$3:A13880,A5630,$B$3:B13880,B5630)</f>
        <v>1</v>
      </c>
      <c r="G5630" s="116"/>
    </row>
    <row r="5631" spans="1:7" x14ac:dyDescent="0.2">
      <c r="A5631" s="116">
        <f>IF(ISNUMBER(Tabela2[[#This Row],[CT-e/NFS]])=TRUE,(IF(B5631&gt;30000,4,IF(B5631&lt;1000,"ND",0))),"-")</f>
        <v>4</v>
      </c>
      <c r="B5631" s="116">
        <v>49666</v>
      </c>
      <c r="C5631" s="117">
        <v>45586</v>
      </c>
      <c r="D5631" s="116">
        <v>359.33</v>
      </c>
      <c r="E5631" s="117">
        <v>45595</v>
      </c>
      <c r="F5631" s="116">
        <f>COUNTIFS($A$3:A13881,A5631,$B$3:B13881,B5631)</f>
        <v>1</v>
      </c>
      <c r="G5631" s="116"/>
    </row>
    <row r="5632" spans="1:7" x14ac:dyDescent="0.2">
      <c r="A5632" s="116">
        <f>IF(ISNUMBER(Tabela2[[#This Row],[CT-e/NFS]])=TRUE,(IF(B5632&gt;30000,4,IF(B5632&lt;1000,"ND",0))),"-")</f>
        <v>4</v>
      </c>
      <c r="B5632" s="116">
        <v>49669</v>
      </c>
      <c r="C5632" s="117">
        <v>45586</v>
      </c>
      <c r="D5632" s="116">
        <v>251.26</v>
      </c>
      <c r="E5632" s="117">
        <v>45595</v>
      </c>
      <c r="F5632" s="116">
        <f>COUNTIFS($A$3:A13882,A5632,$B$3:B13882,B5632)</f>
        <v>1</v>
      </c>
      <c r="G5632" s="116"/>
    </row>
    <row r="5633" spans="1:7" x14ac:dyDescent="0.2">
      <c r="A5633" s="116">
        <f>IF(ISNUMBER(Tabela2[[#This Row],[CT-e/NFS]])=TRUE,(IF(B5633&gt;30000,4,IF(B5633&lt;1000,"ND",0))),"-")</f>
        <v>4</v>
      </c>
      <c r="B5633" s="116">
        <v>49672</v>
      </c>
      <c r="C5633" s="117">
        <v>45586</v>
      </c>
      <c r="D5633" s="116">
        <v>1245.6099999999999</v>
      </c>
      <c r="E5633" s="117">
        <v>45595</v>
      </c>
      <c r="F5633" s="116">
        <f>COUNTIFS($A$3:A13883,A5633,$B$3:B13883,B5633)</f>
        <v>1</v>
      </c>
      <c r="G5633" s="116"/>
    </row>
    <row r="5634" spans="1:7" x14ac:dyDescent="0.2">
      <c r="A5634" s="116">
        <f>IF(ISNUMBER(Tabela2[[#This Row],[CT-e/NFS]])=TRUE,(IF(B5634&gt;30000,4,IF(B5634&lt;1000,"ND",0))),"-")</f>
        <v>4</v>
      </c>
      <c r="B5634" s="116">
        <v>49673</v>
      </c>
      <c r="C5634" s="117">
        <v>45586</v>
      </c>
      <c r="D5634" s="116">
        <v>130.06</v>
      </c>
      <c r="E5634" s="117">
        <v>45595</v>
      </c>
      <c r="F5634" s="116">
        <f>COUNTIFS($A$3:A13884,A5634,$B$3:B13884,B5634)</f>
        <v>1</v>
      </c>
      <c r="G5634" s="116"/>
    </row>
    <row r="5635" spans="1:7" x14ac:dyDescent="0.2">
      <c r="A5635" s="116">
        <f>IF(ISNUMBER(Tabela2[[#This Row],[CT-e/NFS]])=TRUE,(IF(B5635&gt;30000,4,IF(B5635&lt;1000,"ND",0))),"-")</f>
        <v>4</v>
      </c>
      <c r="B5635" s="116">
        <v>49677</v>
      </c>
      <c r="C5635" s="117">
        <v>45586</v>
      </c>
      <c r="D5635" s="116">
        <v>236.9</v>
      </c>
      <c r="E5635" s="117">
        <v>45595</v>
      </c>
      <c r="F5635" s="116">
        <f>COUNTIFS($A$3:A13885,A5635,$B$3:B13885,B5635)</f>
        <v>1</v>
      </c>
      <c r="G5635" s="116"/>
    </row>
    <row r="5636" spans="1:7" x14ac:dyDescent="0.2">
      <c r="A5636" s="116">
        <f>IF(ISNUMBER(Tabela2[[#This Row],[CT-e/NFS]])=TRUE,(IF(B5636&gt;30000,4,IF(B5636&lt;1000,"ND",0))),"-")</f>
        <v>4</v>
      </c>
      <c r="B5636" s="116">
        <v>49676</v>
      </c>
      <c r="C5636" s="117">
        <v>45586</v>
      </c>
      <c r="D5636" s="116">
        <v>211.95</v>
      </c>
      <c r="E5636" s="117">
        <v>45595</v>
      </c>
      <c r="F5636" s="116">
        <f>COUNTIFS($A$3:A13886,A5636,$B$3:B13886,B5636)</f>
        <v>1</v>
      </c>
      <c r="G5636" s="116"/>
    </row>
    <row r="5637" spans="1:7" x14ac:dyDescent="0.2">
      <c r="A5637" s="116">
        <f>IF(ISNUMBER(Tabela2[[#This Row],[CT-e/NFS]])=TRUE,(IF(B5637&gt;30000,4,IF(B5637&lt;1000,"ND",0))),"-")</f>
        <v>4</v>
      </c>
      <c r="B5637" s="116">
        <v>49675</v>
      </c>
      <c r="C5637" s="117">
        <v>45586</v>
      </c>
      <c r="D5637" s="116">
        <v>236.9</v>
      </c>
      <c r="E5637" s="117">
        <v>45595</v>
      </c>
      <c r="F5637" s="116">
        <f>COUNTIFS($A$3:A13887,A5637,$B$3:B13887,B5637)</f>
        <v>1</v>
      </c>
      <c r="G5637" s="116"/>
    </row>
    <row r="5638" spans="1:7" x14ac:dyDescent="0.2">
      <c r="A5638" s="116">
        <f>IF(ISNUMBER(Tabela2[[#This Row],[CT-e/NFS]])=TRUE,(IF(B5638&gt;30000,4,IF(B5638&lt;1000,"ND",0))),"-")</f>
        <v>4</v>
      </c>
      <c r="B5638" s="116">
        <v>49674</v>
      </c>
      <c r="C5638" s="117">
        <v>45586</v>
      </c>
      <c r="D5638" s="116">
        <v>451.98</v>
      </c>
      <c r="E5638" s="117">
        <v>45595</v>
      </c>
      <c r="F5638" s="116">
        <f>COUNTIFS($A$3:A13888,A5638,$B$3:B13888,B5638)</f>
        <v>1</v>
      </c>
      <c r="G5638" s="116"/>
    </row>
    <row r="5639" spans="1:7" x14ac:dyDescent="0.2">
      <c r="A5639" s="116">
        <f>IF(ISNUMBER(Tabela2[[#This Row],[CT-e/NFS]])=TRUE,(IF(B5639&gt;30000,4,IF(B5639&lt;1000,"ND",0))),"-")</f>
        <v>4</v>
      </c>
      <c r="B5639" s="116">
        <v>49680</v>
      </c>
      <c r="C5639" s="117">
        <v>45586</v>
      </c>
      <c r="D5639" s="116">
        <v>3276.18</v>
      </c>
      <c r="E5639" s="117">
        <v>45595</v>
      </c>
      <c r="F5639" s="116">
        <f>COUNTIFS($A$3:A13889,A5639,$B$3:B13889,B5639)</f>
        <v>1</v>
      </c>
      <c r="G5639" s="116"/>
    </row>
    <row r="5640" spans="1:7" x14ac:dyDescent="0.2">
      <c r="A5640" s="116">
        <f>IF(ISNUMBER(Tabela2[[#This Row],[CT-e/NFS]])=TRUE,(IF(B5640&gt;30000,4,IF(B5640&lt;1000,"ND",0))),"-")</f>
        <v>4</v>
      </c>
      <c r="B5640" s="116">
        <v>49699</v>
      </c>
      <c r="C5640" s="117">
        <v>45586</v>
      </c>
      <c r="D5640" s="116">
        <v>469.8</v>
      </c>
      <c r="E5640" s="117">
        <v>45595</v>
      </c>
      <c r="F5640" s="116">
        <f>COUNTIFS($A$3:A13890,A5640,$B$3:B13890,B5640)</f>
        <v>1</v>
      </c>
      <c r="G5640" s="116"/>
    </row>
    <row r="5641" spans="1:7" x14ac:dyDescent="0.2">
      <c r="A5641" s="116">
        <f>IF(ISNUMBER(Tabela2[[#This Row],[CT-e/NFS]])=TRUE,(IF(B5641&gt;30000,4,IF(B5641&lt;1000,"ND",0))),"-")</f>
        <v>4</v>
      </c>
      <c r="B5641" s="116">
        <v>49682</v>
      </c>
      <c r="C5641" s="117">
        <v>45586</v>
      </c>
      <c r="D5641" s="116">
        <v>265.55</v>
      </c>
      <c r="E5641" s="117">
        <v>45595</v>
      </c>
      <c r="F5641" s="116">
        <f>COUNTIFS($A$3:A13891,A5641,$B$3:B13891,B5641)</f>
        <v>1</v>
      </c>
      <c r="G5641" s="116"/>
    </row>
    <row r="5642" spans="1:7" x14ac:dyDescent="0.2">
      <c r="A5642" s="116">
        <f>IF(ISNUMBER(Tabela2[[#This Row],[CT-e/NFS]])=TRUE,(IF(B5642&gt;30000,4,IF(B5642&lt;1000,"ND",0))),"-")</f>
        <v>4</v>
      </c>
      <c r="B5642" s="116">
        <v>49694</v>
      </c>
      <c r="C5642" s="117">
        <v>45586</v>
      </c>
      <c r="D5642" s="116">
        <v>122.92</v>
      </c>
      <c r="E5642" s="117">
        <v>45595</v>
      </c>
      <c r="F5642" s="116">
        <f>COUNTIFS($A$3:A13892,A5642,$B$3:B13892,B5642)</f>
        <v>1</v>
      </c>
      <c r="G5642" s="116"/>
    </row>
    <row r="5643" spans="1:7" x14ac:dyDescent="0.2">
      <c r="A5643" s="116">
        <f>IF(ISNUMBER(Tabela2[[#This Row],[CT-e/NFS]])=TRUE,(IF(B5643&gt;30000,4,IF(B5643&lt;1000,"ND",0))),"-")</f>
        <v>4</v>
      </c>
      <c r="B5643" s="116">
        <v>49692</v>
      </c>
      <c r="C5643" s="117">
        <v>45586</v>
      </c>
      <c r="D5643" s="116">
        <v>124.06</v>
      </c>
      <c r="E5643" s="117">
        <v>45595</v>
      </c>
      <c r="F5643" s="116">
        <f>COUNTIFS($A$3:A13893,A5643,$B$3:B13893,B5643)</f>
        <v>1</v>
      </c>
      <c r="G5643" s="116"/>
    </row>
    <row r="5644" spans="1:7" x14ac:dyDescent="0.2">
      <c r="A5644" s="116">
        <f>IF(ISNUMBER(Tabela2[[#This Row],[CT-e/NFS]])=TRUE,(IF(B5644&gt;30000,4,IF(B5644&lt;1000,"ND",0))),"-")</f>
        <v>4</v>
      </c>
      <c r="B5644" s="116">
        <v>49691</v>
      </c>
      <c r="C5644" s="117">
        <v>45586</v>
      </c>
      <c r="D5644" s="116">
        <v>122.92</v>
      </c>
      <c r="E5644" s="117">
        <v>45595</v>
      </c>
      <c r="F5644" s="116">
        <f>COUNTIFS($A$3:A13894,A5644,$B$3:B13894,B5644)</f>
        <v>1</v>
      </c>
      <c r="G5644" s="116"/>
    </row>
    <row r="5645" spans="1:7" x14ac:dyDescent="0.2">
      <c r="A5645" s="116">
        <f>IF(ISNUMBER(Tabela2[[#This Row],[CT-e/NFS]])=TRUE,(IF(B5645&gt;30000,4,IF(B5645&lt;1000,"ND",0))),"-")</f>
        <v>4</v>
      </c>
      <c r="B5645" s="116">
        <v>49689</v>
      </c>
      <c r="C5645" s="117">
        <v>45586</v>
      </c>
      <c r="D5645" s="116">
        <v>124.32</v>
      </c>
      <c r="E5645" s="117">
        <v>45595</v>
      </c>
      <c r="F5645" s="116">
        <f>COUNTIFS($A$3:A13895,A5645,$B$3:B13895,B5645)</f>
        <v>1</v>
      </c>
      <c r="G5645" s="116"/>
    </row>
    <row r="5646" spans="1:7" x14ac:dyDescent="0.2">
      <c r="A5646" s="116">
        <f>IF(ISNUMBER(Tabela2[[#This Row],[CT-e/NFS]])=TRUE,(IF(B5646&gt;30000,4,IF(B5646&lt;1000,"ND",0))),"-")</f>
        <v>4</v>
      </c>
      <c r="B5646" s="116">
        <v>49690</v>
      </c>
      <c r="C5646" s="117">
        <v>45586</v>
      </c>
      <c r="D5646" s="116">
        <v>136.06</v>
      </c>
      <c r="E5646" s="117">
        <v>45595</v>
      </c>
      <c r="F5646" s="116">
        <f>COUNTIFS($A$3:A13896,A5646,$B$3:B13896,B5646)</f>
        <v>1</v>
      </c>
      <c r="G5646" s="116"/>
    </row>
    <row r="5647" spans="1:7" x14ac:dyDescent="0.2">
      <c r="A5647" s="116">
        <f>IF(ISNUMBER(Tabela2[[#This Row],[CT-e/NFS]])=TRUE,(IF(B5647&gt;30000,4,IF(B5647&lt;1000,"ND",0))),"-")</f>
        <v>4</v>
      </c>
      <c r="B5647" s="116">
        <v>49693</v>
      </c>
      <c r="C5647" s="117">
        <v>45586</v>
      </c>
      <c r="D5647" s="116">
        <v>124.49</v>
      </c>
      <c r="E5647" s="117">
        <v>45595</v>
      </c>
      <c r="F5647" s="116">
        <f>COUNTIFS($A$3:A13897,A5647,$B$3:B13897,B5647)</f>
        <v>1</v>
      </c>
      <c r="G5647" s="116"/>
    </row>
    <row r="5648" spans="1:7" x14ac:dyDescent="0.2">
      <c r="A5648" s="116">
        <f>IF(ISNUMBER(Tabela2[[#This Row],[CT-e/NFS]])=TRUE,(IF(B5648&gt;30000,4,IF(B5648&lt;1000,"ND",0))),"-")</f>
        <v>4</v>
      </c>
      <c r="B5648" s="116">
        <v>49678</v>
      </c>
      <c r="C5648" s="117">
        <v>45586</v>
      </c>
      <c r="D5648" s="116">
        <v>1137.73</v>
      </c>
      <c r="E5648" s="117">
        <v>45595</v>
      </c>
      <c r="F5648" s="116">
        <f>COUNTIFS($A$3:A13898,A5648,$B$3:B13898,B5648)</f>
        <v>1</v>
      </c>
      <c r="G5648" s="116"/>
    </row>
    <row r="5649" spans="1:7" x14ac:dyDescent="0.2">
      <c r="A5649" s="116">
        <f>IF(ISNUMBER(Tabela2[[#This Row],[CT-e/NFS]])=TRUE,(IF(B5649&gt;30000,4,IF(B5649&lt;1000,"ND",0))),"-")</f>
        <v>4</v>
      </c>
      <c r="B5649" s="116">
        <v>49679</v>
      </c>
      <c r="C5649" s="117">
        <v>45586</v>
      </c>
      <c r="D5649" s="116">
        <v>17049.91</v>
      </c>
      <c r="E5649" s="117">
        <v>45595</v>
      </c>
      <c r="F5649" s="116">
        <f>COUNTIFS($A$3:A13899,A5649,$B$3:B13899,B5649)</f>
        <v>1</v>
      </c>
      <c r="G5649" s="116"/>
    </row>
    <row r="5650" spans="1:7" x14ac:dyDescent="0.2">
      <c r="A5650" s="116">
        <f>IF(ISNUMBER(Tabela2[[#This Row],[CT-e/NFS]])=TRUE,(IF(B5650&gt;30000,4,IF(B5650&lt;1000,"ND",0))),"-")</f>
        <v>4</v>
      </c>
      <c r="B5650" s="116">
        <v>49688</v>
      </c>
      <c r="C5650" s="117">
        <v>45586</v>
      </c>
      <c r="D5650" s="116">
        <v>243.51</v>
      </c>
      <c r="E5650" s="117">
        <v>45595</v>
      </c>
      <c r="F5650" s="116">
        <f>COUNTIFS($A$3:A13900,A5650,$B$3:B13900,B5650)</f>
        <v>1</v>
      </c>
      <c r="G5650" s="116"/>
    </row>
    <row r="5651" spans="1:7" x14ac:dyDescent="0.2">
      <c r="A5651" s="116">
        <f>IF(ISNUMBER(Tabela2[[#This Row],[CT-e/NFS]])=TRUE,(IF(B5651&gt;30000,4,IF(B5651&lt;1000,"ND",0))),"-")</f>
        <v>4</v>
      </c>
      <c r="B5651" s="116">
        <v>49687</v>
      </c>
      <c r="C5651" s="117">
        <v>45586</v>
      </c>
      <c r="D5651" s="116">
        <v>122.93</v>
      </c>
      <c r="E5651" s="117">
        <v>45595</v>
      </c>
      <c r="F5651" s="116">
        <f>COUNTIFS($A$3:A13901,A5651,$B$3:B13901,B5651)</f>
        <v>1</v>
      </c>
      <c r="G5651" s="116"/>
    </row>
    <row r="5652" spans="1:7" x14ac:dyDescent="0.2">
      <c r="A5652" s="116">
        <f>IF(ISNUMBER(Tabela2[[#This Row],[CT-e/NFS]])=TRUE,(IF(B5652&gt;30000,4,IF(B5652&lt;1000,"ND",0))),"-")</f>
        <v>4</v>
      </c>
      <c r="B5652" s="116">
        <v>49698</v>
      </c>
      <c r="C5652" s="117">
        <v>45586</v>
      </c>
      <c r="D5652" s="116">
        <v>286.95</v>
      </c>
      <c r="E5652" s="117">
        <v>45595</v>
      </c>
      <c r="F5652" s="116">
        <f>COUNTIFS($A$3:A13902,A5652,$B$3:B13902,B5652)</f>
        <v>1</v>
      </c>
      <c r="G5652" s="116"/>
    </row>
    <row r="5653" spans="1:7" x14ac:dyDescent="0.2">
      <c r="A5653" s="116">
        <f>IF(ISNUMBER(Tabela2[[#This Row],[CT-e/NFS]])=TRUE,(IF(B5653&gt;30000,4,IF(B5653&lt;1000,"ND",0))),"-")</f>
        <v>4</v>
      </c>
      <c r="B5653" s="116">
        <v>49695</v>
      </c>
      <c r="C5653" s="117">
        <v>45586</v>
      </c>
      <c r="D5653" s="116">
        <v>251.26</v>
      </c>
      <c r="E5653" s="117">
        <v>45595</v>
      </c>
      <c r="F5653" s="116">
        <f>COUNTIFS($A$3:A13903,A5653,$B$3:B13903,B5653)</f>
        <v>1</v>
      </c>
      <c r="G5653" s="116"/>
    </row>
    <row r="5654" spans="1:7" x14ac:dyDescent="0.2">
      <c r="A5654" s="116">
        <f>IF(ISNUMBER(Tabela2[[#This Row],[CT-e/NFS]])=TRUE,(IF(B5654&gt;30000,4,IF(B5654&lt;1000,"ND",0))),"-")</f>
        <v>4</v>
      </c>
      <c r="B5654" s="116">
        <v>49696</v>
      </c>
      <c r="C5654" s="117">
        <v>45586</v>
      </c>
      <c r="D5654" s="116">
        <v>251.26</v>
      </c>
      <c r="E5654" s="117">
        <v>45595</v>
      </c>
      <c r="F5654" s="116">
        <f>COUNTIFS($A$3:A13904,A5654,$B$3:B13904,B5654)</f>
        <v>1</v>
      </c>
      <c r="G5654" s="116"/>
    </row>
    <row r="5655" spans="1:7" x14ac:dyDescent="0.2">
      <c r="A5655" s="116">
        <f>IF(ISNUMBER(Tabela2[[#This Row],[CT-e/NFS]])=TRUE,(IF(B5655&gt;30000,4,IF(B5655&lt;1000,"ND",0))),"-")</f>
        <v>4</v>
      </c>
      <c r="B5655" s="116">
        <v>49697</v>
      </c>
      <c r="C5655" s="117">
        <v>45586</v>
      </c>
      <c r="D5655" s="116">
        <v>317.41000000000003</v>
      </c>
      <c r="E5655" s="117">
        <v>45595</v>
      </c>
      <c r="F5655" s="116">
        <f>COUNTIFS($A$3:A13905,A5655,$B$3:B13905,B5655)</f>
        <v>1</v>
      </c>
      <c r="G5655" s="116"/>
    </row>
    <row r="5656" spans="1:7" x14ac:dyDescent="0.2">
      <c r="A5656" s="116">
        <f>IF(ISNUMBER(Tabela2[[#This Row],[CT-e/NFS]])=TRUE,(IF(B5656&gt;30000,4,IF(B5656&lt;1000,"ND",0))),"-")</f>
        <v>4</v>
      </c>
      <c r="B5656" s="116">
        <v>49702</v>
      </c>
      <c r="C5656" s="117">
        <v>45586</v>
      </c>
      <c r="D5656" s="116">
        <v>123.13</v>
      </c>
      <c r="E5656" s="117">
        <v>45595</v>
      </c>
      <c r="F5656" s="116">
        <f>COUNTIFS($A$3:A13906,A5656,$B$3:B13906,B5656)</f>
        <v>1</v>
      </c>
      <c r="G5656" s="116"/>
    </row>
    <row r="5657" spans="1:7" x14ac:dyDescent="0.2">
      <c r="A5657" s="116">
        <f>IF(ISNUMBER(Tabela2[[#This Row],[CT-e/NFS]])=TRUE,(IF(B5657&gt;30000,4,IF(B5657&lt;1000,"ND",0))),"-")</f>
        <v>4</v>
      </c>
      <c r="B5657" s="116">
        <v>49704</v>
      </c>
      <c r="C5657" s="117">
        <v>45586</v>
      </c>
      <c r="D5657" s="116">
        <v>110.85</v>
      </c>
      <c r="E5657" s="117">
        <v>45595</v>
      </c>
      <c r="F5657" s="116">
        <f>COUNTIFS($A$3:A13907,A5657,$B$3:B13907,B5657)</f>
        <v>1</v>
      </c>
      <c r="G5657" s="116"/>
    </row>
    <row r="5658" spans="1:7" x14ac:dyDescent="0.2">
      <c r="A5658" s="116">
        <f>IF(ISNUMBER(Tabela2[[#This Row],[CT-e/NFS]])=TRUE,(IF(B5658&gt;30000,4,IF(B5658&lt;1000,"ND",0))),"-")</f>
        <v>4</v>
      </c>
      <c r="B5658" s="116">
        <v>49703</v>
      </c>
      <c r="C5658" s="117">
        <v>45586</v>
      </c>
      <c r="D5658" s="116">
        <v>61.56</v>
      </c>
      <c r="E5658" s="117">
        <v>45595</v>
      </c>
      <c r="F5658" s="116">
        <f>COUNTIFS($A$3:A13908,A5658,$B$3:B13908,B5658)</f>
        <v>1</v>
      </c>
      <c r="G5658" s="116"/>
    </row>
    <row r="5659" spans="1:7" x14ac:dyDescent="0.2">
      <c r="A5659" s="116">
        <f>IF(ISNUMBER(Tabela2[[#This Row],[CT-e/NFS]])=TRUE,(IF(B5659&gt;30000,4,IF(B5659&lt;1000,"ND",0))),"-")</f>
        <v>4</v>
      </c>
      <c r="B5659" s="116">
        <v>49686</v>
      </c>
      <c r="C5659" s="117">
        <v>45586</v>
      </c>
      <c r="D5659" s="116">
        <v>124.03</v>
      </c>
      <c r="E5659" s="117">
        <v>45595</v>
      </c>
      <c r="F5659" s="116">
        <f>COUNTIFS($A$3:A13909,A5659,$B$3:B13909,B5659)</f>
        <v>1</v>
      </c>
      <c r="G5659" s="116"/>
    </row>
    <row r="5660" spans="1:7" x14ac:dyDescent="0.2">
      <c r="A5660" s="116">
        <f>IF(ISNUMBER(Tabela2[[#This Row],[CT-e/NFS]])=TRUE,(IF(B5660&gt;30000,4,IF(B5660&lt;1000,"ND",0))),"-")</f>
        <v>4</v>
      </c>
      <c r="B5660" s="116">
        <v>49685</v>
      </c>
      <c r="C5660" s="117">
        <v>45586</v>
      </c>
      <c r="D5660" s="116">
        <v>126.22</v>
      </c>
      <c r="E5660" s="117">
        <v>45595</v>
      </c>
      <c r="F5660" s="116">
        <f>COUNTIFS($A$3:A13910,A5660,$B$3:B13910,B5660)</f>
        <v>1</v>
      </c>
      <c r="G5660" s="116"/>
    </row>
    <row r="5661" spans="1:7" x14ac:dyDescent="0.2">
      <c r="A5661" s="116">
        <f>IF(ISNUMBER(Tabela2[[#This Row],[CT-e/NFS]])=TRUE,(IF(B5661&gt;30000,4,IF(B5661&lt;1000,"ND",0))),"-")</f>
        <v>4</v>
      </c>
      <c r="B5661" s="116">
        <v>49684</v>
      </c>
      <c r="C5661" s="117">
        <v>45586</v>
      </c>
      <c r="D5661" s="116">
        <v>124.22</v>
      </c>
      <c r="E5661" s="117">
        <v>45595</v>
      </c>
      <c r="F5661" s="116">
        <f>COUNTIFS($A$3:A13911,A5661,$B$3:B13911,B5661)</f>
        <v>1</v>
      </c>
      <c r="G5661" s="116"/>
    </row>
    <row r="5662" spans="1:7" x14ac:dyDescent="0.2">
      <c r="A5662" s="116">
        <f>IF(ISNUMBER(Tabela2[[#This Row],[CT-e/NFS]])=TRUE,(IF(B5662&gt;30000,4,IF(B5662&lt;1000,"ND",0))),"-")</f>
        <v>4</v>
      </c>
      <c r="B5662" s="116">
        <v>49683</v>
      </c>
      <c r="C5662" s="117">
        <v>45586</v>
      </c>
      <c r="D5662" s="116">
        <v>124.3</v>
      </c>
      <c r="E5662" s="117">
        <v>45595</v>
      </c>
      <c r="F5662" s="116">
        <f>COUNTIFS($A$3:A13912,A5662,$B$3:B13912,B5662)</f>
        <v>1</v>
      </c>
      <c r="G5662" s="116"/>
    </row>
    <row r="5663" spans="1:7" x14ac:dyDescent="0.2">
      <c r="A5663" s="116">
        <f>IF(ISNUMBER(Tabela2[[#This Row],[CT-e/NFS]])=TRUE,(IF(B5663&gt;30000,4,IF(B5663&lt;1000,"ND",0))),"-")</f>
        <v>4</v>
      </c>
      <c r="B5663" s="116">
        <v>49708</v>
      </c>
      <c r="C5663" s="117">
        <v>45586</v>
      </c>
      <c r="D5663" s="116">
        <v>123.9</v>
      </c>
      <c r="E5663" s="117">
        <v>45595</v>
      </c>
      <c r="F5663" s="116">
        <f>COUNTIFS($A$3:A13913,A5663,$B$3:B13913,B5663)</f>
        <v>1</v>
      </c>
      <c r="G5663" s="116"/>
    </row>
    <row r="5664" spans="1:7" x14ac:dyDescent="0.2">
      <c r="A5664" s="116">
        <f>IF(ISNUMBER(Tabela2[[#This Row],[CT-e/NFS]])=TRUE,(IF(B5664&gt;30000,4,IF(B5664&lt;1000,"ND",0))),"-")</f>
        <v>4</v>
      </c>
      <c r="B5664" s="116">
        <v>49701</v>
      </c>
      <c r="C5664" s="117">
        <v>45586</v>
      </c>
      <c r="D5664" s="116">
        <v>123.52</v>
      </c>
      <c r="E5664" s="117">
        <v>45595</v>
      </c>
      <c r="F5664" s="116">
        <f>COUNTIFS($A$3:A13914,A5664,$B$3:B13914,B5664)</f>
        <v>1</v>
      </c>
      <c r="G5664" s="116"/>
    </row>
    <row r="5665" spans="1:7" x14ac:dyDescent="0.2">
      <c r="A5665" s="116">
        <f>IF(ISNUMBER(Tabela2[[#This Row],[CT-e/NFS]])=TRUE,(IF(B5665&gt;30000,4,IF(B5665&lt;1000,"ND",0))),"-")</f>
        <v>4</v>
      </c>
      <c r="B5665" s="116">
        <v>49709</v>
      </c>
      <c r="C5665" s="117">
        <v>45586</v>
      </c>
      <c r="D5665" s="116">
        <v>150.6</v>
      </c>
      <c r="E5665" s="117">
        <v>45595</v>
      </c>
      <c r="F5665" s="116">
        <f>COUNTIFS($A$3:A13915,A5665,$B$3:B13915,B5665)</f>
        <v>1</v>
      </c>
      <c r="G5665" s="116"/>
    </row>
    <row r="5666" spans="1:7" x14ac:dyDescent="0.2">
      <c r="A5666" s="116">
        <f>IF(ISNUMBER(Tabela2[[#This Row],[CT-e/NFS]])=TRUE,(IF(B5666&gt;30000,4,IF(B5666&lt;1000,"ND",0))),"-")</f>
        <v>4</v>
      </c>
      <c r="B5666" s="116">
        <v>49707</v>
      </c>
      <c r="C5666" s="117">
        <v>45586</v>
      </c>
      <c r="D5666" s="116">
        <v>186.05</v>
      </c>
      <c r="E5666" s="117">
        <v>45595</v>
      </c>
      <c r="F5666" s="116">
        <f>COUNTIFS($A$3:A13916,A5666,$B$3:B13916,B5666)</f>
        <v>1</v>
      </c>
      <c r="G5666" s="116"/>
    </row>
    <row r="5667" spans="1:7" x14ac:dyDescent="0.2">
      <c r="A5667" s="116">
        <f>IF(ISNUMBER(Tabela2[[#This Row],[CT-e/NFS]])=TRUE,(IF(B5667&gt;30000,4,IF(B5667&lt;1000,"ND",0))),"-")</f>
        <v>0</v>
      </c>
      <c r="B5667" s="116">
        <v>22231</v>
      </c>
      <c r="C5667" s="117">
        <v>45586</v>
      </c>
      <c r="D5667" s="116">
        <v>76.81</v>
      </c>
      <c r="E5667" s="117">
        <v>45595</v>
      </c>
      <c r="F5667" s="116">
        <f>COUNTIFS($A$3:A13917,A5667,$B$3:B13917,B5667)</f>
        <v>1</v>
      </c>
      <c r="G5667" s="116"/>
    </row>
    <row r="5668" spans="1:7" x14ac:dyDescent="0.2">
      <c r="A5668" s="116">
        <f>IF(ISNUMBER(Tabela2[[#This Row],[CT-e/NFS]])=TRUE,(IF(B5668&gt;30000,4,IF(B5668&lt;1000,"ND",0))),"-")</f>
        <v>0</v>
      </c>
      <c r="B5668" s="116">
        <v>22232</v>
      </c>
      <c r="C5668" s="117">
        <v>45586</v>
      </c>
      <c r="D5668" s="116">
        <v>75.680000000000007</v>
      </c>
      <c r="E5668" s="117">
        <v>45595</v>
      </c>
      <c r="F5668" s="116">
        <f>COUNTIFS($A$3:A13918,A5668,$B$3:B13918,B5668)</f>
        <v>1</v>
      </c>
      <c r="G5668" s="116"/>
    </row>
    <row r="5669" spans="1:7" x14ac:dyDescent="0.2">
      <c r="A5669" s="116">
        <f>IF(ISNUMBER(Tabela2[[#This Row],[CT-e/NFS]])=TRUE,(IF(B5669&gt;30000,4,IF(B5669&lt;1000,"ND",0))),"-")</f>
        <v>0</v>
      </c>
      <c r="B5669" s="116">
        <v>22230</v>
      </c>
      <c r="C5669" s="117">
        <v>45586</v>
      </c>
      <c r="D5669" s="116">
        <v>76.28</v>
      </c>
      <c r="E5669" s="117">
        <v>45595</v>
      </c>
      <c r="F5669" s="116">
        <f>COUNTIFS($A$3:A13919,A5669,$B$3:B13919,B5669)</f>
        <v>1</v>
      </c>
      <c r="G5669" s="116"/>
    </row>
    <row r="5670" spans="1:7" x14ac:dyDescent="0.2">
      <c r="A5670" s="116">
        <f>IF(ISNUMBER(Tabela2[[#This Row],[CT-e/NFS]])=TRUE,(IF(B5670&gt;30000,4,IF(B5670&lt;1000,"ND",0))),"-")</f>
        <v>0</v>
      </c>
      <c r="B5670" s="116">
        <v>22229</v>
      </c>
      <c r="C5670" s="117">
        <v>45586</v>
      </c>
      <c r="D5670" s="116">
        <v>76.34</v>
      </c>
      <c r="E5670" s="117">
        <v>45595</v>
      </c>
      <c r="F5670" s="116">
        <f>COUNTIFS($A$3:A13920,A5670,$B$3:B13920,B5670)</f>
        <v>1</v>
      </c>
      <c r="G5670" s="116"/>
    </row>
    <row r="5671" spans="1:7" x14ac:dyDescent="0.2">
      <c r="A5671" s="116">
        <f>IF(ISNUMBER(Tabela2[[#This Row],[CT-e/NFS]])=TRUE,(IF(B5671&gt;30000,4,IF(B5671&lt;1000,"ND",0))),"-")</f>
        <v>0</v>
      </c>
      <c r="B5671" s="116">
        <v>22228</v>
      </c>
      <c r="C5671" s="117">
        <v>45586</v>
      </c>
      <c r="D5671" s="116">
        <v>224.54</v>
      </c>
      <c r="E5671" s="117">
        <v>45595</v>
      </c>
      <c r="F5671" s="116">
        <f>COUNTIFS($A$3:A13921,A5671,$B$3:B13921,B5671)</f>
        <v>1</v>
      </c>
      <c r="G5671" s="116"/>
    </row>
    <row r="5672" spans="1:7" x14ac:dyDescent="0.2">
      <c r="A5672" s="116">
        <f>IF(ISNUMBER(Tabela2[[#This Row],[CT-e/NFS]])=TRUE,(IF(B5672&gt;30000,4,IF(B5672&lt;1000,"ND",0))),"-")</f>
        <v>0</v>
      </c>
      <c r="B5672" s="116">
        <v>22227</v>
      </c>
      <c r="C5672" s="117">
        <v>45586</v>
      </c>
      <c r="D5672" s="116">
        <v>122.03</v>
      </c>
      <c r="E5672" s="117">
        <v>45595</v>
      </c>
      <c r="F5672" s="116">
        <f>COUNTIFS($A$3:A13922,A5672,$B$3:B13922,B5672)</f>
        <v>1</v>
      </c>
      <c r="G5672" s="116"/>
    </row>
    <row r="5673" spans="1:7" x14ac:dyDescent="0.2">
      <c r="A5673" s="116">
        <f>IF(ISNUMBER(Tabela2[[#This Row],[CT-e/NFS]])=TRUE,(IF(B5673&gt;30000,4,IF(B5673&lt;1000,"ND",0))),"-")</f>
        <v>0</v>
      </c>
      <c r="B5673" s="116">
        <v>22226</v>
      </c>
      <c r="C5673" s="117">
        <v>45586</v>
      </c>
      <c r="D5673" s="116">
        <v>79.13</v>
      </c>
      <c r="E5673" s="117">
        <v>45595</v>
      </c>
      <c r="F5673" s="116">
        <f>COUNTIFS($A$3:A13923,A5673,$B$3:B13923,B5673)</f>
        <v>1</v>
      </c>
      <c r="G5673" s="116"/>
    </row>
    <row r="5674" spans="1:7" x14ac:dyDescent="0.2">
      <c r="A5674" s="116">
        <f>IF(ISNUMBER(Tabela2[[#This Row],[CT-e/NFS]])=TRUE,(IF(B5674&gt;30000,4,IF(B5674&lt;1000,"ND",0))),"-")</f>
        <v>4</v>
      </c>
      <c r="B5674" s="116">
        <v>49706</v>
      </c>
      <c r="C5674" s="117">
        <v>45586</v>
      </c>
      <c r="D5674" s="116">
        <v>609.98</v>
      </c>
      <c r="E5674" s="117">
        <v>45595</v>
      </c>
      <c r="F5674" s="116">
        <f>COUNTIFS($A$3:A13924,A5674,$B$3:B13924,B5674)</f>
        <v>1</v>
      </c>
      <c r="G5674" s="116"/>
    </row>
    <row r="5675" spans="1:7" x14ac:dyDescent="0.2">
      <c r="A5675" s="116">
        <f>IF(ISNUMBER(Tabela2[[#This Row],[CT-e/NFS]])=TRUE,(IF(B5675&gt;30000,4,IF(B5675&lt;1000,"ND",0))),"-")</f>
        <v>4</v>
      </c>
      <c r="B5675" s="116">
        <v>49730</v>
      </c>
      <c r="C5675" s="117">
        <v>45586</v>
      </c>
      <c r="D5675" s="116">
        <v>1758.3</v>
      </c>
      <c r="E5675" s="117">
        <v>45595</v>
      </c>
      <c r="F5675" s="116">
        <f>COUNTIFS($A$3:A13925,A5675,$B$3:B13925,B5675)</f>
        <v>1</v>
      </c>
      <c r="G5675" s="116"/>
    </row>
    <row r="5676" spans="1:7" x14ac:dyDescent="0.2">
      <c r="A5676" s="116">
        <f>IF(ISNUMBER(Tabela2[[#This Row],[CT-e/NFS]])=TRUE,(IF(B5676&gt;30000,4,IF(B5676&lt;1000,"ND",0))),"-")</f>
        <v>4</v>
      </c>
      <c r="B5676" s="116">
        <v>49720</v>
      </c>
      <c r="C5676" s="117">
        <v>45586</v>
      </c>
      <c r="D5676" s="116">
        <v>134.05000000000001</v>
      </c>
      <c r="E5676" s="117">
        <v>45595</v>
      </c>
      <c r="F5676" s="116">
        <f>COUNTIFS($A$3:A13926,A5676,$B$3:B13926,B5676)</f>
        <v>1</v>
      </c>
      <c r="G5676" s="116"/>
    </row>
    <row r="5677" spans="1:7" x14ac:dyDescent="0.2">
      <c r="A5677" s="116">
        <f>IF(ISNUMBER(Tabela2[[#This Row],[CT-e/NFS]])=TRUE,(IF(B5677&gt;30000,4,IF(B5677&lt;1000,"ND",0))),"-")</f>
        <v>4</v>
      </c>
      <c r="B5677" s="116">
        <v>49731</v>
      </c>
      <c r="C5677" s="117">
        <v>45586</v>
      </c>
      <c r="D5677" s="116">
        <v>62.16</v>
      </c>
      <c r="E5677" s="117">
        <v>45595</v>
      </c>
      <c r="F5677" s="116">
        <f>COUNTIFS($A$3:A13927,A5677,$B$3:B13927,B5677)</f>
        <v>1</v>
      </c>
      <c r="G5677" s="116"/>
    </row>
    <row r="5678" spans="1:7" x14ac:dyDescent="0.2">
      <c r="A5678" s="116">
        <f>IF(ISNUMBER(Tabela2[[#This Row],[CT-e/NFS]])=TRUE,(IF(B5678&gt;30000,4,IF(B5678&lt;1000,"ND",0))),"-")</f>
        <v>4</v>
      </c>
      <c r="B5678" s="116">
        <v>49712</v>
      </c>
      <c r="C5678" s="117">
        <v>45586</v>
      </c>
      <c r="D5678" s="116">
        <v>125.25</v>
      </c>
      <c r="E5678" s="117">
        <v>45595</v>
      </c>
      <c r="F5678" s="116">
        <f>COUNTIFS($A$3:A13928,A5678,$B$3:B13928,B5678)</f>
        <v>1</v>
      </c>
      <c r="G5678" s="116"/>
    </row>
    <row r="5679" spans="1:7" x14ac:dyDescent="0.2">
      <c r="A5679" s="116">
        <f>IF(ISNUMBER(Tabela2[[#This Row],[CT-e/NFS]])=TRUE,(IF(B5679&gt;30000,4,IF(B5679&lt;1000,"ND",0))),"-")</f>
        <v>4</v>
      </c>
      <c r="B5679" s="116">
        <v>49729</v>
      </c>
      <c r="C5679" s="117">
        <v>45586</v>
      </c>
      <c r="D5679" s="116">
        <v>528.01</v>
      </c>
      <c r="E5679" s="117">
        <v>45595</v>
      </c>
      <c r="F5679" s="116">
        <f>COUNTIFS($A$3:A13929,A5679,$B$3:B13929,B5679)</f>
        <v>1</v>
      </c>
      <c r="G5679" s="116"/>
    </row>
    <row r="5680" spans="1:7" x14ac:dyDescent="0.2">
      <c r="A5680" s="116">
        <f>IF(ISNUMBER(Tabela2[[#This Row],[CT-e/NFS]])=TRUE,(IF(B5680&gt;30000,4,IF(B5680&lt;1000,"ND",0))),"-")</f>
        <v>4</v>
      </c>
      <c r="B5680" s="116">
        <v>49732</v>
      </c>
      <c r="C5680" s="117">
        <v>45586</v>
      </c>
      <c r="D5680" s="116">
        <v>112.05</v>
      </c>
      <c r="E5680" s="117">
        <v>45595</v>
      </c>
      <c r="F5680" s="116">
        <f>COUNTIFS($A$3:A13930,A5680,$B$3:B13930,B5680)</f>
        <v>1</v>
      </c>
      <c r="G5680" s="116"/>
    </row>
    <row r="5681" spans="1:7" x14ac:dyDescent="0.2">
      <c r="A5681" s="116">
        <f>IF(ISNUMBER(Tabela2[[#This Row],[CT-e/NFS]])=TRUE,(IF(B5681&gt;30000,4,IF(B5681&lt;1000,"ND",0))),"-")</f>
        <v>4</v>
      </c>
      <c r="B5681" s="116">
        <v>49713</v>
      </c>
      <c r="C5681" s="117">
        <v>45586</v>
      </c>
      <c r="D5681" s="116">
        <v>238.95</v>
      </c>
      <c r="E5681" s="117">
        <v>45595</v>
      </c>
      <c r="F5681" s="116">
        <f>COUNTIFS($A$3:A13931,A5681,$B$3:B13931,B5681)</f>
        <v>1</v>
      </c>
      <c r="G5681" s="116"/>
    </row>
    <row r="5682" spans="1:7" x14ac:dyDescent="0.2">
      <c r="A5682" s="116">
        <f>IF(ISNUMBER(Tabela2[[#This Row],[CT-e/NFS]])=TRUE,(IF(B5682&gt;30000,4,IF(B5682&lt;1000,"ND",0))),"-")</f>
        <v>4</v>
      </c>
      <c r="B5682" s="116">
        <v>49717</v>
      </c>
      <c r="C5682" s="117">
        <v>45586</v>
      </c>
      <c r="D5682" s="116">
        <v>238.98</v>
      </c>
      <c r="E5682" s="117">
        <v>45595</v>
      </c>
      <c r="F5682" s="116">
        <f>COUNTIFS($A$3:A13932,A5682,$B$3:B13932,B5682)</f>
        <v>1</v>
      </c>
      <c r="G5682" s="116"/>
    </row>
    <row r="5683" spans="1:7" x14ac:dyDescent="0.2">
      <c r="A5683" s="116">
        <f>IF(ISNUMBER(Tabela2[[#This Row],[CT-e/NFS]])=TRUE,(IF(B5683&gt;30000,4,IF(B5683&lt;1000,"ND",0))),"-")</f>
        <v>4</v>
      </c>
      <c r="B5683" s="116">
        <v>49728</v>
      </c>
      <c r="C5683" s="117">
        <v>45586</v>
      </c>
      <c r="D5683" s="116">
        <v>609.72</v>
      </c>
      <c r="E5683" s="117">
        <v>45595</v>
      </c>
      <c r="F5683" s="116">
        <f>COUNTIFS($A$3:A13933,A5683,$B$3:B13933,B5683)</f>
        <v>1</v>
      </c>
      <c r="G5683" s="116"/>
    </row>
    <row r="5684" spans="1:7" x14ac:dyDescent="0.2">
      <c r="A5684" s="116">
        <f>IF(ISNUMBER(Tabela2[[#This Row],[CT-e/NFS]])=TRUE,(IF(B5684&gt;30000,4,IF(B5684&lt;1000,"ND",0))),"-")</f>
        <v>4</v>
      </c>
      <c r="B5684" s="116">
        <v>49718</v>
      </c>
      <c r="C5684" s="117">
        <v>45586</v>
      </c>
      <c r="D5684" s="116">
        <v>125.56</v>
      </c>
      <c r="E5684" s="117">
        <v>45595</v>
      </c>
      <c r="F5684" s="116">
        <f>COUNTIFS($A$3:A13934,A5684,$B$3:B13934,B5684)</f>
        <v>1</v>
      </c>
      <c r="G5684" s="116"/>
    </row>
    <row r="5685" spans="1:7" x14ac:dyDescent="0.2">
      <c r="A5685" s="116">
        <f>IF(ISNUMBER(Tabela2[[#This Row],[CT-e/NFS]])=TRUE,(IF(B5685&gt;30000,4,IF(B5685&lt;1000,"ND",0))),"-")</f>
        <v>4</v>
      </c>
      <c r="B5685" s="116">
        <v>49716</v>
      </c>
      <c r="C5685" s="117">
        <v>45586</v>
      </c>
      <c r="D5685" s="116">
        <v>123.94</v>
      </c>
      <c r="E5685" s="117">
        <v>45595</v>
      </c>
      <c r="F5685" s="116">
        <f>COUNTIFS($A$3:A13935,A5685,$B$3:B13935,B5685)</f>
        <v>1</v>
      </c>
      <c r="G5685" s="116"/>
    </row>
    <row r="5686" spans="1:7" x14ac:dyDescent="0.2">
      <c r="A5686" s="116">
        <f>IF(ISNUMBER(Tabela2[[#This Row],[CT-e/NFS]])=TRUE,(IF(B5686&gt;30000,4,IF(B5686&lt;1000,"ND",0))),"-")</f>
        <v>4</v>
      </c>
      <c r="B5686" s="116">
        <v>49715</v>
      </c>
      <c r="C5686" s="117">
        <v>45586</v>
      </c>
      <c r="D5686" s="116">
        <v>122.89</v>
      </c>
      <c r="E5686" s="117">
        <v>45595</v>
      </c>
      <c r="F5686" s="116">
        <f>COUNTIFS($A$3:A13936,A5686,$B$3:B13936,B5686)</f>
        <v>1</v>
      </c>
      <c r="G5686" s="116"/>
    </row>
    <row r="5687" spans="1:7" x14ac:dyDescent="0.2">
      <c r="A5687" s="116">
        <f>IF(ISNUMBER(Tabela2[[#This Row],[CT-e/NFS]])=TRUE,(IF(B5687&gt;30000,4,IF(B5687&lt;1000,"ND",0))),"-")</f>
        <v>4</v>
      </c>
      <c r="B5687" s="116">
        <v>49714</v>
      </c>
      <c r="C5687" s="117">
        <v>45586</v>
      </c>
      <c r="D5687" s="116">
        <v>173.42</v>
      </c>
      <c r="E5687" s="117">
        <v>45595</v>
      </c>
      <c r="F5687" s="116">
        <f>COUNTIFS($A$3:A13937,A5687,$B$3:B13937,B5687)</f>
        <v>1</v>
      </c>
      <c r="G5687" s="116"/>
    </row>
    <row r="5688" spans="1:7" x14ac:dyDescent="0.2">
      <c r="A5688" s="116">
        <f>IF(ISNUMBER(Tabela2[[#This Row],[CT-e/NFS]])=TRUE,(IF(B5688&gt;30000,4,IF(B5688&lt;1000,"ND",0))),"-")</f>
        <v>4</v>
      </c>
      <c r="B5688" s="116">
        <v>49719</v>
      </c>
      <c r="C5688" s="117">
        <v>45586</v>
      </c>
      <c r="D5688" s="116">
        <v>124.33</v>
      </c>
      <c r="E5688" s="117">
        <v>45595</v>
      </c>
      <c r="F5688" s="116">
        <f>COUNTIFS($A$3:A13938,A5688,$B$3:B13938,B5688)</f>
        <v>1</v>
      </c>
      <c r="G5688" s="116"/>
    </row>
    <row r="5689" spans="1:7" x14ac:dyDescent="0.2">
      <c r="A5689" s="116">
        <f>IF(ISNUMBER(Tabela2[[#This Row],[CT-e/NFS]])=TRUE,(IF(B5689&gt;30000,4,IF(B5689&lt;1000,"ND",0))),"-")</f>
        <v>4</v>
      </c>
      <c r="B5689" s="116">
        <v>49735</v>
      </c>
      <c r="C5689" s="117">
        <v>45586</v>
      </c>
      <c r="D5689" s="116">
        <v>239.82</v>
      </c>
      <c r="E5689" s="117">
        <v>45595</v>
      </c>
      <c r="F5689" s="116">
        <f>COUNTIFS($A$3:A13939,A5689,$B$3:B13939,B5689)</f>
        <v>1</v>
      </c>
      <c r="G5689" s="116"/>
    </row>
    <row r="5690" spans="1:7" x14ac:dyDescent="0.2">
      <c r="A5690" s="116">
        <f>IF(ISNUMBER(Tabela2[[#This Row],[CT-e/NFS]])=TRUE,(IF(B5690&gt;30000,4,IF(B5690&lt;1000,"ND",0))),"-")</f>
        <v>4</v>
      </c>
      <c r="B5690" s="116">
        <v>49734</v>
      </c>
      <c r="C5690" s="117">
        <v>45586</v>
      </c>
      <c r="D5690" s="116">
        <v>132.77000000000001</v>
      </c>
      <c r="E5690" s="117">
        <v>45595</v>
      </c>
      <c r="F5690" s="116">
        <f>COUNTIFS($A$3:A13940,A5690,$B$3:B13940,B5690)</f>
        <v>1</v>
      </c>
      <c r="G5690" s="116"/>
    </row>
    <row r="5691" spans="1:7" x14ac:dyDescent="0.2">
      <c r="A5691" s="116">
        <f>IF(ISNUMBER(Tabela2[[#This Row],[CT-e/NFS]])=TRUE,(IF(B5691&gt;30000,4,IF(B5691&lt;1000,"ND",0))),"-")</f>
        <v>4</v>
      </c>
      <c r="B5691" s="116">
        <v>49737</v>
      </c>
      <c r="C5691" s="117">
        <v>45586</v>
      </c>
      <c r="D5691" s="116">
        <v>408.02</v>
      </c>
      <c r="E5691" s="117">
        <v>45595</v>
      </c>
      <c r="F5691" s="116">
        <f>COUNTIFS($A$3:A13941,A5691,$B$3:B13941,B5691)</f>
        <v>1</v>
      </c>
      <c r="G5691" s="116"/>
    </row>
    <row r="5692" spans="1:7" x14ac:dyDescent="0.2">
      <c r="A5692" s="116">
        <f>IF(ISNUMBER(Tabela2[[#This Row],[CT-e/NFS]])=TRUE,(IF(B5692&gt;30000,4,IF(B5692&lt;1000,"ND",0))),"-")</f>
        <v>4</v>
      </c>
      <c r="B5692" s="116">
        <v>49736</v>
      </c>
      <c r="C5692" s="117">
        <v>45586</v>
      </c>
      <c r="D5692" s="116">
        <v>122.73</v>
      </c>
      <c r="E5692" s="117">
        <v>45595</v>
      </c>
      <c r="F5692" s="116">
        <f>COUNTIFS($A$3:A13942,A5692,$B$3:B13942,B5692)</f>
        <v>1</v>
      </c>
      <c r="G5692" s="116"/>
    </row>
    <row r="5693" spans="1:7" x14ac:dyDescent="0.2">
      <c r="A5693" s="116">
        <f>IF(ISNUMBER(Tabela2[[#This Row],[CT-e/NFS]])=TRUE,(IF(B5693&gt;30000,4,IF(B5693&lt;1000,"ND",0))),"-")</f>
        <v>4</v>
      </c>
      <c r="B5693" s="116">
        <v>49723</v>
      </c>
      <c r="C5693" s="117">
        <v>45586</v>
      </c>
      <c r="D5693" s="116">
        <v>408.02</v>
      </c>
      <c r="E5693" s="117">
        <v>45595</v>
      </c>
      <c r="F5693" s="116">
        <f>COUNTIFS($A$3:A13943,A5693,$B$3:B13943,B5693)</f>
        <v>1</v>
      </c>
      <c r="G5693" s="116"/>
    </row>
    <row r="5694" spans="1:7" x14ac:dyDescent="0.2">
      <c r="A5694" s="116">
        <f>IF(ISNUMBER(Tabela2[[#This Row],[CT-e/NFS]])=TRUE,(IF(B5694&gt;30000,4,IF(B5694&lt;1000,"ND",0))),"-")</f>
        <v>4</v>
      </c>
      <c r="B5694" s="116">
        <v>49725</v>
      </c>
      <c r="C5694" s="117">
        <v>45586</v>
      </c>
      <c r="D5694" s="116">
        <v>126.27</v>
      </c>
      <c r="E5694" s="117">
        <v>45595</v>
      </c>
      <c r="F5694" s="116">
        <f>COUNTIFS($A$3:A13944,A5694,$B$3:B13944,B5694)</f>
        <v>1</v>
      </c>
      <c r="G5694" s="116"/>
    </row>
    <row r="5695" spans="1:7" x14ac:dyDescent="0.2">
      <c r="A5695" s="116">
        <f>IF(ISNUMBER(Tabela2[[#This Row],[CT-e/NFS]])=TRUE,(IF(B5695&gt;30000,4,IF(B5695&lt;1000,"ND",0))),"-")</f>
        <v>4</v>
      </c>
      <c r="B5695" s="116">
        <v>49721</v>
      </c>
      <c r="C5695" s="117">
        <v>45586</v>
      </c>
      <c r="D5695" s="116">
        <v>281.52999999999997</v>
      </c>
      <c r="E5695" s="117">
        <v>45595</v>
      </c>
      <c r="F5695" s="116">
        <f>COUNTIFS($A$3:A13945,A5695,$B$3:B13945,B5695)</f>
        <v>1</v>
      </c>
      <c r="G5695" s="116"/>
    </row>
    <row r="5696" spans="1:7" x14ac:dyDescent="0.2">
      <c r="A5696" s="116">
        <f>IF(ISNUMBER(Tabela2[[#This Row],[CT-e/NFS]])=TRUE,(IF(B5696&gt;30000,4,IF(B5696&lt;1000,"ND",0))),"-")</f>
        <v>4</v>
      </c>
      <c r="B5696" s="116">
        <v>49722</v>
      </c>
      <c r="C5696" s="117">
        <v>45586</v>
      </c>
      <c r="D5696" s="116">
        <v>597.1</v>
      </c>
      <c r="E5696" s="117">
        <v>45595</v>
      </c>
      <c r="F5696" s="116">
        <f>COUNTIFS($A$3:A13946,A5696,$B$3:B13946,B5696)</f>
        <v>1</v>
      </c>
      <c r="G5696" s="116"/>
    </row>
    <row r="5697" spans="1:7" x14ac:dyDescent="0.2">
      <c r="A5697" s="116">
        <f>IF(ISNUMBER(Tabela2[[#This Row],[CT-e/NFS]])=TRUE,(IF(B5697&gt;30000,4,IF(B5697&lt;1000,"ND",0))),"-")</f>
        <v>0</v>
      </c>
      <c r="B5697" s="116">
        <v>22233</v>
      </c>
      <c r="C5697" s="117">
        <v>45586</v>
      </c>
      <c r="D5697" s="116">
        <v>76.41</v>
      </c>
      <c r="E5697" s="117">
        <v>45595</v>
      </c>
      <c r="F5697" s="116">
        <f>COUNTIFS($A$3:A13947,A5697,$B$3:B13947,B5697)</f>
        <v>1</v>
      </c>
      <c r="G5697" s="116"/>
    </row>
    <row r="5698" spans="1:7" x14ac:dyDescent="0.2">
      <c r="A5698" s="116">
        <f>IF(ISNUMBER(Tabela2[[#This Row],[CT-e/NFS]])=TRUE,(IF(B5698&gt;30000,4,IF(B5698&lt;1000,"ND",0))),"-")</f>
        <v>0</v>
      </c>
      <c r="B5698" s="116">
        <v>22239</v>
      </c>
      <c r="C5698" s="117">
        <v>45586</v>
      </c>
      <c r="D5698" s="116">
        <v>78.38</v>
      </c>
      <c r="E5698" s="117">
        <v>45595</v>
      </c>
      <c r="F5698" s="116">
        <f>COUNTIFS($A$3:A13948,A5698,$B$3:B13948,B5698)</f>
        <v>1</v>
      </c>
      <c r="G5698" s="116"/>
    </row>
    <row r="5699" spans="1:7" x14ac:dyDescent="0.2">
      <c r="A5699" s="116">
        <f>IF(ISNUMBER(Tabela2[[#This Row],[CT-e/NFS]])=TRUE,(IF(B5699&gt;30000,4,IF(B5699&lt;1000,"ND",0))),"-")</f>
        <v>0</v>
      </c>
      <c r="B5699" s="116">
        <v>22238</v>
      </c>
      <c r="C5699" s="117">
        <v>45586</v>
      </c>
      <c r="D5699" s="116">
        <v>75.81</v>
      </c>
      <c r="E5699" s="117">
        <v>45595</v>
      </c>
      <c r="F5699" s="116">
        <f>COUNTIFS($A$3:A13949,A5699,$B$3:B13949,B5699)</f>
        <v>1</v>
      </c>
      <c r="G5699" s="116"/>
    </row>
    <row r="5700" spans="1:7" x14ac:dyDescent="0.2">
      <c r="A5700" s="116">
        <f>IF(ISNUMBER(Tabela2[[#This Row],[CT-e/NFS]])=TRUE,(IF(B5700&gt;30000,4,IF(B5700&lt;1000,"ND",0))),"-")</f>
        <v>0</v>
      </c>
      <c r="B5700" s="116">
        <v>22235</v>
      </c>
      <c r="C5700" s="117">
        <v>45586</v>
      </c>
      <c r="D5700" s="116">
        <v>162.80000000000001</v>
      </c>
      <c r="E5700" s="117">
        <v>45595</v>
      </c>
      <c r="F5700" s="116">
        <f>COUNTIFS($A$3:A13950,A5700,$B$3:B13950,B5700)</f>
        <v>1</v>
      </c>
      <c r="G5700" s="116"/>
    </row>
    <row r="5701" spans="1:7" x14ac:dyDescent="0.2">
      <c r="A5701" s="116">
        <f>IF(ISNUMBER(Tabela2[[#This Row],[CT-e/NFS]])=TRUE,(IF(B5701&gt;30000,4,IF(B5701&lt;1000,"ND",0))),"-")</f>
        <v>0</v>
      </c>
      <c r="B5701" s="116">
        <v>22234</v>
      </c>
      <c r="C5701" s="117">
        <v>45586</v>
      </c>
      <c r="D5701" s="116">
        <v>132.53</v>
      </c>
      <c r="E5701" s="117">
        <v>45595</v>
      </c>
      <c r="F5701" s="116">
        <f>COUNTIFS($A$3:A13951,A5701,$B$3:B13951,B5701)</f>
        <v>1</v>
      </c>
      <c r="G5701" s="116"/>
    </row>
    <row r="5702" spans="1:7" x14ac:dyDescent="0.2">
      <c r="A5702" s="116">
        <f>IF(ISNUMBER(Tabela2[[#This Row],[CT-e/NFS]])=TRUE,(IF(B5702&gt;30000,4,IF(B5702&lt;1000,"ND",0))),"-")</f>
        <v>0</v>
      </c>
      <c r="B5702" s="116">
        <v>22237</v>
      </c>
      <c r="C5702" s="117">
        <v>45586</v>
      </c>
      <c r="D5702" s="116">
        <v>76.8</v>
      </c>
      <c r="E5702" s="117">
        <v>45595</v>
      </c>
      <c r="F5702" s="116">
        <f>COUNTIFS($A$3:A13952,A5702,$B$3:B13952,B5702)</f>
        <v>1</v>
      </c>
      <c r="G5702" s="116"/>
    </row>
    <row r="5703" spans="1:7" x14ac:dyDescent="0.2">
      <c r="A5703" s="116">
        <f>IF(ISNUMBER(Tabela2[[#This Row],[CT-e/NFS]])=TRUE,(IF(B5703&gt;30000,4,IF(B5703&lt;1000,"ND",0))),"-")</f>
        <v>4</v>
      </c>
      <c r="B5703" s="116">
        <v>49742</v>
      </c>
      <c r="C5703" s="117">
        <v>45586</v>
      </c>
      <c r="D5703" s="116">
        <v>710.23</v>
      </c>
      <c r="E5703" s="117">
        <v>45595</v>
      </c>
      <c r="F5703" s="116">
        <f>COUNTIFS($A$3:A13953,A5703,$B$3:B13953,B5703)</f>
        <v>1</v>
      </c>
      <c r="G5703" s="116"/>
    </row>
    <row r="5704" spans="1:7" x14ac:dyDescent="0.2">
      <c r="A5704" s="116">
        <f>IF(ISNUMBER(Tabela2[[#This Row],[CT-e/NFS]])=TRUE,(IF(B5704&gt;30000,4,IF(B5704&lt;1000,"ND",0))),"-")</f>
        <v>4</v>
      </c>
      <c r="B5704" s="116">
        <v>49745</v>
      </c>
      <c r="C5704" s="117">
        <v>45586</v>
      </c>
      <c r="D5704" s="116">
        <v>435.33</v>
      </c>
      <c r="E5704" s="117">
        <v>45595</v>
      </c>
      <c r="F5704" s="116">
        <f>COUNTIFS($A$3:A13954,A5704,$B$3:B13954,B5704)</f>
        <v>1</v>
      </c>
      <c r="G5704" s="116"/>
    </row>
    <row r="5705" spans="1:7" x14ac:dyDescent="0.2">
      <c r="A5705" s="116">
        <f>IF(ISNUMBER(Tabela2[[#This Row],[CT-e/NFS]])=TRUE,(IF(B5705&gt;30000,4,IF(B5705&lt;1000,"ND",0))),"-")</f>
        <v>4</v>
      </c>
      <c r="B5705" s="116">
        <v>49744</v>
      </c>
      <c r="C5705" s="117">
        <v>45586</v>
      </c>
      <c r="D5705" s="116">
        <v>961.13</v>
      </c>
      <c r="E5705" s="117">
        <v>45595</v>
      </c>
      <c r="F5705" s="116">
        <f>COUNTIFS($A$3:A13955,A5705,$B$3:B13955,B5705)</f>
        <v>1</v>
      </c>
      <c r="G5705" s="116"/>
    </row>
    <row r="5706" spans="1:7" x14ac:dyDescent="0.2">
      <c r="A5706" s="116">
        <f>IF(ISNUMBER(Tabela2[[#This Row],[CT-e/NFS]])=TRUE,(IF(B5706&gt;30000,4,IF(B5706&lt;1000,"ND",0))),"-")</f>
        <v>4</v>
      </c>
      <c r="B5706" s="116">
        <v>49743</v>
      </c>
      <c r="C5706" s="117">
        <v>45586</v>
      </c>
      <c r="D5706" s="116">
        <v>361.84</v>
      </c>
      <c r="E5706" s="117">
        <v>45595</v>
      </c>
      <c r="F5706" s="116">
        <f>COUNTIFS($A$3:A13956,A5706,$B$3:B13956,B5706)</f>
        <v>1</v>
      </c>
      <c r="G5706" s="116"/>
    </row>
    <row r="5707" spans="1:7" x14ac:dyDescent="0.2">
      <c r="A5707" s="116">
        <f>IF(ISNUMBER(Tabela2[[#This Row],[CT-e/NFS]])=TRUE,(IF(B5707&gt;30000,4,IF(B5707&lt;1000,"ND",0))),"-")</f>
        <v>4</v>
      </c>
      <c r="B5707" s="116">
        <v>49738</v>
      </c>
      <c r="C5707" s="117">
        <v>45586</v>
      </c>
      <c r="D5707" s="116">
        <v>1758.3</v>
      </c>
      <c r="E5707" s="117">
        <v>45595</v>
      </c>
      <c r="F5707" s="116">
        <f>COUNTIFS($A$3:A13957,A5707,$B$3:B13957,B5707)</f>
        <v>1</v>
      </c>
      <c r="G5707" s="116"/>
    </row>
    <row r="5708" spans="1:7" x14ac:dyDescent="0.2">
      <c r="A5708" s="116">
        <f>IF(ISNUMBER(Tabela2[[#This Row],[CT-e/NFS]])=TRUE,(IF(B5708&gt;30000,4,IF(B5708&lt;1000,"ND",0))),"-")</f>
        <v>4</v>
      </c>
      <c r="B5708" s="116">
        <v>49739</v>
      </c>
      <c r="C5708" s="117">
        <v>45586</v>
      </c>
      <c r="D5708" s="116">
        <v>1758.3</v>
      </c>
      <c r="E5708" s="117">
        <v>45595</v>
      </c>
      <c r="F5708" s="116">
        <f>COUNTIFS($A$3:A13958,A5708,$B$3:B13958,B5708)</f>
        <v>1</v>
      </c>
      <c r="G5708" s="116"/>
    </row>
    <row r="5709" spans="1:7" x14ac:dyDescent="0.2">
      <c r="A5709" s="116">
        <f>IF(ISNUMBER(Tabela2[[#This Row],[CT-e/NFS]])=TRUE,(IF(B5709&gt;30000,4,IF(B5709&lt;1000,"ND",0))),"-")</f>
        <v>4</v>
      </c>
      <c r="B5709" s="116">
        <v>49749</v>
      </c>
      <c r="C5709" s="117">
        <v>45586</v>
      </c>
      <c r="D5709" s="116">
        <v>125.56</v>
      </c>
      <c r="E5709" s="117">
        <v>45595</v>
      </c>
      <c r="F5709" s="116">
        <f>COUNTIFS($A$3:A13959,A5709,$B$3:B13959,B5709)</f>
        <v>1</v>
      </c>
      <c r="G5709" s="116"/>
    </row>
    <row r="5710" spans="1:7" x14ac:dyDescent="0.2">
      <c r="A5710" s="116">
        <f>IF(ISNUMBER(Tabela2[[#This Row],[CT-e/NFS]])=TRUE,(IF(B5710&gt;30000,4,IF(B5710&lt;1000,"ND",0))),"-")</f>
        <v>4</v>
      </c>
      <c r="B5710" s="116">
        <v>49758</v>
      </c>
      <c r="C5710" s="117">
        <v>45586</v>
      </c>
      <c r="D5710" s="116">
        <v>125.81</v>
      </c>
      <c r="E5710" s="117">
        <v>45595</v>
      </c>
      <c r="F5710" s="116">
        <f>COUNTIFS($A$3:A13960,A5710,$B$3:B13960,B5710)</f>
        <v>1</v>
      </c>
      <c r="G5710" s="116"/>
    </row>
    <row r="5711" spans="1:7" x14ac:dyDescent="0.2">
      <c r="A5711" s="116">
        <f>IF(ISNUMBER(Tabela2[[#This Row],[CT-e/NFS]])=TRUE,(IF(B5711&gt;30000,4,IF(B5711&lt;1000,"ND",0))),"-")</f>
        <v>4</v>
      </c>
      <c r="B5711" s="116">
        <v>49752</v>
      </c>
      <c r="C5711" s="117">
        <v>45586</v>
      </c>
      <c r="D5711" s="116">
        <v>124.3</v>
      </c>
      <c r="E5711" s="117">
        <v>45595</v>
      </c>
      <c r="F5711" s="116">
        <f>COUNTIFS($A$3:A13961,A5711,$B$3:B13961,B5711)</f>
        <v>1</v>
      </c>
      <c r="G5711" s="116"/>
    </row>
    <row r="5712" spans="1:7" x14ac:dyDescent="0.2">
      <c r="A5712" s="116">
        <f>IF(ISNUMBER(Tabela2[[#This Row],[CT-e/NFS]])=TRUE,(IF(B5712&gt;30000,4,IF(B5712&lt;1000,"ND",0))),"-")</f>
        <v>4</v>
      </c>
      <c r="B5712" s="116">
        <v>49746</v>
      </c>
      <c r="C5712" s="117">
        <v>45586</v>
      </c>
      <c r="D5712" s="116">
        <v>396.45</v>
      </c>
      <c r="E5712" s="117">
        <v>45595</v>
      </c>
      <c r="F5712" s="116">
        <f>COUNTIFS($A$3:A13962,A5712,$B$3:B13962,B5712)</f>
        <v>1</v>
      </c>
      <c r="G5712" s="116"/>
    </row>
    <row r="5713" spans="1:7" x14ac:dyDescent="0.2">
      <c r="A5713" s="116">
        <f>IF(ISNUMBER(Tabela2[[#This Row],[CT-e/NFS]])=TRUE,(IF(B5713&gt;30000,4,IF(B5713&lt;1000,"ND",0))),"-")</f>
        <v>4</v>
      </c>
      <c r="B5713" s="116">
        <v>49754</v>
      </c>
      <c r="C5713" s="117">
        <v>45586</v>
      </c>
      <c r="D5713" s="116">
        <v>123.89</v>
      </c>
      <c r="E5713" s="117">
        <v>45595</v>
      </c>
      <c r="F5713" s="116">
        <f>COUNTIFS($A$3:A13963,A5713,$B$3:B13963,B5713)</f>
        <v>1</v>
      </c>
      <c r="G5713" s="116"/>
    </row>
    <row r="5714" spans="1:7" x14ac:dyDescent="0.2">
      <c r="A5714" s="116">
        <f>IF(ISNUMBER(Tabela2[[#This Row],[CT-e/NFS]])=TRUE,(IF(B5714&gt;30000,4,IF(B5714&lt;1000,"ND",0))),"-")</f>
        <v>4</v>
      </c>
      <c r="B5714" s="116">
        <v>49751</v>
      </c>
      <c r="C5714" s="117">
        <v>45586</v>
      </c>
      <c r="D5714" s="116">
        <v>238.9</v>
      </c>
      <c r="E5714" s="117">
        <v>45595</v>
      </c>
      <c r="F5714" s="116">
        <f>COUNTIFS($A$3:A13964,A5714,$B$3:B13964,B5714)</f>
        <v>1</v>
      </c>
      <c r="G5714" s="116"/>
    </row>
    <row r="5715" spans="1:7" x14ac:dyDescent="0.2">
      <c r="A5715" s="116">
        <f>IF(ISNUMBER(Tabela2[[#This Row],[CT-e/NFS]])=TRUE,(IF(B5715&gt;30000,4,IF(B5715&lt;1000,"ND",0))),"-")</f>
        <v>4</v>
      </c>
      <c r="B5715" s="116">
        <v>49753</v>
      </c>
      <c r="C5715" s="117">
        <v>45586</v>
      </c>
      <c r="D5715" s="116">
        <v>240.47</v>
      </c>
      <c r="E5715" s="117">
        <v>45595</v>
      </c>
      <c r="F5715" s="116">
        <f>COUNTIFS($A$3:A13965,A5715,$B$3:B13965,B5715)</f>
        <v>1</v>
      </c>
      <c r="G5715" s="116"/>
    </row>
    <row r="5716" spans="1:7" x14ac:dyDescent="0.2">
      <c r="A5716" s="116">
        <f>IF(ISNUMBER(Tabela2[[#This Row],[CT-e/NFS]])=TRUE,(IF(B5716&gt;30000,4,IF(B5716&lt;1000,"ND",0))),"-")</f>
        <v>4</v>
      </c>
      <c r="B5716" s="116">
        <v>49750</v>
      </c>
      <c r="C5716" s="117">
        <v>45586</v>
      </c>
      <c r="D5716" s="116">
        <v>240.63</v>
      </c>
      <c r="E5716" s="117">
        <v>45595</v>
      </c>
      <c r="F5716" s="116">
        <f>COUNTIFS($A$3:A13966,A5716,$B$3:B13966,B5716)</f>
        <v>1</v>
      </c>
      <c r="G5716" s="116"/>
    </row>
    <row r="5717" spans="1:7" x14ac:dyDescent="0.2">
      <c r="A5717" s="116">
        <f>IF(ISNUMBER(Tabela2[[#This Row],[CT-e/NFS]])=TRUE,(IF(B5717&gt;30000,4,IF(B5717&lt;1000,"ND",0))),"-")</f>
        <v>4</v>
      </c>
      <c r="B5717" s="116">
        <v>49748</v>
      </c>
      <c r="C5717" s="117">
        <v>45586</v>
      </c>
      <c r="D5717" s="116">
        <v>125.93</v>
      </c>
      <c r="E5717" s="117">
        <v>45595</v>
      </c>
      <c r="F5717" s="116">
        <f>COUNTIFS($A$3:A13967,A5717,$B$3:B13967,B5717)</f>
        <v>1</v>
      </c>
      <c r="G5717" s="116"/>
    </row>
    <row r="5718" spans="1:7" x14ac:dyDescent="0.2">
      <c r="A5718" s="116">
        <f>IF(ISNUMBER(Tabela2[[#This Row],[CT-e/NFS]])=TRUE,(IF(B5718&gt;30000,4,IF(B5718&lt;1000,"ND",0))),"-")</f>
        <v>4</v>
      </c>
      <c r="B5718" s="116">
        <v>49747</v>
      </c>
      <c r="C5718" s="117">
        <v>45586</v>
      </c>
      <c r="D5718" s="116">
        <v>1245.6099999999999</v>
      </c>
      <c r="E5718" s="117">
        <v>45595</v>
      </c>
      <c r="F5718" s="116">
        <f>COUNTIFS($A$3:A13968,A5718,$B$3:B13968,B5718)</f>
        <v>1</v>
      </c>
      <c r="G5718" s="116"/>
    </row>
    <row r="5719" spans="1:7" x14ac:dyDescent="0.2">
      <c r="A5719" s="116">
        <f>IF(ISNUMBER(Tabela2[[#This Row],[CT-e/NFS]])=TRUE,(IF(B5719&gt;30000,4,IF(B5719&lt;1000,"ND",0))),"-")</f>
        <v>4</v>
      </c>
      <c r="B5719" s="116">
        <v>49756</v>
      </c>
      <c r="C5719" s="117">
        <v>45586</v>
      </c>
      <c r="D5719" s="116">
        <v>125.56</v>
      </c>
      <c r="E5719" s="117">
        <v>45595</v>
      </c>
      <c r="F5719" s="116">
        <f>COUNTIFS($A$3:A13969,A5719,$B$3:B13969,B5719)</f>
        <v>1</v>
      </c>
      <c r="G5719" s="116"/>
    </row>
    <row r="5720" spans="1:7" x14ac:dyDescent="0.2">
      <c r="A5720" s="116">
        <f>IF(ISNUMBER(Tabela2[[#This Row],[CT-e/NFS]])=TRUE,(IF(B5720&gt;30000,4,IF(B5720&lt;1000,"ND",0))),"-")</f>
        <v>4</v>
      </c>
      <c r="B5720" s="116">
        <v>49759</v>
      </c>
      <c r="C5720" s="117">
        <v>45586</v>
      </c>
      <c r="D5720" s="116">
        <v>1130.45</v>
      </c>
      <c r="E5720" s="117">
        <v>45595</v>
      </c>
      <c r="F5720" s="116">
        <f>COUNTIFS($A$3:A13970,A5720,$B$3:B13970,B5720)</f>
        <v>1</v>
      </c>
      <c r="G5720" s="116"/>
    </row>
    <row r="5721" spans="1:7" x14ac:dyDescent="0.2">
      <c r="A5721" s="116">
        <f>IF(ISNUMBER(Tabela2[[#This Row],[CT-e/NFS]])=TRUE,(IF(B5721&gt;30000,4,IF(B5721&lt;1000,"ND",0))),"-")</f>
        <v>4</v>
      </c>
      <c r="B5721" s="116">
        <v>49755</v>
      </c>
      <c r="C5721" s="117">
        <v>45586</v>
      </c>
      <c r="D5721" s="116">
        <v>125.2</v>
      </c>
      <c r="E5721" s="117">
        <v>45595</v>
      </c>
      <c r="F5721" s="116">
        <f>COUNTIFS($A$3:A13971,A5721,$B$3:B13971,B5721)</f>
        <v>1</v>
      </c>
      <c r="G5721" s="116"/>
    </row>
    <row r="5722" spans="1:7" x14ac:dyDescent="0.2">
      <c r="A5722" s="116">
        <f>IF(ISNUMBER(Tabela2[[#This Row],[CT-e/NFS]])=TRUE,(IF(B5722&gt;30000,4,IF(B5722&lt;1000,"ND",0))),"-")</f>
        <v>4</v>
      </c>
      <c r="B5722" s="116">
        <v>49762</v>
      </c>
      <c r="C5722" s="117">
        <v>45586</v>
      </c>
      <c r="D5722" s="116">
        <v>234.01</v>
      </c>
      <c r="E5722" s="117">
        <v>45595</v>
      </c>
      <c r="F5722" s="116">
        <f>COUNTIFS($A$3:A13972,A5722,$B$3:B13972,B5722)</f>
        <v>1</v>
      </c>
      <c r="G5722" s="116"/>
    </row>
    <row r="5723" spans="1:7" x14ac:dyDescent="0.2">
      <c r="A5723" s="116">
        <f>IF(ISNUMBER(Tabela2[[#This Row],[CT-e/NFS]])=TRUE,(IF(B5723&gt;30000,4,IF(B5723&lt;1000,"ND",0))),"-")</f>
        <v>4</v>
      </c>
      <c r="B5723" s="116">
        <v>49761</v>
      </c>
      <c r="C5723" s="117">
        <v>45586</v>
      </c>
      <c r="D5723" s="116">
        <v>125.35</v>
      </c>
      <c r="E5723" s="117">
        <v>45595</v>
      </c>
      <c r="F5723" s="116">
        <f>COUNTIFS($A$3:A13973,A5723,$B$3:B13973,B5723)</f>
        <v>1</v>
      </c>
      <c r="G5723" s="116"/>
    </row>
    <row r="5724" spans="1:7" x14ac:dyDescent="0.2">
      <c r="A5724" s="116">
        <f>IF(ISNUMBER(Tabela2[[#This Row],[CT-e/NFS]])=TRUE,(IF(B5724&gt;30000,4,IF(B5724&lt;1000,"ND",0))),"-")</f>
        <v>4</v>
      </c>
      <c r="B5724" s="116">
        <v>49760</v>
      </c>
      <c r="C5724" s="117">
        <v>45586</v>
      </c>
      <c r="D5724" s="116">
        <v>123.51</v>
      </c>
      <c r="E5724" s="117">
        <v>45595</v>
      </c>
      <c r="F5724" s="116">
        <f>COUNTIFS($A$3:A13974,A5724,$B$3:B13974,B5724)</f>
        <v>1</v>
      </c>
      <c r="G5724" s="116"/>
    </row>
    <row r="5725" spans="1:7" x14ac:dyDescent="0.2">
      <c r="A5725" s="116">
        <f>IF(ISNUMBER(Tabela2[[#This Row],[CT-e/NFS]])=TRUE,(IF(B5725&gt;30000,4,IF(B5725&lt;1000,"ND",0))),"-")</f>
        <v>4</v>
      </c>
      <c r="B5725" s="116">
        <v>49757</v>
      </c>
      <c r="C5725" s="117">
        <v>45586</v>
      </c>
      <c r="D5725" s="116">
        <v>246.33</v>
      </c>
      <c r="E5725" s="117">
        <v>45595</v>
      </c>
      <c r="F5725" s="116">
        <f>COUNTIFS($A$3:A13975,A5725,$B$3:B13975,B5725)</f>
        <v>1</v>
      </c>
      <c r="G5725" s="116"/>
    </row>
    <row r="5726" spans="1:7" x14ac:dyDescent="0.2">
      <c r="A5726" s="116">
        <f>IF(ISNUMBER(Tabela2[[#This Row],[CT-e/NFS]])=TRUE,(IF(B5726&gt;30000,4,IF(B5726&lt;1000,"ND",0))),"-")</f>
        <v>4</v>
      </c>
      <c r="B5726" s="116">
        <v>49647</v>
      </c>
      <c r="C5726" s="117">
        <v>45586</v>
      </c>
      <c r="D5726" s="116">
        <v>396.02</v>
      </c>
      <c r="E5726" s="117">
        <v>45595</v>
      </c>
      <c r="F5726" s="116">
        <f>COUNTIFS($A$3:A13976,A5726,$B$3:B13976,B5726)</f>
        <v>1</v>
      </c>
      <c r="G5726" s="116"/>
    </row>
    <row r="5727" spans="1:7" x14ac:dyDescent="0.2">
      <c r="A5727" s="116">
        <f>IF(ISNUMBER(Tabela2[[#This Row],[CT-e/NFS]])=TRUE,(IF(B5727&gt;30000,4,IF(B5727&lt;1000,"ND",0))),"-")</f>
        <v>0</v>
      </c>
      <c r="B5727" s="116">
        <v>22242</v>
      </c>
      <c r="C5727" s="117">
        <v>45586</v>
      </c>
      <c r="D5727" s="116">
        <v>76.27</v>
      </c>
      <c r="E5727" s="117">
        <v>45595</v>
      </c>
      <c r="F5727" s="116">
        <f>COUNTIFS($A$3:A13977,A5727,$B$3:B13977,B5727)</f>
        <v>1</v>
      </c>
      <c r="G5727" s="116"/>
    </row>
    <row r="5728" spans="1:7" x14ac:dyDescent="0.2">
      <c r="A5728" s="116">
        <f>IF(ISNUMBER(Tabela2[[#This Row],[CT-e/NFS]])=TRUE,(IF(B5728&gt;30000,4,IF(B5728&lt;1000,"ND",0))),"-")</f>
        <v>0</v>
      </c>
      <c r="B5728" s="116">
        <v>22247</v>
      </c>
      <c r="C5728" s="117">
        <v>45586</v>
      </c>
      <c r="D5728" s="116">
        <v>321.05</v>
      </c>
      <c r="E5728" s="117">
        <v>45595</v>
      </c>
      <c r="F5728" s="116">
        <f>COUNTIFS($A$3:A13978,A5728,$B$3:B13978,B5728)</f>
        <v>1</v>
      </c>
      <c r="G5728" s="116"/>
    </row>
    <row r="5729" spans="1:7" x14ac:dyDescent="0.2">
      <c r="A5729" s="116">
        <f>IF(ISNUMBER(Tabela2[[#This Row],[CT-e/NFS]])=TRUE,(IF(B5729&gt;30000,4,IF(B5729&lt;1000,"ND",0))),"-")</f>
        <v>0</v>
      </c>
      <c r="B5729" s="116">
        <v>22245</v>
      </c>
      <c r="C5729" s="117">
        <v>45586</v>
      </c>
      <c r="D5729" s="116">
        <v>76.489999999999995</v>
      </c>
      <c r="E5729" s="117">
        <v>45595</v>
      </c>
      <c r="F5729" s="116">
        <f>COUNTIFS($A$3:A13979,A5729,$B$3:B13979,B5729)</f>
        <v>1</v>
      </c>
      <c r="G5729" s="116"/>
    </row>
    <row r="5730" spans="1:7" x14ac:dyDescent="0.2">
      <c r="A5730" s="116">
        <f>IF(ISNUMBER(Tabela2[[#This Row],[CT-e/NFS]])=TRUE,(IF(B5730&gt;30000,4,IF(B5730&lt;1000,"ND",0))),"-")</f>
        <v>0</v>
      </c>
      <c r="B5730" s="116">
        <v>22244</v>
      </c>
      <c r="C5730" s="117">
        <v>45586</v>
      </c>
      <c r="D5730" s="116">
        <v>76.34</v>
      </c>
      <c r="E5730" s="117">
        <v>45595</v>
      </c>
      <c r="F5730" s="116">
        <f>COUNTIFS($A$3:A13980,A5730,$B$3:B13980,B5730)</f>
        <v>1</v>
      </c>
      <c r="G5730" s="116"/>
    </row>
    <row r="5731" spans="1:7" x14ac:dyDescent="0.2">
      <c r="A5731" s="116">
        <f>IF(ISNUMBER(Tabela2[[#This Row],[CT-e/NFS]])=TRUE,(IF(B5731&gt;30000,4,IF(B5731&lt;1000,"ND",0))),"-")</f>
        <v>0</v>
      </c>
      <c r="B5731" s="116">
        <v>22246</v>
      </c>
      <c r="C5731" s="117">
        <v>45586</v>
      </c>
      <c r="D5731" s="116">
        <v>76.23</v>
      </c>
      <c r="E5731" s="117">
        <v>45595</v>
      </c>
      <c r="F5731" s="116">
        <f>COUNTIFS($A$3:A13981,A5731,$B$3:B13981,B5731)</f>
        <v>1</v>
      </c>
      <c r="G5731" s="116"/>
    </row>
    <row r="5732" spans="1:7" x14ac:dyDescent="0.2">
      <c r="A5732" s="116">
        <f>IF(ISNUMBER(Tabela2[[#This Row],[CT-e/NFS]])=TRUE,(IF(B5732&gt;30000,4,IF(B5732&lt;1000,"ND",0))),"-")</f>
        <v>4</v>
      </c>
      <c r="B5732" s="116">
        <v>49741</v>
      </c>
      <c r="C5732" s="117">
        <v>45586</v>
      </c>
      <c r="D5732" s="116">
        <v>2906.31</v>
      </c>
      <c r="E5732" s="117">
        <v>45595</v>
      </c>
      <c r="F5732" s="116">
        <f>COUNTIFS($A$3:A13982,A5732,$B$3:B13982,B5732)</f>
        <v>1</v>
      </c>
      <c r="G5732" s="116"/>
    </row>
    <row r="5733" spans="1:7" x14ac:dyDescent="0.2">
      <c r="A5733" s="116">
        <f>IF(ISNUMBER(Tabela2[[#This Row],[CT-e/NFS]])=TRUE,(IF(B5733&gt;30000,4,IF(B5733&lt;1000,"ND",0))),"-")</f>
        <v>4</v>
      </c>
      <c r="B5733" s="116">
        <v>49774</v>
      </c>
      <c r="C5733" s="117">
        <v>45586</v>
      </c>
      <c r="D5733" s="116">
        <v>730.69</v>
      </c>
      <c r="E5733" s="117">
        <v>45595</v>
      </c>
      <c r="F5733" s="116">
        <f>COUNTIFS($A$3:A13983,A5733,$B$3:B13983,B5733)</f>
        <v>1</v>
      </c>
      <c r="G5733" s="116"/>
    </row>
    <row r="5734" spans="1:7" x14ac:dyDescent="0.2">
      <c r="A5734" s="116">
        <f>IF(ISNUMBER(Tabela2[[#This Row],[CT-e/NFS]])=TRUE,(IF(B5734&gt;30000,4,IF(B5734&lt;1000,"ND",0))),"-")</f>
        <v>4</v>
      </c>
      <c r="B5734" s="116">
        <v>49766</v>
      </c>
      <c r="C5734" s="117">
        <v>45586</v>
      </c>
      <c r="D5734" s="116">
        <v>205.45</v>
      </c>
      <c r="E5734" s="117">
        <v>45595</v>
      </c>
      <c r="F5734" s="116">
        <f>COUNTIFS($A$3:A13984,A5734,$B$3:B13984,B5734)</f>
        <v>1</v>
      </c>
      <c r="G5734" s="116"/>
    </row>
    <row r="5735" spans="1:7" x14ac:dyDescent="0.2">
      <c r="A5735" s="116">
        <f>IF(ISNUMBER(Tabela2[[#This Row],[CT-e/NFS]])=TRUE,(IF(B5735&gt;30000,4,IF(B5735&lt;1000,"ND",0))),"-")</f>
        <v>4</v>
      </c>
      <c r="B5735" s="116">
        <v>49783</v>
      </c>
      <c r="C5735" s="117">
        <v>45586</v>
      </c>
      <c r="D5735" s="116">
        <v>201.58</v>
      </c>
      <c r="E5735" s="117">
        <v>45595</v>
      </c>
      <c r="F5735" s="116">
        <f>COUNTIFS($A$3:A13985,A5735,$B$3:B13985,B5735)</f>
        <v>1</v>
      </c>
      <c r="G5735" s="116"/>
    </row>
    <row r="5736" spans="1:7" x14ac:dyDescent="0.2">
      <c r="A5736" s="116">
        <f>IF(ISNUMBER(Tabela2[[#This Row],[CT-e/NFS]])=TRUE,(IF(B5736&gt;30000,4,IF(B5736&lt;1000,"ND",0))),"-")</f>
        <v>4</v>
      </c>
      <c r="B5736" s="116">
        <v>49775</v>
      </c>
      <c r="C5736" s="117">
        <v>45586</v>
      </c>
      <c r="D5736" s="116">
        <v>189.14</v>
      </c>
      <c r="E5736" s="117">
        <v>45595</v>
      </c>
      <c r="F5736" s="116">
        <f>COUNTIFS($A$3:A13986,A5736,$B$3:B13986,B5736)</f>
        <v>1</v>
      </c>
      <c r="G5736" s="116"/>
    </row>
    <row r="5737" spans="1:7" x14ac:dyDescent="0.2">
      <c r="A5737" s="116">
        <f>IF(ISNUMBER(Tabela2[[#This Row],[CT-e/NFS]])=TRUE,(IF(B5737&gt;30000,4,IF(B5737&lt;1000,"ND",0))),"-")</f>
        <v>4</v>
      </c>
      <c r="B5737" s="116">
        <v>49770</v>
      </c>
      <c r="C5737" s="117">
        <v>45586</v>
      </c>
      <c r="D5737" s="116">
        <v>240.64</v>
      </c>
      <c r="E5737" s="117">
        <v>45595</v>
      </c>
      <c r="F5737" s="116">
        <f>COUNTIFS($A$3:A13987,A5737,$B$3:B13987,B5737)</f>
        <v>1</v>
      </c>
      <c r="G5737" s="116"/>
    </row>
    <row r="5738" spans="1:7" x14ac:dyDescent="0.2">
      <c r="A5738" s="116">
        <f>IF(ISNUMBER(Tabela2[[#This Row],[CT-e/NFS]])=TRUE,(IF(B5738&gt;30000,4,IF(B5738&lt;1000,"ND",0))),"-")</f>
        <v>4</v>
      </c>
      <c r="B5738" s="116">
        <v>49778</v>
      </c>
      <c r="C5738" s="117">
        <v>45586</v>
      </c>
      <c r="D5738" s="116">
        <v>124.03</v>
      </c>
      <c r="E5738" s="117">
        <v>45595</v>
      </c>
      <c r="F5738" s="116">
        <f>COUNTIFS($A$3:A13988,A5738,$B$3:B13988,B5738)</f>
        <v>1</v>
      </c>
      <c r="G5738" s="116"/>
    </row>
    <row r="5739" spans="1:7" x14ac:dyDescent="0.2">
      <c r="A5739" s="116">
        <f>IF(ISNUMBER(Tabela2[[#This Row],[CT-e/NFS]])=TRUE,(IF(B5739&gt;30000,4,IF(B5739&lt;1000,"ND",0))),"-")</f>
        <v>4</v>
      </c>
      <c r="B5739" s="116">
        <v>49771</v>
      </c>
      <c r="C5739" s="117">
        <v>45586</v>
      </c>
      <c r="D5739" s="116">
        <v>122.92</v>
      </c>
      <c r="E5739" s="117">
        <v>45595</v>
      </c>
      <c r="F5739" s="116">
        <f>COUNTIFS($A$3:A13989,A5739,$B$3:B13989,B5739)</f>
        <v>1</v>
      </c>
      <c r="G5739" s="116"/>
    </row>
    <row r="5740" spans="1:7" x14ac:dyDescent="0.2">
      <c r="A5740" s="116">
        <f>IF(ISNUMBER(Tabela2[[#This Row],[CT-e/NFS]])=TRUE,(IF(B5740&gt;30000,4,IF(B5740&lt;1000,"ND",0))),"-")</f>
        <v>4</v>
      </c>
      <c r="B5740" s="116">
        <v>49769</v>
      </c>
      <c r="C5740" s="117">
        <v>45586</v>
      </c>
      <c r="D5740" s="116">
        <v>125.35</v>
      </c>
      <c r="E5740" s="117">
        <v>45595</v>
      </c>
      <c r="F5740" s="116">
        <f>COUNTIFS($A$3:A13990,A5740,$B$3:B13990,B5740)</f>
        <v>1</v>
      </c>
      <c r="G5740" s="116"/>
    </row>
    <row r="5741" spans="1:7" x14ac:dyDescent="0.2">
      <c r="A5741" s="116">
        <f>IF(ISNUMBER(Tabela2[[#This Row],[CT-e/NFS]])=TRUE,(IF(B5741&gt;30000,4,IF(B5741&lt;1000,"ND",0))),"-")</f>
        <v>4</v>
      </c>
      <c r="B5741" s="116">
        <v>49767</v>
      </c>
      <c r="C5741" s="117">
        <v>45586</v>
      </c>
      <c r="D5741" s="116">
        <v>396.45</v>
      </c>
      <c r="E5741" s="117">
        <v>45595</v>
      </c>
      <c r="F5741" s="116">
        <f>COUNTIFS($A$3:A13991,A5741,$B$3:B13991,B5741)</f>
        <v>1</v>
      </c>
      <c r="G5741" s="116"/>
    </row>
    <row r="5742" spans="1:7" x14ac:dyDescent="0.2">
      <c r="A5742" s="116">
        <f>IF(ISNUMBER(Tabela2[[#This Row],[CT-e/NFS]])=TRUE,(IF(B5742&gt;30000,4,IF(B5742&lt;1000,"ND",0))),"-")</f>
        <v>4</v>
      </c>
      <c r="B5742" s="116">
        <v>49765</v>
      </c>
      <c r="C5742" s="117">
        <v>45586</v>
      </c>
      <c r="D5742" s="116">
        <v>995.85</v>
      </c>
      <c r="E5742" s="117">
        <v>45595</v>
      </c>
      <c r="F5742" s="116">
        <f>COUNTIFS($A$3:A13992,A5742,$B$3:B13992,B5742)</f>
        <v>1</v>
      </c>
      <c r="G5742" s="116"/>
    </row>
    <row r="5743" spans="1:7" x14ac:dyDescent="0.2">
      <c r="A5743" s="116">
        <f>IF(ISNUMBER(Tabela2[[#This Row],[CT-e/NFS]])=TRUE,(IF(B5743&gt;30000,4,IF(B5743&lt;1000,"ND",0))),"-")</f>
        <v>4</v>
      </c>
      <c r="B5743" s="116">
        <v>49710</v>
      </c>
      <c r="C5743" s="117">
        <v>45586</v>
      </c>
      <c r="D5743" s="116">
        <v>995.85</v>
      </c>
      <c r="E5743" s="117">
        <v>45595</v>
      </c>
      <c r="F5743" s="116">
        <f>COUNTIFS($A$3:A13993,A5743,$B$3:B13993,B5743)</f>
        <v>1</v>
      </c>
      <c r="G5743" s="116"/>
    </row>
    <row r="5744" spans="1:7" x14ac:dyDescent="0.2">
      <c r="A5744" s="116">
        <f>IF(ISNUMBER(Tabela2[[#This Row],[CT-e/NFS]])=TRUE,(IF(B5744&gt;30000,4,IF(B5744&lt;1000,"ND",0))),"-")</f>
        <v>4</v>
      </c>
      <c r="B5744" s="116">
        <v>49782</v>
      </c>
      <c r="C5744" s="117">
        <v>45586</v>
      </c>
      <c r="D5744" s="116">
        <v>189</v>
      </c>
      <c r="E5744" s="117">
        <v>45595</v>
      </c>
      <c r="F5744" s="116">
        <f>COUNTIFS($A$3:A13994,A5744,$B$3:B13994,B5744)</f>
        <v>1</v>
      </c>
      <c r="G5744" s="116"/>
    </row>
    <row r="5745" spans="1:7" x14ac:dyDescent="0.2">
      <c r="A5745" s="116">
        <f>IF(ISNUMBER(Tabela2[[#This Row],[CT-e/NFS]])=TRUE,(IF(B5745&gt;30000,4,IF(B5745&lt;1000,"ND",0))),"-")</f>
        <v>4</v>
      </c>
      <c r="B5745" s="116">
        <v>49780</v>
      </c>
      <c r="C5745" s="117">
        <v>45586</v>
      </c>
      <c r="D5745" s="116">
        <v>122.78</v>
      </c>
      <c r="E5745" s="117">
        <v>45595</v>
      </c>
      <c r="F5745" s="116">
        <f>COUNTIFS($A$3:A13995,A5745,$B$3:B13995,B5745)</f>
        <v>1</v>
      </c>
      <c r="G5745" s="116"/>
    </row>
    <row r="5746" spans="1:7" x14ac:dyDescent="0.2">
      <c r="A5746" s="116">
        <f>IF(ISNUMBER(Tabela2[[#This Row],[CT-e/NFS]])=TRUE,(IF(B5746&gt;30000,4,IF(B5746&lt;1000,"ND",0))),"-")</f>
        <v>4</v>
      </c>
      <c r="B5746" s="116">
        <v>49768</v>
      </c>
      <c r="C5746" s="117">
        <v>45586</v>
      </c>
      <c r="D5746" s="116">
        <v>123.5</v>
      </c>
      <c r="E5746" s="117">
        <v>45595</v>
      </c>
      <c r="F5746" s="116">
        <f>COUNTIFS($A$3:A13996,A5746,$B$3:B13996,B5746)</f>
        <v>1</v>
      </c>
      <c r="G5746" s="116"/>
    </row>
    <row r="5747" spans="1:7" x14ac:dyDescent="0.2">
      <c r="A5747" s="116">
        <f>IF(ISNUMBER(Tabela2[[#This Row],[CT-e/NFS]])=TRUE,(IF(B5747&gt;30000,4,IF(B5747&lt;1000,"ND",0))),"-")</f>
        <v>4</v>
      </c>
      <c r="B5747" s="116">
        <v>49781</v>
      </c>
      <c r="C5747" s="117">
        <v>45586</v>
      </c>
      <c r="D5747" s="116">
        <v>208.09</v>
      </c>
      <c r="E5747" s="117">
        <v>45595</v>
      </c>
      <c r="F5747" s="116">
        <f>COUNTIFS($A$3:A13997,A5747,$B$3:B13997,B5747)</f>
        <v>1</v>
      </c>
      <c r="G5747" s="116"/>
    </row>
    <row r="5748" spans="1:7" x14ac:dyDescent="0.2">
      <c r="A5748" s="116">
        <f>IF(ISNUMBER(Tabela2[[#This Row],[CT-e/NFS]])=TRUE,(IF(B5748&gt;30000,4,IF(B5748&lt;1000,"ND",0))),"-")</f>
        <v>4</v>
      </c>
      <c r="B5748" s="116">
        <v>49779</v>
      </c>
      <c r="C5748" s="117">
        <v>45586</v>
      </c>
      <c r="D5748" s="116">
        <v>122.76</v>
      </c>
      <c r="E5748" s="117">
        <v>45595</v>
      </c>
      <c r="F5748" s="116">
        <f>COUNTIFS($A$3:A13998,A5748,$B$3:B13998,B5748)</f>
        <v>1</v>
      </c>
      <c r="G5748" s="116"/>
    </row>
    <row r="5749" spans="1:7" x14ac:dyDescent="0.2">
      <c r="A5749" s="116">
        <f>IF(ISNUMBER(Tabela2[[#This Row],[CT-e/NFS]])=TRUE,(IF(B5749&gt;30000,4,IF(B5749&lt;1000,"ND",0))),"-")</f>
        <v>4</v>
      </c>
      <c r="B5749" s="116">
        <v>49777</v>
      </c>
      <c r="C5749" s="117">
        <v>45586</v>
      </c>
      <c r="D5749" s="116">
        <v>124.52</v>
      </c>
      <c r="E5749" s="117">
        <v>45595</v>
      </c>
      <c r="F5749" s="116">
        <f>COUNTIFS($A$3:A13999,A5749,$B$3:B13999,B5749)</f>
        <v>1</v>
      </c>
      <c r="G5749" s="116"/>
    </row>
    <row r="5750" spans="1:7" x14ac:dyDescent="0.2">
      <c r="A5750" s="116">
        <f>IF(ISNUMBER(Tabela2[[#This Row],[CT-e/NFS]])=TRUE,(IF(B5750&gt;30000,4,IF(B5750&lt;1000,"ND",0))),"-")</f>
        <v>4</v>
      </c>
      <c r="B5750" s="116">
        <v>49788</v>
      </c>
      <c r="C5750" s="117">
        <v>45586</v>
      </c>
      <c r="D5750" s="116">
        <v>123.16</v>
      </c>
      <c r="E5750" s="117">
        <v>45595</v>
      </c>
      <c r="F5750" s="116">
        <f>COUNTIFS($A$3:A14000,A5750,$B$3:B14000,B5750)</f>
        <v>1</v>
      </c>
      <c r="G5750" s="116"/>
    </row>
    <row r="5751" spans="1:7" x14ac:dyDescent="0.2">
      <c r="A5751" s="116">
        <f>IF(ISNUMBER(Tabela2[[#This Row],[CT-e/NFS]])=TRUE,(IF(B5751&gt;30000,4,IF(B5751&lt;1000,"ND",0))),"-")</f>
        <v>4</v>
      </c>
      <c r="B5751" s="116">
        <v>49776</v>
      </c>
      <c r="C5751" s="117">
        <v>45586</v>
      </c>
      <c r="D5751" s="116">
        <v>124.39</v>
      </c>
      <c r="E5751" s="117">
        <v>45595</v>
      </c>
      <c r="F5751" s="116">
        <f>COUNTIFS($A$3:A14001,A5751,$B$3:B14001,B5751)</f>
        <v>1</v>
      </c>
      <c r="G5751" s="116"/>
    </row>
    <row r="5752" spans="1:7" x14ac:dyDescent="0.2">
      <c r="A5752" s="116">
        <f>IF(ISNUMBER(Tabela2[[#This Row],[CT-e/NFS]])=TRUE,(IF(B5752&gt;30000,4,IF(B5752&lt;1000,"ND",0))),"-")</f>
        <v>4</v>
      </c>
      <c r="B5752" s="116">
        <v>49773</v>
      </c>
      <c r="C5752" s="117">
        <v>45586</v>
      </c>
      <c r="D5752" s="116">
        <v>123.91</v>
      </c>
      <c r="E5752" s="117">
        <v>45595</v>
      </c>
      <c r="F5752" s="116">
        <f>COUNTIFS($A$3:A14002,A5752,$B$3:B14002,B5752)</f>
        <v>1</v>
      </c>
      <c r="G5752" s="116"/>
    </row>
    <row r="5753" spans="1:7" x14ac:dyDescent="0.2">
      <c r="A5753" s="116">
        <f>IF(ISNUMBER(Tabela2[[#This Row],[CT-e/NFS]])=TRUE,(IF(B5753&gt;30000,4,IF(B5753&lt;1000,"ND",0))),"-")</f>
        <v>4</v>
      </c>
      <c r="B5753" s="116">
        <v>49772</v>
      </c>
      <c r="C5753" s="117">
        <v>45586</v>
      </c>
      <c r="D5753" s="116">
        <v>147.80000000000001</v>
      </c>
      <c r="E5753" s="117">
        <v>45595</v>
      </c>
      <c r="F5753" s="116">
        <f>COUNTIFS($A$3:A14003,A5753,$B$3:B14003,B5753)</f>
        <v>1</v>
      </c>
      <c r="G5753" s="116"/>
    </row>
    <row r="5754" spans="1:7" x14ac:dyDescent="0.2">
      <c r="A5754" s="116">
        <f>IF(ISNUMBER(Tabela2[[#This Row],[CT-e/NFS]])=TRUE,(IF(B5754&gt;30000,4,IF(B5754&lt;1000,"ND",0))),"-")</f>
        <v>4</v>
      </c>
      <c r="B5754" s="116">
        <v>49789</v>
      </c>
      <c r="C5754" s="117">
        <v>45586</v>
      </c>
      <c r="D5754" s="116">
        <v>222.47</v>
      </c>
      <c r="E5754" s="117">
        <v>45595</v>
      </c>
      <c r="F5754" s="116">
        <f>COUNTIFS($A$3:A14004,A5754,$B$3:B14004,B5754)</f>
        <v>1</v>
      </c>
      <c r="G5754" s="116"/>
    </row>
    <row r="5755" spans="1:7" x14ac:dyDescent="0.2">
      <c r="A5755" s="116">
        <f>IF(ISNUMBER(Tabela2[[#This Row],[CT-e/NFS]])=TRUE,(IF(B5755&gt;30000,4,IF(B5755&lt;1000,"ND",0))),"-")</f>
        <v>4</v>
      </c>
      <c r="B5755" s="116">
        <v>49790</v>
      </c>
      <c r="C5755" s="117">
        <v>45586</v>
      </c>
      <c r="D5755" s="116">
        <v>585.70000000000005</v>
      </c>
      <c r="E5755" s="117">
        <v>45595</v>
      </c>
      <c r="F5755" s="116">
        <f>COUNTIFS($A$3:A14005,A5755,$B$3:B14005,B5755)</f>
        <v>1</v>
      </c>
      <c r="G5755" s="116"/>
    </row>
    <row r="5756" spans="1:7" x14ac:dyDescent="0.2">
      <c r="A5756" s="116">
        <f>IF(ISNUMBER(Tabela2[[#This Row],[CT-e/NFS]])=TRUE,(IF(B5756&gt;30000,4,IF(B5756&lt;1000,"ND",0))),"-")</f>
        <v>0</v>
      </c>
      <c r="B5756" s="116">
        <v>22251</v>
      </c>
      <c r="C5756" s="117">
        <v>45586</v>
      </c>
      <c r="D5756" s="116">
        <v>76.28</v>
      </c>
      <c r="E5756" s="117">
        <v>45595</v>
      </c>
      <c r="F5756" s="116">
        <f>COUNTIFS($A$3:A14006,A5756,$B$3:B14006,B5756)</f>
        <v>1</v>
      </c>
      <c r="G5756" s="116"/>
    </row>
    <row r="5757" spans="1:7" x14ac:dyDescent="0.2">
      <c r="A5757" s="116">
        <f>IF(ISNUMBER(Tabela2[[#This Row],[CT-e/NFS]])=TRUE,(IF(B5757&gt;30000,4,IF(B5757&lt;1000,"ND",0))),"-")</f>
        <v>0</v>
      </c>
      <c r="B5757" s="116">
        <v>22252</v>
      </c>
      <c r="C5757" s="117">
        <v>45586</v>
      </c>
      <c r="D5757" s="116">
        <v>234.58</v>
      </c>
      <c r="E5757" s="117">
        <v>45595</v>
      </c>
      <c r="F5757" s="116">
        <f>COUNTIFS($A$3:A14007,A5757,$B$3:B14007,B5757)</f>
        <v>1</v>
      </c>
      <c r="G5757" s="116"/>
    </row>
    <row r="5758" spans="1:7" x14ac:dyDescent="0.2">
      <c r="A5758" s="116">
        <f>IF(ISNUMBER(Tabela2[[#This Row],[CT-e/NFS]])=TRUE,(IF(B5758&gt;30000,4,IF(B5758&lt;1000,"ND",0))),"-")</f>
        <v>4</v>
      </c>
      <c r="B5758" s="116">
        <v>49740</v>
      </c>
      <c r="C5758" s="117">
        <v>45586</v>
      </c>
      <c r="D5758" s="116">
        <v>227.27</v>
      </c>
      <c r="E5758" s="117">
        <v>45595</v>
      </c>
      <c r="F5758" s="116">
        <f>COUNTIFS($A$3:A14008,A5758,$B$3:B14008,B5758)</f>
        <v>1</v>
      </c>
      <c r="G5758" s="116"/>
    </row>
    <row r="5759" spans="1:7" x14ac:dyDescent="0.2">
      <c r="A5759" s="116">
        <f>IF(ISNUMBER(Tabela2[[#This Row],[CT-e/NFS]])=TRUE,(IF(B5759&gt;30000,4,IF(B5759&lt;1000,"ND",0))),"-")</f>
        <v>4</v>
      </c>
      <c r="B5759" s="116">
        <v>49791</v>
      </c>
      <c r="C5759" s="117">
        <v>45586</v>
      </c>
      <c r="D5759" s="116">
        <v>907.95</v>
      </c>
      <c r="E5759" s="117">
        <v>45595</v>
      </c>
      <c r="F5759" s="116">
        <f>COUNTIFS($A$3:A14009,A5759,$B$3:B14009,B5759)</f>
        <v>1</v>
      </c>
      <c r="G5759" s="116"/>
    </row>
    <row r="5760" spans="1:7" x14ac:dyDescent="0.2">
      <c r="A5760" s="116">
        <f>IF(ISNUMBER(Tabela2[[#This Row],[CT-e/NFS]])=TRUE,(IF(B5760&gt;30000,4,IF(B5760&lt;1000,"ND",0))),"-")</f>
        <v>4</v>
      </c>
      <c r="B5760" s="116">
        <v>49700</v>
      </c>
      <c r="C5760" s="117">
        <v>45586</v>
      </c>
      <c r="D5760" s="116">
        <v>611.15</v>
      </c>
      <c r="E5760" s="117">
        <v>45595</v>
      </c>
      <c r="F5760" s="116">
        <f>COUNTIFS($A$3:A14010,A5760,$B$3:B14010,B5760)</f>
        <v>1</v>
      </c>
      <c r="G5760" s="116"/>
    </row>
    <row r="5761" spans="1:7" x14ac:dyDescent="0.2">
      <c r="A5761" s="116">
        <f>IF(ISNUMBER(Tabela2[[#This Row],[CT-e/NFS]])=TRUE,(IF(B5761&gt;30000,4,IF(B5761&lt;1000,"ND",0))),"-")</f>
        <v>0</v>
      </c>
      <c r="B5761" s="116">
        <v>22236</v>
      </c>
      <c r="C5761" s="117">
        <v>45586</v>
      </c>
      <c r="D5761" s="116">
        <v>515.41</v>
      </c>
      <c r="E5761" s="117">
        <v>45595</v>
      </c>
      <c r="F5761" s="116">
        <f>COUNTIFS($A$3:A14011,A5761,$B$3:B14011,B5761)</f>
        <v>1</v>
      </c>
      <c r="G5761" s="116"/>
    </row>
    <row r="5762" spans="1:7" x14ac:dyDescent="0.2">
      <c r="A5762" s="116">
        <f>IF(ISNUMBER(Tabela2[[#This Row],[CT-e/NFS]])=TRUE,(IF(B5762&gt;30000,4,IF(B5762&lt;1000,"ND",0))),"-")</f>
        <v>0</v>
      </c>
      <c r="B5762" s="116">
        <v>22243</v>
      </c>
      <c r="C5762" s="117">
        <v>45586</v>
      </c>
      <c r="D5762" s="116">
        <v>515.41</v>
      </c>
      <c r="E5762" s="117">
        <v>45595</v>
      </c>
      <c r="F5762" s="116">
        <f>COUNTIFS($A$3:A14012,A5762,$B$3:B14012,B5762)</f>
        <v>1</v>
      </c>
      <c r="G5762" s="116"/>
    </row>
    <row r="5763" spans="1:7" x14ac:dyDescent="0.2">
      <c r="A5763" s="116">
        <f>IF(ISNUMBER(Tabela2[[#This Row],[CT-e/NFS]])=TRUE,(IF(B5763&gt;30000,4,IF(B5763&lt;1000,"ND",0))),"-")</f>
        <v>0</v>
      </c>
      <c r="B5763" s="116">
        <v>22253</v>
      </c>
      <c r="C5763" s="117">
        <v>45586</v>
      </c>
      <c r="D5763" s="116">
        <v>515.41</v>
      </c>
      <c r="E5763" s="117">
        <v>45595</v>
      </c>
      <c r="F5763" s="116">
        <f>COUNTIFS($A$3:A14013,A5763,$B$3:B14013,B5763)</f>
        <v>1</v>
      </c>
      <c r="G5763" s="116"/>
    </row>
    <row r="5764" spans="1:7" x14ac:dyDescent="0.2">
      <c r="A5764" s="116" t="str">
        <f>IF(ISNUMBER(Tabela2[[#This Row],[CT-e/NFS]])=TRUE,(IF(B5764&gt;30000,4,IF(B5764&lt;1000,"ND",0))),"-")</f>
        <v>ND</v>
      </c>
      <c r="B5764" s="116">
        <v>236</v>
      </c>
      <c r="C5764" s="117">
        <v>45586</v>
      </c>
      <c r="D5764" s="116">
        <v>1031.2</v>
      </c>
      <c r="E5764" s="117">
        <v>45595</v>
      </c>
      <c r="F5764" s="116">
        <f>COUNTIFS($A$3:A14014,A5764,$B$3:B14014,B5764)</f>
        <v>1</v>
      </c>
      <c r="G5764" s="116"/>
    </row>
    <row r="5765" spans="1:7" x14ac:dyDescent="0.2">
      <c r="A5765" s="116" t="str">
        <f>IF(ISNUMBER(Tabela2[[#This Row],[CT-e/NFS]])=TRUE,(IF(B5765&gt;30000,4,IF(B5765&lt;1000,"ND",0))),"-")</f>
        <v>ND</v>
      </c>
      <c r="B5765" s="116">
        <v>237</v>
      </c>
      <c r="C5765" s="117">
        <v>45586</v>
      </c>
      <c r="D5765" s="116">
        <v>846.07</v>
      </c>
      <c r="E5765" s="117">
        <v>45595</v>
      </c>
      <c r="F5765" s="116">
        <f>COUNTIFS($A$3:A14015,A5765,$B$3:B14015,B5765)</f>
        <v>1</v>
      </c>
      <c r="G5765" s="116"/>
    </row>
    <row r="5766" spans="1:7" x14ac:dyDescent="0.2">
      <c r="A5766" s="129">
        <f>IF(ISNUMBER(Tabela2[[#This Row],[CT-e/NFS]])=TRUE,(IF(B5766&gt;30000,4,IF(B5766&lt;1000,"ND",0))),"-")</f>
        <v>4</v>
      </c>
      <c r="B5766" s="129">
        <v>50002</v>
      </c>
      <c r="C5766" s="130">
        <v>45566</v>
      </c>
      <c r="D5766" s="129">
        <v>129.38</v>
      </c>
      <c r="E5766" s="130">
        <v>45595</v>
      </c>
      <c r="F5766" s="129">
        <f>COUNTIFS($A$3:A14016,A5766,$B$3:B14016,B5766)</f>
        <v>1</v>
      </c>
      <c r="G5766" s="129" t="s">
        <v>149</v>
      </c>
    </row>
    <row r="5767" spans="1:7" x14ac:dyDescent="0.2">
      <c r="A5767" s="129">
        <f>IF(ISNUMBER(Tabela2[[#This Row],[CT-e/NFS]])=TRUE,(IF(B5767&gt;30000,4,IF(B5767&lt;1000,"ND",0))),"-")</f>
        <v>4</v>
      </c>
      <c r="B5767" s="129">
        <v>50003</v>
      </c>
      <c r="C5767" s="130">
        <v>45566</v>
      </c>
      <c r="D5767" s="129">
        <v>123.13</v>
      </c>
      <c r="E5767" s="130">
        <v>45595</v>
      </c>
      <c r="F5767" s="129">
        <f>COUNTIFS($A$3:A14017,A5767,$B$3:B14017,B5767)</f>
        <v>1</v>
      </c>
      <c r="G5767" s="129" t="s">
        <v>149</v>
      </c>
    </row>
    <row r="5768" spans="1:7" x14ac:dyDescent="0.2">
      <c r="A5768" s="129">
        <f>IF(ISNUMBER(Tabela2[[#This Row],[CT-e/NFS]])=TRUE,(IF(B5768&gt;30000,4,IF(B5768&lt;1000,"ND",0))),"-")</f>
        <v>4</v>
      </c>
      <c r="B5768" s="129">
        <v>50005</v>
      </c>
      <c r="C5768" s="130">
        <v>45566</v>
      </c>
      <c r="D5768" s="129">
        <v>113.05</v>
      </c>
      <c r="E5768" s="130">
        <v>45595</v>
      </c>
      <c r="F5768" s="129">
        <f>COUNTIFS($A$3:A14018,A5768,$B$3:B14018,B5768)</f>
        <v>1</v>
      </c>
      <c r="G5768" s="129" t="s">
        <v>149</v>
      </c>
    </row>
    <row r="5769" spans="1:7" x14ac:dyDescent="0.2">
      <c r="A5769" s="129">
        <f>IF(ISNUMBER(Tabela2[[#This Row],[CT-e/NFS]])=TRUE,(IF(B5769&gt;30000,4,IF(B5769&lt;1000,"ND",0))),"-")</f>
        <v>4</v>
      </c>
      <c r="B5769" s="129">
        <v>50006</v>
      </c>
      <c r="C5769" s="130">
        <v>45566</v>
      </c>
      <c r="D5769" s="129">
        <v>214.86</v>
      </c>
      <c r="E5769" s="130">
        <v>45595</v>
      </c>
      <c r="F5769" s="129">
        <f>COUNTIFS($A$3:A14019,A5769,$B$3:B14019,B5769)</f>
        <v>1</v>
      </c>
      <c r="G5769" s="129" t="s">
        <v>149</v>
      </c>
    </row>
    <row r="5770" spans="1:7" x14ac:dyDescent="0.2">
      <c r="A5770" s="129">
        <f>IF(ISNUMBER(Tabela2[[#This Row],[CT-e/NFS]])=TRUE,(IF(B5770&gt;30000,4,IF(B5770&lt;1000,"ND",0))),"-")</f>
        <v>4</v>
      </c>
      <c r="B5770" s="129">
        <v>50098</v>
      </c>
      <c r="C5770" s="130">
        <v>45566</v>
      </c>
      <c r="D5770" s="129">
        <v>122.91</v>
      </c>
      <c r="E5770" s="130">
        <v>45595</v>
      </c>
      <c r="F5770" s="129">
        <f>COUNTIFS($A$3:A14020,A5770,$B$3:B14020,B5770)</f>
        <v>1</v>
      </c>
      <c r="G5770" s="129" t="s">
        <v>149</v>
      </c>
    </row>
    <row r="5771" spans="1:7" x14ac:dyDescent="0.2">
      <c r="A5771" s="129">
        <f>IF(ISNUMBER(Tabela2[[#This Row],[CT-e/NFS]])=TRUE,(IF(B5771&gt;30000,4,IF(B5771&lt;1000,"ND",0))),"-")</f>
        <v>4</v>
      </c>
      <c r="B5771" s="129">
        <v>50118</v>
      </c>
      <c r="C5771" s="130">
        <v>45566</v>
      </c>
      <c r="D5771" s="129">
        <v>113.25</v>
      </c>
      <c r="E5771" s="130">
        <v>45595</v>
      </c>
      <c r="F5771" s="129">
        <f>COUNTIFS($A$3:A14021,A5771,$B$3:B14021,B5771)</f>
        <v>1</v>
      </c>
      <c r="G5771" s="129" t="s">
        <v>149</v>
      </c>
    </row>
    <row r="5772" spans="1:7" x14ac:dyDescent="0.2">
      <c r="A5772" s="129">
        <f>IF(ISNUMBER(Tabela2[[#This Row],[CT-e/NFS]])=TRUE,(IF(B5772&gt;30000,4,IF(B5772&lt;1000,"ND",0))),"-")</f>
        <v>4</v>
      </c>
      <c r="B5772" s="129">
        <v>50135</v>
      </c>
      <c r="C5772" s="130">
        <v>45566</v>
      </c>
      <c r="D5772" s="129">
        <v>61.45</v>
      </c>
      <c r="E5772" s="130">
        <v>45595</v>
      </c>
      <c r="F5772" s="129">
        <f>COUNTIFS($A$3:A14022,A5772,$B$3:B14022,B5772)</f>
        <v>1</v>
      </c>
      <c r="G5772" s="129" t="s">
        <v>149</v>
      </c>
    </row>
    <row r="5773" spans="1:7" x14ac:dyDescent="0.2">
      <c r="A5773" s="129">
        <f>IF(ISNUMBER(Tabela2[[#This Row],[CT-e/NFS]])=TRUE,(IF(B5773&gt;30000,4,IF(B5773&lt;1000,"ND",0))),"-")</f>
        <v>4</v>
      </c>
      <c r="B5773" s="129">
        <v>50136</v>
      </c>
      <c r="C5773" s="130">
        <v>45566</v>
      </c>
      <c r="D5773" s="129">
        <v>110.64</v>
      </c>
      <c r="E5773" s="130">
        <v>45595</v>
      </c>
      <c r="F5773" s="129">
        <f>COUNTIFS($A$3:A14023,A5773,$B$3:B14023,B5773)</f>
        <v>1</v>
      </c>
      <c r="G5773" s="129" t="s">
        <v>149</v>
      </c>
    </row>
    <row r="5774" spans="1:7" x14ac:dyDescent="0.2">
      <c r="A5774" s="116">
        <f>IF(ISNUMBER(Tabela2[[#This Row],[CT-e/NFS]])=TRUE,(IF(B5774&gt;30000,4,IF(B5774&lt;1000,"ND",0))),"-")</f>
        <v>4</v>
      </c>
      <c r="B5774" s="116">
        <v>49793</v>
      </c>
      <c r="C5774" s="117">
        <v>45597</v>
      </c>
      <c r="D5774" s="116">
        <v>1024.6500000000001</v>
      </c>
      <c r="E5774" s="117">
        <v>45611</v>
      </c>
      <c r="F5774" s="116">
        <f>COUNTIFS($A$3:A14024,A5774,$B$3:B14024,B5774)</f>
        <v>1</v>
      </c>
      <c r="G5774" s="116"/>
    </row>
    <row r="5775" spans="1:7" x14ac:dyDescent="0.2">
      <c r="A5775" s="116">
        <f>IF(ISNUMBER(Tabela2[[#This Row],[CT-e/NFS]])=TRUE,(IF(B5775&gt;30000,4,IF(B5775&lt;1000,"ND",0))),"-")</f>
        <v>4</v>
      </c>
      <c r="B5775" s="116">
        <v>49792</v>
      </c>
      <c r="C5775" s="117">
        <v>45597</v>
      </c>
      <c r="D5775" s="116">
        <v>957.17</v>
      </c>
      <c r="E5775" s="117">
        <v>45611</v>
      </c>
      <c r="F5775" s="116">
        <f>COUNTIFS($A$3:A14025,A5775,$B$3:B14025,B5775)</f>
        <v>1</v>
      </c>
      <c r="G5775" s="116"/>
    </row>
    <row r="5776" spans="1:7" x14ac:dyDescent="0.2">
      <c r="A5776" s="116">
        <f>IF(ISNUMBER(Tabela2[[#This Row],[CT-e/NFS]])=TRUE,(IF(B5776&gt;30000,4,IF(B5776&lt;1000,"ND",0))),"-")</f>
        <v>4</v>
      </c>
      <c r="B5776" s="116">
        <v>49808</v>
      </c>
      <c r="C5776" s="117">
        <v>45597</v>
      </c>
      <c r="D5776" s="116">
        <v>301.42</v>
      </c>
      <c r="E5776" s="117">
        <v>45611</v>
      </c>
      <c r="F5776" s="116">
        <f>COUNTIFS($A$3:A14026,A5776,$B$3:B14026,B5776)</f>
        <v>1</v>
      </c>
      <c r="G5776" s="116"/>
    </row>
    <row r="5777" spans="1:7" x14ac:dyDescent="0.2">
      <c r="A5777" s="116">
        <f>IF(ISNUMBER(Tabela2[[#This Row],[CT-e/NFS]])=TRUE,(IF(B5777&gt;30000,4,IF(B5777&lt;1000,"ND",0))),"-")</f>
        <v>4</v>
      </c>
      <c r="B5777" s="116">
        <v>49797</v>
      </c>
      <c r="C5777" s="117">
        <v>45597</v>
      </c>
      <c r="D5777" s="116">
        <v>563.05999999999995</v>
      </c>
      <c r="E5777" s="117">
        <v>45611</v>
      </c>
      <c r="F5777" s="116">
        <f>COUNTIFS($A$3:A14027,A5777,$B$3:B14027,B5777)</f>
        <v>1</v>
      </c>
      <c r="G5777" s="116"/>
    </row>
    <row r="5778" spans="1:7" x14ac:dyDescent="0.2">
      <c r="A5778" s="116">
        <f>IF(ISNUMBER(Tabela2[[#This Row],[CT-e/NFS]])=TRUE,(IF(B5778&gt;30000,4,IF(B5778&lt;1000,"ND",0))),"-")</f>
        <v>4</v>
      </c>
      <c r="B5778" s="116">
        <v>49809</v>
      </c>
      <c r="C5778" s="117">
        <v>45597</v>
      </c>
      <c r="D5778" s="116">
        <v>379.88</v>
      </c>
      <c r="E5778" s="117">
        <v>45611</v>
      </c>
      <c r="F5778" s="116">
        <f>COUNTIFS($A$3:A14028,A5778,$B$3:B14028,B5778)</f>
        <v>1</v>
      </c>
      <c r="G5778" s="116"/>
    </row>
    <row r="5779" spans="1:7" x14ac:dyDescent="0.2">
      <c r="A5779" s="116">
        <f>IF(ISNUMBER(Tabela2[[#This Row],[CT-e/NFS]])=TRUE,(IF(B5779&gt;30000,4,IF(B5779&lt;1000,"ND",0))),"-")</f>
        <v>4</v>
      </c>
      <c r="B5779" s="116">
        <v>49811</v>
      </c>
      <c r="C5779" s="117">
        <v>45597</v>
      </c>
      <c r="D5779" s="116">
        <v>123.89</v>
      </c>
      <c r="E5779" s="117">
        <v>45611</v>
      </c>
      <c r="F5779" s="116">
        <f>COUNTIFS($A$3:A14029,A5779,$B$3:B14029,B5779)</f>
        <v>1</v>
      </c>
      <c r="G5779" s="116"/>
    </row>
    <row r="5780" spans="1:7" x14ac:dyDescent="0.2">
      <c r="A5780" s="116">
        <f>IF(ISNUMBER(Tabela2[[#This Row],[CT-e/NFS]])=TRUE,(IF(B5780&gt;30000,4,IF(B5780&lt;1000,"ND",0))),"-")</f>
        <v>4</v>
      </c>
      <c r="B5780" s="116">
        <v>49812</v>
      </c>
      <c r="C5780" s="117">
        <v>45597</v>
      </c>
      <c r="D5780" s="116">
        <v>306.39999999999998</v>
      </c>
      <c r="E5780" s="117">
        <v>45611</v>
      </c>
      <c r="F5780" s="116">
        <f>COUNTIFS($A$3:A14030,A5780,$B$3:B14030,B5780)</f>
        <v>1</v>
      </c>
      <c r="G5780" s="116"/>
    </row>
    <row r="5781" spans="1:7" x14ac:dyDescent="0.2">
      <c r="A5781" s="116">
        <f>IF(ISNUMBER(Tabela2[[#This Row],[CT-e/NFS]])=TRUE,(IF(B5781&gt;30000,4,IF(B5781&lt;1000,"ND",0))),"-")</f>
        <v>4</v>
      </c>
      <c r="B5781" s="116">
        <v>49810</v>
      </c>
      <c r="C5781" s="117">
        <v>45597</v>
      </c>
      <c r="D5781" s="116">
        <v>124.18</v>
      </c>
      <c r="E5781" s="117">
        <v>45611</v>
      </c>
      <c r="F5781" s="116">
        <f>COUNTIFS($A$3:A14031,A5781,$B$3:B14031,B5781)</f>
        <v>1</v>
      </c>
      <c r="G5781" s="116"/>
    </row>
    <row r="5782" spans="1:7" x14ac:dyDescent="0.2">
      <c r="A5782" s="116">
        <f>IF(ISNUMBER(Tabela2[[#This Row],[CT-e/NFS]])=TRUE,(IF(B5782&gt;30000,4,IF(B5782&lt;1000,"ND",0))),"-")</f>
        <v>4</v>
      </c>
      <c r="B5782" s="116">
        <v>49804</v>
      </c>
      <c r="C5782" s="117">
        <v>45597</v>
      </c>
      <c r="D5782" s="116">
        <v>123.32</v>
      </c>
      <c r="E5782" s="117">
        <v>45611</v>
      </c>
      <c r="F5782" s="116">
        <f>COUNTIFS($A$3:A14032,A5782,$B$3:B14032,B5782)</f>
        <v>1</v>
      </c>
      <c r="G5782" s="116"/>
    </row>
    <row r="5783" spans="1:7" x14ac:dyDescent="0.2">
      <c r="A5783" s="116">
        <f>IF(ISNUMBER(Tabela2[[#This Row],[CT-e/NFS]])=TRUE,(IF(B5783&gt;30000,4,IF(B5783&lt;1000,"ND",0))),"-")</f>
        <v>4</v>
      </c>
      <c r="B5783" s="116">
        <v>49799</v>
      </c>
      <c r="C5783" s="117">
        <v>45597</v>
      </c>
      <c r="D5783" s="116">
        <v>125.16</v>
      </c>
      <c r="E5783" s="117">
        <v>45611</v>
      </c>
      <c r="F5783" s="116">
        <f>COUNTIFS($A$3:A14033,A5783,$B$3:B14033,B5783)</f>
        <v>1</v>
      </c>
      <c r="G5783" s="116"/>
    </row>
    <row r="5784" spans="1:7" x14ac:dyDescent="0.2">
      <c r="A5784" s="116">
        <f>IF(ISNUMBER(Tabela2[[#This Row],[CT-e/NFS]])=TRUE,(IF(B5784&gt;30000,4,IF(B5784&lt;1000,"ND",0))),"-")</f>
        <v>4</v>
      </c>
      <c r="B5784" s="116">
        <v>49803</v>
      </c>
      <c r="C5784" s="117">
        <v>45597</v>
      </c>
      <c r="D5784" s="116">
        <v>125.86</v>
      </c>
      <c r="E5784" s="117">
        <v>45611</v>
      </c>
      <c r="F5784" s="116">
        <f>COUNTIFS($A$3:A14034,A5784,$B$3:B14034,B5784)</f>
        <v>1</v>
      </c>
      <c r="G5784" s="116"/>
    </row>
    <row r="5785" spans="1:7" x14ac:dyDescent="0.2">
      <c r="A5785" s="116">
        <f>IF(ISNUMBER(Tabela2[[#This Row],[CT-e/NFS]])=TRUE,(IF(B5785&gt;30000,4,IF(B5785&lt;1000,"ND",0))),"-")</f>
        <v>4</v>
      </c>
      <c r="B5785" s="116">
        <v>49805</v>
      </c>
      <c r="C5785" s="117">
        <v>45597</v>
      </c>
      <c r="D5785" s="116">
        <v>123.03</v>
      </c>
      <c r="E5785" s="117">
        <v>45611</v>
      </c>
      <c r="F5785" s="116">
        <f>COUNTIFS($A$3:A14035,A5785,$B$3:B14035,B5785)</f>
        <v>1</v>
      </c>
      <c r="G5785" s="116"/>
    </row>
    <row r="5786" spans="1:7" x14ac:dyDescent="0.2">
      <c r="A5786" s="116">
        <f>IF(ISNUMBER(Tabela2[[#This Row],[CT-e/NFS]])=TRUE,(IF(B5786&gt;30000,4,IF(B5786&lt;1000,"ND",0))),"-")</f>
        <v>4</v>
      </c>
      <c r="B5786" s="116">
        <v>49813</v>
      </c>
      <c r="C5786" s="117">
        <v>45597</v>
      </c>
      <c r="D5786" s="116">
        <v>238.73</v>
      </c>
      <c r="E5786" s="117">
        <v>45611</v>
      </c>
      <c r="F5786" s="116">
        <f>COUNTIFS($A$3:A14036,A5786,$B$3:B14036,B5786)</f>
        <v>1</v>
      </c>
      <c r="G5786" s="116"/>
    </row>
    <row r="5787" spans="1:7" x14ac:dyDescent="0.2">
      <c r="A5787" s="116">
        <f>IF(ISNUMBER(Tabela2[[#This Row],[CT-e/NFS]])=TRUE,(IF(B5787&gt;30000,4,IF(B5787&lt;1000,"ND",0))),"-")</f>
        <v>4</v>
      </c>
      <c r="B5787" s="116">
        <v>49800</v>
      </c>
      <c r="C5787" s="117">
        <v>45597</v>
      </c>
      <c r="D5787" s="116">
        <v>124.06</v>
      </c>
      <c r="E5787" s="117">
        <v>45611</v>
      </c>
      <c r="F5787" s="116">
        <f>COUNTIFS($A$3:A14037,A5787,$B$3:B14037,B5787)</f>
        <v>1</v>
      </c>
      <c r="G5787" s="116"/>
    </row>
    <row r="5788" spans="1:7" x14ac:dyDescent="0.2">
      <c r="A5788" s="116">
        <f>IF(ISNUMBER(Tabela2[[#This Row],[CT-e/NFS]])=TRUE,(IF(B5788&gt;30000,4,IF(B5788&lt;1000,"ND",0))),"-")</f>
        <v>4</v>
      </c>
      <c r="B5788" s="116">
        <v>49798</v>
      </c>
      <c r="C5788" s="117">
        <v>45597</v>
      </c>
      <c r="D5788" s="116">
        <v>123.34</v>
      </c>
      <c r="E5788" s="117">
        <v>45611</v>
      </c>
      <c r="F5788" s="116">
        <f>COUNTIFS($A$3:A14038,A5788,$B$3:B14038,B5788)</f>
        <v>1</v>
      </c>
      <c r="G5788" s="116"/>
    </row>
    <row r="5789" spans="1:7" x14ac:dyDescent="0.2">
      <c r="A5789" s="116">
        <f>IF(ISNUMBER(Tabela2[[#This Row],[CT-e/NFS]])=TRUE,(IF(B5789&gt;30000,4,IF(B5789&lt;1000,"ND",0))),"-")</f>
        <v>4</v>
      </c>
      <c r="B5789" s="116">
        <v>49796</v>
      </c>
      <c r="C5789" s="117">
        <v>45597</v>
      </c>
      <c r="D5789" s="116">
        <v>122.89</v>
      </c>
      <c r="E5789" s="117">
        <v>45611</v>
      </c>
      <c r="F5789" s="116">
        <f>COUNTIFS($A$3:A14039,A5789,$B$3:B14039,B5789)</f>
        <v>1</v>
      </c>
      <c r="G5789" s="116"/>
    </row>
    <row r="5790" spans="1:7" x14ac:dyDescent="0.2">
      <c r="A5790" s="116">
        <f>IF(ISNUMBER(Tabela2[[#This Row],[CT-e/NFS]])=TRUE,(IF(B5790&gt;30000,4,IF(B5790&lt;1000,"ND",0))),"-")</f>
        <v>4</v>
      </c>
      <c r="B5790" s="116">
        <v>49807</v>
      </c>
      <c r="C5790" s="117">
        <v>45597</v>
      </c>
      <c r="D5790" s="116">
        <v>126.53</v>
      </c>
      <c r="E5790" s="117">
        <v>45611</v>
      </c>
      <c r="F5790" s="116">
        <f>COUNTIFS($A$3:A14040,A5790,$B$3:B14040,B5790)</f>
        <v>1</v>
      </c>
      <c r="G5790" s="116"/>
    </row>
    <row r="5791" spans="1:7" x14ac:dyDescent="0.2">
      <c r="A5791" s="116">
        <f>IF(ISNUMBER(Tabela2[[#This Row],[CT-e/NFS]])=TRUE,(IF(B5791&gt;30000,4,IF(B5791&lt;1000,"ND",0))),"-")</f>
        <v>4</v>
      </c>
      <c r="B5791" s="116">
        <v>49806</v>
      </c>
      <c r="C5791" s="117">
        <v>45597</v>
      </c>
      <c r="D5791" s="116">
        <v>131.35</v>
      </c>
      <c r="E5791" s="117">
        <v>45611</v>
      </c>
      <c r="F5791" s="116">
        <f>COUNTIFS($A$3:A14041,A5791,$B$3:B14041,B5791)</f>
        <v>1</v>
      </c>
      <c r="G5791" s="116"/>
    </row>
    <row r="5792" spans="1:7" x14ac:dyDescent="0.2">
      <c r="A5792" s="116">
        <f>IF(ISNUMBER(Tabela2[[#This Row],[CT-e/NFS]])=TRUE,(IF(B5792&gt;30000,4,IF(B5792&lt;1000,"ND",0))),"-")</f>
        <v>4</v>
      </c>
      <c r="B5792" s="116">
        <v>49802</v>
      </c>
      <c r="C5792" s="117">
        <v>45597</v>
      </c>
      <c r="D5792" s="116">
        <v>246.33</v>
      </c>
      <c r="E5792" s="117">
        <v>45611</v>
      </c>
      <c r="F5792" s="116">
        <f>COUNTIFS($A$3:A14042,A5792,$B$3:B14042,B5792)</f>
        <v>1</v>
      </c>
      <c r="G5792" s="116"/>
    </row>
    <row r="5793" spans="1:7" x14ac:dyDescent="0.2">
      <c r="A5793" s="116">
        <f>IF(ISNUMBER(Tabela2[[#This Row],[CT-e/NFS]])=TRUE,(IF(B5793&gt;30000,4,IF(B5793&lt;1000,"ND",0))),"-")</f>
        <v>4</v>
      </c>
      <c r="B5793" s="116">
        <v>49794</v>
      </c>
      <c r="C5793" s="117">
        <v>45597</v>
      </c>
      <c r="D5793" s="116">
        <v>122.92</v>
      </c>
      <c r="E5793" s="117">
        <v>45611</v>
      </c>
      <c r="F5793" s="116">
        <f>COUNTIFS($A$3:A14043,A5793,$B$3:B14043,B5793)</f>
        <v>1</v>
      </c>
      <c r="G5793" s="116"/>
    </row>
    <row r="5794" spans="1:7" x14ac:dyDescent="0.2">
      <c r="A5794" s="116">
        <f>IF(ISNUMBER(Tabela2[[#This Row],[CT-e/NFS]])=TRUE,(IF(B5794&gt;30000,4,IF(B5794&lt;1000,"ND",0))),"-")</f>
        <v>4</v>
      </c>
      <c r="B5794" s="116">
        <v>49795</v>
      </c>
      <c r="C5794" s="117">
        <v>45597</v>
      </c>
      <c r="D5794" s="116">
        <v>125.81</v>
      </c>
      <c r="E5794" s="117">
        <v>45611</v>
      </c>
      <c r="F5794" s="116">
        <f>COUNTIFS($A$3:A14044,A5794,$B$3:B14044,B5794)</f>
        <v>1</v>
      </c>
      <c r="G5794" s="116"/>
    </row>
    <row r="5795" spans="1:7" x14ac:dyDescent="0.2">
      <c r="A5795" s="116">
        <f>IF(ISNUMBER(Tabela2[[#This Row],[CT-e/NFS]])=TRUE,(IF(B5795&gt;30000,4,IF(B5795&lt;1000,"ND",0))),"-")</f>
        <v>0</v>
      </c>
      <c r="B5795" s="116">
        <v>22254</v>
      </c>
      <c r="C5795" s="117">
        <v>45597</v>
      </c>
      <c r="D5795" s="116">
        <v>108.53</v>
      </c>
      <c r="E5795" s="117">
        <v>45611</v>
      </c>
      <c r="F5795" s="116">
        <f>COUNTIFS($A$3:A14045,A5795,$B$3:B14045,B5795)</f>
        <v>1</v>
      </c>
      <c r="G5795" s="116"/>
    </row>
    <row r="5796" spans="1:7" x14ac:dyDescent="0.2">
      <c r="A5796" s="116">
        <f>IF(ISNUMBER(Tabela2[[#This Row],[CT-e/NFS]])=TRUE,(IF(B5796&gt;30000,4,IF(B5796&lt;1000,"ND",0))),"-")</f>
        <v>0</v>
      </c>
      <c r="B5796" s="116">
        <v>22261</v>
      </c>
      <c r="C5796" s="117">
        <v>45597</v>
      </c>
      <c r="D5796" s="116">
        <v>75.599999999999994</v>
      </c>
      <c r="E5796" s="117">
        <v>45611</v>
      </c>
      <c r="F5796" s="116">
        <f>COUNTIFS($A$3:A14046,A5796,$B$3:B14046,B5796)</f>
        <v>1</v>
      </c>
      <c r="G5796" s="116"/>
    </row>
    <row r="5797" spans="1:7" x14ac:dyDescent="0.2">
      <c r="A5797" s="116">
        <f>IF(ISNUMBER(Tabela2[[#This Row],[CT-e/NFS]])=TRUE,(IF(B5797&gt;30000,4,IF(B5797&lt;1000,"ND",0))),"-")</f>
        <v>0</v>
      </c>
      <c r="B5797" s="116">
        <v>22259</v>
      </c>
      <c r="C5797" s="117">
        <v>45597</v>
      </c>
      <c r="D5797" s="116">
        <v>77.03</v>
      </c>
      <c r="E5797" s="117">
        <v>45611</v>
      </c>
      <c r="F5797" s="116">
        <f>COUNTIFS($A$3:A14047,A5797,$B$3:B14047,B5797)</f>
        <v>1</v>
      </c>
      <c r="G5797" s="116"/>
    </row>
    <row r="5798" spans="1:7" x14ac:dyDescent="0.2">
      <c r="A5798" s="116">
        <f>IF(ISNUMBER(Tabela2[[#This Row],[CT-e/NFS]])=TRUE,(IF(B5798&gt;30000,4,IF(B5798&lt;1000,"ND",0))),"-")</f>
        <v>0</v>
      </c>
      <c r="B5798" s="116">
        <v>22258</v>
      </c>
      <c r="C5798" s="117">
        <v>45597</v>
      </c>
      <c r="D5798" s="116">
        <v>92.94</v>
      </c>
      <c r="E5798" s="117">
        <v>45611</v>
      </c>
      <c r="F5798" s="116">
        <f>COUNTIFS($A$3:A14048,A5798,$B$3:B14048,B5798)</f>
        <v>1</v>
      </c>
      <c r="G5798" s="116"/>
    </row>
    <row r="5799" spans="1:7" x14ac:dyDescent="0.2">
      <c r="A5799" s="116">
        <f>IF(ISNUMBER(Tabela2[[#This Row],[CT-e/NFS]])=TRUE,(IF(B5799&gt;30000,4,IF(B5799&lt;1000,"ND",0))),"-")</f>
        <v>0</v>
      </c>
      <c r="B5799" s="116">
        <v>22257</v>
      </c>
      <c r="C5799" s="117">
        <v>45597</v>
      </c>
      <c r="D5799" s="116">
        <v>81.87</v>
      </c>
      <c r="E5799" s="117">
        <v>45611</v>
      </c>
      <c r="F5799" s="116">
        <f>COUNTIFS($A$3:A14049,A5799,$B$3:B14049,B5799)</f>
        <v>1</v>
      </c>
      <c r="G5799" s="116"/>
    </row>
    <row r="5800" spans="1:7" x14ac:dyDescent="0.2">
      <c r="A5800" s="116">
        <f>IF(ISNUMBER(Tabela2[[#This Row],[CT-e/NFS]])=TRUE,(IF(B5800&gt;30000,4,IF(B5800&lt;1000,"ND",0))),"-")</f>
        <v>0</v>
      </c>
      <c r="B5800" s="116">
        <v>22256</v>
      </c>
      <c r="C5800" s="117">
        <v>45597</v>
      </c>
      <c r="D5800" s="116">
        <v>77.099999999999994</v>
      </c>
      <c r="E5800" s="117">
        <v>45611</v>
      </c>
      <c r="F5800" s="116">
        <f>COUNTIFS($A$3:A14050,A5800,$B$3:B14050,B5800)</f>
        <v>1</v>
      </c>
      <c r="G5800" s="116"/>
    </row>
    <row r="5801" spans="1:7" x14ac:dyDescent="0.2">
      <c r="A5801" s="116">
        <f>IF(ISNUMBER(Tabela2[[#This Row],[CT-e/NFS]])=TRUE,(IF(B5801&gt;30000,4,IF(B5801&lt;1000,"ND",0))),"-")</f>
        <v>0</v>
      </c>
      <c r="B5801" s="116">
        <v>22255</v>
      </c>
      <c r="C5801" s="117">
        <v>45597</v>
      </c>
      <c r="D5801" s="116">
        <v>76.42</v>
      </c>
      <c r="E5801" s="117">
        <v>45611</v>
      </c>
      <c r="F5801" s="116">
        <f>COUNTIFS($A$3:A14051,A5801,$B$3:B14051,B5801)</f>
        <v>1</v>
      </c>
      <c r="G5801" s="116"/>
    </row>
    <row r="5802" spans="1:7" x14ac:dyDescent="0.2">
      <c r="A5802" s="116">
        <f>IF(ISNUMBER(Tabela2[[#This Row],[CT-e/NFS]])=TRUE,(IF(B5802&gt;30000,4,IF(B5802&lt;1000,"ND",0))),"-")</f>
        <v>4</v>
      </c>
      <c r="B5802" s="116">
        <v>49831</v>
      </c>
      <c r="C5802" s="117">
        <v>45597</v>
      </c>
      <c r="D5802" s="116">
        <v>61.94</v>
      </c>
      <c r="E5802" s="117">
        <v>45611</v>
      </c>
      <c r="F5802" s="116">
        <f>COUNTIFS($A$3:A14052,A5802,$B$3:B14052,B5802)</f>
        <v>1</v>
      </c>
      <c r="G5802" s="116"/>
    </row>
    <row r="5803" spans="1:7" x14ac:dyDescent="0.2">
      <c r="A5803" s="116">
        <f>IF(ISNUMBER(Tabela2[[#This Row],[CT-e/NFS]])=TRUE,(IF(B5803&gt;30000,4,IF(B5803&lt;1000,"ND",0))),"-")</f>
        <v>4</v>
      </c>
      <c r="B5803" s="116">
        <v>49832</v>
      </c>
      <c r="C5803" s="117">
        <v>45597</v>
      </c>
      <c r="D5803" s="116">
        <v>111.61</v>
      </c>
      <c r="E5803" s="117">
        <v>45611</v>
      </c>
      <c r="F5803" s="116">
        <f>COUNTIFS($A$3:A14053,A5803,$B$3:B14053,B5803)</f>
        <v>1</v>
      </c>
      <c r="G5803" s="116"/>
    </row>
    <row r="5804" spans="1:7" x14ac:dyDescent="0.2">
      <c r="A5804" s="116">
        <f>IF(ISNUMBER(Tabela2[[#This Row],[CT-e/NFS]])=TRUE,(IF(B5804&gt;30000,4,IF(B5804&lt;1000,"ND",0))),"-")</f>
        <v>4</v>
      </c>
      <c r="B5804" s="116">
        <v>49835</v>
      </c>
      <c r="C5804" s="117">
        <v>45597</v>
      </c>
      <c r="D5804" s="116">
        <v>61.51</v>
      </c>
      <c r="E5804" s="117">
        <v>45611</v>
      </c>
      <c r="F5804" s="116">
        <f>COUNTIFS($A$3:A14054,A5804,$B$3:B14054,B5804)</f>
        <v>1</v>
      </c>
      <c r="G5804" s="116"/>
    </row>
    <row r="5805" spans="1:7" x14ac:dyDescent="0.2">
      <c r="A5805" s="116">
        <f>IF(ISNUMBER(Tabela2[[#This Row],[CT-e/NFS]])=TRUE,(IF(B5805&gt;30000,4,IF(B5805&lt;1000,"ND",0))),"-")</f>
        <v>4</v>
      </c>
      <c r="B5805" s="116">
        <v>49836</v>
      </c>
      <c r="C5805" s="117">
        <v>45597</v>
      </c>
      <c r="D5805" s="116">
        <v>110.76</v>
      </c>
      <c r="E5805" s="117">
        <v>45611</v>
      </c>
      <c r="F5805" s="116">
        <f>COUNTIFS($A$3:A14055,A5805,$B$3:B14055,B5805)</f>
        <v>1</v>
      </c>
      <c r="G5805" s="116"/>
    </row>
    <row r="5806" spans="1:7" x14ac:dyDescent="0.2">
      <c r="A5806" s="116">
        <f>IF(ISNUMBER(Tabela2[[#This Row],[CT-e/NFS]])=TRUE,(IF(B5806&gt;30000,4,IF(B5806&lt;1000,"ND",0))),"-")</f>
        <v>4</v>
      </c>
      <c r="B5806" s="116">
        <v>49837</v>
      </c>
      <c r="C5806" s="117">
        <v>45597</v>
      </c>
      <c r="D5806" s="116">
        <v>122.76</v>
      </c>
      <c r="E5806" s="117">
        <v>45611</v>
      </c>
      <c r="F5806" s="116">
        <f>COUNTIFS($A$3:A14056,A5806,$B$3:B14056,B5806)</f>
        <v>1</v>
      </c>
      <c r="G5806" s="116"/>
    </row>
    <row r="5807" spans="1:7" x14ac:dyDescent="0.2">
      <c r="A5807" s="116">
        <f>IF(ISNUMBER(Tabela2[[#This Row],[CT-e/NFS]])=TRUE,(IF(B5807&gt;30000,4,IF(B5807&lt;1000,"ND",0))),"-")</f>
        <v>4</v>
      </c>
      <c r="B5807" s="116">
        <v>49828</v>
      </c>
      <c r="C5807" s="117">
        <v>45597</v>
      </c>
      <c r="D5807" s="116">
        <v>124.08</v>
      </c>
      <c r="E5807" s="117">
        <v>45611</v>
      </c>
      <c r="F5807" s="116">
        <f>COUNTIFS($A$3:A14057,A5807,$B$3:B14057,B5807)</f>
        <v>1</v>
      </c>
      <c r="G5807" s="116"/>
    </row>
    <row r="5808" spans="1:7" x14ac:dyDescent="0.2">
      <c r="A5808" s="116">
        <f>IF(ISNUMBER(Tabela2[[#This Row],[CT-e/NFS]])=TRUE,(IF(B5808&gt;30000,4,IF(B5808&lt;1000,"ND",0))),"-")</f>
        <v>4</v>
      </c>
      <c r="B5808" s="116">
        <v>49826</v>
      </c>
      <c r="C5808" s="117">
        <v>45597</v>
      </c>
      <c r="D5808" s="116">
        <v>136.06</v>
      </c>
      <c r="E5808" s="117">
        <v>45611</v>
      </c>
      <c r="F5808" s="116">
        <f>COUNTIFS($A$3:A14058,A5808,$B$3:B14058,B5808)</f>
        <v>1</v>
      </c>
      <c r="G5808" s="116"/>
    </row>
    <row r="5809" spans="1:7" x14ac:dyDescent="0.2">
      <c r="A5809" s="116">
        <f>IF(ISNUMBER(Tabela2[[#This Row],[CT-e/NFS]])=TRUE,(IF(B5809&gt;30000,4,IF(B5809&lt;1000,"ND",0))),"-")</f>
        <v>4</v>
      </c>
      <c r="B5809" s="116">
        <v>49830</v>
      </c>
      <c r="C5809" s="117">
        <v>45597</v>
      </c>
      <c r="D5809" s="116">
        <v>122.92</v>
      </c>
      <c r="E5809" s="117">
        <v>45611</v>
      </c>
      <c r="F5809" s="116">
        <f>COUNTIFS($A$3:A14059,A5809,$B$3:B14059,B5809)</f>
        <v>1</v>
      </c>
      <c r="G5809" s="116"/>
    </row>
    <row r="5810" spans="1:7" x14ac:dyDescent="0.2">
      <c r="A5810" s="116">
        <f>IF(ISNUMBER(Tabela2[[#This Row],[CT-e/NFS]])=TRUE,(IF(B5810&gt;30000,4,IF(B5810&lt;1000,"ND",0))),"-")</f>
        <v>4</v>
      </c>
      <c r="B5810" s="116">
        <v>49820</v>
      </c>
      <c r="C5810" s="117">
        <v>45597</v>
      </c>
      <c r="D5810" s="116">
        <v>147.32</v>
      </c>
      <c r="E5810" s="117">
        <v>45611</v>
      </c>
      <c r="F5810" s="116">
        <f>COUNTIFS($A$3:A14060,A5810,$B$3:B14060,B5810)</f>
        <v>1</v>
      </c>
      <c r="G5810" s="116"/>
    </row>
    <row r="5811" spans="1:7" x14ac:dyDescent="0.2">
      <c r="A5811" s="116">
        <f>IF(ISNUMBER(Tabela2[[#This Row],[CT-e/NFS]])=TRUE,(IF(B5811&gt;30000,4,IF(B5811&lt;1000,"ND",0))),"-")</f>
        <v>4</v>
      </c>
      <c r="B5811" s="116">
        <v>49819</v>
      </c>
      <c r="C5811" s="117">
        <v>45597</v>
      </c>
      <c r="D5811" s="116">
        <v>529.20000000000005</v>
      </c>
      <c r="E5811" s="117">
        <v>45611</v>
      </c>
      <c r="F5811" s="116">
        <f>COUNTIFS($A$3:A14061,A5811,$B$3:B14061,B5811)</f>
        <v>1</v>
      </c>
      <c r="G5811" s="116"/>
    </row>
    <row r="5812" spans="1:7" x14ac:dyDescent="0.2">
      <c r="A5812" s="116">
        <f>IF(ISNUMBER(Tabela2[[#This Row],[CT-e/NFS]])=TRUE,(IF(B5812&gt;30000,4,IF(B5812&lt;1000,"ND",0))),"-")</f>
        <v>4</v>
      </c>
      <c r="B5812" s="116">
        <v>49827</v>
      </c>
      <c r="C5812" s="117">
        <v>45597</v>
      </c>
      <c r="D5812" s="116">
        <v>241.85</v>
      </c>
      <c r="E5812" s="117">
        <v>45611</v>
      </c>
      <c r="F5812" s="116">
        <f>COUNTIFS($A$3:A14062,A5812,$B$3:B14062,B5812)</f>
        <v>1</v>
      </c>
      <c r="G5812" s="116"/>
    </row>
    <row r="5813" spans="1:7" x14ac:dyDescent="0.2">
      <c r="A5813" s="116">
        <f>IF(ISNUMBER(Tabela2[[#This Row],[CT-e/NFS]])=TRUE,(IF(B5813&gt;30000,4,IF(B5813&lt;1000,"ND",0))),"-")</f>
        <v>4</v>
      </c>
      <c r="B5813" s="116">
        <v>49817</v>
      </c>
      <c r="C5813" s="117">
        <v>45597</v>
      </c>
      <c r="D5813" s="116">
        <v>232.82</v>
      </c>
      <c r="E5813" s="117">
        <v>45611</v>
      </c>
      <c r="F5813" s="116">
        <f>COUNTIFS($A$3:A14063,A5813,$B$3:B14063,B5813)</f>
        <v>1</v>
      </c>
      <c r="G5813" s="116"/>
    </row>
    <row r="5814" spans="1:7" x14ac:dyDescent="0.2">
      <c r="A5814" s="116">
        <f>IF(ISNUMBER(Tabela2[[#This Row],[CT-e/NFS]])=TRUE,(IF(B5814&gt;30000,4,IF(B5814&lt;1000,"ND",0))),"-")</f>
        <v>4</v>
      </c>
      <c r="B5814" s="116">
        <v>49821</v>
      </c>
      <c r="C5814" s="117">
        <v>45597</v>
      </c>
      <c r="D5814" s="116">
        <v>125.07</v>
      </c>
      <c r="E5814" s="117">
        <v>45611</v>
      </c>
      <c r="F5814" s="116">
        <f>COUNTIFS($A$3:A14064,A5814,$B$3:B14064,B5814)</f>
        <v>1</v>
      </c>
      <c r="G5814" s="116"/>
    </row>
    <row r="5815" spans="1:7" x14ac:dyDescent="0.2">
      <c r="A5815" s="116">
        <f>IF(ISNUMBER(Tabela2[[#This Row],[CT-e/NFS]])=TRUE,(IF(B5815&gt;30000,4,IF(B5815&lt;1000,"ND",0))),"-")</f>
        <v>4</v>
      </c>
      <c r="B5815" s="116">
        <v>49824</v>
      </c>
      <c r="C5815" s="117">
        <v>45597</v>
      </c>
      <c r="D5815" s="116">
        <v>124.53</v>
      </c>
      <c r="E5815" s="117">
        <v>45611</v>
      </c>
      <c r="F5815" s="116">
        <f>COUNTIFS($A$3:A14065,A5815,$B$3:B14065,B5815)</f>
        <v>1</v>
      </c>
      <c r="G5815" s="116"/>
    </row>
    <row r="5816" spans="1:7" x14ac:dyDescent="0.2">
      <c r="A5816" s="116">
        <f>IF(ISNUMBER(Tabela2[[#This Row],[CT-e/NFS]])=TRUE,(IF(B5816&gt;30000,4,IF(B5816&lt;1000,"ND",0))),"-")</f>
        <v>4</v>
      </c>
      <c r="B5816" s="116">
        <v>49829</v>
      </c>
      <c r="C5816" s="117">
        <v>45597</v>
      </c>
      <c r="D5816" s="116">
        <v>238.82</v>
      </c>
      <c r="E5816" s="117">
        <v>45611</v>
      </c>
      <c r="F5816" s="116">
        <f>COUNTIFS($A$3:A14066,A5816,$B$3:B14066,B5816)</f>
        <v>1</v>
      </c>
      <c r="G5816" s="116"/>
    </row>
    <row r="5817" spans="1:7" x14ac:dyDescent="0.2">
      <c r="A5817" s="116">
        <f>IF(ISNUMBER(Tabela2[[#This Row],[CT-e/NFS]])=TRUE,(IF(B5817&gt;30000,4,IF(B5817&lt;1000,"ND",0))),"-")</f>
        <v>4</v>
      </c>
      <c r="B5817" s="116">
        <v>49822</v>
      </c>
      <c r="C5817" s="117">
        <v>45597</v>
      </c>
      <c r="D5817" s="116">
        <v>123.99</v>
      </c>
      <c r="E5817" s="117">
        <v>45611</v>
      </c>
      <c r="F5817" s="116">
        <f>COUNTIFS($A$3:A14067,A5817,$B$3:B14067,B5817)</f>
        <v>1</v>
      </c>
      <c r="G5817" s="116"/>
    </row>
    <row r="5818" spans="1:7" x14ac:dyDescent="0.2">
      <c r="A5818" s="116">
        <f>IF(ISNUMBER(Tabela2[[#This Row],[CT-e/NFS]])=TRUE,(IF(B5818&gt;30000,4,IF(B5818&lt;1000,"ND",0))),"-")</f>
        <v>4</v>
      </c>
      <c r="B5818" s="116">
        <v>49823</v>
      </c>
      <c r="C5818" s="117">
        <v>45597</v>
      </c>
      <c r="D5818" s="116">
        <v>125.69</v>
      </c>
      <c r="E5818" s="117">
        <v>45611</v>
      </c>
      <c r="F5818" s="116">
        <f>COUNTIFS($A$3:A14068,A5818,$B$3:B14068,B5818)</f>
        <v>1</v>
      </c>
      <c r="G5818" s="116"/>
    </row>
    <row r="5819" spans="1:7" x14ac:dyDescent="0.2">
      <c r="A5819" s="116">
        <f>IF(ISNUMBER(Tabela2[[#This Row],[CT-e/NFS]])=TRUE,(IF(B5819&gt;30000,4,IF(B5819&lt;1000,"ND",0))),"-")</f>
        <v>4</v>
      </c>
      <c r="B5819" s="116">
        <v>49818</v>
      </c>
      <c r="C5819" s="117">
        <v>45597</v>
      </c>
      <c r="D5819" s="116">
        <v>126.22</v>
      </c>
      <c r="E5819" s="117">
        <v>45611</v>
      </c>
      <c r="F5819" s="116">
        <f>COUNTIFS($A$3:A14069,A5819,$B$3:B14069,B5819)</f>
        <v>1</v>
      </c>
      <c r="G5819" s="116"/>
    </row>
    <row r="5820" spans="1:7" x14ac:dyDescent="0.2">
      <c r="A5820" s="116">
        <f>IF(ISNUMBER(Tabela2[[#This Row],[CT-e/NFS]])=TRUE,(IF(B5820&gt;30000,4,IF(B5820&lt;1000,"ND",0))),"-")</f>
        <v>4</v>
      </c>
      <c r="B5820" s="116">
        <v>49825</v>
      </c>
      <c r="C5820" s="117">
        <v>45597</v>
      </c>
      <c r="D5820" s="116">
        <v>123.99</v>
      </c>
      <c r="E5820" s="117">
        <v>45611</v>
      </c>
      <c r="F5820" s="116">
        <f>COUNTIFS($A$3:A14070,A5820,$B$3:B14070,B5820)</f>
        <v>1</v>
      </c>
      <c r="G5820" s="116"/>
    </row>
    <row r="5821" spans="1:7" x14ac:dyDescent="0.2">
      <c r="A5821" s="116">
        <f>IF(ISNUMBER(Tabela2[[#This Row],[CT-e/NFS]])=TRUE,(IF(B5821&gt;30000,4,IF(B5821&lt;1000,"ND",0))),"-")</f>
        <v>4</v>
      </c>
      <c r="B5821" s="116">
        <v>49816</v>
      </c>
      <c r="C5821" s="117">
        <v>45597</v>
      </c>
      <c r="D5821" s="116">
        <v>609.98</v>
      </c>
      <c r="E5821" s="117">
        <v>45611</v>
      </c>
      <c r="F5821" s="116">
        <f>COUNTIFS($A$3:A14071,A5821,$B$3:B14071,B5821)</f>
        <v>1</v>
      </c>
      <c r="G5821" s="116"/>
    </row>
    <row r="5822" spans="1:7" x14ac:dyDescent="0.2">
      <c r="A5822" s="116">
        <f>IF(ISNUMBER(Tabela2[[#This Row],[CT-e/NFS]])=TRUE,(IF(B5822&gt;30000,4,IF(B5822&lt;1000,"ND",0))),"-")</f>
        <v>0</v>
      </c>
      <c r="B5822" s="116">
        <v>22262</v>
      </c>
      <c r="C5822" s="117">
        <v>45597</v>
      </c>
      <c r="D5822" s="116">
        <v>76.900000000000006</v>
      </c>
      <c r="E5822" s="117">
        <v>45611</v>
      </c>
      <c r="F5822" s="116">
        <f>COUNTIFS($A$3:A14072,A5822,$B$3:B14072,B5822)</f>
        <v>1</v>
      </c>
      <c r="G5822" s="116"/>
    </row>
    <row r="5823" spans="1:7" x14ac:dyDescent="0.2">
      <c r="A5823" s="116">
        <f>IF(ISNUMBER(Tabela2[[#This Row],[CT-e/NFS]])=TRUE,(IF(B5823&gt;30000,4,IF(B5823&lt;1000,"ND",0))),"-")</f>
        <v>0</v>
      </c>
      <c r="B5823" s="116">
        <v>22263</v>
      </c>
      <c r="C5823" s="117">
        <v>45597</v>
      </c>
      <c r="D5823" s="116">
        <v>76.349999999999994</v>
      </c>
      <c r="E5823" s="117">
        <v>45611</v>
      </c>
      <c r="F5823" s="116">
        <f>COUNTIFS($A$3:A14073,A5823,$B$3:B14073,B5823)</f>
        <v>1</v>
      </c>
      <c r="G5823" s="116"/>
    </row>
    <row r="5824" spans="1:7" x14ac:dyDescent="0.2">
      <c r="A5824" s="116">
        <f>IF(ISNUMBER(Tabela2[[#This Row],[CT-e/NFS]])=TRUE,(IF(B5824&gt;30000,4,IF(B5824&lt;1000,"ND",0))),"-")</f>
        <v>4</v>
      </c>
      <c r="B5824" s="116">
        <v>49841</v>
      </c>
      <c r="C5824" s="117">
        <v>45597</v>
      </c>
      <c r="D5824" s="116">
        <v>936.1</v>
      </c>
      <c r="E5824" s="117">
        <v>45611</v>
      </c>
      <c r="F5824" s="116">
        <f>COUNTIFS($A$3:A14074,A5824,$B$3:B14074,B5824)</f>
        <v>1</v>
      </c>
      <c r="G5824" s="116"/>
    </row>
    <row r="5825" spans="1:7" x14ac:dyDescent="0.2">
      <c r="A5825" s="116">
        <f>IF(ISNUMBER(Tabela2[[#This Row],[CT-e/NFS]])=TRUE,(IF(B5825&gt;30000,4,IF(B5825&lt;1000,"ND",0))),"-")</f>
        <v>4</v>
      </c>
      <c r="B5825" s="116">
        <v>49842</v>
      </c>
      <c r="C5825" s="117">
        <v>45597</v>
      </c>
      <c r="D5825" s="116">
        <v>197.25</v>
      </c>
      <c r="E5825" s="117">
        <v>45611</v>
      </c>
      <c r="F5825" s="116">
        <f>COUNTIFS($A$3:A14075,A5825,$B$3:B14075,B5825)</f>
        <v>1</v>
      </c>
      <c r="G5825" s="116"/>
    </row>
    <row r="5826" spans="1:7" x14ac:dyDescent="0.2">
      <c r="A5826" s="116">
        <f>IF(ISNUMBER(Tabela2[[#This Row],[CT-e/NFS]])=TRUE,(IF(B5826&gt;30000,4,IF(B5826&lt;1000,"ND",0))),"-")</f>
        <v>4</v>
      </c>
      <c r="B5826" s="116">
        <v>49847</v>
      </c>
      <c r="C5826" s="117">
        <v>45597</v>
      </c>
      <c r="D5826" s="116">
        <v>125.26</v>
      </c>
      <c r="E5826" s="117">
        <v>45611</v>
      </c>
      <c r="F5826" s="116">
        <f>COUNTIFS($A$3:A14076,A5826,$B$3:B14076,B5826)</f>
        <v>1</v>
      </c>
      <c r="G5826" s="116"/>
    </row>
    <row r="5827" spans="1:7" x14ac:dyDescent="0.2">
      <c r="A5827" s="116">
        <f>IF(ISNUMBER(Tabela2[[#This Row],[CT-e/NFS]])=TRUE,(IF(B5827&gt;30000,4,IF(B5827&lt;1000,"ND",0))),"-")</f>
        <v>4</v>
      </c>
      <c r="B5827" s="116">
        <v>49853</v>
      </c>
      <c r="C5827" s="117">
        <v>45597</v>
      </c>
      <c r="D5827" s="116">
        <v>124.52</v>
      </c>
      <c r="E5827" s="117">
        <v>45611</v>
      </c>
      <c r="F5827" s="116">
        <f>COUNTIFS($A$3:A14077,A5827,$B$3:B14077,B5827)</f>
        <v>1</v>
      </c>
      <c r="G5827" s="116"/>
    </row>
    <row r="5828" spans="1:7" x14ac:dyDescent="0.2">
      <c r="A5828" s="116">
        <f>IF(ISNUMBER(Tabela2[[#This Row],[CT-e/NFS]])=TRUE,(IF(B5828&gt;30000,4,IF(B5828&lt;1000,"ND",0))),"-")</f>
        <v>4</v>
      </c>
      <c r="B5828" s="116">
        <v>49848</v>
      </c>
      <c r="C5828" s="117">
        <v>45597</v>
      </c>
      <c r="D5828" s="116">
        <v>123.99</v>
      </c>
      <c r="E5828" s="117">
        <v>45611</v>
      </c>
      <c r="F5828" s="116">
        <f>COUNTIFS($A$3:A14078,A5828,$B$3:B14078,B5828)</f>
        <v>1</v>
      </c>
      <c r="G5828" s="116"/>
    </row>
    <row r="5829" spans="1:7" x14ac:dyDescent="0.2">
      <c r="A5829" s="116">
        <f>IF(ISNUMBER(Tabela2[[#This Row],[CT-e/NFS]])=TRUE,(IF(B5829&gt;30000,4,IF(B5829&lt;1000,"ND",0))),"-")</f>
        <v>4</v>
      </c>
      <c r="B5829" s="116">
        <v>49843</v>
      </c>
      <c r="C5829" s="117">
        <v>45597</v>
      </c>
      <c r="D5829" s="116">
        <v>743.63</v>
      </c>
      <c r="E5829" s="117">
        <v>45611</v>
      </c>
      <c r="F5829" s="116">
        <f>COUNTIFS($A$3:A14079,A5829,$B$3:B14079,B5829)</f>
        <v>1</v>
      </c>
      <c r="G5829" s="116"/>
    </row>
    <row r="5830" spans="1:7" x14ac:dyDescent="0.2">
      <c r="A5830" s="116">
        <f>IF(ISNUMBER(Tabela2[[#This Row],[CT-e/NFS]])=TRUE,(IF(B5830&gt;30000,4,IF(B5830&lt;1000,"ND",0))),"-")</f>
        <v>4</v>
      </c>
      <c r="B5830" s="116">
        <v>49850</v>
      </c>
      <c r="C5830" s="117">
        <v>45597</v>
      </c>
      <c r="D5830" s="116">
        <v>124.3</v>
      </c>
      <c r="E5830" s="117">
        <v>45611</v>
      </c>
      <c r="F5830" s="116">
        <f>COUNTIFS($A$3:A14080,A5830,$B$3:B14080,B5830)</f>
        <v>1</v>
      </c>
      <c r="G5830" s="116"/>
    </row>
    <row r="5831" spans="1:7" x14ac:dyDescent="0.2">
      <c r="A5831" s="116">
        <f>IF(ISNUMBER(Tabela2[[#This Row],[CT-e/NFS]])=TRUE,(IF(B5831&gt;30000,4,IF(B5831&lt;1000,"ND",0))),"-")</f>
        <v>4</v>
      </c>
      <c r="B5831" s="116">
        <v>49851</v>
      </c>
      <c r="C5831" s="117">
        <v>45597</v>
      </c>
      <c r="D5831" s="116">
        <v>126.65</v>
      </c>
      <c r="E5831" s="117">
        <v>45611</v>
      </c>
      <c r="F5831" s="116">
        <f>COUNTIFS($A$3:A14081,A5831,$B$3:B14081,B5831)</f>
        <v>1</v>
      </c>
      <c r="G5831" s="116"/>
    </row>
    <row r="5832" spans="1:7" x14ac:dyDescent="0.2">
      <c r="A5832" s="116">
        <f>IF(ISNUMBER(Tabela2[[#This Row],[CT-e/NFS]])=TRUE,(IF(B5832&gt;30000,4,IF(B5832&lt;1000,"ND",0))),"-")</f>
        <v>4</v>
      </c>
      <c r="B5832" s="116">
        <v>49852</v>
      </c>
      <c r="C5832" s="117">
        <v>45597</v>
      </c>
      <c r="D5832" s="116">
        <v>126.6</v>
      </c>
      <c r="E5832" s="117">
        <v>45611</v>
      </c>
      <c r="F5832" s="116">
        <f>COUNTIFS($A$3:A14082,A5832,$B$3:B14082,B5832)</f>
        <v>1</v>
      </c>
      <c r="G5832" s="116"/>
    </row>
    <row r="5833" spans="1:7" x14ac:dyDescent="0.2">
      <c r="A5833" s="116">
        <f>IF(ISNUMBER(Tabela2[[#This Row],[CT-e/NFS]])=TRUE,(IF(B5833&gt;30000,4,IF(B5833&lt;1000,"ND",0))),"-")</f>
        <v>4</v>
      </c>
      <c r="B5833" s="116">
        <v>49844</v>
      </c>
      <c r="C5833" s="117">
        <v>45597</v>
      </c>
      <c r="D5833" s="116">
        <v>123.13</v>
      </c>
      <c r="E5833" s="117">
        <v>45611</v>
      </c>
      <c r="F5833" s="116">
        <f>COUNTIFS($A$3:A14083,A5833,$B$3:B14083,B5833)</f>
        <v>1</v>
      </c>
      <c r="G5833" s="116"/>
    </row>
    <row r="5834" spans="1:7" x14ac:dyDescent="0.2">
      <c r="A5834" s="116">
        <f>IF(ISNUMBER(Tabela2[[#This Row],[CT-e/NFS]])=TRUE,(IF(B5834&gt;30000,4,IF(B5834&lt;1000,"ND",0))),"-")</f>
        <v>4</v>
      </c>
      <c r="B5834" s="116">
        <v>49840</v>
      </c>
      <c r="C5834" s="117">
        <v>45597</v>
      </c>
      <c r="D5834" s="116">
        <v>1245.6099999999999</v>
      </c>
      <c r="E5834" s="117">
        <v>45611</v>
      </c>
      <c r="F5834" s="116">
        <f>COUNTIFS($A$3:A14084,A5834,$B$3:B14084,B5834)</f>
        <v>1</v>
      </c>
      <c r="G5834" s="116"/>
    </row>
    <row r="5835" spans="1:7" x14ac:dyDescent="0.2">
      <c r="A5835" s="116">
        <f>IF(ISNUMBER(Tabela2[[#This Row],[CT-e/NFS]])=TRUE,(IF(B5835&gt;30000,4,IF(B5835&lt;1000,"ND",0))),"-")</f>
        <v>4</v>
      </c>
      <c r="B5835" s="116">
        <v>49845</v>
      </c>
      <c r="C5835" s="117">
        <v>45597</v>
      </c>
      <c r="D5835" s="116">
        <v>124.89</v>
      </c>
      <c r="E5835" s="117">
        <v>45611</v>
      </c>
      <c r="F5835" s="116">
        <f>COUNTIFS($A$3:A14085,A5835,$B$3:B14085,B5835)</f>
        <v>1</v>
      </c>
      <c r="G5835" s="116"/>
    </row>
    <row r="5836" spans="1:7" x14ac:dyDescent="0.2">
      <c r="A5836" s="116">
        <f>IF(ISNUMBER(Tabela2[[#This Row],[CT-e/NFS]])=TRUE,(IF(B5836&gt;30000,4,IF(B5836&lt;1000,"ND",0))),"-")</f>
        <v>4</v>
      </c>
      <c r="B5836" s="116">
        <v>49849</v>
      </c>
      <c r="C5836" s="117">
        <v>45597</v>
      </c>
      <c r="D5836" s="116">
        <v>260.85000000000002</v>
      </c>
      <c r="E5836" s="117">
        <v>45611</v>
      </c>
      <c r="F5836" s="116">
        <f>COUNTIFS($A$3:A14086,A5836,$B$3:B14086,B5836)</f>
        <v>1</v>
      </c>
      <c r="G5836" s="116"/>
    </row>
    <row r="5837" spans="1:7" x14ac:dyDescent="0.2">
      <c r="A5837" s="116">
        <f>IF(ISNUMBER(Tabela2[[#This Row],[CT-e/NFS]])=TRUE,(IF(B5837&gt;30000,4,IF(B5837&lt;1000,"ND",0))),"-")</f>
        <v>4</v>
      </c>
      <c r="B5837" s="116">
        <v>49846</v>
      </c>
      <c r="C5837" s="117">
        <v>45597</v>
      </c>
      <c r="D5837" s="116">
        <v>292.89</v>
      </c>
      <c r="E5837" s="117">
        <v>45611</v>
      </c>
      <c r="F5837" s="116">
        <f>COUNTIFS($A$3:A14087,A5837,$B$3:B14087,B5837)</f>
        <v>1</v>
      </c>
      <c r="G5837" s="116"/>
    </row>
    <row r="5838" spans="1:7" x14ac:dyDescent="0.2">
      <c r="A5838" s="116">
        <f>IF(ISNUMBER(Tabela2[[#This Row],[CT-e/NFS]])=TRUE,(IF(B5838&gt;30000,4,IF(B5838&lt;1000,"ND",0))),"-")</f>
        <v>0</v>
      </c>
      <c r="B5838" s="116">
        <v>22265</v>
      </c>
      <c r="C5838" s="117">
        <v>45597</v>
      </c>
      <c r="D5838" s="116">
        <v>124.2</v>
      </c>
      <c r="E5838" s="117">
        <v>45611</v>
      </c>
      <c r="F5838" s="116">
        <f>COUNTIFS($A$3:A14088,A5838,$B$3:B14088,B5838)</f>
        <v>1</v>
      </c>
      <c r="G5838" s="116"/>
    </row>
    <row r="5839" spans="1:7" x14ac:dyDescent="0.2">
      <c r="A5839" s="116">
        <f>IF(ISNUMBER(Tabela2[[#This Row],[CT-e/NFS]])=TRUE,(IF(B5839&gt;30000,4,IF(B5839&lt;1000,"ND",0))),"-")</f>
        <v>0</v>
      </c>
      <c r="B5839" s="116">
        <v>22270</v>
      </c>
      <c r="C5839" s="117">
        <v>45597</v>
      </c>
      <c r="D5839" s="116">
        <v>76.53</v>
      </c>
      <c r="E5839" s="117">
        <v>45611</v>
      </c>
      <c r="F5839" s="116">
        <f>COUNTIFS($A$3:A14089,A5839,$B$3:B14089,B5839)</f>
        <v>1</v>
      </c>
      <c r="G5839" s="116"/>
    </row>
    <row r="5840" spans="1:7" x14ac:dyDescent="0.2">
      <c r="A5840" s="116">
        <f>IF(ISNUMBER(Tabela2[[#This Row],[CT-e/NFS]])=TRUE,(IF(B5840&gt;30000,4,IF(B5840&lt;1000,"ND",0))),"-")</f>
        <v>0</v>
      </c>
      <c r="B5840" s="116">
        <v>22269</v>
      </c>
      <c r="C5840" s="117">
        <v>45597</v>
      </c>
      <c r="D5840" s="116">
        <v>75.86</v>
      </c>
      <c r="E5840" s="117">
        <v>45611</v>
      </c>
      <c r="F5840" s="116">
        <f>COUNTIFS($A$3:A14090,A5840,$B$3:B14090,B5840)</f>
        <v>1</v>
      </c>
      <c r="G5840" s="116"/>
    </row>
    <row r="5841" spans="1:7" x14ac:dyDescent="0.2">
      <c r="A5841" s="116">
        <f>IF(ISNUMBER(Tabela2[[#This Row],[CT-e/NFS]])=TRUE,(IF(B5841&gt;30000,4,IF(B5841&lt;1000,"ND",0))),"-")</f>
        <v>0</v>
      </c>
      <c r="B5841" s="116">
        <v>22268</v>
      </c>
      <c r="C5841" s="117">
        <v>45597</v>
      </c>
      <c r="D5841" s="116">
        <v>75.81</v>
      </c>
      <c r="E5841" s="117">
        <v>45611</v>
      </c>
      <c r="F5841" s="116">
        <f>COUNTIFS($A$3:A14091,A5841,$B$3:B14091,B5841)</f>
        <v>1</v>
      </c>
      <c r="G5841" s="116"/>
    </row>
    <row r="5842" spans="1:7" x14ac:dyDescent="0.2">
      <c r="A5842" s="116">
        <f>IF(ISNUMBER(Tabela2[[#This Row],[CT-e/NFS]])=TRUE,(IF(B5842&gt;30000,4,IF(B5842&lt;1000,"ND",0))),"-")</f>
        <v>0</v>
      </c>
      <c r="B5842" s="116">
        <v>22267</v>
      </c>
      <c r="C5842" s="117">
        <v>45597</v>
      </c>
      <c r="D5842" s="116">
        <v>76.52</v>
      </c>
      <c r="E5842" s="117">
        <v>45611</v>
      </c>
      <c r="F5842" s="116">
        <f>COUNTIFS($A$3:A14092,A5842,$B$3:B14092,B5842)</f>
        <v>1</v>
      </c>
      <c r="G5842" s="116"/>
    </row>
    <row r="5843" spans="1:7" x14ac:dyDescent="0.2">
      <c r="A5843" s="116">
        <f>IF(ISNUMBER(Tabela2[[#This Row],[CT-e/NFS]])=TRUE,(IF(B5843&gt;30000,4,IF(B5843&lt;1000,"ND",0))),"-")</f>
        <v>0</v>
      </c>
      <c r="B5843" s="116">
        <v>22266</v>
      </c>
      <c r="C5843" s="117">
        <v>45597</v>
      </c>
      <c r="D5843" s="116">
        <v>77.260000000000005</v>
      </c>
      <c r="E5843" s="117">
        <v>45611</v>
      </c>
      <c r="F5843" s="116">
        <f>COUNTIFS($A$3:A14093,A5843,$B$3:B14093,B5843)</f>
        <v>1</v>
      </c>
      <c r="G5843" s="116"/>
    </row>
    <row r="5844" spans="1:7" x14ac:dyDescent="0.2">
      <c r="A5844" s="116">
        <f>IF(ISNUMBER(Tabela2[[#This Row],[CT-e/NFS]])=TRUE,(IF(B5844&gt;30000,4,IF(B5844&lt;1000,"ND",0))),"-")</f>
        <v>4</v>
      </c>
      <c r="B5844" s="116">
        <v>49859</v>
      </c>
      <c r="C5844" s="117">
        <v>45597</v>
      </c>
      <c r="D5844" s="116">
        <v>314.39</v>
      </c>
      <c r="E5844" s="117">
        <v>45611</v>
      </c>
      <c r="F5844" s="116">
        <f>COUNTIFS($A$3:A14094,A5844,$B$3:B14094,B5844)</f>
        <v>1</v>
      </c>
      <c r="G5844" s="116"/>
    </row>
    <row r="5845" spans="1:7" x14ac:dyDescent="0.2">
      <c r="A5845" s="116">
        <f>IF(ISNUMBER(Tabela2[[#This Row],[CT-e/NFS]])=TRUE,(IF(B5845&gt;30000,4,IF(B5845&lt;1000,"ND",0))),"-")</f>
        <v>4</v>
      </c>
      <c r="B5845" s="116">
        <v>49858</v>
      </c>
      <c r="C5845" s="117">
        <v>45597</v>
      </c>
      <c r="D5845" s="116">
        <v>238.86</v>
      </c>
      <c r="E5845" s="117">
        <v>45611</v>
      </c>
      <c r="F5845" s="116">
        <f>COUNTIFS($A$3:A14095,A5845,$B$3:B14095,B5845)</f>
        <v>1</v>
      </c>
      <c r="G5845" s="116"/>
    </row>
    <row r="5846" spans="1:7" x14ac:dyDescent="0.2">
      <c r="A5846" s="116">
        <f>IF(ISNUMBER(Tabela2[[#This Row],[CT-e/NFS]])=TRUE,(IF(B5846&gt;30000,4,IF(B5846&lt;1000,"ND",0))),"-")</f>
        <v>4</v>
      </c>
      <c r="B5846" s="116">
        <v>49879</v>
      </c>
      <c r="C5846" s="117">
        <v>45597</v>
      </c>
      <c r="D5846" s="116">
        <v>111.58</v>
      </c>
      <c r="E5846" s="117">
        <v>45611</v>
      </c>
      <c r="F5846" s="116">
        <f>COUNTIFS($A$3:A14096,A5846,$B$3:B14096,B5846)</f>
        <v>1</v>
      </c>
      <c r="G5846" s="116"/>
    </row>
    <row r="5847" spans="1:7" x14ac:dyDescent="0.2">
      <c r="A5847" s="116">
        <f>IF(ISNUMBER(Tabela2[[#This Row],[CT-e/NFS]])=TRUE,(IF(B5847&gt;30000,4,IF(B5847&lt;1000,"ND",0))),"-")</f>
        <v>4</v>
      </c>
      <c r="B5847" s="116">
        <v>49878</v>
      </c>
      <c r="C5847" s="117">
        <v>45597</v>
      </c>
      <c r="D5847" s="116">
        <v>62</v>
      </c>
      <c r="E5847" s="117">
        <v>45611</v>
      </c>
      <c r="F5847" s="116">
        <f>COUNTIFS($A$3:A14097,A5847,$B$3:B14097,B5847)</f>
        <v>1</v>
      </c>
      <c r="G5847" s="116"/>
    </row>
    <row r="5848" spans="1:7" x14ac:dyDescent="0.2">
      <c r="A5848" s="116">
        <f>IF(ISNUMBER(Tabela2[[#This Row],[CT-e/NFS]])=TRUE,(IF(B5848&gt;30000,4,IF(B5848&lt;1000,"ND",0))),"-")</f>
        <v>4</v>
      </c>
      <c r="B5848" s="116">
        <v>49871</v>
      </c>
      <c r="C5848" s="117">
        <v>45597</v>
      </c>
      <c r="D5848" s="116">
        <v>123.5</v>
      </c>
      <c r="E5848" s="117">
        <v>45611</v>
      </c>
      <c r="F5848" s="116">
        <f>COUNTIFS($A$3:A14098,A5848,$B$3:B14098,B5848)</f>
        <v>1</v>
      </c>
      <c r="G5848" s="116"/>
    </row>
    <row r="5849" spans="1:7" x14ac:dyDescent="0.2">
      <c r="A5849" s="116">
        <f>IF(ISNUMBER(Tabela2[[#This Row],[CT-e/NFS]])=TRUE,(IF(B5849&gt;30000,4,IF(B5849&lt;1000,"ND",0))),"-")</f>
        <v>4</v>
      </c>
      <c r="B5849" s="116">
        <v>49877</v>
      </c>
      <c r="C5849" s="117">
        <v>45597</v>
      </c>
      <c r="D5849" s="116">
        <v>123.13</v>
      </c>
      <c r="E5849" s="117">
        <v>45611</v>
      </c>
      <c r="F5849" s="116">
        <f>COUNTIFS($A$3:A14099,A5849,$B$3:B14099,B5849)</f>
        <v>1</v>
      </c>
      <c r="G5849" s="116"/>
    </row>
    <row r="5850" spans="1:7" x14ac:dyDescent="0.2">
      <c r="A5850" s="116">
        <f>IF(ISNUMBER(Tabela2[[#This Row],[CT-e/NFS]])=TRUE,(IF(B5850&gt;30000,4,IF(B5850&lt;1000,"ND",0))),"-")</f>
        <v>4</v>
      </c>
      <c r="B5850" s="116">
        <v>49860</v>
      </c>
      <c r="C5850" s="117">
        <v>45597</v>
      </c>
      <c r="D5850" s="116">
        <v>1676.1</v>
      </c>
      <c r="E5850" s="117">
        <v>45611</v>
      </c>
      <c r="F5850" s="116">
        <f>COUNTIFS($A$3:A14100,A5850,$B$3:B14100,B5850)</f>
        <v>1</v>
      </c>
      <c r="G5850" s="116"/>
    </row>
    <row r="5851" spans="1:7" x14ac:dyDescent="0.2">
      <c r="A5851" s="116">
        <f>IF(ISNUMBER(Tabela2[[#This Row],[CT-e/NFS]])=TRUE,(IF(B5851&gt;30000,4,IF(B5851&lt;1000,"ND",0))),"-")</f>
        <v>4</v>
      </c>
      <c r="B5851" s="116">
        <v>49867</v>
      </c>
      <c r="C5851" s="117">
        <v>45597</v>
      </c>
      <c r="D5851" s="116">
        <v>193.92</v>
      </c>
      <c r="E5851" s="117">
        <v>45611</v>
      </c>
      <c r="F5851" s="116">
        <f>COUNTIFS($A$3:A14101,A5851,$B$3:B14101,B5851)</f>
        <v>1</v>
      </c>
      <c r="G5851" s="116"/>
    </row>
    <row r="5852" spans="1:7" x14ac:dyDescent="0.2">
      <c r="A5852" s="116">
        <f>IF(ISNUMBER(Tabela2[[#This Row],[CT-e/NFS]])=TRUE,(IF(B5852&gt;30000,4,IF(B5852&lt;1000,"ND",0))),"-")</f>
        <v>4</v>
      </c>
      <c r="B5852" s="116">
        <v>49868</v>
      </c>
      <c r="C5852" s="117">
        <v>45597</v>
      </c>
      <c r="D5852" s="116">
        <v>193.92</v>
      </c>
      <c r="E5852" s="117">
        <v>45611</v>
      </c>
      <c r="F5852" s="116">
        <f>COUNTIFS($A$3:A14102,A5852,$B$3:B14102,B5852)</f>
        <v>1</v>
      </c>
      <c r="G5852" s="116"/>
    </row>
    <row r="5853" spans="1:7" x14ac:dyDescent="0.2">
      <c r="A5853" s="116">
        <f>IF(ISNUMBER(Tabela2[[#This Row],[CT-e/NFS]])=TRUE,(IF(B5853&gt;30000,4,IF(B5853&lt;1000,"ND",0))),"-")</f>
        <v>4</v>
      </c>
      <c r="B5853" s="116">
        <v>49866</v>
      </c>
      <c r="C5853" s="117">
        <v>45597</v>
      </c>
      <c r="D5853" s="116">
        <v>195.33</v>
      </c>
      <c r="E5853" s="117">
        <v>45611</v>
      </c>
      <c r="F5853" s="116">
        <f>COUNTIFS($A$3:A14103,A5853,$B$3:B14103,B5853)</f>
        <v>1</v>
      </c>
      <c r="G5853" s="116"/>
    </row>
    <row r="5854" spans="1:7" x14ac:dyDescent="0.2">
      <c r="A5854" s="116">
        <f>IF(ISNUMBER(Tabela2[[#This Row],[CT-e/NFS]])=TRUE,(IF(B5854&gt;30000,4,IF(B5854&lt;1000,"ND",0))),"-")</f>
        <v>4</v>
      </c>
      <c r="B5854" s="116">
        <v>49865</v>
      </c>
      <c r="C5854" s="117">
        <v>45597</v>
      </c>
      <c r="D5854" s="116">
        <v>385.42</v>
      </c>
      <c r="E5854" s="117">
        <v>45611</v>
      </c>
      <c r="F5854" s="116">
        <f>COUNTIFS($A$3:A14104,A5854,$B$3:B14104,B5854)</f>
        <v>1</v>
      </c>
      <c r="G5854" s="116"/>
    </row>
    <row r="5855" spans="1:7" x14ac:dyDescent="0.2">
      <c r="A5855" s="116">
        <f>IF(ISNUMBER(Tabela2[[#This Row],[CT-e/NFS]])=TRUE,(IF(B5855&gt;30000,4,IF(B5855&lt;1000,"ND",0))),"-")</f>
        <v>4</v>
      </c>
      <c r="B5855" s="116">
        <v>49862</v>
      </c>
      <c r="C5855" s="117">
        <v>45597</v>
      </c>
      <c r="D5855" s="116">
        <v>460.08</v>
      </c>
      <c r="E5855" s="117">
        <v>45611</v>
      </c>
      <c r="F5855" s="116">
        <f>COUNTIFS($A$3:A14105,A5855,$B$3:B14105,B5855)</f>
        <v>1</v>
      </c>
      <c r="G5855" s="116"/>
    </row>
    <row r="5856" spans="1:7" x14ac:dyDescent="0.2">
      <c r="A5856" s="116">
        <f>IF(ISNUMBER(Tabela2[[#This Row],[CT-e/NFS]])=TRUE,(IF(B5856&gt;30000,4,IF(B5856&lt;1000,"ND",0))),"-")</f>
        <v>4</v>
      </c>
      <c r="B5856" s="116">
        <v>49861</v>
      </c>
      <c r="C5856" s="117">
        <v>45597</v>
      </c>
      <c r="D5856" s="116">
        <v>488.08</v>
      </c>
      <c r="E5856" s="117">
        <v>45611</v>
      </c>
      <c r="F5856" s="116">
        <f>COUNTIFS($A$3:A14106,A5856,$B$3:B14106,B5856)</f>
        <v>1</v>
      </c>
      <c r="G5856" s="116"/>
    </row>
    <row r="5857" spans="1:7" x14ac:dyDescent="0.2">
      <c r="A5857" s="116">
        <f>IF(ISNUMBER(Tabela2[[#This Row],[CT-e/NFS]])=TRUE,(IF(B5857&gt;30000,4,IF(B5857&lt;1000,"ND",0))),"-")</f>
        <v>4</v>
      </c>
      <c r="B5857" s="116">
        <v>49863</v>
      </c>
      <c r="C5857" s="117">
        <v>45597</v>
      </c>
      <c r="D5857" s="116">
        <v>390.07</v>
      </c>
      <c r="E5857" s="117">
        <v>45611</v>
      </c>
      <c r="F5857" s="116">
        <f>COUNTIFS($A$3:A14107,A5857,$B$3:B14107,B5857)</f>
        <v>1</v>
      </c>
      <c r="G5857" s="116"/>
    </row>
    <row r="5858" spans="1:7" x14ac:dyDescent="0.2">
      <c r="A5858" s="116">
        <f>IF(ISNUMBER(Tabela2[[#This Row],[CT-e/NFS]])=TRUE,(IF(B5858&gt;30000,4,IF(B5858&lt;1000,"ND",0))),"-")</f>
        <v>4</v>
      </c>
      <c r="B5858" s="116">
        <v>49864</v>
      </c>
      <c r="C5858" s="117">
        <v>45597</v>
      </c>
      <c r="D5858" s="116">
        <v>420.07</v>
      </c>
      <c r="E5858" s="117">
        <v>45611</v>
      </c>
      <c r="F5858" s="116">
        <f>COUNTIFS($A$3:A14108,A5858,$B$3:B14108,B5858)</f>
        <v>1</v>
      </c>
      <c r="G5858" s="116"/>
    </row>
    <row r="5859" spans="1:7" x14ac:dyDescent="0.2">
      <c r="A5859" s="116">
        <f>IF(ISNUMBER(Tabela2[[#This Row],[CT-e/NFS]])=TRUE,(IF(B5859&gt;30000,4,IF(B5859&lt;1000,"ND",0))),"-")</f>
        <v>4</v>
      </c>
      <c r="B5859" s="116">
        <v>49876</v>
      </c>
      <c r="C5859" s="117">
        <v>45597</v>
      </c>
      <c r="D5859" s="116">
        <v>125.56</v>
      </c>
      <c r="E5859" s="117">
        <v>45611</v>
      </c>
      <c r="F5859" s="116">
        <f>COUNTIFS($A$3:A14109,A5859,$B$3:B14109,B5859)</f>
        <v>1</v>
      </c>
      <c r="G5859" s="116"/>
    </row>
    <row r="5860" spans="1:7" x14ac:dyDescent="0.2">
      <c r="A5860" s="116">
        <f>IF(ISNUMBER(Tabela2[[#This Row],[CT-e/NFS]])=TRUE,(IF(B5860&gt;30000,4,IF(B5860&lt;1000,"ND",0))),"-")</f>
        <v>4</v>
      </c>
      <c r="B5860" s="116">
        <v>49873</v>
      </c>
      <c r="C5860" s="117">
        <v>45597</v>
      </c>
      <c r="D5860" s="116">
        <v>124.19</v>
      </c>
      <c r="E5860" s="117">
        <v>45611</v>
      </c>
      <c r="F5860" s="116">
        <f>COUNTIFS($A$3:A14110,A5860,$B$3:B14110,B5860)</f>
        <v>1</v>
      </c>
      <c r="G5860" s="116"/>
    </row>
    <row r="5861" spans="1:7" x14ac:dyDescent="0.2">
      <c r="A5861" s="116">
        <f>IF(ISNUMBER(Tabela2[[#This Row],[CT-e/NFS]])=TRUE,(IF(B5861&gt;30000,4,IF(B5861&lt;1000,"ND",0))),"-")</f>
        <v>4</v>
      </c>
      <c r="B5861" s="116">
        <v>49869</v>
      </c>
      <c r="C5861" s="117">
        <v>45597</v>
      </c>
      <c r="D5861" s="116">
        <v>123.13</v>
      </c>
      <c r="E5861" s="117">
        <v>45611</v>
      </c>
      <c r="F5861" s="116">
        <f>COUNTIFS($A$3:A14111,A5861,$B$3:B14111,B5861)</f>
        <v>1</v>
      </c>
      <c r="G5861" s="116"/>
    </row>
    <row r="5862" spans="1:7" x14ac:dyDescent="0.2">
      <c r="A5862" s="116">
        <f>IF(ISNUMBER(Tabela2[[#This Row],[CT-e/NFS]])=TRUE,(IF(B5862&gt;30000,4,IF(B5862&lt;1000,"ND",0))),"-")</f>
        <v>4</v>
      </c>
      <c r="B5862" s="116">
        <v>49875</v>
      </c>
      <c r="C5862" s="117">
        <v>45597</v>
      </c>
      <c r="D5862" s="116">
        <v>240.18</v>
      </c>
      <c r="E5862" s="117">
        <v>45611</v>
      </c>
      <c r="F5862" s="116">
        <f>COUNTIFS($A$3:A14112,A5862,$B$3:B14112,B5862)</f>
        <v>1</v>
      </c>
      <c r="G5862" s="116"/>
    </row>
    <row r="5863" spans="1:7" x14ac:dyDescent="0.2">
      <c r="A5863" s="116">
        <f>IF(ISNUMBER(Tabela2[[#This Row],[CT-e/NFS]])=TRUE,(IF(B5863&gt;30000,4,IF(B5863&lt;1000,"ND",0))),"-")</f>
        <v>4</v>
      </c>
      <c r="B5863" s="116">
        <v>49874</v>
      </c>
      <c r="C5863" s="117">
        <v>45597</v>
      </c>
      <c r="D5863" s="116">
        <v>124.03</v>
      </c>
      <c r="E5863" s="117">
        <v>45611</v>
      </c>
      <c r="F5863" s="116">
        <f>COUNTIFS($A$3:A14113,A5863,$B$3:B14113,B5863)</f>
        <v>1</v>
      </c>
      <c r="G5863" s="116"/>
    </row>
    <row r="5864" spans="1:7" x14ac:dyDescent="0.2">
      <c r="A5864" s="116">
        <f>IF(ISNUMBER(Tabela2[[#This Row],[CT-e/NFS]])=TRUE,(IF(B5864&gt;30000,4,IF(B5864&lt;1000,"ND",0))),"-")</f>
        <v>4</v>
      </c>
      <c r="B5864" s="116">
        <v>49872</v>
      </c>
      <c r="C5864" s="117">
        <v>45597</v>
      </c>
      <c r="D5864" s="116">
        <v>124.52</v>
      </c>
      <c r="E5864" s="117">
        <v>45611</v>
      </c>
      <c r="F5864" s="116">
        <f>COUNTIFS($A$3:A14114,A5864,$B$3:B14114,B5864)</f>
        <v>1</v>
      </c>
      <c r="G5864" s="116"/>
    </row>
    <row r="5865" spans="1:7" x14ac:dyDescent="0.2">
      <c r="A5865" s="116">
        <f>IF(ISNUMBER(Tabela2[[#This Row],[CT-e/NFS]])=TRUE,(IF(B5865&gt;30000,4,IF(B5865&lt;1000,"ND",0))),"-")</f>
        <v>4</v>
      </c>
      <c r="B5865" s="116">
        <v>49870</v>
      </c>
      <c r="C5865" s="117">
        <v>45597</v>
      </c>
      <c r="D5865" s="116">
        <v>303.48</v>
      </c>
      <c r="E5865" s="117">
        <v>45611</v>
      </c>
      <c r="F5865" s="116">
        <f>COUNTIFS($A$3:A14115,A5865,$B$3:B14115,B5865)</f>
        <v>1</v>
      </c>
      <c r="G5865" s="116"/>
    </row>
    <row r="5866" spans="1:7" x14ac:dyDescent="0.2">
      <c r="A5866" s="116">
        <f>IF(ISNUMBER(Tabela2[[#This Row],[CT-e/NFS]])=TRUE,(IF(B5866&gt;30000,4,IF(B5866&lt;1000,"ND",0))),"-")</f>
        <v>4</v>
      </c>
      <c r="B5866" s="116">
        <v>49838</v>
      </c>
      <c r="C5866" s="117">
        <v>45597</v>
      </c>
      <c r="D5866" s="116">
        <v>620.75</v>
      </c>
      <c r="E5866" s="117">
        <v>45611</v>
      </c>
      <c r="F5866" s="116">
        <f>COUNTIFS($A$3:A14116,A5866,$B$3:B14116,B5866)</f>
        <v>1</v>
      </c>
      <c r="G5866" s="116"/>
    </row>
    <row r="5867" spans="1:7" x14ac:dyDescent="0.2">
      <c r="A5867" s="116">
        <f>IF(ISNUMBER(Tabela2[[#This Row],[CT-e/NFS]])=TRUE,(IF(B5867&gt;30000,4,IF(B5867&lt;1000,"ND",0))),"-")</f>
        <v>4</v>
      </c>
      <c r="B5867" s="116">
        <v>49882</v>
      </c>
      <c r="C5867" s="117">
        <v>45597</v>
      </c>
      <c r="D5867" s="116">
        <v>377.93</v>
      </c>
      <c r="E5867" s="117">
        <v>45611</v>
      </c>
      <c r="F5867" s="116">
        <f>COUNTIFS($A$3:A14117,A5867,$B$3:B14117,B5867)</f>
        <v>1</v>
      </c>
      <c r="G5867" s="116"/>
    </row>
    <row r="5868" spans="1:7" x14ac:dyDescent="0.2">
      <c r="A5868" s="116">
        <f>IF(ISNUMBER(Tabela2[[#This Row],[CT-e/NFS]])=TRUE,(IF(B5868&gt;30000,4,IF(B5868&lt;1000,"ND",0))),"-")</f>
        <v>4</v>
      </c>
      <c r="B5868" s="116">
        <v>49891</v>
      </c>
      <c r="C5868" s="117">
        <v>45597</v>
      </c>
      <c r="D5868" s="116">
        <v>239.5</v>
      </c>
      <c r="E5868" s="117">
        <v>45611</v>
      </c>
      <c r="F5868" s="116">
        <f>COUNTIFS($A$3:A14118,A5868,$B$3:B14118,B5868)</f>
        <v>1</v>
      </c>
      <c r="G5868" s="116"/>
    </row>
    <row r="5869" spans="1:7" x14ac:dyDescent="0.2">
      <c r="A5869" s="116">
        <f>IF(ISNUMBER(Tabela2[[#This Row],[CT-e/NFS]])=TRUE,(IF(B5869&gt;30000,4,IF(B5869&lt;1000,"ND",0))),"-")</f>
        <v>4</v>
      </c>
      <c r="B5869" s="116">
        <v>49893</v>
      </c>
      <c r="C5869" s="117">
        <v>45597</v>
      </c>
      <c r="D5869" s="116">
        <v>126.2</v>
      </c>
      <c r="E5869" s="117">
        <v>45611</v>
      </c>
      <c r="F5869" s="116">
        <f>COUNTIFS($A$3:A14119,A5869,$B$3:B14119,B5869)</f>
        <v>1</v>
      </c>
      <c r="G5869" s="116"/>
    </row>
    <row r="5870" spans="1:7" x14ac:dyDescent="0.2">
      <c r="A5870" s="116">
        <f>IF(ISNUMBER(Tabela2[[#This Row],[CT-e/NFS]])=TRUE,(IF(B5870&gt;30000,4,IF(B5870&lt;1000,"ND",0))),"-")</f>
        <v>4</v>
      </c>
      <c r="B5870" s="116">
        <v>49892</v>
      </c>
      <c r="C5870" s="117">
        <v>45597</v>
      </c>
      <c r="D5870" s="116">
        <v>125.36</v>
      </c>
      <c r="E5870" s="117">
        <v>45611</v>
      </c>
      <c r="F5870" s="116">
        <f>COUNTIFS($A$3:A14120,A5870,$B$3:B14120,B5870)</f>
        <v>1</v>
      </c>
      <c r="G5870" s="116"/>
    </row>
    <row r="5871" spans="1:7" x14ac:dyDescent="0.2">
      <c r="A5871" s="116">
        <f>IF(ISNUMBER(Tabela2[[#This Row],[CT-e/NFS]])=TRUE,(IF(B5871&gt;30000,4,IF(B5871&lt;1000,"ND",0))),"-")</f>
        <v>4</v>
      </c>
      <c r="B5871" s="116">
        <v>49890</v>
      </c>
      <c r="C5871" s="117">
        <v>45597</v>
      </c>
      <c r="D5871" s="116">
        <v>126.23</v>
      </c>
      <c r="E5871" s="117">
        <v>45611</v>
      </c>
      <c r="F5871" s="116">
        <f>COUNTIFS($A$3:A14121,A5871,$B$3:B14121,B5871)</f>
        <v>1</v>
      </c>
      <c r="G5871" s="116"/>
    </row>
    <row r="5872" spans="1:7" x14ac:dyDescent="0.2">
      <c r="A5872" s="116">
        <f>IF(ISNUMBER(Tabela2[[#This Row],[CT-e/NFS]])=TRUE,(IF(B5872&gt;30000,4,IF(B5872&lt;1000,"ND",0))),"-")</f>
        <v>4</v>
      </c>
      <c r="B5872" s="116">
        <v>49884</v>
      </c>
      <c r="C5872" s="117">
        <v>45597</v>
      </c>
      <c r="D5872" s="116">
        <v>162.88</v>
      </c>
      <c r="E5872" s="117">
        <v>45611</v>
      </c>
      <c r="F5872" s="116">
        <f>COUNTIFS($A$3:A14122,A5872,$B$3:B14122,B5872)</f>
        <v>1</v>
      </c>
      <c r="G5872" s="116"/>
    </row>
    <row r="5873" spans="1:7" x14ac:dyDescent="0.2">
      <c r="A5873" s="116">
        <f>IF(ISNUMBER(Tabela2[[#This Row],[CT-e/NFS]])=TRUE,(IF(B5873&gt;30000,4,IF(B5873&lt;1000,"ND",0))),"-")</f>
        <v>4</v>
      </c>
      <c r="B5873" s="116">
        <v>49887</v>
      </c>
      <c r="C5873" s="117">
        <v>45597</v>
      </c>
      <c r="D5873" s="116">
        <v>124.03</v>
      </c>
      <c r="E5873" s="117">
        <v>45611</v>
      </c>
      <c r="F5873" s="116">
        <f>COUNTIFS($A$3:A14123,A5873,$B$3:B14123,B5873)</f>
        <v>1</v>
      </c>
      <c r="G5873" s="116"/>
    </row>
    <row r="5874" spans="1:7" x14ac:dyDescent="0.2">
      <c r="A5874" s="116">
        <f>IF(ISNUMBER(Tabela2[[#This Row],[CT-e/NFS]])=TRUE,(IF(B5874&gt;30000,4,IF(B5874&lt;1000,"ND",0))),"-")</f>
        <v>4</v>
      </c>
      <c r="B5874" s="116">
        <v>49888</v>
      </c>
      <c r="C5874" s="117">
        <v>45597</v>
      </c>
      <c r="D5874" s="116">
        <v>125.25</v>
      </c>
      <c r="E5874" s="117">
        <v>45611</v>
      </c>
      <c r="F5874" s="116">
        <f>COUNTIFS($A$3:A14124,A5874,$B$3:B14124,B5874)</f>
        <v>1</v>
      </c>
      <c r="G5874" s="116"/>
    </row>
    <row r="5875" spans="1:7" x14ac:dyDescent="0.2">
      <c r="A5875" s="116">
        <f>IF(ISNUMBER(Tabela2[[#This Row],[CT-e/NFS]])=TRUE,(IF(B5875&gt;30000,4,IF(B5875&lt;1000,"ND",0))),"-")</f>
        <v>4</v>
      </c>
      <c r="B5875" s="116">
        <v>49886</v>
      </c>
      <c r="C5875" s="117">
        <v>45597</v>
      </c>
      <c r="D5875" s="116">
        <v>126.32</v>
      </c>
      <c r="E5875" s="117">
        <v>45611</v>
      </c>
      <c r="F5875" s="116">
        <f>COUNTIFS($A$3:A14125,A5875,$B$3:B14125,B5875)</f>
        <v>1</v>
      </c>
      <c r="G5875" s="116"/>
    </row>
    <row r="5876" spans="1:7" x14ac:dyDescent="0.2">
      <c r="A5876" s="116">
        <f>IF(ISNUMBER(Tabela2[[#This Row],[CT-e/NFS]])=TRUE,(IF(B5876&gt;30000,4,IF(B5876&lt;1000,"ND",0))),"-")</f>
        <v>4</v>
      </c>
      <c r="B5876" s="116">
        <v>49839</v>
      </c>
      <c r="C5876" s="117">
        <v>45597</v>
      </c>
      <c r="D5876" s="116">
        <v>1101.5899999999999</v>
      </c>
      <c r="E5876" s="117">
        <v>45611</v>
      </c>
      <c r="F5876" s="116">
        <f>COUNTIFS($A$3:A14126,A5876,$B$3:B14126,B5876)</f>
        <v>1</v>
      </c>
      <c r="G5876" s="116"/>
    </row>
    <row r="5877" spans="1:7" x14ac:dyDescent="0.2">
      <c r="A5877" s="116">
        <f>IF(ISNUMBER(Tabela2[[#This Row],[CT-e/NFS]])=TRUE,(IF(B5877&gt;30000,4,IF(B5877&lt;1000,"ND",0))),"-")</f>
        <v>4</v>
      </c>
      <c r="B5877" s="116">
        <v>49881</v>
      </c>
      <c r="C5877" s="117">
        <v>45597</v>
      </c>
      <c r="D5877" s="116">
        <v>396.45</v>
      </c>
      <c r="E5877" s="117">
        <v>45611</v>
      </c>
      <c r="F5877" s="116">
        <f>COUNTIFS($A$3:A14127,A5877,$B$3:B14127,B5877)</f>
        <v>1</v>
      </c>
      <c r="G5877" s="116"/>
    </row>
    <row r="5878" spans="1:7" x14ac:dyDescent="0.2">
      <c r="A5878" s="116">
        <f>IF(ISNUMBER(Tabela2[[#This Row],[CT-e/NFS]])=TRUE,(IF(B5878&gt;30000,4,IF(B5878&lt;1000,"ND",0))),"-")</f>
        <v>4</v>
      </c>
      <c r="B5878" s="116">
        <v>49897</v>
      </c>
      <c r="C5878" s="117">
        <v>45597</v>
      </c>
      <c r="D5878" s="116">
        <v>62.01</v>
      </c>
      <c r="E5878" s="117">
        <v>45611</v>
      </c>
      <c r="F5878" s="116">
        <f>COUNTIFS($A$3:A14128,A5878,$B$3:B14128,B5878)</f>
        <v>1</v>
      </c>
      <c r="G5878" s="116"/>
    </row>
    <row r="5879" spans="1:7" x14ac:dyDescent="0.2">
      <c r="A5879" s="116">
        <f>IF(ISNUMBER(Tabela2[[#This Row],[CT-e/NFS]])=TRUE,(IF(B5879&gt;30000,4,IF(B5879&lt;1000,"ND",0))),"-")</f>
        <v>4</v>
      </c>
      <c r="B5879" s="116">
        <v>49898</v>
      </c>
      <c r="C5879" s="117">
        <v>45597</v>
      </c>
      <c r="D5879" s="116">
        <v>111.76</v>
      </c>
      <c r="E5879" s="117">
        <v>45611</v>
      </c>
      <c r="F5879" s="116">
        <f>COUNTIFS($A$3:A14129,A5879,$B$3:B14129,B5879)</f>
        <v>1</v>
      </c>
      <c r="G5879" s="116"/>
    </row>
    <row r="5880" spans="1:7" x14ac:dyDescent="0.2">
      <c r="A5880" s="116">
        <f>IF(ISNUMBER(Tabela2[[#This Row],[CT-e/NFS]])=TRUE,(IF(B5880&gt;30000,4,IF(B5880&lt;1000,"ND",0))),"-")</f>
        <v>4</v>
      </c>
      <c r="B5880" s="116">
        <v>49885</v>
      </c>
      <c r="C5880" s="117">
        <v>45597</v>
      </c>
      <c r="D5880" s="116">
        <v>126.07</v>
      </c>
      <c r="E5880" s="117">
        <v>45611</v>
      </c>
      <c r="F5880" s="116">
        <f>COUNTIFS($A$3:A14130,A5880,$B$3:B14130,B5880)</f>
        <v>1</v>
      </c>
      <c r="G5880" s="116"/>
    </row>
    <row r="5881" spans="1:7" x14ac:dyDescent="0.2">
      <c r="A5881" s="116">
        <f>IF(ISNUMBER(Tabela2[[#This Row],[CT-e/NFS]])=TRUE,(IF(B5881&gt;30000,4,IF(B5881&lt;1000,"ND",0))),"-")</f>
        <v>4</v>
      </c>
      <c r="B5881" s="116">
        <v>49889</v>
      </c>
      <c r="C5881" s="117">
        <v>45597</v>
      </c>
      <c r="D5881" s="116">
        <v>287.58999999999997</v>
      </c>
      <c r="E5881" s="117">
        <v>45611</v>
      </c>
      <c r="F5881" s="116">
        <f>COUNTIFS($A$3:A14131,A5881,$B$3:B14131,B5881)</f>
        <v>1</v>
      </c>
      <c r="G5881" s="116"/>
    </row>
    <row r="5882" spans="1:7" x14ac:dyDescent="0.2">
      <c r="A5882" s="116">
        <f>IF(ISNUMBER(Tabela2[[#This Row],[CT-e/NFS]])=TRUE,(IF(B5882&gt;30000,4,IF(B5882&lt;1000,"ND",0))),"-")</f>
        <v>4</v>
      </c>
      <c r="B5882" s="116">
        <v>49856</v>
      </c>
      <c r="C5882" s="117">
        <v>45597</v>
      </c>
      <c r="D5882" s="116">
        <v>8439.91</v>
      </c>
      <c r="E5882" s="117">
        <v>45611</v>
      </c>
      <c r="F5882" s="116">
        <f>COUNTIFS($A$3:A14132,A5882,$B$3:B14132,B5882)</f>
        <v>1</v>
      </c>
      <c r="G5882" s="116"/>
    </row>
    <row r="5883" spans="1:7" x14ac:dyDescent="0.2">
      <c r="A5883" s="116">
        <f>IF(ISNUMBER(Tabela2[[#This Row],[CT-e/NFS]])=TRUE,(IF(B5883&gt;30000,4,IF(B5883&lt;1000,"ND",0))),"-")</f>
        <v>4</v>
      </c>
      <c r="B5883" s="116">
        <v>49855</v>
      </c>
      <c r="C5883" s="117">
        <v>45597</v>
      </c>
      <c r="D5883" s="116">
        <v>7560.95</v>
      </c>
      <c r="E5883" s="117">
        <v>45611</v>
      </c>
      <c r="F5883" s="116">
        <f>COUNTIFS($A$3:A14133,A5883,$B$3:B14133,B5883)</f>
        <v>1</v>
      </c>
      <c r="G5883" s="116"/>
    </row>
    <row r="5884" spans="1:7" x14ac:dyDescent="0.2">
      <c r="A5884" s="116">
        <f>IF(ISNUMBER(Tabela2[[#This Row],[CT-e/NFS]])=TRUE,(IF(B5884&gt;30000,4,IF(B5884&lt;1000,"ND",0))),"-")</f>
        <v>4</v>
      </c>
      <c r="B5884" s="116">
        <v>49894</v>
      </c>
      <c r="C5884" s="117">
        <v>45597</v>
      </c>
      <c r="D5884" s="116">
        <v>98.53</v>
      </c>
      <c r="E5884" s="117">
        <v>45611</v>
      </c>
      <c r="F5884" s="116">
        <f>COUNTIFS($A$3:A14134,A5884,$B$3:B14134,B5884)</f>
        <v>1</v>
      </c>
      <c r="G5884" s="116"/>
    </row>
    <row r="5885" spans="1:7" x14ac:dyDescent="0.2">
      <c r="A5885" s="116">
        <f>IF(ISNUMBER(Tabela2[[#This Row],[CT-e/NFS]])=TRUE,(IF(B5885&gt;30000,4,IF(B5885&lt;1000,"ND",0))),"-")</f>
        <v>4</v>
      </c>
      <c r="B5885" s="116">
        <v>49895</v>
      </c>
      <c r="C5885" s="117">
        <v>45597</v>
      </c>
      <c r="D5885" s="116">
        <v>124.38</v>
      </c>
      <c r="E5885" s="117">
        <v>45611</v>
      </c>
      <c r="F5885" s="116">
        <f>COUNTIFS($A$3:A14135,A5885,$B$3:B14135,B5885)</f>
        <v>1</v>
      </c>
      <c r="G5885" s="116"/>
    </row>
    <row r="5886" spans="1:7" x14ac:dyDescent="0.2">
      <c r="A5886" s="116">
        <f>IF(ISNUMBER(Tabela2[[#This Row],[CT-e/NFS]])=TRUE,(IF(B5886&gt;30000,4,IF(B5886&lt;1000,"ND",0))),"-")</f>
        <v>4</v>
      </c>
      <c r="B5886" s="116">
        <v>49883</v>
      </c>
      <c r="C5886" s="117">
        <v>45597</v>
      </c>
      <c r="D5886" s="116">
        <v>281.52999999999997</v>
      </c>
      <c r="E5886" s="117">
        <v>45611</v>
      </c>
      <c r="F5886" s="116">
        <f>COUNTIFS($A$3:A14136,A5886,$B$3:B14136,B5886)</f>
        <v>1</v>
      </c>
      <c r="G5886" s="116"/>
    </row>
    <row r="5887" spans="1:7" x14ac:dyDescent="0.2">
      <c r="A5887" s="116">
        <f>IF(ISNUMBER(Tabela2[[#This Row],[CT-e/NFS]])=TRUE,(IF(B5887&gt;30000,4,IF(B5887&lt;1000,"ND",0))),"-")</f>
        <v>4</v>
      </c>
      <c r="B5887" s="116">
        <v>49919</v>
      </c>
      <c r="C5887" s="117">
        <v>45597</v>
      </c>
      <c r="D5887" s="116">
        <v>122.74</v>
      </c>
      <c r="E5887" s="117">
        <v>45611</v>
      </c>
      <c r="F5887" s="116">
        <f>COUNTIFS($A$3:A14137,A5887,$B$3:B14137,B5887)</f>
        <v>1</v>
      </c>
      <c r="G5887" s="116"/>
    </row>
    <row r="5888" spans="1:7" x14ac:dyDescent="0.2">
      <c r="A5888" s="116">
        <f>IF(ISNUMBER(Tabela2[[#This Row],[CT-e/NFS]])=TRUE,(IF(B5888&gt;30000,4,IF(B5888&lt;1000,"ND",0))),"-")</f>
        <v>4</v>
      </c>
      <c r="B5888" s="116">
        <v>49923</v>
      </c>
      <c r="C5888" s="117">
        <v>45597</v>
      </c>
      <c r="D5888" s="116">
        <v>49.26</v>
      </c>
      <c r="E5888" s="117">
        <v>45611</v>
      </c>
      <c r="F5888" s="116">
        <f>COUNTIFS($A$3:A14138,A5888,$B$3:B14138,B5888)</f>
        <v>1</v>
      </c>
      <c r="G5888" s="116"/>
    </row>
    <row r="5889" spans="1:7" x14ac:dyDescent="0.2">
      <c r="A5889" s="116">
        <f>IF(ISNUMBER(Tabela2[[#This Row],[CT-e/NFS]])=TRUE,(IF(B5889&gt;30000,4,IF(B5889&lt;1000,"ND",0))),"-")</f>
        <v>4</v>
      </c>
      <c r="B5889" s="116">
        <v>49921</v>
      </c>
      <c r="C5889" s="117">
        <v>45597</v>
      </c>
      <c r="D5889" s="116">
        <v>62.18</v>
      </c>
      <c r="E5889" s="117">
        <v>45611</v>
      </c>
      <c r="F5889" s="116">
        <f>COUNTIFS($A$3:A14139,A5889,$B$3:B14139,B5889)</f>
        <v>1</v>
      </c>
      <c r="G5889" s="116"/>
    </row>
    <row r="5890" spans="1:7" x14ac:dyDescent="0.2">
      <c r="A5890" s="116">
        <f>IF(ISNUMBER(Tabela2[[#This Row],[CT-e/NFS]])=TRUE,(IF(B5890&gt;30000,4,IF(B5890&lt;1000,"ND",0))),"-")</f>
        <v>4</v>
      </c>
      <c r="B5890" s="116">
        <v>49918</v>
      </c>
      <c r="C5890" s="117">
        <v>45597</v>
      </c>
      <c r="D5890" s="116">
        <v>215.64</v>
      </c>
      <c r="E5890" s="117">
        <v>45611</v>
      </c>
      <c r="F5890" s="116">
        <f>COUNTIFS($A$3:A14140,A5890,$B$3:B14140,B5890)</f>
        <v>1</v>
      </c>
      <c r="G5890" s="116"/>
    </row>
    <row r="5891" spans="1:7" x14ac:dyDescent="0.2">
      <c r="A5891" s="116">
        <f>IF(ISNUMBER(Tabela2[[#This Row],[CT-e/NFS]])=TRUE,(IF(B5891&gt;30000,4,IF(B5891&lt;1000,"ND",0))),"-")</f>
        <v>4</v>
      </c>
      <c r="B5891" s="116">
        <v>49922</v>
      </c>
      <c r="C5891" s="117">
        <v>45597</v>
      </c>
      <c r="D5891" s="116">
        <v>112.1</v>
      </c>
      <c r="E5891" s="117">
        <v>45611</v>
      </c>
      <c r="F5891" s="116">
        <f>COUNTIFS($A$3:A14141,A5891,$B$3:B14141,B5891)</f>
        <v>1</v>
      </c>
      <c r="G5891" s="116"/>
    </row>
    <row r="5892" spans="1:7" x14ac:dyDescent="0.2">
      <c r="A5892" s="116">
        <f>IF(ISNUMBER(Tabela2[[#This Row],[CT-e/NFS]])=TRUE,(IF(B5892&gt;30000,4,IF(B5892&lt;1000,"ND",0))),"-")</f>
        <v>4</v>
      </c>
      <c r="B5892" s="116">
        <v>49924</v>
      </c>
      <c r="C5892" s="117">
        <v>45597</v>
      </c>
      <c r="D5892" s="116">
        <v>88.95</v>
      </c>
      <c r="E5892" s="117">
        <v>45611</v>
      </c>
      <c r="F5892" s="116">
        <f>COUNTIFS($A$3:A14142,A5892,$B$3:B14142,B5892)</f>
        <v>1</v>
      </c>
      <c r="G5892" s="116"/>
    </row>
    <row r="5893" spans="1:7" x14ac:dyDescent="0.2">
      <c r="A5893" s="116">
        <f>IF(ISNUMBER(Tabela2[[#This Row],[CT-e/NFS]])=TRUE,(IF(B5893&gt;30000,4,IF(B5893&lt;1000,"ND",0))),"-")</f>
        <v>0</v>
      </c>
      <c r="B5893" s="116">
        <v>22260</v>
      </c>
      <c r="C5893" s="117">
        <v>45597</v>
      </c>
      <c r="D5893" s="116">
        <v>76.58</v>
      </c>
      <c r="E5893" s="117">
        <v>45611</v>
      </c>
      <c r="F5893" s="116">
        <f>COUNTIFS($A$3:A14143,A5893,$B$3:B14143,B5893)</f>
        <v>1</v>
      </c>
      <c r="G5893" s="116"/>
    </row>
    <row r="5894" spans="1:7" x14ac:dyDescent="0.2">
      <c r="A5894" s="116">
        <f>IF(ISNUMBER(Tabela2[[#This Row],[CT-e/NFS]])=TRUE,(IF(B5894&gt;30000,4,IF(B5894&lt;1000,"ND",0))),"-")</f>
        <v>4</v>
      </c>
      <c r="B5894" s="116">
        <v>49901</v>
      </c>
      <c r="C5894" s="117">
        <v>45597</v>
      </c>
      <c r="D5894" s="116">
        <v>209.28</v>
      </c>
      <c r="E5894" s="117">
        <v>45611</v>
      </c>
      <c r="F5894" s="116">
        <f>COUNTIFS($A$3:A14144,A5894,$B$3:B14144,B5894)</f>
        <v>1</v>
      </c>
      <c r="G5894" s="116"/>
    </row>
    <row r="5895" spans="1:7" x14ac:dyDescent="0.2">
      <c r="A5895" s="116">
        <f>IF(ISNUMBER(Tabela2[[#This Row],[CT-e/NFS]])=TRUE,(IF(B5895&gt;30000,4,IF(B5895&lt;1000,"ND",0))),"-")</f>
        <v>4</v>
      </c>
      <c r="B5895" s="116">
        <v>49909</v>
      </c>
      <c r="C5895" s="117">
        <v>45597</v>
      </c>
      <c r="D5895" s="116">
        <v>124.48</v>
      </c>
      <c r="E5895" s="117">
        <v>45611</v>
      </c>
      <c r="F5895" s="116">
        <f>COUNTIFS($A$3:A14145,A5895,$B$3:B14145,B5895)</f>
        <v>1</v>
      </c>
      <c r="G5895" s="116"/>
    </row>
    <row r="5896" spans="1:7" x14ac:dyDescent="0.2">
      <c r="A5896" s="116">
        <f>IF(ISNUMBER(Tabela2[[#This Row],[CT-e/NFS]])=TRUE,(IF(B5896&gt;30000,4,IF(B5896&lt;1000,"ND",0))),"-")</f>
        <v>4</v>
      </c>
      <c r="B5896" s="116">
        <v>49905</v>
      </c>
      <c r="C5896" s="117">
        <v>45597</v>
      </c>
      <c r="D5896" s="116">
        <v>340.85</v>
      </c>
      <c r="E5896" s="117">
        <v>45611</v>
      </c>
      <c r="F5896" s="116">
        <f>COUNTIFS($A$3:A14146,A5896,$B$3:B14146,B5896)</f>
        <v>1</v>
      </c>
      <c r="G5896" s="116"/>
    </row>
    <row r="5897" spans="1:7" x14ac:dyDescent="0.2">
      <c r="A5897" s="116">
        <f>IF(ISNUMBER(Tabela2[[#This Row],[CT-e/NFS]])=TRUE,(IF(B5897&gt;30000,4,IF(B5897&lt;1000,"ND",0))),"-")</f>
        <v>4</v>
      </c>
      <c r="B5897" s="116">
        <v>49914</v>
      </c>
      <c r="C5897" s="117">
        <v>45597</v>
      </c>
      <c r="D5897" s="116">
        <v>210.86</v>
      </c>
      <c r="E5897" s="117">
        <v>45611</v>
      </c>
      <c r="F5897" s="116">
        <f>COUNTIFS($A$3:A14147,A5897,$B$3:B14147,B5897)</f>
        <v>1</v>
      </c>
      <c r="G5897" s="116"/>
    </row>
    <row r="5898" spans="1:7" x14ac:dyDescent="0.2">
      <c r="A5898" s="116">
        <f>IF(ISNUMBER(Tabela2[[#This Row],[CT-e/NFS]])=TRUE,(IF(B5898&gt;30000,4,IF(B5898&lt;1000,"ND",0))),"-")</f>
        <v>4</v>
      </c>
      <c r="B5898" s="116">
        <v>49915</v>
      </c>
      <c r="C5898" s="117">
        <v>45597</v>
      </c>
      <c r="D5898" s="116">
        <v>86.88</v>
      </c>
      <c r="E5898" s="117">
        <v>45611</v>
      </c>
      <c r="F5898" s="116">
        <f>COUNTIFS($A$3:A14148,A5898,$B$3:B14148,B5898)</f>
        <v>1</v>
      </c>
      <c r="G5898" s="116"/>
    </row>
    <row r="5899" spans="1:7" x14ac:dyDescent="0.2">
      <c r="A5899" s="116">
        <f>IF(ISNUMBER(Tabela2[[#This Row],[CT-e/NFS]])=TRUE,(IF(B5899&gt;30000,4,IF(B5899&lt;1000,"ND",0))),"-")</f>
        <v>4</v>
      </c>
      <c r="B5899" s="116">
        <v>49920</v>
      </c>
      <c r="C5899" s="117">
        <v>45597</v>
      </c>
      <c r="D5899" s="116">
        <v>122.74</v>
      </c>
      <c r="E5899" s="117">
        <v>45611</v>
      </c>
      <c r="F5899" s="116">
        <f>COUNTIFS($A$3:A14149,A5899,$B$3:B14149,B5899)</f>
        <v>1</v>
      </c>
      <c r="G5899" s="116"/>
    </row>
    <row r="5900" spans="1:7" x14ac:dyDescent="0.2">
      <c r="A5900" s="116">
        <f>IF(ISNUMBER(Tabela2[[#This Row],[CT-e/NFS]])=TRUE,(IF(B5900&gt;30000,4,IF(B5900&lt;1000,"ND",0))),"-")</f>
        <v>4</v>
      </c>
      <c r="B5900" s="116">
        <v>49910</v>
      </c>
      <c r="C5900" s="117">
        <v>45597</v>
      </c>
      <c r="D5900" s="116">
        <v>122.92</v>
      </c>
      <c r="E5900" s="117">
        <v>45611</v>
      </c>
      <c r="F5900" s="116">
        <f>COUNTIFS($A$3:A14150,A5900,$B$3:B14150,B5900)</f>
        <v>1</v>
      </c>
      <c r="G5900" s="116"/>
    </row>
    <row r="5901" spans="1:7" x14ac:dyDescent="0.2">
      <c r="A5901" s="116">
        <f>IF(ISNUMBER(Tabela2[[#This Row],[CT-e/NFS]])=TRUE,(IF(B5901&gt;30000,4,IF(B5901&lt;1000,"ND",0))),"-")</f>
        <v>4</v>
      </c>
      <c r="B5901" s="116">
        <v>49908</v>
      </c>
      <c r="C5901" s="117">
        <v>45597</v>
      </c>
      <c r="D5901" s="116">
        <v>122.97</v>
      </c>
      <c r="E5901" s="117">
        <v>45611</v>
      </c>
      <c r="F5901" s="116">
        <f>COUNTIFS($A$3:A14151,A5901,$B$3:B14151,B5901)</f>
        <v>1</v>
      </c>
      <c r="G5901" s="116"/>
    </row>
    <row r="5902" spans="1:7" x14ac:dyDescent="0.2">
      <c r="A5902" s="116">
        <f>IF(ISNUMBER(Tabela2[[#This Row],[CT-e/NFS]])=TRUE,(IF(B5902&gt;30000,4,IF(B5902&lt;1000,"ND",0))),"-")</f>
        <v>4</v>
      </c>
      <c r="B5902" s="116">
        <v>49899</v>
      </c>
      <c r="C5902" s="117">
        <v>45597</v>
      </c>
      <c r="D5902" s="116">
        <v>122.89</v>
      </c>
      <c r="E5902" s="117">
        <v>45611</v>
      </c>
      <c r="F5902" s="116">
        <f>COUNTIFS($A$3:A14152,A5902,$B$3:B14152,B5902)</f>
        <v>1</v>
      </c>
      <c r="G5902" s="116"/>
    </row>
    <row r="5903" spans="1:7" x14ac:dyDescent="0.2">
      <c r="A5903" s="116">
        <f>IF(ISNUMBER(Tabela2[[#This Row],[CT-e/NFS]])=TRUE,(IF(B5903&gt;30000,4,IF(B5903&lt;1000,"ND",0))),"-")</f>
        <v>4</v>
      </c>
      <c r="B5903" s="116">
        <v>49916</v>
      </c>
      <c r="C5903" s="117">
        <v>45597</v>
      </c>
      <c r="D5903" s="116">
        <v>86.77</v>
      </c>
      <c r="E5903" s="117">
        <v>45611</v>
      </c>
      <c r="F5903" s="116">
        <f>COUNTIFS($A$3:A14153,A5903,$B$3:B14153,B5903)</f>
        <v>1</v>
      </c>
      <c r="G5903" s="116"/>
    </row>
    <row r="5904" spans="1:7" x14ac:dyDescent="0.2">
      <c r="A5904" s="116">
        <f>IF(ISNUMBER(Tabela2[[#This Row],[CT-e/NFS]])=TRUE,(IF(B5904&gt;30000,4,IF(B5904&lt;1000,"ND",0))),"-")</f>
        <v>4</v>
      </c>
      <c r="B5904" s="116">
        <v>49911</v>
      </c>
      <c r="C5904" s="117">
        <v>45597</v>
      </c>
      <c r="D5904" s="116">
        <v>125.06</v>
      </c>
      <c r="E5904" s="117">
        <v>45611</v>
      </c>
      <c r="F5904" s="116">
        <f>COUNTIFS($A$3:A14154,A5904,$B$3:B14154,B5904)</f>
        <v>1</v>
      </c>
      <c r="G5904" s="116"/>
    </row>
    <row r="5905" spans="1:7" x14ac:dyDescent="0.2">
      <c r="A5905" s="116">
        <f>IF(ISNUMBER(Tabela2[[#This Row],[CT-e/NFS]])=TRUE,(IF(B5905&gt;30000,4,IF(B5905&lt;1000,"ND",0))),"-")</f>
        <v>4</v>
      </c>
      <c r="B5905" s="116">
        <v>49912</v>
      </c>
      <c r="C5905" s="117">
        <v>45597</v>
      </c>
      <c r="D5905" s="116">
        <v>125.64</v>
      </c>
      <c r="E5905" s="117">
        <v>45611</v>
      </c>
      <c r="F5905" s="116">
        <f>COUNTIFS($A$3:A14155,A5905,$B$3:B14155,B5905)</f>
        <v>1</v>
      </c>
      <c r="G5905" s="116"/>
    </row>
    <row r="5906" spans="1:7" x14ac:dyDescent="0.2">
      <c r="A5906" s="116">
        <f>IF(ISNUMBER(Tabela2[[#This Row],[CT-e/NFS]])=TRUE,(IF(B5906&gt;30000,4,IF(B5906&lt;1000,"ND",0))),"-")</f>
        <v>4</v>
      </c>
      <c r="B5906" s="116">
        <v>49903</v>
      </c>
      <c r="C5906" s="117">
        <v>45597</v>
      </c>
      <c r="D5906" s="116">
        <v>125.31</v>
      </c>
      <c r="E5906" s="117">
        <v>45611</v>
      </c>
      <c r="F5906" s="116">
        <f>COUNTIFS($A$3:A14156,A5906,$B$3:B14156,B5906)</f>
        <v>1</v>
      </c>
      <c r="G5906" s="116"/>
    </row>
    <row r="5907" spans="1:7" x14ac:dyDescent="0.2">
      <c r="A5907" s="116">
        <f>IF(ISNUMBER(Tabela2[[#This Row],[CT-e/NFS]])=TRUE,(IF(B5907&gt;30000,4,IF(B5907&lt;1000,"ND",0))),"-")</f>
        <v>4</v>
      </c>
      <c r="B5907" s="116">
        <v>49913</v>
      </c>
      <c r="C5907" s="117">
        <v>45597</v>
      </c>
      <c r="D5907" s="116">
        <v>125.86</v>
      </c>
      <c r="E5907" s="117">
        <v>45611</v>
      </c>
      <c r="F5907" s="116">
        <f>COUNTIFS($A$3:A14157,A5907,$B$3:B14157,B5907)</f>
        <v>1</v>
      </c>
      <c r="G5907" s="116"/>
    </row>
    <row r="5908" spans="1:7" x14ac:dyDescent="0.2">
      <c r="A5908" s="116">
        <f>IF(ISNUMBER(Tabela2[[#This Row],[CT-e/NFS]])=TRUE,(IF(B5908&gt;30000,4,IF(B5908&lt;1000,"ND",0))),"-")</f>
        <v>4</v>
      </c>
      <c r="B5908" s="116">
        <v>49902</v>
      </c>
      <c r="C5908" s="117">
        <v>45597</v>
      </c>
      <c r="D5908" s="116">
        <v>124.1</v>
      </c>
      <c r="E5908" s="117">
        <v>45611</v>
      </c>
      <c r="F5908" s="116">
        <f>COUNTIFS($A$3:A14158,A5908,$B$3:B14158,B5908)</f>
        <v>1</v>
      </c>
      <c r="G5908" s="116"/>
    </row>
    <row r="5909" spans="1:7" x14ac:dyDescent="0.2">
      <c r="A5909" s="116">
        <f>IF(ISNUMBER(Tabela2[[#This Row],[CT-e/NFS]])=TRUE,(IF(B5909&gt;30000,4,IF(B5909&lt;1000,"ND",0))),"-")</f>
        <v>4</v>
      </c>
      <c r="B5909" s="116">
        <v>49904</v>
      </c>
      <c r="C5909" s="117">
        <v>45597</v>
      </c>
      <c r="D5909" s="116">
        <v>123.86</v>
      </c>
      <c r="E5909" s="117">
        <v>45611</v>
      </c>
      <c r="F5909" s="116">
        <f>COUNTIFS($A$3:A14159,A5909,$B$3:B14159,B5909)</f>
        <v>1</v>
      </c>
      <c r="G5909" s="116"/>
    </row>
    <row r="5910" spans="1:7" x14ac:dyDescent="0.2">
      <c r="A5910" s="116">
        <f>IF(ISNUMBER(Tabela2[[#This Row],[CT-e/NFS]])=TRUE,(IF(B5910&gt;30000,4,IF(B5910&lt;1000,"ND",0))),"-")</f>
        <v>4</v>
      </c>
      <c r="B5910" s="116">
        <v>49906</v>
      </c>
      <c r="C5910" s="117">
        <v>45597</v>
      </c>
      <c r="D5910" s="116">
        <v>1128.81</v>
      </c>
      <c r="E5910" s="117">
        <v>45611</v>
      </c>
      <c r="F5910" s="116">
        <f>COUNTIFS($A$3:A14160,A5910,$B$3:B14160,B5910)</f>
        <v>1</v>
      </c>
      <c r="G5910" s="116"/>
    </row>
    <row r="5911" spans="1:7" x14ac:dyDescent="0.2">
      <c r="A5911" s="116">
        <f>IF(ISNUMBER(Tabela2[[#This Row],[CT-e/NFS]])=TRUE,(IF(B5911&gt;30000,4,IF(B5911&lt;1000,"ND",0))),"-")</f>
        <v>4</v>
      </c>
      <c r="B5911" s="116">
        <v>49907</v>
      </c>
      <c r="C5911" s="117">
        <v>45597</v>
      </c>
      <c r="D5911" s="116">
        <v>241.76</v>
      </c>
      <c r="E5911" s="117">
        <v>45611</v>
      </c>
      <c r="F5911" s="116">
        <f>COUNTIFS($A$3:A14161,A5911,$B$3:B14161,B5911)</f>
        <v>1</v>
      </c>
      <c r="G5911" s="116"/>
    </row>
    <row r="5912" spans="1:7" x14ac:dyDescent="0.2">
      <c r="A5912" s="116">
        <f>IF(ISNUMBER(Tabela2[[#This Row],[CT-e/NFS]])=TRUE,(IF(B5912&gt;30000,4,IF(B5912&lt;1000,"ND",0))),"-")</f>
        <v>4</v>
      </c>
      <c r="B5912" s="116">
        <v>49900</v>
      </c>
      <c r="C5912" s="117">
        <v>45597</v>
      </c>
      <c r="D5912" s="116">
        <v>125.06</v>
      </c>
      <c r="E5912" s="117">
        <v>45611</v>
      </c>
      <c r="F5912" s="116">
        <f>COUNTIFS($A$3:A14162,A5912,$B$3:B14162,B5912)</f>
        <v>1</v>
      </c>
      <c r="G5912" s="116"/>
    </row>
    <row r="5913" spans="1:7" x14ac:dyDescent="0.2">
      <c r="A5913" s="116">
        <f>IF(ISNUMBER(Tabela2[[#This Row],[CT-e/NFS]])=TRUE,(IF(B5913&gt;30000,4,IF(B5913&lt;1000,"ND",0))),"-")</f>
        <v>4</v>
      </c>
      <c r="B5913" s="116">
        <v>49928</v>
      </c>
      <c r="C5913" s="117">
        <v>45597</v>
      </c>
      <c r="D5913" s="116">
        <v>119.75</v>
      </c>
      <c r="E5913" s="117">
        <v>45611</v>
      </c>
      <c r="F5913" s="116">
        <f>COUNTIFS($A$3:A14163,A5913,$B$3:B14163,B5913)</f>
        <v>1</v>
      </c>
      <c r="G5913" s="116"/>
    </row>
    <row r="5914" spans="1:7" x14ac:dyDescent="0.2">
      <c r="A5914" s="116">
        <f>IF(ISNUMBER(Tabela2[[#This Row],[CT-e/NFS]])=TRUE,(IF(B5914&gt;30000,4,IF(B5914&lt;1000,"ND",0))),"-")</f>
        <v>4</v>
      </c>
      <c r="B5914" s="116">
        <v>49925</v>
      </c>
      <c r="C5914" s="117">
        <v>45597</v>
      </c>
      <c r="D5914" s="116">
        <v>1120.8399999999999</v>
      </c>
      <c r="E5914" s="117">
        <v>45611</v>
      </c>
      <c r="F5914" s="116">
        <f>COUNTIFS($A$3:A14164,A5914,$B$3:B14164,B5914)</f>
        <v>1</v>
      </c>
      <c r="G5914" s="116"/>
    </row>
    <row r="5915" spans="1:7" x14ac:dyDescent="0.2">
      <c r="A5915" s="116">
        <f>IF(ISNUMBER(Tabela2[[#This Row],[CT-e/NFS]])=TRUE,(IF(B5915&gt;30000,4,IF(B5915&lt;1000,"ND",0))),"-")</f>
        <v>4</v>
      </c>
      <c r="B5915" s="116">
        <v>49926</v>
      </c>
      <c r="C5915" s="117">
        <v>45597</v>
      </c>
      <c r="D5915" s="116">
        <v>318.73</v>
      </c>
      <c r="E5915" s="117">
        <v>45611</v>
      </c>
      <c r="F5915" s="116">
        <f>COUNTIFS($A$3:A14165,A5915,$B$3:B14165,B5915)</f>
        <v>1</v>
      </c>
      <c r="G5915" s="116"/>
    </row>
    <row r="5916" spans="1:7" x14ac:dyDescent="0.2">
      <c r="A5916" s="116">
        <f>IF(ISNUMBER(Tabela2[[#This Row],[CT-e/NFS]])=TRUE,(IF(B5916&gt;30000,4,IF(B5916&lt;1000,"ND",0))),"-")</f>
        <v>4</v>
      </c>
      <c r="B5916" s="116">
        <v>49927</v>
      </c>
      <c r="C5916" s="117">
        <v>45597</v>
      </c>
      <c r="D5916" s="116">
        <v>318.73</v>
      </c>
      <c r="E5916" s="117">
        <v>45611</v>
      </c>
      <c r="F5916" s="116">
        <f>COUNTIFS($A$3:A14166,A5916,$B$3:B14166,B5916)</f>
        <v>1</v>
      </c>
      <c r="G5916" s="116"/>
    </row>
    <row r="5917" spans="1:7" x14ac:dyDescent="0.2">
      <c r="A5917" s="116">
        <f>IF(ISNUMBER(Tabela2[[#This Row],[CT-e/NFS]])=TRUE,(IF(B5917&gt;30000,4,IF(B5917&lt;1000,"ND",0))),"-")</f>
        <v>4</v>
      </c>
      <c r="B5917" s="116">
        <v>49931</v>
      </c>
      <c r="C5917" s="117">
        <v>45597</v>
      </c>
      <c r="D5917" s="116">
        <v>124.32</v>
      </c>
      <c r="E5917" s="117">
        <v>45611</v>
      </c>
      <c r="F5917" s="116">
        <f>COUNTIFS($A$3:A14167,A5917,$B$3:B14167,B5917)</f>
        <v>1</v>
      </c>
      <c r="G5917" s="116"/>
    </row>
    <row r="5918" spans="1:7" x14ac:dyDescent="0.2">
      <c r="A5918" s="116">
        <f>IF(ISNUMBER(Tabela2[[#This Row],[CT-e/NFS]])=TRUE,(IF(B5918&gt;30000,4,IF(B5918&lt;1000,"ND",0))),"-")</f>
        <v>4</v>
      </c>
      <c r="B5918" s="116">
        <v>49930</v>
      </c>
      <c r="C5918" s="117">
        <v>45597</v>
      </c>
      <c r="D5918" s="116">
        <v>125.57</v>
      </c>
      <c r="E5918" s="117">
        <v>45611</v>
      </c>
      <c r="F5918" s="116">
        <f>COUNTIFS($A$3:A14168,A5918,$B$3:B14168,B5918)</f>
        <v>1</v>
      </c>
      <c r="G5918" s="116"/>
    </row>
    <row r="5919" spans="1:7" x14ac:dyDescent="0.2">
      <c r="A5919" s="116">
        <f>IF(ISNUMBER(Tabela2[[#This Row],[CT-e/NFS]])=TRUE,(IF(B5919&gt;30000,4,IF(B5919&lt;1000,"ND",0))),"-")</f>
        <v>4</v>
      </c>
      <c r="B5919" s="116">
        <v>49932</v>
      </c>
      <c r="C5919" s="117">
        <v>45597</v>
      </c>
      <c r="D5919" s="116">
        <v>124.03</v>
      </c>
      <c r="E5919" s="117">
        <v>45611</v>
      </c>
      <c r="F5919" s="116">
        <f>COUNTIFS($A$3:A14169,A5919,$B$3:B14169,B5919)</f>
        <v>1</v>
      </c>
      <c r="G5919" s="116"/>
    </row>
    <row r="5920" spans="1:7" x14ac:dyDescent="0.2">
      <c r="A5920" s="116">
        <f>IF(ISNUMBER(Tabela2[[#This Row],[CT-e/NFS]])=TRUE,(IF(B5920&gt;30000,4,IF(B5920&lt;1000,"ND",0))),"-")</f>
        <v>4</v>
      </c>
      <c r="B5920" s="116">
        <v>49929</v>
      </c>
      <c r="C5920" s="117">
        <v>45597</v>
      </c>
      <c r="D5920" s="116">
        <v>126.65</v>
      </c>
      <c r="E5920" s="117">
        <v>45611</v>
      </c>
      <c r="F5920" s="116">
        <f>COUNTIFS($A$3:A14170,A5920,$B$3:B14170,B5920)</f>
        <v>1</v>
      </c>
      <c r="G5920" s="116"/>
    </row>
    <row r="5921" spans="1:7" x14ac:dyDescent="0.2">
      <c r="A5921" s="116">
        <f>IF(ISNUMBER(Tabela2[[#This Row],[CT-e/NFS]])=TRUE,(IF(B5921&gt;30000,4,IF(B5921&lt;1000,"ND",0))),"-")</f>
        <v>4</v>
      </c>
      <c r="B5921" s="116">
        <v>49935</v>
      </c>
      <c r="C5921" s="117">
        <v>45597</v>
      </c>
      <c r="D5921" s="116">
        <v>122.77</v>
      </c>
      <c r="E5921" s="117">
        <v>45611</v>
      </c>
      <c r="F5921" s="116">
        <f>COUNTIFS($A$3:A14171,A5921,$B$3:B14171,B5921)</f>
        <v>1</v>
      </c>
      <c r="G5921" s="116"/>
    </row>
    <row r="5922" spans="1:7" x14ac:dyDescent="0.2">
      <c r="A5922" s="116">
        <f>IF(ISNUMBER(Tabela2[[#This Row],[CT-e/NFS]])=TRUE,(IF(B5922&gt;30000,4,IF(B5922&lt;1000,"ND",0))),"-")</f>
        <v>4</v>
      </c>
      <c r="B5922" s="116">
        <v>49933</v>
      </c>
      <c r="C5922" s="117">
        <v>45597</v>
      </c>
      <c r="D5922" s="116">
        <v>122.77</v>
      </c>
      <c r="E5922" s="117">
        <v>45611</v>
      </c>
      <c r="F5922" s="116">
        <f>COUNTIFS($A$3:A14172,A5922,$B$3:B14172,B5922)</f>
        <v>1</v>
      </c>
      <c r="G5922" s="116"/>
    </row>
    <row r="5923" spans="1:7" x14ac:dyDescent="0.2">
      <c r="A5923" s="116">
        <f>IF(ISNUMBER(Tabela2[[#This Row],[CT-e/NFS]])=TRUE,(IF(B5923&gt;30000,4,IF(B5923&lt;1000,"ND",0))),"-")</f>
        <v>4</v>
      </c>
      <c r="B5923" s="116">
        <v>49934</v>
      </c>
      <c r="C5923" s="117">
        <v>45597</v>
      </c>
      <c r="D5923" s="116">
        <v>125.16</v>
      </c>
      <c r="E5923" s="117">
        <v>45611</v>
      </c>
      <c r="F5923" s="116">
        <f>COUNTIFS($A$3:A14173,A5923,$B$3:B14173,B5923)</f>
        <v>1</v>
      </c>
      <c r="G5923" s="116"/>
    </row>
    <row r="5924" spans="1:7" x14ac:dyDescent="0.2">
      <c r="A5924" s="116">
        <f>IF(ISNUMBER(Tabela2[[#This Row],[CT-e/NFS]])=TRUE,(IF(B5924&gt;30000,4,IF(B5924&lt;1000,"ND",0))),"-")</f>
        <v>4</v>
      </c>
      <c r="B5924" s="116">
        <v>49937</v>
      </c>
      <c r="C5924" s="117">
        <v>45597</v>
      </c>
      <c r="D5924" s="116">
        <v>238.73</v>
      </c>
      <c r="E5924" s="117">
        <v>45611</v>
      </c>
      <c r="F5924" s="116">
        <f>COUNTIFS($A$3:A14174,A5924,$B$3:B14174,B5924)</f>
        <v>1</v>
      </c>
      <c r="G5924" s="116"/>
    </row>
    <row r="5925" spans="1:7" x14ac:dyDescent="0.2">
      <c r="A5925" s="116">
        <f>IF(ISNUMBER(Tabela2[[#This Row],[CT-e/NFS]])=TRUE,(IF(B5925&gt;30000,4,IF(B5925&lt;1000,"ND",0))),"-")</f>
        <v>4</v>
      </c>
      <c r="B5925" s="116">
        <v>49936</v>
      </c>
      <c r="C5925" s="117">
        <v>45597</v>
      </c>
      <c r="D5925" s="116">
        <v>1003.68</v>
      </c>
      <c r="E5925" s="117">
        <v>45611</v>
      </c>
      <c r="F5925" s="116">
        <f>COUNTIFS($A$3:A14175,A5925,$B$3:B14175,B5925)</f>
        <v>1</v>
      </c>
      <c r="G5925" s="116"/>
    </row>
    <row r="5926" spans="1:7" x14ac:dyDescent="0.2">
      <c r="A5926" s="116">
        <f>IF(ISNUMBER(Tabela2[[#This Row],[CT-e/NFS]])=TRUE,(IF(B5926&gt;30000,4,IF(B5926&lt;1000,"ND",0))),"-")</f>
        <v>4</v>
      </c>
      <c r="B5926" s="116">
        <v>49938</v>
      </c>
      <c r="C5926" s="117">
        <v>45597</v>
      </c>
      <c r="D5926" s="116">
        <v>1137.73</v>
      </c>
      <c r="E5926" s="117">
        <v>45611</v>
      </c>
      <c r="F5926" s="116">
        <f>COUNTIFS($A$3:A14176,A5926,$B$3:B14176,B5926)</f>
        <v>1</v>
      </c>
      <c r="G5926" s="116"/>
    </row>
    <row r="5927" spans="1:7" x14ac:dyDescent="0.2">
      <c r="A5927" s="116">
        <f>IF(ISNUMBER(Tabela2[[#This Row],[CT-e/NFS]])=TRUE,(IF(B5927&gt;30000,4,IF(B5927&lt;1000,"ND",0))),"-")</f>
        <v>4</v>
      </c>
      <c r="B5927" s="116">
        <v>49939</v>
      </c>
      <c r="C5927" s="117">
        <v>45597</v>
      </c>
      <c r="D5927" s="116">
        <v>408.02</v>
      </c>
      <c r="E5927" s="117">
        <v>45611</v>
      </c>
      <c r="F5927" s="116">
        <f>COUNTIFS($A$3:A14177,A5927,$B$3:B14177,B5927)</f>
        <v>1</v>
      </c>
      <c r="G5927" s="116"/>
    </row>
    <row r="5928" spans="1:7" x14ac:dyDescent="0.2">
      <c r="A5928" s="116">
        <f>IF(ISNUMBER(Tabela2[[#This Row],[CT-e/NFS]])=TRUE,(IF(B5928&gt;30000,4,IF(B5928&lt;1000,"ND",0))),"-")</f>
        <v>4</v>
      </c>
      <c r="B5928" s="116">
        <v>49945</v>
      </c>
      <c r="C5928" s="117">
        <v>45597</v>
      </c>
      <c r="D5928" s="116">
        <v>145.09</v>
      </c>
      <c r="E5928" s="117">
        <v>45611</v>
      </c>
      <c r="F5928" s="116">
        <f>COUNTIFS($A$3:A14178,A5928,$B$3:B14178,B5928)</f>
        <v>1</v>
      </c>
      <c r="G5928" s="116"/>
    </row>
    <row r="5929" spans="1:7" x14ac:dyDescent="0.2">
      <c r="A5929" s="116">
        <f>IF(ISNUMBER(Tabela2[[#This Row],[CT-e/NFS]])=TRUE,(IF(B5929&gt;30000,4,IF(B5929&lt;1000,"ND",0))),"-")</f>
        <v>4</v>
      </c>
      <c r="B5929" s="116">
        <v>49951</v>
      </c>
      <c r="C5929" s="117">
        <v>45597</v>
      </c>
      <c r="D5929" s="116">
        <v>124.03</v>
      </c>
      <c r="E5929" s="117">
        <v>45611</v>
      </c>
      <c r="F5929" s="116">
        <f>COUNTIFS($A$3:A14179,A5929,$B$3:B14179,B5929)</f>
        <v>1</v>
      </c>
      <c r="G5929" s="116"/>
    </row>
    <row r="5930" spans="1:7" x14ac:dyDescent="0.2">
      <c r="A5930" s="116">
        <f>IF(ISNUMBER(Tabela2[[#This Row],[CT-e/NFS]])=TRUE,(IF(B5930&gt;30000,4,IF(B5930&lt;1000,"ND",0))),"-")</f>
        <v>4</v>
      </c>
      <c r="B5930" s="116">
        <v>49952</v>
      </c>
      <c r="C5930" s="117">
        <v>45597</v>
      </c>
      <c r="D5930" s="116">
        <v>124.2</v>
      </c>
      <c r="E5930" s="117">
        <v>45611</v>
      </c>
      <c r="F5930" s="116">
        <f>COUNTIFS($A$3:A14180,A5930,$B$3:B14180,B5930)</f>
        <v>1</v>
      </c>
      <c r="G5930" s="116"/>
    </row>
    <row r="5931" spans="1:7" x14ac:dyDescent="0.2">
      <c r="A5931" s="116">
        <f>IF(ISNUMBER(Tabela2[[#This Row],[CT-e/NFS]])=TRUE,(IF(B5931&gt;30000,4,IF(B5931&lt;1000,"ND",0))),"-")</f>
        <v>4</v>
      </c>
      <c r="B5931" s="116">
        <v>49942</v>
      </c>
      <c r="C5931" s="117">
        <v>45597</v>
      </c>
      <c r="D5931" s="116">
        <v>122.92</v>
      </c>
      <c r="E5931" s="117">
        <v>45611</v>
      </c>
      <c r="F5931" s="116">
        <f>COUNTIFS($A$3:A14181,A5931,$B$3:B14181,B5931)</f>
        <v>1</v>
      </c>
      <c r="G5931" s="116"/>
    </row>
    <row r="5932" spans="1:7" x14ac:dyDescent="0.2">
      <c r="A5932" s="116">
        <f>IF(ISNUMBER(Tabela2[[#This Row],[CT-e/NFS]])=TRUE,(IF(B5932&gt;30000,4,IF(B5932&lt;1000,"ND",0))),"-")</f>
        <v>4</v>
      </c>
      <c r="B5932" s="116">
        <v>49940</v>
      </c>
      <c r="C5932" s="117">
        <v>45597</v>
      </c>
      <c r="D5932" s="116">
        <v>122.86</v>
      </c>
      <c r="E5932" s="117">
        <v>45611</v>
      </c>
      <c r="F5932" s="116">
        <f>COUNTIFS($A$3:A14182,A5932,$B$3:B14182,B5932)</f>
        <v>1</v>
      </c>
      <c r="G5932" s="116"/>
    </row>
    <row r="5933" spans="1:7" x14ac:dyDescent="0.2">
      <c r="A5933" s="116">
        <f>IF(ISNUMBER(Tabela2[[#This Row],[CT-e/NFS]])=TRUE,(IF(B5933&gt;30000,4,IF(B5933&lt;1000,"ND",0))),"-")</f>
        <v>4</v>
      </c>
      <c r="B5933" s="116">
        <v>49941</v>
      </c>
      <c r="C5933" s="117">
        <v>45597</v>
      </c>
      <c r="D5933" s="116">
        <v>124.05</v>
      </c>
      <c r="E5933" s="117">
        <v>45611</v>
      </c>
      <c r="F5933" s="116">
        <f>COUNTIFS($A$3:A14183,A5933,$B$3:B14183,B5933)</f>
        <v>1</v>
      </c>
      <c r="G5933" s="116"/>
    </row>
    <row r="5934" spans="1:7" x14ac:dyDescent="0.2">
      <c r="A5934" s="116">
        <f>IF(ISNUMBER(Tabela2[[#This Row],[CT-e/NFS]])=TRUE,(IF(B5934&gt;30000,4,IF(B5934&lt;1000,"ND",0))),"-")</f>
        <v>4</v>
      </c>
      <c r="B5934" s="116">
        <v>49955</v>
      </c>
      <c r="C5934" s="117">
        <v>45597</v>
      </c>
      <c r="D5934" s="116">
        <v>214.86</v>
      </c>
      <c r="E5934" s="117">
        <v>45611</v>
      </c>
      <c r="F5934" s="116">
        <f>COUNTIFS($A$3:A14184,A5934,$B$3:B14184,B5934)</f>
        <v>1</v>
      </c>
      <c r="G5934" s="116"/>
    </row>
    <row r="5935" spans="1:7" x14ac:dyDescent="0.2">
      <c r="A5935" s="116">
        <f>IF(ISNUMBER(Tabela2[[#This Row],[CT-e/NFS]])=TRUE,(IF(B5935&gt;30000,4,IF(B5935&lt;1000,"ND",0))),"-")</f>
        <v>4</v>
      </c>
      <c r="B5935" s="116">
        <v>49954</v>
      </c>
      <c r="C5935" s="117">
        <v>45597</v>
      </c>
      <c r="D5935" s="116">
        <v>119.36</v>
      </c>
      <c r="E5935" s="117">
        <v>45611</v>
      </c>
      <c r="F5935" s="116">
        <f>COUNTIFS($A$3:A14185,A5935,$B$3:B14185,B5935)</f>
        <v>1</v>
      </c>
      <c r="G5935" s="116"/>
    </row>
    <row r="5936" spans="1:7" x14ac:dyDescent="0.2">
      <c r="A5936" s="116">
        <f>IF(ISNUMBER(Tabela2[[#This Row],[CT-e/NFS]])=TRUE,(IF(B5936&gt;30000,4,IF(B5936&lt;1000,"ND",0))),"-")</f>
        <v>4</v>
      </c>
      <c r="B5936" s="116">
        <v>49943</v>
      </c>
      <c r="C5936" s="117">
        <v>45597</v>
      </c>
      <c r="D5936" s="116">
        <v>413.93</v>
      </c>
      <c r="E5936" s="117">
        <v>45611</v>
      </c>
      <c r="F5936" s="116">
        <f>COUNTIFS($A$3:A14186,A5936,$B$3:B14186,B5936)</f>
        <v>1</v>
      </c>
      <c r="G5936" s="116"/>
    </row>
    <row r="5937" spans="1:7" x14ac:dyDescent="0.2">
      <c r="A5937" s="116">
        <f>IF(ISNUMBER(Tabela2[[#This Row],[CT-e/NFS]])=TRUE,(IF(B5937&gt;30000,4,IF(B5937&lt;1000,"ND",0))),"-")</f>
        <v>4</v>
      </c>
      <c r="B5937" s="116">
        <v>49953</v>
      </c>
      <c r="C5937" s="117">
        <v>45597</v>
      </c>
      <c r="D5937" s="116">
        <v>242.25</v>
      </c>
      <c r="E5937" s="117">
        <v>45611</v>
      </c>
      <c r="F5937" s="116">
        <f>COUNTIFS($A$3:A14187,A5937,$B$3:B14187,B5937)</f>
        <v>1</v>
      </c>
      <c r="G5937" s="116"/>
    </row>
    <row r="5938" spans="1:7" x14ac:dyDescent="0.2">
      <c r="A5938" s="116">
        <f>IF(ISNUMBER(Tabela2[[#This Row],[CT-e/NFS]])=TRUE,(IF(B5938&gt;30000,4,IF(B5938&lt;1000,"ND",0))),"-")</f>
        <v>4</v>
      </c>
      <c r="B5938" s="116">
        <v>49948</v>
      </c>
      <c r="C5938" s="117">
        <v>45597</v>
      </c>
      <c r="D5938" s="116">
        <v>359.33</v>
      </c>
      <c r="E5938" s="117">
        <v>45611</v>
      </c>
      <c r="F5938" s="116">
        <f>COUNTIFS($A$3:A14188,A5938,$B$3:B14188,B5938)</f>
        <v>1</v>
      </c>
      <c r="G5938" s="116"/>
    </row>
    <row r="5939" spans="1:7" x14ac:dyDescent="0.2">
      <c r="A5939" s="116">
        <f>IF(ISNUMBER(Tabela2[[#This Row],[CT-e/NFS]])=TRUE,(IF(B5939&gt;30000,4,IF(B5939&lt;1000,"ND",0))),"-")</f>
        <v>4</v>
      </c>
      <c r="B5939" s="116">
        <v>49947</v>
      </c>
      <c r="C5939" s="117">
        <v>45597</v>
      </c>
      <c r="D5939" s="116">
        <v>590.29999999999995</v>
      </c>
      <c r="E5939" s="117">
        <v>45611</v>
      </c>
      <c r="F5939" s="116">
        <f>COUNTIFS($A$3:A14189,A5939,$B$3:B14189,B5939)</f>
        <v>1</v>
      </c>
      <c r="G5939" s="116"/>
    </row>
    <row r="5940" spans="1:7" x14ac:dyDescent="0.2">
      <c r="A5940" s="116">
        <f>IF(ISNUMBER(Tabela2[[#This Row],[CT-e/NFS]])=TRUE,(IF(B5940&gt;30000,4,IF(B5940&lt;1000,"ND",0))),"-")</f>
        <v>4</v>
      </c>
      <c r="B5940" s="116">
        <v>49944</v>
      </c>
      <c r="C5940" s="117">
        <v>45597</v>
      </c>
      <c r="D5940" s="116">
        <v>248.07</v>
      </c>
      <c r="E5940" s="117">
        <v>45611</v>
      </c>
      <c r="F5940" s="116">
        <f>COUNTIFS($A$3:A14190,A5940,$B$3:B14190,B5940)</f>
        <v>1</v>
      </c>
      <c r="G5940" s="116"/>
    </row>
    <row r="5941" spans="1:7" x14ac:dyDescent="0.2">
      <c r="A5941" s="116">
        <f>IF(ISNUMBER(Tabela2[[#This Row],[CT-e/NFS]])=TRUE,(IF(B5941&gt;30000,4,IF(B5941&lt;1000,"ND",0))),"-")</f>
        <v>4</v>
      </c>
      <c r="B5941" s="116">
        <v>49950</v>
      </c>
      <c r="C5941" s="117">
        <v>45597</v>
      </c>
      <c r="D5941" s="116">
        <v>238.68</v>
      </c>
      <c r="E5941" s="117">
        <v>45611</v>
      </c>
      <c r="F5941" s="116">
        <f>COUNTIFS($A$3:A14191,A5941,$B$3:B14191,B5941)</f>
        <v>1</v>
      </c>
      <c r="G5941" s="116"/>
    </row>
    <row r="5942" spans="1:7" x14ac:dyDescent="0.2">
      <c r="A5942" s="116">
        <f>IF(ISNUMBER(Tabela2[[#This Row],[CT-e/NFS]])=TRUE,(IF(B5942&gt;30000,4,IF(B5942&lt;1000,"ND",0))),"-")</f>
        <v>4</v>
      </c>
      <c r="B5942" s="116">
        <v>49946</v>
      </c>
      <c r="C5942" s="117">
        <v>45597</v>
      </c>
      <c r="D5942" s="116">
        <v>126.6</v>
      </c>
      <c r="E5942" s="117">
        <v>45611</v>
      </c>
      <c r="F5942" s="116">
        <f>COUNTIFS($A$3:A14192,A5942,$B$3:B14192,B5942)</f>
        <v>1</v>
      </c>
      <c r="G5942" s="116"/>
    </row>
    <row r="5943" spans="1:7" x14ac:dyDescent="0.2">
      <c r="A5943" s="116">
        <f>IF(ISNUMBER(Tabela2[[#This Row],[CT-e/NFS]])=TRUE,(IF(B5943&gt;30000,4,IF(B5943&lt;1000,"ND",0))),"-")</f>
        <v>4</v>
      </c>
      <c r="B5943" s="116">
        <v>49949</v>
      </c>
      <c r="C5943" s="117">
        <v>45597</v>
      </c>
      <c r="D5943" s="116">
        <v>238.68</v>
      </c>
      <c r="E5943" s="117">
        <v>45611</v>
      </c>
      <c r="F5943" s="116">
        <f>COUNTIFS($A$3:A14193,A5943,$B$3:B14193,B5943)</f>
        <v>1</v>
      </c>
      <c r="G5943" s="116"/>
    </row>
    <row r="5944" spans="1:7" x14ac:dyDescent="0.2">
      <c r="A5944" s="116">
        <f>IF(ISNUMBER(Tabela2[[#This Row],[CT-e/NFS]])=TRUE,(IF(B5944&gt;30000,4,IF(B5944&lt;1000,"ND",0))),"-")</f>
        <v>4</v>
      </c>
      <c r="B5944" s="116">
        <v>49960</v>
      </c>
      <c r="C5944" s="117">
        <v>45597</v>
      </c>
      <c r="D5944" s="116">
        <v>1788.98</v>
      </c>
      <c r="E5944" s="117">
        <v>45611</v>
      </c>
      <c r="F5944" s="116">
        <f>COUNTIFS($A$3:A14194,A5944,$B$3:B14194,B5944)</f>
        <v>1</v>
      </c>
      <c r="G5944" s="116"/>
    </row>
    <row r="5945" spans="1:7" x14ac:dyDescent="0.2">
      <c r="A5945" s="116">
        <f>IF(ISNUMBER(Tabela2[[#This Row],[CT-e/NFS]])=TRUE,(IF(B5945&gt;30000,4,IF(B5945&lt;1000,"ND",0))),"-")</f>
        <v>0</v>
      </c>
      <c r="B5945" s="116">
        <v>22272</v>
      </c>
      <c r="C5945" s="117">
        <v>45597</v>
      </c>
      <c r="D5945" s="116">
        <v>597.04</v>
      </c>
      <c r="E5945" s="117">
        <v>45611</v>
      </c>
      <c r="F5945" s="116">
        <f>COUNTIFS($A$3:A14195,A5945,$B$3:B14195,B5945)</f>
        <v>1</v>
      </c>
      <c r="G5945" s="116"/>
    </row>
    <row r="5946" spans="1:7" x14ac:dyDescent="0.2">
      <c r="A5946" s="116">
        <f>IF(ISNUMBER(Tabela2[[#This Row],[CT-e/NFS]])=TRUE,(IF(B5946&gt;30000,4,IF(B5946&lt;1000,"ND",0))),"-")</f>
        <v>4</v>
      </c>
      <c r="B5946" s="116">
        <v>49961</v>
      </c>
      <c r="C5946" s="117">
        <v>45597</v>
      </c>
      <c r="D5946" s="116">
        <v>204.01</v>
      </c>
      <c r="E5946" s="117">
        <v>45611</v>
      </c>
      <c r="F5946" s="116">
        <f>COUNTIFS($A$3:A14196,A5946,$B$3:B14196,B5946)</f>
        <v>1</v>
      </c>
      <c r="G5946" s="116"/>
    </row>
    <row r="5947" spans="1:7" x14ac:dyDescent="0.2">
      <c r="A5947" s="116">
        <f>IF(ISNUMBER(Tabela2[[#This Row],[CT-e/NFS]])=TRUE,(IF(B5947&gt;30000,4,IF(B5947&lt;1000,"ND",0))),"-")</f>
        <v>4</v>
      </c>
      <c r="B5947" s="116">
        <v>49963</v>
      </c>
      <c r="C5947" s="117">
        <v>45597</v>
      </c>
      <c r="D5947" s="116">
        <v>2906.31</v>
      </c>
      <c r="E5947" s="117">
        <v>45611</v>
      </c>
      <c r="F5947" s="116">
        <f>COUNTIFS($A$3:A14197,A5947,$B$3:B14197,B5947)</f>
        <v>1</v>
      </c>
      <c r="G5947" s="116"/>
    </row>
    <row r="5948" spans="1:7" x14ac:dyDescent="0.2">
      <c r="A5948" s="116">
        <f>IF(ISNUMBER(Tabela2[[#This Row],[CT-e/NFS]])=TRUE,(IF(B5948&gt;30000,4,IF(B5948&lt;1000,"ND",0))),"-")</f>
        <v>4</v>
      </c>
      <c r="B5948" s="116">
        <v>49857</v>
      </c>
      <c r="C5948" s="117">
        <v>45597</v>
      </c>
      <c r="D5948" s="116">
        <v>396.45</v>
      </c>
      <c r="E5948" s="117">
        <v>45611</v>
      </c>
      <c r="F5948" s="116">
        <f>COUNTIFS($A$3:A14198,A5948,$B$3:B14198,B5948)</f>
        <v>1</v>
      </c>
      <c r="G5948" s="116"/>
    </row>
    <row r="5949" spans="1:7" x14ac:dyDescent="0.2">
      <c r="A5949" s="116">
        <f>IF(ISNUMBER(Tabela2[[#This Row],[CT-e/NFS]])=TRUE,(IF(B5949&gt;30000,4,IF(B5949&lt;1000,"ND",0))),"-")</f>
        <v>4</v>
      </c>
      <c r="B5949" s="116">
        <v>49967</v>
      </c>
      <c r="C5949" s="117">
        <v>45607</v>
      </c>
      <c r="D5949" s="116">
        <v>927.02</v>
      </c>
      <c r="E5949" s="117">
        <v>45611</v>
      </c>
      <c r="F5949" s="116">
        <f>COUNTIFS($A$3:A14199,A5949,$B$3:B14199,B5949)</f>
        <v>1</v>
      </c>
      <c r="G5949" s="116"/>
    </row>
    <row r="5950" spans="1:7" x14ac:dyDescent="0.2">
      <c r="A5950" s="116">
        <f>IF(ISNUMBER(Tabela2[[#This Row],[CT-e/NFS]])=TRUE,(IF(B5950&gt;30000,4,IF(B5950&lt;1000,"ND",0))),"-")</f>
        <v>4</v>
      </c>
      <c r="B5950" s="116">
        <v>49965</v>
      </c>
      <c r="C5950" s="117">
        <v>45607</v>
      </c>
      <c r="D5950" s="116">
        <v>278.17</v>
      </c>
      <c r="E5950" s="117">
        <v>45611</v>
      </c>
      <c r="F5950" s="116">
        <f>COUNTIFS($A$3:A14200,A5950,$B$3:B14200,B5950)</f>
        <v>1</v>
      </c>
      <c r="G5950" s="116"/>
    </row>
    <row r="5951" spans="1:7" x14ac:dyDescent="0.2">
      <c r="A5951" s="116">
        <f>IF(ISNUMBER(Tabela2[[#This Row],[CT-e/NFS]])=TRUE,(IF(B5951&gt;30000,4,IF(B5951&lt;1000,"ND",0))),"-")</f>
        <v>4</v>
      </c>
      <c r="B5951" s="116">
        <v>49966</v>
      </c>
      <c r="C5951" s="117">
        <v>45607</v>
      </c>
      <c r="D5951" s="116">
        <v>553.1</v>
      </c>
      <c r="E5951" s="117">
        <v>45611</v>
      </c>
      <c r="F5951" s="116">
        <f>COUNTIFS($A$3:A14201,A5951,$B$3:B14201,B5951)</f>
        <v>1</v>
      </c>
      <c r="G5951" s="116"/>
    </row>
    <row r="5952" spans="1:7" x14ac:dyDescent="0.2">
      <c r="A5952" s="116">
        <f>IF(ISNUMBER(Tabela2[[#This Row],[CT-e/NFS]])=TRUE,(IF(B5952&gt;30000,4,IF(B5952&lt;1000,"ND",0))),"-")</f>
        <v>4</v>
      </c>
      <c r="B5952" s="116">
        <v>49974</v>
      </c>
      <c r="C5952" s="117">
        <v>45607</v>
      </c>
      <c r="D5952" s="116">
        <v>3127.4</v>
      </c>
      <c r="E5952" s="117">
        <v>45611</v>
      </c>
      <c r="F5952" s="116">
        <f>COUNTIFS($A$3:A14202,A5952,$B$3:B14202,B5952)</f>
        <v>1</v>
      </c>
      <c r="G5952" s="116"/>
    </row>
    <row r="5953" spans="1:7" x14ac:dyDescent="0.2">
      <c r="A5953" s="116">
        <f>IF(ISNUMBER(Tabela2[[#This Row],[CT-e/NFS]])=TRUE,(IF(B5953&gt;30000,4,IF(B5953&lt;1000,"ND",0))),"-")</f>
        <v>4</v>
      </c>
      <c r="B5953" s="116">
        <v>49987</v>
      </c>
      <c r="C5953" s="117">
        <v>45607</v>
      </c>
      <c r="D5953" s="116">
        <v>119.34</v>
      </c>
      <c r="E5953" s="117">
        <v>45611</v>
      </c>
      <c r="F5953" s="116">
        <f>COUNTIFS($A$3:A14203,A5953,$B$3:B14203,B5953)</f>
        <v>1</v>
      </c>
      <c r="G5953" s="116"/>
    </row>
    <row r="5954" spans="1:7" x14ac:dyDescent="0.2">
      <c r="A5954" s="116">
        <f>IF(ISNUMBER(Tabela2[[#This Row],[CT-e/NFS]])=TRUE,(IF(B5954&gt;30000,4,IF(B5954&lt;1000,"ND",0))),"-")</f>
        <v>4</v>
      </c>
      <c r="B5954" s="116">
        <v>49978</v>
      </c>
      <c r="C5954" s="117">
        <v>45607</v>
      </c>
      <c r="D5954" s="116">
        <v>759.69</v>
      </c>
      <c r="E5954" s="117">
        <v>45611</v>
      </c>
      <c r="F5954" s="116">
        <f>COUNTIFS($A$3:A14204,A5954,$B$3:B14204,B5954)</f>
        <v>1</v>
      </c>
      <c r="G5954" s="116"/>
    </row>
    <row r="5955" spans="1:7" x14ac:dyDescent="0.2">
      <c r="A5955" s="116">
        <f>IF(ISNUMBER(Tabela2[[#This Row],[CT-e/NFS]])=TRUE,(IF(B5955&gt;30000,4,IF(B5955&lt;1000,"ND",0))),"-")</f>
        <v>4</v>
      </c>
      <c r="B5955" s="116">
        <v>49982</v>
      </c>
      <c r="C5955" s="117">
        <v>45607</v>
      </c>
      <c r="D5955" s="116">
        <v>123.89</v>
      </c>
      <c r="E5955" s="117">
        <v>45611</v>
      </c>
      <c r="F5955" s="116">
        <f>COUNTIFS($A$3:A14205,A5955,$B$3:B14205,B5955)</f>
        <v>1</v>
      </c>
      <c r="G5955" s="116"/>
    </row>
    <row r="5956" spans="1:7" x14ac:dyDescent="0.2">
      <c r="A5956" s="116">
        <f>IF(ISNUMBER(Tabela2[[#This Row],[CT-e/NFS]])=TRUE,(IF(B5956&gt;30000,4,IF(B5956&lt;1000,"ND",0))),"-")</f>
        <v>4</v>
      </c>
      <c r="B5956" s="116">
        <v>49984</v>
      </c>
      <c r="C5956" s="117">
        <v>45607</v>
      </c>
      <c r="D5956" s="116">
        <v>231.83</v>
      </c>
      <c r="E5956" s="117">
        <v>45611</v>
      </c>
      <c r="F5956" s="116">
        <f>COUNTIFS($A$3:A14206,A5956,$B$3:B14206,B5956)</f>
        <v>1</v>
      </c>
      <c r="G5956" s="116"/>
    </row>
    <row r="5957" spans="1:7" x14ac:dyDescent="0.2">
      <c r="A5957" s="116">
        <f>IF(ISNUMBER(Tabela2[[#This Row],[CT-e/NFS]])=TRUE,(IF(B5957&gt;30000,4,IF(B5957&lt;1000,"ND",0))),"-")</f>
        <v>4</v>
      </c>
      <c r="B5957" s="116">
        <v>49980</v>
      </c>
      <c r="C5957" s="117">
        <v>45607</v>
      </c>
      <c r="D5957" s="116">
        <v>131.9</v>
      </c>
      <c r="E5957" s="117">
        <v>45611</v>
      </c>
      <c r="F5957" s="116">
        <f>COUNTIFS($A$3:A14207,A5957,$B$3:B14207,B5957)</f>
        <v>1</v>
      </c>
      <c r="G5957" s="116"/>
    </row>
    <row r="5958" spans="1:7" x14ac:dyDescent="0.2">
      <c r="A5958" s="116">
        <f>IF(ISNUMBER(Tabela2[[#This Row],[CT-e/NFS]])=TRUE,(IF(B5958&gt;30000,4,IF(B5958&lt;1000,"ND",0))),"-")</f>
        <v>4</v>
      </c>
      <c r="B5958" s="116">
        <v>49988</v>
      </c>
      <c r="C5958" s="117">
        <v>45607</v>
      </c>
      <c r="D5958" s="116">
        <v>214.82</v>
      </c>
      <c r="E5958" s="117">
        <v>45611</v>
      </c>
      <c r="F5958" s="116">
        <f>COUNTIFS($A$3:A14208,A5958,$B$3:B14208,B5958)</f>
        <v>1</v>
      </c>
      <c r="G5958" s="116"/>
    </row>
    <row r="5959" spans="1:7" x14ac:dyDescent="0.2">
      <c r="A5959" s="116">
        <f>IF(ISNUMBER(Tabela2[[#This Row],[CT-e/NFS]])=TRUE,(IF(B5959&gt;30000,4,IF(B5959&lt;1000,"ND",0))),"-")</f>
        <v>4</v>
      </c>
      <c r="B5959" s="116">
        <v>49983</v>
      </c>
      <c r="C5959" s="117">
        <v>45607</v>
      </c>
      <c r="D5959" s="116">
        <v>122.92</v>
      </c>
      <c r="E5959" s="117">
        <v>45611</v>
      </c>
      <c r="F5959" s="116">
        <f>COUNTIFS($A$3:A14209,A5959,$B$3:B14209,B5959)</f>
        <v>1</v>
      </c>
      <c r="G5959" s="116"/>
    </row>
    <row r="5960" spans="1:7" x14ac:dyDescent="0.2">
      <c r="A5960" s="116">
        <f>IF(ISNUMBER(Tabela2[[#This Row],[CT-e/NFS]])=TRUE,(IF(B5960&gt;30000,4,IF(B5960&lt;1000,"ND",0))),"-")</f>
        <v>4</v>
      </c>
      <c r="B5960" s="116">
        <v>49975</v>
      </c>
      <c r="C5960" s="117">
        <v>45607</v>
      </c>
      <c r="D5960" s="116">
        <v>123.1</v>
      </c>
      <c r="E5960" s="117">
        <v>45611</v>
      </c>
      <c r="F5960" s="116">
        <f>COUNTIFS($A$3:A14210,A5960,$B$3:B14210,B5960)</f>
        <v>1</v>
      </c>
      <c r="G5960" s="116"/>
    </row>
    <row r="5961" spans="1:7" x14ac:dyDescent="0.2">
      <c r="A5961" s="116">
        <f>IF(ISNUMBER(Tabela2[[#This Row],[CT-e/NFS]])=TRUE,(IF(B5961&gt;30000,4,IF(B5961&lt;1000,"ND",0))),"-")</f>
        <v>4</v>
      </c>
      <c r="B5961" s="116">
        <v>49979</v>
      </c>
      <c r="C5961" s="117">
        <v>45607</v>
      </c>
      <c r="D5961" s="116">
        <v>238.95</v>
      </c>
      <c r="E5961" s="117">
        <v>45611</v>
      </c>
      <c r="F5961" s="116">
        <f>COUNTIFS($A$3:A14211,A5961,$B$3:B14211,B5961)</f>
        <v>1</v>
      </c>
      <c r="G5961" s="116"/>
    </row>
    <row r="5962" spans="1:7" x14ac:dyDescent="0.2">
      <c r="A5962" s="116">
        <f>IF(ISNUMBER(Tabela2[[#This Row],[CT-e/NFS]])=TRUE,(IF(B5962&gt;30000,4,IF(B5962&lt;1000,"ND",0))),"-")</f>
        <v>4</v>
      </c>
      <c r="B5962" s="116">
        <v>49964</v>
      </c>
      <c r="C5962" s="117">
        <v>45607</v>
      </c>
      <c r="D5962" s="116">
        <v>223.42</v>
      </c>
      <c r="E5962" s="117">
        <v>45611</v>
      </c>
      <c r="F5962" s="116">
        <f>COUNTIFS($A$3:A14212,A5962,$B$3:B14212,B5962)</f>
        <v>1</v>
      </c>
      <c r="G5962" s="116"/>
    </row>
    <row r="5963" spans="1:7" x14ac:dyDescent="0.2">
      <c r="A5963" s="116">
        <f>IF(ISNUMBER(Tabela2[[#This Row],[CT-e/NFS]])=TRUE,(IF(B5963&gt;30000,4,IF(B5963&lt;1000,"ND",0))),"-")</f>
        <v>4</v>
      </c>
      <c r="B5963" s="116">
        <v>49973</v>
      </c>
      <c r="C5963" s="117">
        <v>45607</v>
      </c>
      <c r="D5963" s="116">
        <v>124.52</v>
      </c>
      <c r="E5963" s="117">
        <v>45611</v>
      </c>
      <c r="F5963" s="116">
        <f>COUNTIFS($A$3:A14213,A5963,$B$3:B14213,B5963)</f>
        <v>1</v>
      </c>
      <c r="G5963" s="116"/>
    </row>
    <row r="5964" spans="1:7" x14ac:dyDescent="0.2">
      <c r="A5964" s="116">
        <f>IF(ISNUMBER(Tabela2[[#This Row],[CT-e/NFS]])=TRUE,(IF(B5964&gt;30000,4,IF(B5964&lt;1000,"ND",0))),"-")</f>
        <v>4</v>
      </c>
      <c r="B5964" s="116">
        <v>49972</v>
      </c>
      <c r="C5964" s="117">
        <v>45607</v>
      </c>
      <c r="D5964" s="116">
        <v>124.26</v>
      </c>
      <c r="E5964" s="117">
        <v>45611</v>
      </c>
      <c r="F5964" s="116">
        <f>COUNTIFS($A$3:A14214,A5964,$B$3:B14214,B5964)</f>
        <v>1</v>
      </c>
      <c r="G5964" s="116"/>
    </row>
    <row r="5965" spans="1:7" x14ac:dyDescent="0.2">
      <c r="A5965" s="116">
        <f>IF(ISNUMBER(Tabela2[[#This Row],[CT-e/NFS]])=TRUE,(IF(B5965&gt;30000,4,IF(B5965&lt;1000,"ND",0))),"-")</f>
        <v>4</v>
      </c>
      <c r="B5965" s="116">
        <v>49976</v>
      </c>
      <c r="C5965" s="117">
        <v>45607</v>
      </c>
      <c r="D5965" s="116">
        <v>122.88</v>
      </c>
      <c r="E5965" s="117">
        <v>45611</v>
      </c>
      <c r="F5965" s="116">
        <f>COUNTIFS($A$3:A14215,A5965,$B$3:B14215,B5965)</f>
        <v>1</v>
      </c>
      <c r="G5965" s="116"/>
    </row>
    <row r="5966" spans="1:7" x14ac:dyDescent="0.2">
      <c r="A5966" s="116">
        <f>IF(ISNUMBER(Tabela2[[#This Row],[CT-e/NFS]])=TRUE,(IF(B5966&gt;30000,4,IF(B5966&lt;1000,"ND",0))),"-")</f>
        <v>4</v>
      </c>
      <c r="B5966" s="116">
        <v>49971</v>
      </c>
      <c r="C5966" s="117">
        <v>45607</v>
      </c>
      <c r="D5966" s="116">
        <v>206.92</v>
      </c>
      <c r="E5966" s="117">
        <v>45611</v>
      </c>
      <c r="F5966" s="116">
        <f>COUNTIFS($A$3:A14216,A5966,$B$3:B14216,B5966)</f>
        <v>1</v>
      </c>
      <c r="G5966" s="116"/>
    </row>
    <row r="5967" spans="1:7" x14ac:dyDescent="0.2">
      <c r="A5967" s="116">
        <f>IF(ISNUMBER(Tabela2[[#This Row],[CT-e/NFS]])=TRUE,(IF(B5967&gt;30000,4,IF(B5967&lt;1000,"ND",0))),"-")</f>
        <v>4</v>
      </c>
      <c r="B5967" s="116">
        <v>49969</v>
      </c>
      <c r="C5967" s="117">
        <v>45607</v>
      </c>
      <c r="D5967" s="116">
        <v>2019.84</v>
      </c>
      <c r="E5967" s="117">
        <v>45611</v>
      </c>
      <c r="F5967" s="116">
        <f>COUNTIFS($A$3:A14217,A5967,$B$3:B14217,B5967)</f>
        <v>1</v>
      </c>
      <c r="G5967" s="116"/>
    </row>
    <row r="5968" spans="1:7" x14ac:dyDescent="0.2">
      <c r="A5968" s="116">
        <f>IF(ISNUMBER(Tabela2[[#This Row],[CT-e/NFS]])=TRUE,(IF(B5968&gt;30000,4,IF(B5968&lt;1000,"ND",0))),"-")</f>
        <v>4</v>
      </c>
      <c r="B5968" s="116">
        <v>49981</v>
      </c>
      <c r="C5968" s="117">
        <v>45607</v>
      </c>
      <c r="D5968" s="116">
        <v>815.61</v>
      </c>
      <c r="E5968" s="117">
        <v>45611</v>
      </c>
      <c r="F5968" s="116">
        <f>COUNTIFS($A$3:A14218,A5968,$B$3:B14218,B5968)</f>
        <v>1</v>
      </c>
      <c r="G5968" s="116"/>
    </row>
    <row r="5969" spans="1:7" x14ac:dyDescent="0.2">
      <c r="A5969" s="116">
        <f>IF(ISNUMBER(Tabela2[[#This Row],[CT-e/NFS]])=TRUE,(IF(B5969&gt;30000,4,IF(B5969&lt;1000,"ND",0))),"-")</f>
        <v>4</v>
      </c>
      <c r="B5969" s="116">
        <v>49977</v>
      </c>
      <c r="C5969" s="117">
        <v>45607</v>
      </c>
      <c r="D5969" s="116">
        <v>764.6</v>
      </c>
      <c r="E5969" s="117">
        <v>45611</v>
      </c>
      <c r="F5969" s="116">
        <f>COUNTIFS($A$3:A14219,A5969,$B$3:B14219,B5969)</f>
        <v>1</v>
      </c>
      <c r="G5969" s="116"/>
    </row>
    <row r="5970" spans="1:7" x14ac:dyDescent="0.2">
      <c r="A5970" s="116">
        <f>IF(ISNUMBER(Tabela2[[#This Row],[CT-e/NFS]])=TRUE,(IF(B5970&gt;30000,4,IF(B5970&lt;1000,"ND",0))),"-")</f>
        <v>4</v>
      </c>
      <c r="B5970" s="116">
        <v>49968</v>
      </c>
      <c r="C5970" s="117">
        <v>45607</v>
      </c>
      <c r="D5970" s="116">
        <v>609.98</v>
      </c>
      <c r="E5970" s="117">
        <v>45611</v>
      </c>
      <c r="F5970" s="116">
        <f>COUNTIFS($A$3:A14220,A5970,$B$3:B14220,B5970)</f>
        <v>1</v>
      </c>
      <c r="G5970" s="116"/>
    </row>
    <row r="5971" spans="1:7" x14ac:dyDescent="0.2">
      <c r="A5971" s="116">
        <f>IF(ISNUMBER(Tabela2[[#This Row],[CT-e/NFS]])=TRUE,(IF(B5971&gt;30000,4,IF(B5971&lt;1000,"ND",0))),"-")</f>
        <v>0</v>
      </c>
      <c r="B5971" s="116">
        <v>22277</v>
      </c>
      <c r="C5971" s="117">
        <v>45607</v>
      </c>
      <c r="D5971" s="116">
        <v>148.85</v>
      </c>
      <c r="E5971" s="117">
        <v>45611</v>
      </c>
      <c r="F5971" s="116">
        <f>COUNTIFS($A$3:A14221,A5971,$B$3:B14221,B5971)</f>
        <v>1</v>
      </c>
      <c r="G5971" s="116"/>
    </row>
    <row r="5972" spans="1:7" x14ac:dyDescent="0.2">
      <c r="A5972" s="116">
        <f>IF(ISNUMBER(Tabela2[[#This Row],[CT-e/NFS]])=TRUE,(IF(B5972&gt;30000,4,IF(B5972&lt;1000,"ND",0))),"-")</f>
        <v>0</v>
      </c>
      <c r="B5972" s="116">
        <v>22318</v>
      </c>
      <c r="C5972" s="117">
        <v>45607</v>
      </c>
      <c r="D5972" s="116">
        <v>76.41</v>
      </c>
      <c r="E5972" s="117">
        <v>45611</v>
      </c>
      <c r="F5972" s="116">
        <f>COUNTIFS($A$3:A14222,A5972,$B$3:B14222,B5972)</f>
        <v>1</v>
      </c>
      <c r="G5972" s="116"/>
    </row>
    <row r="5973" spans="1:7" x14ac:dyDescent="0.2">
      <c r="A5973" s="116">
        <f>IF(ISNUMBER(Tabela2[[#This Row],[CT-e/NFS]])=TRUE,(IF(B5973&gt;30000,4,IF(B5973&lt;1000,"ND",0))),"-")</f>
        <v>0</v>
      </c>
      <c r="B5973" s="116">
        <v>22317</v>
      </c>
      <c r="C5973" s="117">
        <v>45607</v>
      </c>
      <c r="D5973" s="116">
        <v>77.010000000000005</v>
      </c>
      <c r="E5973" s="117">
        <v>45611</v>
      </c>
      <c r="F5973" s="116">
        <f>COUNTIFS($A$3:A14223,A5973,$B$3:B14223,B5973)</f>
        <v>1</v>
      </c>
      <c r="G5973" s="116"/>
    </row>
    <row r="5974" spans="1:7" x14ac:dyDescent="0.2">
      <c r="A5974" s="116">
        <f>IF(ISNUMBER(Tabela2[[#This Row],[CT-e/NFS]])=TRUE,(IF(B5974&gt;30000,4,IF(B5974&lt;1000,"ND",0))),"-")</f>
        <v>0</v>
      </c>
      <c r="B5974" s="116">
        <v>22316</v>
      </c>
      <c r="C5974" s="117">
        <v>45607</v>
      </c>
      <c r="D5974" s="116">
        <v>76.34</v>
      </c>
      <c r="E5974" s="117">
        <v>45611</v>
      </c>
      <c r="F5974" s="116">
        <f>COUNTIFS($A$3:A14224,A5974,$B$3:B14224,B5974)</f>
        <v>1</v>
      </c>
      <c r="G5974" s="116"/>
    </row>
    <row r="5975" spans="1:7" x14ac:dyDescent="0.2">
      <c r="A5975" s="116">
        <f>IF(ISNUMBER(Tabela2[[#This Row],[CT-e/NFS]])=TRUE,(IF(B5975&gt;30000,4,IF(B5975&lt;1000,"ND",0))),"-")</f>
        <v>0</v>
      </c>
      <c r="B5975" s="116">
        <v>22315</v>
      </c>
      <c r="C5975" s="117">
        <v>45607</v>
      </c>
      <c r="D5975" s="116">
        <v>76.23</v>
      </c>
      <c r="E5975" s="117">
        <v>45611</v>
      </c>
      <c r="F5975" s="116">
        <f>COUNTIFS($A$3:A14225,A5975,$B$3:B14225,B5975)</f>
        <v>1</v>
      </c>
      <c r="G5975" s="116"/>
    </row>
    <row r="5976" spans="1:7" x14ac:dyDescent="0.2">
      <c r="A5976" s="116">
        <f>IF(ISNUMBER(Tabela2[[#This Row],[CT-e/NFS]])=TRUE,(IF(B5976&gt;30000,4,IF(B5976&lt;1000,"ND",0))),"-")</f>
        <v>0</v>
      </c>
      <c r="B5976" s="116">
        <v>22314</v>
      </c>
      <c r="C5976" s="117">
        <v>45607</v>
      </c>
      <c r="D5976" s="116">
        <v>77.290000000000006</v>
      </c>
      <c r="E5976" s="117">
        <v>45611</v>
      </c>
      <c r="F5976" s="116">
        <f>COUNTIFS($A$3:A14226,A5976,$B$3:B14226,B5976)</f>
        <v>1</v>
      </c>
      <c r="G5976" s="116"/>
    </row>
    <row r="5977" spans="1:7" x14ac:dyDescent="0.2">
      <c r="A5977" s="116">
        <f>IF(ISNUMBER(Tabela2[[#This Row],[CT-e/NFS]])=TRUE,(IF(B5977&gt;30000,4,IF(B5977&lt;1000,"ND",0))),"-")</f>
        <v>0</v>
      </c>
      <c r="B5977" s="116">
        <v>22310</v>
      </c>
      <c r="C5977" s="117">
        <v>45607</v>
      </c>
      <c r="D5977" s="116">
        <v>668.62</v>
      </c>
      <c r="E5977" s="117">
        <v>45611</v>
      </c>
      <c r="F5977" s="116">
        <f>COUNTIFS($A$3:A14227,A5977,$B$3:B14227,B5977)</f>
        <v>1</v>
      </c>
      <c r="G5977" s="116"/>
    </row>
    <row r="5978" spans="1:7" x14ac:dyDescent="0.2">
      <c r="A5978" s="116">
        <f>IF(ISNUMBER(Tabela2[[#This Row],[CT-e/NFS]])=TRUE,(IF(B5978&gt;30000,4,IF(B5978&lt;1000,"ND",0))),"-")</f>
        <v>0</v>
      </c>
      <c r="B5978" s="116">
        <v>22308</v>
      </c>
      <c r="C5978" s="117">
        <v>45607</v>
      </c>
      <c r="D5978" s="116">
        <v>348.37</v>
      </c>
      <c r="E5978" s="117">
        <v>45611</v>
      </c>
      <c r="F5978" s="116">
        <f>COUNTIFS($A$3:A14228,A5978,$B$3:B14228,B5978)</f>
        <v>1</v>
      </c>
      <c r="G5978" s="116"/>
    </row>
    <row r="5979" spans="1:7" x14ac:dyDescent="0.2">
      <c r="A5979" s="116">
        <f>IF(ISNUMBER(Tabela2[[#This Row],[CT-e/NFS]])=TRUE,(IF(B5979&gt;30000,4,IF(B5979&lt;1000,"ND",0))),"-")</f>
        <v>0</v>
      </c>
      <c r="B5979" s="116">
        <v>22306</v>
      </c>
      <c r="C5979" s="117">
        <v>45607</v>
      </c>
      <c r="D5979" s="116">
        <v>75.760000000000005</v>
      </c>
      <c r="E5979" s="117">
        <v>45611</v>
      </c>
      <c r="F5979" s="116">
        <f>COUNTIFS($A$3:A14229,A5979,$B$3:B14229,B5979)</f>
        <v>1</v>
      </c>
      <c r="G5979" s="116"/>
    </row>
    <row r="5980" spans="1:7" x14ac:dyDescent="0.2">
      <c r="A5980" s="116">
        <f>IF(ISNUMBER(Tabela2[[#This Row],[CT-e/NFS]])=TRUE,(IF(B5980&gt;30000,4,IF(B5980&lt;1000,"ND",0))),"-")</f>
        <v>0</v>
      </c>
      <c r="B5980" s="116">
        <v>22305</v>
      </c>
      <c r="C5980" s="117">
        <v>45607</v>
      </c>
      <c r="D5980" s="116">
        <v>110.01</v>
      </c>
      <c r="E5980" s="117">
        <v>45611</v>
      </c>
      <c r="F5980" s="116">
        <f>COUNTIFS($A$3:A14230,A5980,$B$3:B14230,B5980)</f>
        <v>1</v>
      </c>
      <c r="G5980" s="116"/>
    </row>
    <row r="5981" spans="1:7" x14ac:dyDescent="0.2">
      <c r="A5981" s="116">
        <f>IF(ISNUMBER(Tabela2[[#This Row],[CT-e/NFS]])=TRUE,(IF(B5981&gt;30000,4,IF(B5981&lt;1000,"ND",0))),"-")</f>
        <v>0</v>
      </c>
      <c r="B5981" s="116">
        <v>22304</v>
      </c>
      <c r="C5981" s="117">
        <v>45607</v>
      </c>
      <c r="D5981" s="116">
        <v>276.85000000000002</v>
      </c>
      <c r="E5981" s="117">
        <v>45611</v>
      </c>
      <c r="F5981" s="116">
        <f>COUNTIFS($A$3:A14231,A5981,$B$3:B14231,B5981)</f>
        <v>1</v>
      </c>
      <c r="G5981" s="116"/>
    </row>
    <row r="5982" spans="1:7" x14ac:dyDescent="0.2">
      <c r="A5982" s="116">
        <f>IF(ISNUMBER(Tabela2[[#This Row],[CT-e/NFS]])=TRUE,(IF(B5982&gt;30000,4,IF(B5982&lt;1000,"ND",0))),"-")</f>
        <v>0</v>
      </c>
      <c r="B5982" s="116">
        <v>22307</v>
      </c>
      <c r="C5982" s="117">
        <v>45607</v>
      </c>
      <c r="D5982" s="116">
        <v>84.96</v>
      </c>
      <c r="E5982" s="117">
        <v>45611</v>
      </c>
      <c r="F5982" s="116">
        <f>COUNTIFS($A$3:A14232,A5982,$B$3:B14232,B5982)</f>
        <v>1</v>
      </c>
      <c r="G5982" s="116"/>
    </row>
    <row r="5983" spans="1:7" x14ac:dyDescent="0.2">
      <c r="A5983" s="116">
        <f>IF(ISNUMBER(Tabela2[[#This Row],[CT-e/NFS]])=TRUE,(IF(B5983&gt;30000,4,IF(B5983&lt;1000,"ND",0))),"-")</f>
        <v>0</v>
      </c>
      <c r="B5983" s="116">
        <v>22303</v>
      </c>
      <c r="C5983" s="117">
        <v>45607</v>
      </c>
      <c r="D5983" s="116">
        <v>76</v>
      </c>
      <c r="E5983" s="117">
        <v>45611</v>
      </c>
      <c r="F5983" s="116">
        <f>COUNTIFS($A$3:A14233,A5983,$B$3:B14233,B5983)</f>
        <v>1</v>
      </c>
      <c r="G5983" s="116"/>
    </row>
    <row r="5984" spans="1:7" x14ac:dyDescent="0.2">
      <c r="A5984" s="116">
        <f>IF(ISNUMBER(Tabela2[[#This Row],[CT-e/NFS]])=TRUE,(IF(B5984&gt;30000,4,IF(B5984&lt;1000,"ND",0))),"-")</f>
        <v>0</v>
      </c>
      <c r="B5984" s="116">
        <v>22302</v>
      </c>
      <c r="C5984" s="117">
        <v>45607</v>
      </c>
      <c r="D5984" s="116">
        <v>280.94</v>
      </c>
      <c r="E5984" s="117">
        <v>45611</v>
      </c>
      <c r="F5984" s="116">
        <f>COUNTIFS($A$3:A14234,A5984,$B$3:B14234,B5984)</f>
        <v>1</v>
      </c>
      <c r="G5984" s="116"/>
    </row>
    <row r="5985" spans="1:7" x14ac:dyDescent="0.2">
      <c r="A5985" s="116">
        <f>IF(ISNUMBER(Tabela2[[#This Row],[CT-e/NFS]])=TRUE,(IF(B5985&gt;30000,4,IF(B5985&lt;1000,"ND",0))),"-")</f>
        <v>0</v>
      </c>
      <c r="B5985" s="116">
        <v>22301</v>
      </c>
      <c r="C5985" s="117">
        <v>45607</v>
      </c>
      <c r="D5985" s="116">
        <v>76.28</v>
      </c>
      <c r="E5985" s="117">
        <v>45611</v>
      </c>
      <c r="F5985" s="116">
        <f>COUNTIFS($A$3:A14235,A5985,$B$3:B14235,B5985)</f>
        <v>1</v>
      </c>
      <c r="G5985" s="116"/>
    </row>
    <row r="5986" spans="1:7" x14ac:dyDescent="0.2">
      <c r="A5986" s="116">
        <f>IF(ISNUMBER(Tabela2[[#This Row],[CT-e/NFS]])=TRUE,(IF(B5986&gt;30000,4,IF(B5986&lt;1000,"ND",0))),"-")</f>
        <v>0</v>
      </c>
      <c r="B5986" s="116">
        <v>22299</v>
      </c>
      <c r="C5986" s="117">
        <v>45607</v>
      </c>
      <c r="D5986" s="116">
        <v>162.80000000000001</v>
      </c>
      <c r="E5986" s="117">
        <v>45611</v>
      </c>
      <c r="F5986" s="116">
        <f>COUNTIFS($A$3:A14236,A5986,$B$3:B14236,B5986)</f>
        <v>1</v>
      </c>
      <c r="G5986" s="116"/>
    </row>
    <row r="5987" spans="1:7" x14ac:dyDescent="0.2">
      <c r="A5987" s="116">
        <f>IF(ISNUMBER(Tabela2[[#This Row],[CT-e/NFS]])=TRUE,(IF(B5987&gt;30000,4,IF(B5987&lt;1000,"ND",0))),"-")</f>
        <v>0</v>
      </c>
      <c r="B5987" s="116">
        <v>22298</v>
      </c>
      <c r="C5987" s="117">
        <v>45607</v>
      </c>
      <c r="D5987" s="116">
        <v>106.92</v>
      </c>
      <c r="E5987" s="117">
        <v>45611</v>
      </c>
      <c r="F5987" s="116">
        <f>COUNTIFS($A$3:A14237,A5987,$B$3:B14237,B5987)</f>
        <v>1</v>
      </c>
      <c r="G5987" s="116"/>
    </row>
    <row r="5988" spans="1:7" x14ac:dyDescent="0.2">
      <c r="A5988" s="116">
        <f>IF(ISNUMBER(Tabela2[[#This Row],[CT-e/NFS]])=TRUE,(IF(B5988&gt;30000,4,IF(B5988&lt;1000,"ND",0))),"-")</f>
        <v>0</v>
      </c>
      <c r="B5988" s="116">
        <v>22297</v>
      </c>
      <c r="C5988" s="117">
        <v>45607</v>
      </c>
      <c r="D5988" s="116">
        <v>75.709999999999994</v>
      </c>
      <c r="E5988" s="117">
        <v>45611</v>
      </c>
      <c r="F5988" s="116">
        <f>COUNTIFS($A$3:A14238,A5988,$B$3:B14238,B5988)</f>
        <v>1</v>
      </c>
      <c r="G5988" s="116"/>
    </row>
    <row r="5989" spans="1:7" x14ac:dyDescent="0.2">
      <c r="A5989" s="116">
        <f>IF(ISNUMBER(Tabela2[[#This Row],[CT-e/NFS]])=TRUE,(IF(B5989&gt;30000,4,IF(B5989&lt;1000,"ND",0))),"-")</f>
        <v>0</v>
      </c>
      <c r="B5989" s="116">
        <v>22296</v>
      </c>
      <c r="C5989" s="117">
        <v>45607</v>
      </c>
      <c r="D5989" s="116">
        <v>75.66</v>
      </c>
      <c r="E5989" s="117">
        <v>45611</v>
      </c>
      <c r="F5989" s="116">
        <f>COUNTIFS($A$3:A14239,A5989,$B$3:B14239,B5989)</f>
        <v>1</v>
      </c>
      <c r="G5989" s="116"/>
    </row>
    <row r="5990" spans="1:7" x14ac:dyDescent="0.2">
      <c r="A5990" s="116">
        <f>IF(ISNUMBER(Tabela2[[#This Row],[CT-e/NFS]])=TRUE,(IF(B5990&gt;30000,4,IF(B5990&lt;1000,"ND",0))),"-")</f>
        <v>0</v>
      </c>
      <c r="B5990" s="116">
        <v>22295</v>
      </c>
      <c r="C5990" s="117">
        <v>45607</v>
      </c>
      <c r="D5990" s="116">
        <v>77.63</v>
      </c>
      <c r="E5990" s="117">
        <v>45611</v>
      </c>
      <c r="F5990" s="116">
        <f>COUNTIFS($A$3:A14240,A5990,$B$3:B14240,B5990)</f>
        <v>1</v>
      </c>
      <c r="G5990" s="116"/>
    </row>
    <row r="5991" spans="1:7" x14ac:dyDescent="0.2">
      <c r="A5991" s="116">
        <f>IF(ISNUMBER(Tabela2[[#This Row],[CT-e/NFS]])=TRUE,(IF(B5991&gt;30000,4,IF(B5991&lt;1000,"ND",0))),"-")</f>
        <v>0</v>
      </c>
      <c r="B5991" s="116">
        <v>22294</v>
      </c>
      <c r="C5991" s="117">
        <v>45607</v>
      </c>
      <c r="D5991" s="116">
        <v>76.010000000000005</v>
      </c>
      <c r="E5991" s="117">
        <v>45611</v>
      </c>
      <c r="F5991" s="116">
        <f>COUNTIFS($A$3:A14241,A5991,$B$3:B14241,B5991)</f>
        <v>1</v>
      </c>
      <c r="G5991" s="116"/>
    </row>
    <row r="5992" spans="1:7" x14ac:dyDescent="0.2">
      <c r="A5992" s="116">
        <f>IF(ISNUMBER(Tabela2[[#This Row],[CT-e/NFS]])=TRUE,(IF(B5992&gt;30000,4,IF(B5992&lt;1000,"ND",0))),"-")</f>
        <v>0</v>
      </c>
      <c r="B5992" s="116">
        <v>22293</v>
      </c>
      <c r="C5992" s="117">
        <v>45607</v>
      </c>
      <c r="D5992" s="116">
        <v>100.49</v>
      </c>
      <c r="E5992" s="117">
        <v>45611</v>
      </c>
      <c r="F5992" s="116">
        <f>COUNTIFS($A$3:A14242,A5992,$B$3:B14242,B5992)</f>
        <v>1</v>
      </c>
      <c r="G5992" s="116"/>
    </row>
    <row r="5993" spans="1:7" x14ac:dyDescent="0.2">
      <c r="A5993" s="116">
        <f>IF(ISNUMBER(Tabela2[[#This Row],[CT-e/NFS]])=TRUE,(IF(B5993&gt;30000,4,IF(B5993&lt;1000,"ND",0))),"-")</f>
        <v>0</v>
      </c>
      <c r="B5993" s="116">
        <v>22290</v>
      </c>
      <c r="C5993" s="117">
        <v>45607</v>
      </c>
      <c r="D5993" s="116">
        <v>77.08</v>
      </c>
      <c r="E5993" s="117">
        <v>45611</v>
      </c>
      <c r="F5993" s="116">
        <f>COUNTIFS($A$3:A14243,A5993,$B$3:B14243,B5993)</f>
        <v>1</v>
      </c>
      <c r="G5993" s="116"/>
    </row>
    <row r="5994" spans="1:7" x14ac:dyDescent="0.2">
      <c r="A5994" s="116">
        <f>IF(ISNUMBER(Tabela2[[#This Row],[CT-e/NFS]])=TRUE,(IF(B5994&gt;30000,4,IF(B5994&lt;1000,"ND",0))),"-")</f>
        <v>0</v>
      </c>
      <c r="B5994" s="116">
        <v>22289</v>
      </c>
      <c r="C5994" s="117">
        <v>45607</v>
      </c>
      <c r="D5994" s="116">
        <v>597.04</v>
      </c>
      <c r="E5994" s="117">
        <v>45611</v>
      </c>
      <c r="F5994" s="116">
        <f>COUNTIFS($A$3:A14244,A5994,$B$3:B14244,B5994)</f>
        <v>1</v>
      </c>
      <c r="G5994" s="116"/>
    </row>
    <row r="5995" spans="1:7" x14ac:dyDescent="0.2">
      <c r="A5995" s="116">
        <f>IF(ISNUMBER(Tabela2[[#This Row],[CT-e/NFS]])=TRUE,(IF(B5995&gt;30000,4,IF(B5995&lt;1000,"ND",0))),"-")</f>
        <v>0</v>
      </c>
      <c r="B5995" s="116">
        <v>22292</v>
      </c>
      <c r="C5995" s="117">
        <v>45607</v>
      </c>
      <c r="D5995" s="116">
        <v>76.33</v>
      </c>
      <c r="E5995" s="117">
        <v>45611</v>
      </c>
      <c r="F5995" s="116">
        <f>COUNTIFS($A$3:A14245,A5995,$B$3:B14245,B5995)</f>
        <v>1</v>
      </c>
      <c r="G5995" s="116"/>
    </row>
    <row r="5996" spans="1:7" x14ac:dyDescent="0.2">
      <c r="A5996" s="116">
        <f>IF(ISNUMBER(Tabela2[[#This Row],[CT-e/NFS]])=TRUE,(IF(B5996&gt;30000,4,IF(B5996&lt;1000,"ND",0))),"-")</f>
        <v>0</v>
      </c>
      <c r="B5996" s="116">
        <v>22291</v>
      </c>
      <c r="C5996" s="117">
        <v>45607</v>
      </c>
      <c r="D5996" s="116">
        <v>77</v>
      </c>
      <c r="E5996" s="117">
        <v>45611</v>
      </c>
      <c r="F5996" s="116">
        <f>COUNTIFS($A$3:A14246,A5996,$B$3:B14246,B5996)</f>
        <v>1</v>
      </c>
      <c r="G5996" s="116"/>
    </row>
    <row r="5997" spans="1:7" x14ac:dyDescent="0.2">
      <c r="A5997" s="116">
        <f>IF(ISNUMBER(Tabela2[[#This Row],[CT-e/NFS]])=TRUE,(IF(B5997&gt;30000,4,IF(B5997&lt;1000,"ND",0))),"-")</f>
        <v>0</v>
      </c>
      <c r="B5997" s="116">
        <v>22287</v>
      </c>
      <c r="C5997" s="117">
        <v>45607</v>
      </c>
      <c r="D5997" s="116">
        <v>77.05</v>
      </c>
      <c r="E5997" s="117">
        <v>45611</v>
      </c>
      <c r="F5997" s="116">
        <f>COUNTIFS($A$3:A14247,A5997,$B$3:B14247,B5997)</f>
        <v>1</v>
      </c>
      <c r="G5997" s="116"/>
    </row>
    <row r="5998" spans="1:7" x14ac:dyDescent="0.2">
      <c r="A5998" s="116">
        <f>IF(ISNUMBER(Tabela2[[#This Row],[CT-e/NFS]])=TRUE,(IF(B5998&gt;30000,4,IF(B5998&lt;1000,"ND",0))),"-")</f>
        <v>0</v>
      </c>
      <c r="B5998" s="116">
        <v>22286</v>
      </c>
      <c r="C5998" s="117">
        <v>45607</v>
      </c>
      <c r="D5998" s="116">
        <v>75.62</v>
      </c>
      <c r="E5998" s="117">
        <v>45611</v>
      </c>
      <c r="F5998" s="116">
        <f>COUNTIFS($A$3:A14248,A5998,$B$3:B14248,B5998)</f>
        <v>1</v>
      </c>
      <c r="G5998" s="116"/>
    </row>
    <row r="5999" spans="1:7" x14ac:dyDescent="0.2">
      <c r="A5999" s="116">
        <f>IF(ISNUMBER(Tabela2[[#This Row],[CT-e/NFS]])=TRUE,(IF(B5999&gt;30000,4,IF(B5999&lt;1000,"ND",0))),"-")</f>
        <v>0</v>
      </c>
      <c r="B5999" s="116">
        <v>22285</v>
      </c>
      <c r="C5999" s="117">
        <v>45607</v>
      </c>
      <c r="D5999" s="116">
        <v>76.27</v>
      </c>
      <c r="E5999" s="117">
        <v>45611</v>
      </c>
      <c r="F5999" s="116">
        <f>COUNTIFS($A$3:A14249,A5999,$B$3:B14249,B5999)</f>
        <v>1</v>
      </c>
      <c r="G5999" s="116"/>
    </row>
    <row r="6000" spans="1:7" x14ac:dyDescent="0.2">
      <c r="A6000" s="116">
        <f>IF(ISNUMBER(Tabela2[[#This Row],[CT-e/NFS]])=TRUE,(IF(B6000&gt;30000,4,IF(B6000&lt;1000,"ND",0))),"-")</f>
        <v>0</v>
      </c>
      <c r="B6000" s="116">
        <v>22281</v>
      </c>
      <c r="C6000" s="117">
        <v>45607</v>
      </c>
      <c r="D6000" s="116">
        <v>76.430000000000007</v>
      </c>
      <c r="E6000" s="117">
        <v>45611</v>
      </c>
      <c r="F6000" s="116">
        <f>COUNTIFS($A$3:A14250,A6000,$B$3:B14250,B6000)</f>
        <v>1</v>
      </c>
      <c r="G6000" s="116"/>
    </row>
    <row r="6001" spans="1:7" x14ac:dyDescent="0.2">
      <c r="A6001" s="116">
        <f>IF(ISNUMBER(Tabela2[[#This Row],[CT-e/NFS]])=TRUE,(IF(B6001&gt;30000,4,IF(B6001&lt;1000,"ND",0))),"-")</f>
        <v>0</v>
      </c>
      <c r="B6001" s="116">
        <v>22282</v>
      </c>
      <c r="C6001" s="117">
        <v>45607</v>
      </c>
      <c r="D6001" s="116">
        <v>76.28</v>
      </c>
      <c r="E6001" s="117">
        <v>45611</v>
      </c>
      <c r="F6001" s="116">
        <f>COUNTIFS($A$3:A14251,A6001,$B$3:B14251,B6001)</f>
        <v>1</v>
      </c>
      <c r="G6001" s="116"/>
    </row>
    <row r="6002" spans="1:7" x14ac:dyDescent="0.2">
      <c r="A6002" s="116">
        <f>IF(ISNUMBER(Tabela2[[#This Row],[CT-e/NFS]])=TRUE,(IF(B6002&gt;30000,4,IF(B6002&lt;1000,"ND",0))),"-")</f>
        <v>0</v>
      </c>
      <c r="B6002" s="116">
        <v>22279</v>
      </c>
      <c r="C6002" s="117">
        <v>45607</v>
      </c>
      <c r="D6002" s="116">
        <v>75.62</v>
      </c>
      <c r="E6002" s="117">
        <v>45611</v>
      </c>
      <c r="F6002" s="116">
        <f>COUNTIFS($A$3:A14252,A6002,$B$3:B14252,B6002)</f>
        <v>1</v>
      </c>
      <c r="G6002" s="116"/>
    </row>
    <row r="6003" spans="1:7" x14ac:dyDescent="0.2">
      <c r="A6003" s="116">
        <f>IF(ISNUMBER(Tabela2[[#This Row],[CT-e/NFS]])=TRUE,(IF(B6003&gt;30000,4,IF(B6003&lt;1000,"ND",0))),"-")</f>
        <v>4</v>
      </c>
      <c r="B6003" s="116">
        <v>49985</v>
      </c>
      <c r="C6003" s="117">
        <v>45607</v>
      </c>
      <c r="D6003" s="116">
        <v>125.32</v>
      </c>
      <c r="E6003" s="117">
        <v>45611</v>
      </c>
      <c r="F6003" s="116">
        <f>COUNTIFS($A$3:A14253,A6003,$B$3:B14253,B6003)</f>
        <v>1</v>
      </c>
      <c r="G6003" s="116"/>
    </row>
    <row r="6004" spans="1:7" x14ac:dyDescent="0.2">
      <c r="A6004" s="116">
        <f>IF(ISNUMBER(Tabela2[[#This Row],[CT-e/NFS]])=TRUE,(IF(B6004&gt;30000,4,IF(B6004&lt;1000,"ND",0))),"-")</f>
        <v>4</v>
      </c>
      <c r="B6004" s="116">
        <v>49970</v>
      </c>
      <c r="C6004" s="117">
        <v>45607</v>
      </c>
      <c r="D6004" s="116">
        <v>426.24</v>
      </c>
      <c r="E6004" s="117">
        <v>45611</v>
      </c>
      <c r="F6004" s="116">
        <f>COUNTIFS($A$3:A14254,A6004,$B$3:B14254,B6004)</f>
        <v>1</v>
      </c>
      <c r="G6004" s="116"/>
    </row>
    <row r="6005" spans="1:7" x14ac:dyDescent="0.2">
      <c r="A6005" s="116">
        <f>IF(ISNUMBER(Tabela2[[#This Row],[CT-e/NFS]])=TRUE,(IF(B6005&gt;30000,4,IF(B6005&lt;1000,"ND",0))),"-")</f>
        <v>0</v>
      </c>
      <c r="B6005" s="116">
        <v>22300</v>
      </c>
      <c r="C6005" s="117">
        <v>45607</v>
      </c>
      <c r="D6005" s="116">
        <v>844.3</v>
      </c>
      <c r="E6005" s="117">
        <v>45611</v>
      </c>
      <c r="F6005" s="116">
        <f>COUNTIFS($A$3:A14255,A6005,$B$3:B14255,B6005)</f>
        <v>1</v>
      </c>
      <c r="G6005" s="116"/>
    </row>
    <row r="6006" spans="1:7" x14ac:dyDescent="0.2">
      <c r="A6006" s="116">
        <f>IF(ISNUMBER(Tabela2[[#This Row],[CT-e/NFS]])=TRUE,(IF(B6006&gt;30000,4,IF(B6006&lt;1000,"ND",0))),"-")</f>
        <v>4</v>
      </c>
      <c r="B6006" s="116">
        <v>49995</v>
      </c>
      <c r="C6006" s="117">
        <v>45607</v>
      </c>
      <c r="D6006" s="116">
        <v>284.06</v>
      </c>
      <c r="E6006" s="117">
        <v>45611</v>
      </c>
      <c r="F6006" s="116">
        <f>COUNTIFS($A$3:A14256,A6006,$B$3:B14256,B6006)</f>
        <v>1</v>
      </c>
      <c r="G6006" s="116"/>
    </row>
    <row r="6007" spans="1:7" x14ac:dyDescent="0.2">
      <c r="A6007" s="116">
        <f>IF(ISNUMBER(Tabela2[[#This Row],[CT-e/NFS]])=TRUE,(IF(B6007&gt;30000,4,IF(B6007&lt;1000,"ND",0))),"-")</f>
        <v>4</v>
      </c>
      <c r="B6007" s="116">
        <v>49994</v>
      </c>
      <c r="C6007" s="117">
        <v>45607</v>
      </c>
      <c r="D6007" s="116">
        <v>594.07000000000005</v>
      </c>
      <c r="E6007" s="117">
        <v>45611</v>
      </c>
      <c r="F6007" s="116">
        <f>COUNTIFS($A$3:A14257,A6007,$B$3:B14257,B6007)</f>
        <v>1</v>
      </c>
      <c r="G6007" s="116"/>
    </row>
    <row r="6008" spans="1:7" x14ac:dyDescent="0.2">
      <c r="A6008" s="116">
        <f>IF(ISNUMBER(Tabela2[[#This Row],[CT-e/NFS]])=TRUE,(IF(B6008&gt;30000,4,IF(B6008&lt;1000,"ND",0))),"-")</f>
        <v>4</v>
      </c>
      <c r="B6008" s="116">
        <v>49996</v>
      </c>
      <c r="C6008" s="117">
        <v>45607</v>
      </c>
      <c r="D6008" s="116">
        <v>318.45</v>
      </c>
      <c r="E6008" s="117">
        <v>45611</v>
      </c>
      <c r="F6008" s="116">
        <f>COUNTIFS($A$3:A14258,A6008,$B$3:B14258,B6008)</f>
        <v>1</v>
      </c>
      <c r="G6008" s="116"/>
    </row>
    <row r="6009" spans="1:7" x14ac:dyDescent="0.2">
      <c r="A6009" s="116">
        <f>IF(ISNUMBER(Tabela2[[#This Row],[CT-e/NFS]])=TRUE,(IF(B6009&gt;30000,4,IF(B6009&lt;1000,"ND",0))),"-")</f>
        <v>4</v>
      </c>
      <c r="B6009" s="116">
        <v>50004</v>
      </c>
      <c r="C6009" s="117">
        <v>45607</v>
      </c>
      <c r="D6009" s="116">
        <v>62.66</v>
      </c>
      <c r="E6009" s="117">
        <v>45611</v>
      </c>
      <c r="F6009" s="116">
        <f>COUNTIFS($A$3:A14259,A6009,$B$3:B14259,B6009)</f>
        <v>1</v>
      </c>
      <c r="G6009" s="116"/>
    </row>
    <row r="6010" spans="1:7" x14ac:dyDescent="0.2">
      <c r="A6010" s="116">
        <f>IF(ISNUMBER(Tabela2[[#This Row],[CT-e/NFS]])=TRUE,(IF(B6010&gt;30000,4,IF(B6010&lt;1000,"ND",0))),"-")</f>
        <v>4</v>
      </c>
      <c r="B6010" s="116">
        <v>50012</v>
      </c>
      <c r="C6010" s="117">
        <v>45607</v>
      </c>
      <c r="D6010" s="116">
        <v>124.3</v>
      </c>
      <c r="E6010" s="117">
        <v>45611</v>
      </c>
      <c r="F6010" s="116">
        <f>COUNTIFS($A$3:A14263,A6010,$B$3:B14263,B6010)</f>
        <v>1</v>
      </c>
      <c r="G6010" s="116"/>
    </row>
    <row r="6011" spans="1:7" x14ac:dyDescent="0.2">
      <c r="A6011" s="116">
        <f>IF(ISNUMBER(Tabela2[[#This Row],[CT-e/NFS]])=TRUE,(IF(B6011&gt;30000,4,IF(B6011&lt;1000,"ND",0))),"-")</f>
        <v>4</v>
      </c>
      <c r="B6011" s="116">
        <v>50010</v>
      </c>
      <c r="C6011" s="117">
        <v>45607</v>
      </c>
      <c r="D6011" s="116">
        <v>347.81</v>
      </c>
      <c r="E6011" s="117">
        <v>45611</v>
      </c>
      <c r="F6011" s="116">
        <f>COUNTIFS($A$3:A14264,A6011,$B$3:B14264,B6011)</f>
        <v>1</v>
      </c>
      <c r="G6011" s="116"/>
    </row>
    <row r="6012" spans="1:7" x14ac:dyDescent="0.2">
      <c r="A6012" s="116">
        <f>IF(ISNUMBER(Tabela2[[#This Row],[CT-e/NFS]])=TRUE,(IF(B6012&gt;30000,4,IF(B6012&lt;1000,"ND",0))),"-")</f>
        <v>4</v>
      </c>
      <c r="B6012" s="116">
        <v>50008</v>
      </c>
      <c r="C6012" s="117">
        <v>45607</v>
      </c>
      <c r="D6012" s="116">
        <v>123.89</v>
      </c>
      <c r="E6012" s="117">
        <v>45611</v>
      </c>
      <c r="F6012" s="116">
        <f>COUNTIFS($A$3:A14265,A6012,$B$3:B14265,B6012)</f>
        <v>1</v>
      </c>
      <c r="G6012" s="116"/>
    </row>
    <row r="6013" spans="1:7" x14ac:dyDescent="0.2">
      <c r="A6013" s="116">
        <f>IF(ISNUMBER(Tabela2[[#This Row],[CT-e/NFS]])=TRUE,(IF(B6013&gt;30000,4,IF(B6013&lt;1000,"ND",0))),"-")</f>
        <v>4</v>
      </c>
      <c r="B6013" s="116">
        <v>50009</v>
      </c>
      <c r="C6013" s="117">
        <v>45607</v>
      </c>
      <c r="D6013" s="116">
        <v>124.49</v>
      </c>
      <c r="E6013" s="117">
        <v>45611</v>
      </c>
      <c r="F6013" s="116">
        <f>COUNTIFS($A$3:A14266,A6013,$B$3:B14266,B6013)</f>
        <v>1</v>
      </c>
      <c r="G6013" s="116"/>
    </row>
    <row r="6014" spans="1:7" x14ac:dyDescent="0.2">
      <c r="A6014" s="116">
        <f>IF(ISNUMBER(Tabela2[[#This Row],[CT-e/NFS]])=TRUE,(IF(B6014&gt;30000,4,IF(B6014&lt;1000,"ND",0))),"-")</f>
        <v>4</v>
      </c>
      <c r="B6014" s="116">
        <v>50013</v>
      </c>
      <c r="C6014" s="117">
        <v>45607</v>
      </c>
      <c r="D6014" s="116">
        <v>124.56</v>
      </c>
      <c r="E6014" s="117">
        <v>45611</v>
      </c>
      <c r="F6014" s="116">
        <f>COUNTIFS($A$3:A14267,A6014,$B$3:B14267,B6014)</f>
        <v>1</v>
      </c>
      <c r="G6014" s="116"/>
    </row>
    <row r="6015" spans="1:7" x14ac:dyDescent="0.2">
      <c r="A6015" s="116">
        <f>IF(ISNUMBER(Tabela2[[#This Row],[CT-e/NFS]])=TRUE,(IF(B6015&gt;30000,4,IF(B6015&lt;1000,"ND",0))),"-")</f>
        <v>4</v>
      </c>
      <c r="B6015" s="116">
        <v>50011</v>
      </c>
      <c r="C6015" s="117">
        <v>45607</v>
      </c>
      <c r="D6015" s="116">
        <v>238.68</v>
      </c>
      <c r="E6015" s="117">
        <v>45611</v>
      </c>
      <c r="F6015" s="116">
        <f>COUNTIFS($A$3:A14268,A6015,$B$3:B14268,B6015)</f>
        <v>1</v>
      </c>
      <c r="G6015" s="116"/>
    </row>
    <row r="6016" spans="1:7" x14ac:dyDescent="0.2">
      <c r="A6016" s="116">
        <f>IF(ISNUMBER(Tabela2[[#This Row],[CT-e/NFS]])=TRUE,(IF(B6016&gt;30000,4,IF(B6016&lt;1000,"ND",0))),"-")</f>
        <v>4</v>
      </c>
      <c r="B6016" s="116">
        <v>49992</v>
      </c>
      <c r="C6016" s="117">
        <v>45607</v>
      </c>
      <c r="D6016" s="116">
        <v>959.44</v>
      </c>
      <c r="E6016" s="117">
        <v>45611</v>
      </c>
      <c r="F6016" s="116">
        <f>COUNTIFS($A$3:A14269,A6016,$B$3:B14269,B6016)</f>
        <v>1</v>
      </c>
      <c r="G6016" s="116"/>
    </row>
    <row r="6017" spans="1:7" x14ac:dyDescent="0.2">
      <c r="A6017" s="116">
        <f>IF(ISNUMBER(Tabela2[[#This Row],[CT-e/NFS]])=TRUE,(IF(B6017&gt;30000,4,IF(B6017&lt;1000,"ND",0))),"-")</f>
        <v>4</v>
      </c>
      <c r="B6017" s="116">
        <v>49993</v>
      </c>
      <c r="C6017" s="117">
        <v>45607</v>
      </c>
      <c r="D6017" s="116">
        <v>382.3</v>
      </c>
      <c r="E6017" s="117">
        <v>45611</v>
      </c>
      <c r="F6017" s="116">
        <f>COUNTIFS($A$3:A14270,A6017,$B$3:B14270,B6017)</f>
        <v>1</v>
      </c>
      <c r="G6017" s="116"/>
    </row>
    <row r="6018" spans="1:7" x14ac:dyDescent="0.2">
      <c r="A6018" s="116">
        <f>IF(ISNUMBER(Tabela2[[#This Row],[CT-e/NFS]])=TRUE,(IF(B6018&gt;30000,4,IF(B6018&lt;1000,"ND",0))),"-")</f>
        <v>4</v>
      </c>
      <c r="B6018" s="116">
        <v>49998</v>
      </c>
      <c r="C6018" s="117">
        <v>45607</v>
      </c>
      <c r="D6018" s="116">
        <v>124.2</v>
      </c>
      <c r="E6018" s="117">
        <v>45611</v>
      </c>
      <c r="F6018" s="116">
        <f>COUNTIFS($A$3:A14271,A6018,$B$3:B14271,B6018)</f>
        <v>1</v>
      </c>
      <c r="G6018" s="116"/>
    </row>
    <row r="6019" spans="1:7" x14ac:dyDescent="0.2">
      <c r="A6019" s="116">
        <f>IF(ISNUMBER(Tabela2[[#This Row],[CT-e/NFS]])=TRUE,(IF(B6019&gt;30000,4,IF(B6019&lt;1000,"ND",0))),"-")</f>
        <v>4</v>
      </c>
      <c r="B6019" s="116">
        <v>49999</v>
      </c>
      <c r="C6019" s="117">
        <v>45607</v>
      </c>
      <c r="D6019" s="116">
        <v>139.66999999999999</v>
      </c>
      <c r="E6019" s="117">
        <v>45611</v>
      </c>
      <c r="F6019" s="116">
        <f>COUNTIFS($A$3:A14272,A6019,$B$3:B14272,B6019)</f>
        <v>1</v>
      </c>
      <c r="G6019" s="116"/>
    </row>
    <row r="6020" spans="1:7" x14ac:dyDescent="0.2">
      <c r="A6020" s="116">
        <f>IF(ISNUMBER(Tabela2[[#This Row],[CT-e/NFS]])=TRUE,(IF(B6020&gt;30000,4,IF(B6020&lt;1000,"ND",0))),"-")</f>
        <v>4</v>
      </c>
      <c r="B6020" s="116">
        <v>49997</v>
      </c>
      <c r="C6020" s="117">
        <v>45607</v>
      </c>
      <c r="D6020" s="116">
        <v>124.35</v>
      </c>
      <c r="E6020" s="117">
        <v>45611</v>
      </c>
      <c r="F6020" s="116">
        <f>COUNTIFS($A$3:A14273,A6020,$B$3:B14273,B6020)</f>
        <v>1</v>
      </c>
      <c r="G6020" s="116"/>
    </row>
    <row r="6021" spans="1:7" x14ac:dyDescent="0.2">
      <c r="A6021" s="116">
        <f>IF(ISNUMBER(Tabela2[[#This Row],[CT-e/NFS]])=TRUE,(IF(B6021&gt;30000,4,IF(B6021&lt;1000,"ND",0))),"-")</f>
        <v>4</v>
      </c>
      <c r="B6021" s="116">
        <v>50001</v>
      </c>
      <c r="C6021" s="117">
        <v>45607</v>
      </c>
      <c r="D6021" s="116">
        <v>124.05</v>
      </c>
      <c r="E6021" s="117">
        <v>45611</v>
      </c>
      <c r="F6021" s="116">
        <f>COUNTIFS($A$3:A14274,A6021,$B$3:B14274,B6021)</f>
        <v>1</v>
      </c>
      <c r="G6021" s="116"/>
    </row>
    <row r="6022" spans="1:7" x14ac:dyDescent="0.2">
      <c r="A6022" s="116">
        <f>IF(ISNUMBER(Tabela2[[#This Row],[CT-e/NFS]])=TRUE,(IF(B6022&gt;30000,4,IF(B6022&lt;1000,"ND",0))),"-")</f>
        <v>4</v>
      </c>
      <c r="B6022" s="116">
        <v>50000</v>
      </c>
      <c r="C6022" s="117">
        <v>45607</v>
      </c>
      <c r="D6022" s="116">
        <v>122.93</v>
      </c>
      <c r="E6022" s="117">
        <v>45611</v>
      </c>
      <c r="F6022" s="116">
        <f>COUNTIFS($A$3:A14275,A6022,$B$3:B14275,B6022)</f>
        <v>1</v>
      </c>
      <c r="G6022" s="116"/>
    </row>
    <row r="6023" spans="1:7" x14ac:dyDescent="0.2">
      <c r="A6023" s="116">
        <f>IF(ISNUMBER(Tabela2[[#This Row],[CT-e/NFS]])=TRUE,(IF(B6023&gt;30000,4,IF(B6023&lt;1000,"ND",0))),"-")</f>
        <v>4</v>
      </c>
      <c r="B6023" s="116">
        <v>50015</v>
      </c>
      <c r="C6023" s="117">
        <v>45607</v>
      </c>
      <c r="D6023" s="116">
        <v>690.53</v>
      </c>
      <c r="E6023" s="117">
        <v>45611</v>
      </c>
      <c r="F6023" s="116">
        <f>COUNTIFS($A$3:A14276,A6023,$B$3:B14276,B6023)</f>
        <v>1</v>
      </c>
      <c r="G6023" s="116"/>
    </row>
    <row r="6024" spans="1:7" x14ac:dyDescent="0.2">
      <c r="A6024" s="116">
        <f>IF(ISNUMBER(Tabela2[[#This Row],[CT-e/NFS]])=TRUE,(IF(B6024&gt;30000,4,IF(B6024&lt;1000,"ND",0))),"-")</f>
        <v>4</v>
      </c>
      <c r="B6024" s="116">
        <v>50014</v>
      </c>
      <c r="C6024" s="117">
        <v>45607</v>
      </c>
      <c r="D6024" s="116">
        <v>124.55</v>
      </c>
      <c r="E6024" s="117">
        <v>45611</v>
      </c>
      <c r="F6024" s="116">
        <f>COUNTIFS($A$3:A14277,A6024,$B$3:B14277,B6024)</f>
        <v>1</v>
      </c>
      <c r="G6024" s="116"/>
    </row>
    <row r="6025" spans="1:7" x14ac:dyDescent="0.2">
      <c r="A6025" s="116">
        <f>IF(ISNUMBER(Tabela2[[#This Row],[CT-e/NFS]])=TRUE,(IF(B6025&gt;30000,4,IF(B6025&lt;1000,"ND",0))),"-")</f>
        <v>4</v>
      </c>
      <c r="B6025" s="116">
        <v>50016</v>
      </c>
      <c r="C6025" s="117">
        <v>45607</v>
      </c>
      <c r="D6025" s="116">
        <v>119.36</v>
      </c>
      <c r="E6025" s="117">
        <v>45611</v>
      </c>
      <c r="F6025" s="116">
        <f>COUNTIFS($A$3:A14278,A6025,$B$3:B14278,B6025)</f>
        <v>1</v>
      </c>
      <c r="G6025" s="116"/>
    </row>
    <row r="6026" spans="1:7" x14ac:dyDescent="0.2">
      <c r="A6026" s="116">
        <f>IF(ISNUMBER(Tabela2[[#This Row],[CT-e/NFS]])=TRUE,(IF(B6026&gt;30000,4,IF(B6026&lt;1000,"ND",0))),"-")</f>
        <v>0</v>
      </c>
      <c r="B6026" s="116">
        <v>22319</v>
      </c>
      <c r="C6026" s="117">
        <v>45607</v>
      </c>
      <c r="D6026" s="116">
        <v>228.45</v>
      </c>
      <c r="E6026" s="117">
        <v>45611</v>
      </c>
      <c r="F6026" s="116">
        <f>COUNTIFS($A$3:A14279,A6026,$B$3:B14279,B6026)</f>
        <v>1</v>
      </c>
      <c r="G6026" s="116"/>
    </row>
    <row r="6027" spans="1:7" x14ac:dyDescent="0.2">
      <c r="A6027" s="116">
        <f>IF(ISNUMBER(Tabela2[[#This Row],[CT-e/NFS]])=TRUE,(IF(B6027&gt;30000,4,IF(B6027&lt;1000,"ND",0))),"-")</f>
        <v>0</v>
      </c>
      <c r="B6027" s="116">
        <v>22323</v>
      </c>
      <c r="C6027" s="117">
        <v>45607</v>
      </c>
      <c r="D6027" s="116">
        <v>515.41</v>
      </c>
      <c r="E6027" s="117">
        <v>45611</v>
      </c>
      <c r="F6027" s="116">
        <f>COUNTIFS($A$3:A14280,A6027,$B$3:B14280,B6027)</f>
        <v>1</v>
      </c>
      <c r="G6027" s="116"/>
    </row>
    <row r="6028" spans="1:7" x14ac:dyDescent="0.2">
      <c r="A6028" s="116">
        <f>IF(ISNUMBER(Tabela2[[#This Row],[CT-e/NFS]])=TRUE,(IF(B6028&gt;30000,4,IF(B6028&lt;1000,"ND",0))),"-")</f>
        <v>0</v>
      </c>
      <c r="B6028" s="116">
        <v>22322</v>
      </c>
      <c r="C6028" s="117">
        <v>45607</v>
      </c>
      <c r="D6028" s="116">
        <v>146.43</v>
      </c>
      <c r="E6028" s="117">
        <v>45611</v>
      </c>
      <c r="F6028" s="116">
        <f>COUNTIFS($A$3:A14281,A6028,$B$3:B14281,B6028)</f>
        <v>1</v>
      </c>
      <c r="G6028" s="116"/>
    </row>
    <row r="6029" spans="1:7" x14ac:dyDescent="0.2">
      <c r="A6029" s="116">
        <f>IF(ISNUMBER(Tabela2[[#This Row],[CT-e/NFS]])=TRUE,(IF(B6029&gt;30000,4,IF(B6029&lt;1000,"ND",0))),"-")</f>
        <v>0</v>
      </c>
      <c r="B6029" s="116">
        <v>22321</v>
      </c>
      <c r="C6029" s="117">
        <v>45607</v>
      </c>
      <c r="D6029" s="116">
        <v>416.35</v>
      </c>
      <c r="E6029" s="117">
        <v>45611</v>
      </c>
      <c r="F6029" s="116">
        <f>COUNTIFS($A$3:A14282,A6029,$B$3:B14282,B6029)</f>
        <v>1</v>
      </c>
      <c r="G6029" s="116"/>
    </row>
    <row r="6030" spans="1:7" x14ac:dyDescent="0.2">
      <c r="A6030" s="116">
        <f>IF(ISNUMBER(Tabela2[[#This Row],[CT-e/NFS]])=TRUE,(IF(B6030&gt;30000,4,IF(B6030&lt;1000,"ND",0))),"-")</f>
        <v>0</v>
      </c>
      <c r="B6030" s="116">
        <v>22320</v>
      </c>
      <c r="C6030" s="117">
        <v>45607</v>
      </c>
      <c r="D6030" s="116">
        <v>75.599999999999994</v>
      </c>
      <c r="E6030" s="117">
        <v>45611</v>
      </c>
      <c r="F6030" s="116">
        <f>COUNTIFS($A$3:A14283,A6030,$B$3:B14283,B6030)</f>
        <v>1</v>
      </c>
      <c r="G6030" s="116"/>
    </row>
    <row r="6031" spans="1:7" x14ac:dyDescent="0.2">
      <c r="A6031" s="116">
        <f>IF(ISNUMBER(Tabela2[[#This Row],[CT-e/NFS]])=TRUE,(IF(B6031&gt;30000,4,IF(B6031&lt;1000,"ND",0))),"-")</f>
        <v>4</v>
      </c>
      <c r="B6031" s="116">
        <v>50018</v>
      </c>
      <c r="C6031" s="117">
        <v>45607</v>
      </c>
      <c r="D6031" s="116">
        <v>124.59</v>
      </c>
      <c r="E6031" s="117">
        <v>45611</v>
      </c>
      <c r="F6031" s="116">
        <f>COUNTIFS($A$3:A14284,A6031,$B$3:B14284,B6031)</f>
        <v>1</v>
      </c>
      <c r="G6031" s="116"/>
    </row>
    <row r="6032" spans="1:7" x14ac:dyDescent="0.2">
      <c r="A6032" s="116">
        <f>IF(ISNUMBER(Tabela2[[#This Row],[CT-e/NFS]])=TRUE,(IF(B6032&gt;30000,4,IF(B6032&lt;1000,"ND",0))),"-")</f>
        <v>4</v>
      </c>
      <c r="B6032" s="116">
        <v>50019</v>
      </c>
      <c r="C6032" s="117">
        <v>45607</v>
      </c>
      <c r="D6032" s="116">
        <v>125.16</v>
      </c>
      <c r="E6032" s="117">
        <v>45611</v>
      </c>
      <c r="F6032" s="116">
        <f>COUNTIFS($A$3:A14285,A6032,$B$3:B14285,B6032)</f>
        <v>1</v>
      </c>
      <c r="G6032" s="116"/>
    </row>
    <row r="6033" spans="1:7" x14ac:dyDescent="0.2">
      <c r="A6033" s="116">
        <f>IF(ISNUMBER(Tabela2[[#This Row],[CT-e/NFS]])=TRUE,(IF(B6033&gt;30000,4,IF(B6033&lt;1000,"ND",0))),"-")</f>
        <v>4</v>
      </c>
      <c r="B6033" s="116">
        <v>50021</v>
      </c>
      <c r="C6033" s="117">
        <v>45607</v>
      </c>
      <c r="D6033" s="116">
        <v>124.39</v>
      </c>
      <c r="E6033" s="117">
        <v>45611</v>
      </c>
      <c r="F6033" s="116">
        <f>COUNTIFS($A$3:A14286,A6033,$B$3:B14286,B6033)</f>
        <v>1</v>
      </c>
      <c r="G6033" s="116"/>
    </row>
    <row r="6034" spans="1:7" x14ac:dyDescent="0.2">
      <c r="A6034" s="116">
        <f>IF(ISNUMBER(Tabela2[[#This Row],[CT-e/NFS]])=TRUE,(IF(B6034&gt;30000,4,IF(B6034&lt;1000,"ND",0))),"-")</f>
        <v>4</v>
      </c>
      <c r="B6034" s="116">
        <v>50020</v>
      </c>
      <c r="C6034" s="117">
        <v>45607</v>
      </c>
      <c r="D6034" s="116">
        <v>123.91</v>
      </c>
      <c r="E6034" s="117">
        <v>45611</v>
      </c>
      <c r="F6034" s="116">
        <f>COUNTIFS($A$3:A14287,A6034,$B$3:B14287,B6034)</f>
        <v>1</v>
      </c>
      <c r="G6034" s="116"/>
    </row>
    <row r="6035" spans="1:7" x14ac:dyDescent="0.2">
      <c r="A6035" s="116">
        <f>IF(ISNUMBER(Tabela2[[#This Row],[CT-e/NFS]])=TRUE,(IF(B6035&gt;30000,4,IF(B6035&lt;1000,"ND",0))),"-")</f>
        <v>4</v>
      </c>
      <c r="B6035" s="116">
        <v>50017</v>
      </c>
      <c r="C6035" s="117">
        <v>45607</v>
      </c>
      <c r="D6035" s="116">
        <v>251.26</v>
      </c>
      <c r="E6035" s="117">
        <v>45611</v>
      </c>
      <c r="F6035" s="116">
        <f>COUNTIFS($A$3:A14288,A6035,$B$3:B14288,B6035)</f>
        <v>1</v>
      </c>
      <c r="G6035" s="116"/>
    </row>
    <row r="6036" spans="1:7" x14ac:dyDescent="0.2">
      <c r="A6036" s="116">
        <f>IF(ISNUMBER(Tabela2[[#This Row],[CT-e/NFS]])=TRUE,(IF(B6036&gt;30000,4,IF(B6036&lt;1000,"ND",0))),"-")</f>
        <v>4</v>
      </c>
      <c r="B6036" s="116">
        <v>50024</v>
      </c>
      <c r="C6036" s="117">
        <v>45607</v>
      </c>
      <c r="D6036" s="116">
        <v>448.7</v>
      </c>
      <c r="E6036" s="117">
        <v>45611</v>
      </c>
      <c r="F6036" s="116">
        <f>COUNTIFS($A$3:A14289,A6036,$B$3:B14289,B6036)</f>
        <v>1</v>
      </c>
      <c r="G6036" s="116"/>
    </row>
    <row r="6037" spans="1:7" x14ac:dyDescent="0.2">
      <c r="A6037" s="116">
        <f>IF(ISNUMBER(Tabela2[[#This Row],[CT-e/NFS]])=TRUE,(IF(B6037&gt;30000,4,IF(B6037&lt;1000,"ND",0))),"-")</f>
        <v>4</v>
      </c>
      <c r="B6037" s="116">
        <v>50026</v>
      </c>
      <c r="C6037" s="117">
        <v>45607</v>
      </c>
      <c r="D6037" s="116">
        <v>433.06</v>
      </c>
      <c r="E6037" s="117">
        <v>45611</v>
      </c>
      <c r="F6037" s="116">
        <f>COUNTIFS($A$3:A14290,A6037,$B$3:B14290,B6037)</f>
        <v>1</v>
      </c>
      <c r="G6037" s="116"/>
    </row>
    <row r="6038" spans="1:7" x14ac:dyDescent="0.2">
      <c r="A6038" s="116">
        <f>IF(ISNUMBER(Tabela2[[#This Row],[CT-e/NFS]])=TRUE,(IF(B6038&gt;30000,4,IF(B6038&lt;1000,"ND",0))),"-")</f>
        <v>4</v>
      </c>
      <c r="B6038" s="116">
        <v>50025</v>
      </c>
      <c r="C6038" s="117">
        <v>45607</v>
      </c>
      <c r="D6038" s="116">
        <v>876.53</v>
      </c>
      <c r="E6038" s="117">
        <v>45611</v>
      </c>
      <c r="F6038" s="116">
        <f>COUNTIFS($A$3:A14291,A6038,$B$3:B14291,B6038)</f>
        <v>1</v>
      </c>
      <c r="G6038" s="116"/>
    </row>
    <row r="6039" spans="1:7" x14ac:dyDescent="0.2">
      <c r="A6039" s="116">
        <f>IF(ISNUMBER(Tabela2[[#This Row],[CT-e/NFS]])=TRUE,(IF(B6039&gt;30000,4,IF(B6039&lt;1000,"ND",0))),"-")</f>
        <v>0</v>
      </c>
      <c r="B6039" s="116">
        <v>22326</v>
      </c>
      <c r="C6039" s="117">
        <v>45607</v>
      </c>
      <c r="D6039" s="116">
        <v>76.81</v>
      </c>
      <c r="E6039" s="117">
        <v>45611</v>
      </c>
      <c r="F6039" s="116">
        <f>COUNTIFS($A$3:A14292,A6039,$B$3:B14292,B6039)</f>
        <v>1</v>
      </c>
      <c r="G6039" s="116"/>
    </row>
    <row r="6040" spans="1:7" x14ac:dyDescent="0.2">
      <c r="A6040" s="116">
        <f>IF(ISNUMBER(Tabela2[[#This Row],[CT-e/NFS]])=TRUE,(IF(B6040&gt;30000,4,IF(B6040&lt;1000,"ND",0))),"-")</f>
        <v>0</v>
      </c>
      <c r="B6040" s="116">
        <v>22330</v>
      </c>
      <c r="C6040" s="117">
        <v>45607</v>
      </c>
      <c r="D6040" s="116">
        <v>75.83</v>
      </c>
      <c r="E6040" s="117">
        <v>45611</v>
      </c>
      <c r="F6040" s="116">
        <f>COUNTIFS($A$3:A14293,A6040,$B$3:B14293,B6040)</f>
        <v>1</v>
      </c>
      <c r="G6040" s="116"/>
    </row>
    <row r="6041" spans="1:7" x14ac:dyDescent="0.2">
      <c r="A6041" s="116">
        <f>IF(ISNUMBER(Tabela2[[#This Row],[CT-e/NFS]])=TRUE,(IF(B6041&gt;30000,4,IF(B6041&lt;1000,"ND",0))),"-")</f>
        <v>0</v>
      </c>
      <c r="B6041" s="116">
        <v>22329</v>
      </c>
      <c r="C6041" s="117">
        <v>45607</v>
      </c>
      <c r="D6041" s="116">
        <v>76.34</v>
      </c>
      <c r="E6041" s="117">
        <v>45611</v>
      </c>
      <c r="F6041" s="116">
        <f>COUNTIFS($A$3:A14294,A6041,$B$3:B14294,B6041)</f>
        <v>1</v>
      </c>
      <c r="G6041" s="116"/>
    </row>
    <row r="6042" spans="1:7" x14ac:dyDescent="0.2">
      <c r="A6042" s="116">
        <f>IF(ISNUMBER(Tabela2[[#This Row],[CT-e/NFS]])=TRUE,(IF(B6042&gt;30000,4,IF(B6042&lt;1000,"ND",0))),"-")</f>
        <v>0</v>
      </c>
      <c r="B6042" s="116">
        <v>22328</v>
      </c>
      <c r="C6042" s="117">
        <v>45607</v>
      </c>
      <c r="D6042" s="116">
        <v>77.069999999999993</v>
      </c>
      <c r="E6042" s="117">
        <v>45611</v>
      </c>
      <c r="F6042" s="116">
        <f>COUNTIFS($A$3:A14295,A6042,$B$3:B14295,B6042)</f>
        <v>1</v>
      </c>
      <c r="G6042" s="116"/>
    </row>
    <row r="6043" spans="1:7" x14ac:dyDescent="0.2">
      <c r="A6043" s="116">
        <f>IF(ISNUMBER(Tabela2[[#This Row],[CT-e/NFS]])=TRUE,(IF(B6043&gt;30000,4,IF(B6043&lt;1000,"ND",0))),"-")</f>
        <v>4</v>
      </c>
      <c r="B6043" s="116">
        <v>50023</v>
      </c>
      <c r="C6043" s="117">
        <v>45607</v>
      </c>
      <c r="D6043" s="116">
        <v>1758.3</v>
      </c>
      <c r="E6043" s="117">
        <v>45611</v>
      </c>
      <c r="F6043" s="116">
        <f>COUNTIFS($A$3:A14296,A6043,$B$3:B14296,B6043)</f>
        <v>1</v>
      </c>
      <c r="G6043" s="116"/>
    </row>
    <row r="6044" spans="1:7" x14ac:dyDescent="0.2">
      <c r="A6044" s="116">
        <f>IF(ISNUMBER(Tabela2[[#This Row],[CT-e/NFS]])=TRUE,(IF(B6044&gt;30000,4,IF(B6044&lt;1000,"ND",0))),"-")</f>
        <v>4</v>
      </c>
      <c r="B6044" s="116">
        <v>50044</v>
      </c>
      <c r="C6044" s="117">
        <v>45607</v>
      </c>
      <c r="D6044" s="116">
        <v>124.28</v>
      </c>
      <c r="E6044" s="117">
        <v>45611</v>
      </c>
      <c r="F6044" s="116">
        <f>COUNTIFS($A$3:A14297,A6044,$B$3:B14297,B6044)</f>
        <v>1</v>
      </c>
      <c r="G6044" s="116"/>
    </row>
    <row r="6045" spans="1:7" x14ac:dyDescent="0.2">
      <c r="A6045" s="116">
        <f>IF(ISNUMBER(Tabela2[[#This Row],[CT-e/NFS]])=TRUE,(IF(B6045&gt;30000,4,IF(B6045&lt;1000,"ND",0))),"-")</f>
        <v>4</v>
      </c>
      <c r="B6045" s="116">
        <v>50040</v>
      </c>
      <c r="C6045" s="117">
        <v>45607</v>
      </c>
      <c r="D6045" s="116">
        <v>125.56</v>
      </c>
      <c r="E6045" s="117">
        <v>45611</v>
      </c>
      <c r="F6045" s="116">
        <f>COUNTIFS($A$3:A14298,A6045,$B$3:B14298,B6045)</f>
        <v>1</v>
      </c>
      <c r="G6045" s="116"/>
    </row>
    <row r="6046" spans="1:7" x14ac:dyDescent="0.2">
      <c r="A6046" s="116">
        <f>IF(ISNUMBER(Tabela2[[#This Row],[CT-e/NFS]])=TRUE,(IF(B6046&gt;30000,4,IF(B6046&lt;1000,"ND",0))),"-")</f>
        <v>4</v>
      </c>
      <c r="B6046" s="116">
        <v>50037</v>
      </c>
      <c r="C6046" s="117">
        <v>45607</v>
      </c>
      <c r="D6046" s="116">
        <v>124.03</v>
      </c>
      <c r="E6046" s="117">
        <v>45611</v>
      </c>
      <c r="F6046" s="116">
        <f>COUNTIFS($A$3:A14299,A6046,$B$3:B14299,B6046)</f>
        <v>1</v>
      </c>
      <c r="G6046" s="116"/>
    </row>
    <row r="6047" spans="1:7" x14ac:dyDescent="0.2">
      <c r="A6047" s="116">
        <f>IF(ISNUMBER(Tabela2[[#This Row],[CT-e/NFS]])=TRUE,(IF(B6047&gt;30000,4,IF(B6047&lt;1000,"ND",0))),"-")</f>
        <v>4</v>
      </c>
      <c r="B6047" s="116">
        <v>50036</v>
      </c>
      <c r="C6047" s="117">
        <v>45607</v>
      </c>
      <c r="D6047" s="116">
        <v>167.95</v>
      </c>
      <c r="E6047" s="117">
        <v>45611</v>
      </c>
      <c r="F6047" s="116">
        <f>COUNTIFS($A$3:A14300,A6047,$B$3:B14300,B6047)</f>
        <v>1</v>
      </c>
      <c r="G6047" s="116"/>
    </row>
    <row r="6048" spans="1:7" x14ac:dyDescent="0.2">
      <c r="A6048" s="116">
        <f>IF(ISNUMBER(Tabela2[[#This Row],[CT-e/NFS]])=TRUE,(IF(B6048&gt;30000,4,IF(B6048&lt;1000,"ND",0))),"-")</f>
        <v>4</v>
      </c>
      <c r="B6048" s="116">
        <v>50030</v>
      </c>
      <c r="C6048" s="117">
        <v>45607</v>
      </c>
      <c r="D6048" s="116">
        <v>125.52</v>
      </c>
      <c r="E6048" s="117">
        <v>45611</v>
      </c>
      <c r="F6048" s="116">
        <f>COUNTIFS($A$3:A14301,A6048,$B$3:B14301,B6048)</f>
        <v>1</v>
      </c>
      <c r="G6048" s="116"/>
    </row>
    <row r="6049" spans="1:7" x14ac:dyDescent="0.2">
      <c r="A6049" s="116">
        <f>IF(ISNUMBER(Tabela2[[#This Row],[CT-e/NFS]])=TRUE,(IF(B6049&gt;30000,4,IF(B6049&lt;1000,"ND",0))),"-")</f>
        <v>4</v>
      </c>
      <c r="B6049" s="116">
        <v>50032</v>
      </c>
      <c r="C6049" s="117">
        <v>45607</v>
      </c>
      <c r="D6049" s="116">
        <v>123.13</v>
      </c>
      <c r="E6049" s="117">
        <v>45611</v>
      </c>
      <c r="F6049" s="116">
        <f>COUNTIFS($A$3:A14302,A6049,$B$3:B14302,B6049)</f>
        <v>1</v>
      </c>
      <c r="G6049" s="116"/>
    </row>
    <row r="6050" spans="1:7" x14ac:dyDescent="0.2">
      <c r="A6050" s="116">
        <f>IF(ISNUMBER(Tabela2[[#This Row],[CT-e/NFS]])=TRUE,(IF(B6050&gt;30000,4,IF(B6050&lt;1000,"ND",0))),"-")</f>
        <v>4</v>
      </c>
      <c r="B6050" s="116">
        <v>50046</v>
      </c>
      <c r="C6050" s="117">
        <v>45607</v>
      </c>
      <c r="D6050" s="116">
        <v>112.28</v>
      </c>
      <c r="E6050" s="117">
        <v>45611</v>
      </c>
      <c r="F6050" s="116">
        <f>COUNTIFS($A$3:A14303,A6050,$B$3:B14303,B6050)</f>
        <v>1</v>
      </c>
      <c r="G6050" s="116"/>
    </row>
    <row r="6051" spans="1:7" x14ac:dyDescent="0.2">
      <c r="A6051" s="116">
        <f>IF(ISNUMBER(Tabela2[[#This Row],[CT-e/NFS]])=TRUE,(IF(B6051&gt;30000,4,IF(B6051&lt;1000,"ND",0))),"-")</f>
        <v>4</v>
      </c>
      <c r="B6051" s="116">
        <v>50045</v>
      </c>
      <c r="C6051" s="117">
        <v>45607</v>
      </c>
      <c r="D6051" s="116">
        <v>62.27</v>
      </c>
      <c r="E6051" s="117">
        <v>45611</v>
      </c>
      <c r="F6051" s="116">
        <f>COUNTIFS($A$3:A14304,A6051,$B$3:B14304,B6051)</f>
        <v>1</v>
      </c>
      <c r="G6051" s="116"/>
    </row>
    <row r="6052" spans="1:7" x14ac:dyDescent="0.2">
      <c r="A6052" s="116">
        <f>IF(ISNUMBER(Tabela2[[#This Row],[CT-e/NFS]])=TRUE,(IF(B6052&gt;30000,4,IF(B6052&lt;1000,"ND",0))),"-")</f>
        <v>4</v>
      </c>
      <c r="B6052" s="116">
        <v>50039</v>
      </c>
      <c r="C6052" s="117">
        <v>45607</v>
      </c>
      <c r="D6052" s="116">
        <v>123.94</v>
      </c>
      <c r="E6052" s="117">
        <v>45611</v>
      </c>
      <c r="F6052" s="116">
        <f>COUNTIFS($A$3:A14305,A6052,$B$3:B14305,B6052)</f>
        <v>1</v>
      </c>
      <c r="G6052" s="116"/>
    </row>
    <row r="6053" spans="1:7" x14ac:dyDescent="0.2">
      <c r="A6053" s="116">
        <f>IF(ISNUMBER(Tabela2[[#This Row],[CT-e/NFS]])=TRUE,(IF(B6053&gt;30000,4,IF(B6053&lt;1000,"ND",0))),"-")</f>
        <v>4</v>
      </c>
      <c r="B6053" s="116">
        <v>50029</v>
      </c>
      <c r="C6053" s="117">
        <v>45607</v>
      </c>
      <c r="D6053" s="116">
        <v>126.6</v>
      </c>
      <c r="E6053" s="117">
        <v>45611</v>
      </c>
      <c r="F6053" s="116">
        <f>COUNTIFS($A$3:A14306,A6053,$B$3:B14306,B6053)</f>
        <v>1</v>
      </c>
      <c r="G6053" s="116"/>
    </row>
    <row r="6054" spans="1:7" x14ac:dyDescent="0.2">
      <c r="A6054" s="116">
        <f>IF(ISNUMBER(Tabela2[[#This Row],[CT-e/NFS]])=TRUE,(IF(B6054&gt;30000,4,IF(B6054&lt;1000,"ND",0))),"-")</f>
        <v>4</v>
      </c>
      <c r="B6054" s="116">
        <v>50034</v>
      </c>
      <c r="C6054" s="117">
        <v>45607</v>
      </c>
      <c r="D6054" s="116">
        <v>157.35</v>
      </c>
      <c r="E6054" s="117">
        <v>45611</v>
      </c>
      <c r="F6054" s="116">
        <f>COUNTIFS($A$3:A14307,A6054,$B$3:B14307,B6054)</f>
        <v>1</v>
      </c>
      <c r="G6054" s="116"/>
    </row>
    <row r="6055" spans="1:7" x14ac:dyDescent="0.2">
      <c r="A6055" s="116">
        <f>IF(ISNUMBER(Tabela2[[#This Row],[CT-e/NFS]])=TRUE,(IF(B6055&gt;30000,4,IF(B6055&lt;1000,"ND",0))),"-")</f>
        <v>4</v>
      </c>
      <c r="B6055" s="116">
        <v>50038</v>
      </c>
      <c r="C6055" s="117">
        <v>45607</v>
      </c>
      <c r="D6055" s="116">
        <v>124.36</v>
      </c>
      <c r="E6055" s="117">
        <v>45611</v>
      </c>
      <c r="F6055" s="116">
        <f>COUNTIFS($A$3:A14308,A6055,$B$3:B14308,B6055)</f>
        <v>1</v>
      </c>
      <c r="G6055" s="116"/>
    </row>
    <row r="6056" spans="1:7" x14ac:dyDescent="0.2">
      <c r="A6056" s="116">
        <f>IF(ISNUMBER(Tabela2[[#This Row],[CT-e/NFS]])=TRUE,(IF(B6056&gt;30000,4,IF(B6056&lt;1000,"ND",0))),"-")</f>
        <v>4</v>
      </c>
      <c r="B6056" s="116">
        <v>50035</v>
      </c>
      <c r="C6056" s="117">
        <v>45607</v>
      </c>
      <c r="D6056" s="116">
        <v>126.38</v>
      </c>
      <c r="E6056" s="117">
        <v>45611</v>
      </c>
      <c r="F6056" s="116">
        <f>COUNTIFS($A$3:A14309,A6056,$B$3:B14309,B6056)</f>
        <v>1</v>
      </c>
      <c r="G6056" s="116"/>
    </row>
    <row r="6057" spans="1:7" x14ac:dyDescent="0.2">
      <c r="A6057" s="116">
        <f>IF(ISNUMBER(Tabela2[[#This Row],[CT-e/NFS]])=TRUE,(IF(B6057&gt;30000,4,IF(B6057&lt;1000,"ND",0))),"-")</f>
        <v>4</v>
      </c>
      <c r="B6057" s="116">
        <v>50031</v>
      </c>
      <c r="C6057" s="117">
        <v>45607</v>
      </c>
      <c r="D6057" s="116">
        <v>883.91</v>
      </c>
      <c r="E6057" s="117">
        <v>45611</v>
      </c>
      <c r="F6057" s="116">
        <f>COUNTIFS($A$3:A14310,A6057,$B$3:B14310,B6057)</f>
        <v>1</v>
      </c>
      <c r="G6057" s="116"/>
    </row>
    <row r="6058" spans="1:7" x14ac:dyDescent="0.2">
      <c r="A6058" s="116">
        <f>IF(ISNUMBER(Tabela2[[#This Row],[CT-e/NFS]])=TRUE,(IF(B6058&gt;30000,4,IF(B6058&lt;1000,"ND",0))),"-")</f>
        <v>4</v>
      </c>
      <c r="B6058" s="116">
        <v>50028</v>
      </c>
      <c r="C6058" s="117">
        <v>45607</v>
      </c>
      <c r="D6058" s="116">
        <v>216.77</v>
      </c>
      <c r="E6058" s="117">
        <v>45611</v>
      </c>
      <c r="F6058" s="116">
        <f>COUNTIFS($A$3:A14311,A6058,$B$3:B14311,B6058)</f>
        <v>1</v>
      </c>
      <c r="G6058" s="116"/>
    </row>
    <row r="6059" spans="1:7" x14ac:dyDescent="0.2">
      <c r="A6059" s="116">
        <f>IF(ISNUMBER(Tabela2[[#This Row],[CT-e/NFS]])=TRUE,(IF(B6059&gt;30000,4,IF(B6059&lt;1000,"ND",0))),"-")</f>
        <v>4</v>
      </c>
      <c r="B6059" s="116">
        <v>50027</v>
      </c>
      <c r="C6059" s="117">
        <v>45607</v>
      </c>
      <c r="D6059" s="116">
        <v>124.69</v>
      </c>
      <c r="E6059" s="117">
        <v>45611</v>
      </c>
      <c r="F6059" s="116">
        <f>COUNTIFS($A$3:A14312,A6059,$B$3:B14312,B6059)</f>
        <v>1</v>
      </c>
      <c r="G6059" s="116"/>
    </row>
    <row r="6060" spans="1:7" x14ac:dyDescent="0.2">
      <c r="A6060" s="116">
        <f>IF(ISNUMBER(Tabela2[[#This Row],[CT-e/NFS]])=TRUE,(IF(B6060&gt;30000,4,IF(B6060&lt;1000,"ND",0))),"-")</f>
        <v>4</v>
      </c>
      <c r="B6060" s="116">
        <v>50033</v>
      </c>
      <c r="C6060" s="117">
        <v>45607</v>
      </c>
      <c r="D6060" s="116">
        <v>1284.6099999999999</v>
      </c>
      <c r="E6060" s="117">
        <v>45611</v>
      </c>
      <c r="F6060" s="116">
        <f>COUNTIFS($A$3:A14313,A6060,$B$3:B14313,B6060)</f>
        <v>1</v>
      </c>
      <c r="G6060" s="116"/>
    </row>
    <row r="6061" spans="1:7" x14ac:dyDescent="0.2">
      <c r="A6061" s="116">
        <f>IF(ISNUMBER(Tabela2[[#This Row],[CT-e/NFS]])=TRUE,(IF(B6061&gt;30000,4,IF(B6061&lt;1000,"ND",0))),"-")</f>
        <v>0</v>
      </c>
      <c r="B6061" s="116">
        <v>22332</v>
      </c>
      <c r="C6061" s="117">
        <v>45607</v>
      </c>
      <c r="D6061" s="116">
        <v>1035.93</v>
      </c>
      <c r="E6061" s="117">
        <v>45611</v>
      </c>
      <c r="F6061" s="116">
        <f>COUNTIFS($A$3:A14314,A6061,$B$3:B14314,B6061)</f>
        <v>1</v>
      </c>
      <c r="G6061" s="116"/>
    </row>
    <row r="6062" spans="1:7" x14ac:dyDescent="0.2">
      <c r="A6062" s="116">
        <f>IF(ISNUMBER(Tabela2[[#This Row],[CT-e/NFS]])=TRUE,(IF(B6062&gt;30000,4,IF(B6062&lt;1000,"ND",0))),"-")</f>
        <v>0</v>
      </c>
      <c r="B6062" s="116">
        <v>22331</v>
      </c>
      <c r="C6062" s="117">
        <v>45607</v>
      </c>
      <c r="D6062" s="116">
        <v>515.41</v>
      </c>
      <c r="E6062" s="117">
        <v>45611</v>
      </c>
      <c r="F6062" s="116">
        <f>COUNTIFS($A$3:A14315,A6062,$B$3:B14315,B6062)</f>
        <v>1</v>
      </c>
      <c r="G6062" s="116"/>
    </row>
    <row r="6063" spans="1:7" x14ac:dyDescent="0.2">
      <c r="A6063" s="116">
        <f>IF(ISNUMBER(Tabela2[[#This Row],[CT-e/NFS]])=TRUE,(IF(B6063&gt;30000,4,IF(B6063&lt;1000,"ND",0))),"-")</f>
        <v>0</v>
      </c>
      <c r="B6063" s="116">
        <v>22333</v>
      </c>
      <c r="C6063" s="117">
        <v>45607</v>
      </c>
      <c r="D6063" s="116">
        <v>76.41</v>
      </c>
      <c r="E6063" s="117">
        <v>45611</v>
      </c>
      <c r="F6063" s="116">
        <f>COUNTIFS($A$3:A14316,A6063,$B$3:B14316,B6063)</f>
        <v>1</v>
      </c>
      <c r="G6063" s="116"/>
    </row>
    <row r="6064" spans="1:7" x14ac:dyDescent="0.2">
      <c r="A6064" s="116">
        <f>IF(ISNUMBER(Tabela2[[#This Row],[CT-e/NFS]])=TRUE,(IF(B6064&gt;30000,4,IF(B6064&lt;1000,"ND",0))),"-")</f>
        <v>0</v>
      </c>
      <c r="B6064" s="116">
        <v>22334</v>
      </c>
      <c r="C6064" s="117">
        <v>45607</v>
      </c>
      <c r="D6064" s="116">
        <v>76.95</v>
      </c>
      <c r="E6064" s="117">
        <v>45611</v>
      </c>
      <c r="F6064" s="116">
        <f>COUNTIFS($A$3:A14317,A6064,$B$3:B14317,B6064)</f>
        <v>1</v>
      </c>
      <c r="G6064" s="116"/>
    </row>
    <row r="6065" spans="1:7" x14ac:dyDescent="0.2">
      <c r="A6065" s="116">
        <f>IF(ISNUMBER(Tabela2[[#This Row],[CT-e/NFS]])=TRUE,(IF(B6065&gt;30000,4,IF(B6065&lt;1000,"ND",0))),"-")</f>
        <v>0</v>
      </c>
      <c r="B6065" s="116">
        <v>22335</v>
      </c>
      <c r="C6065" s="117">
        <v>45607</v>
      </c>
      <c r="D6065" s="116">
        <v>76.19</v>
      </c>
      <c r="E6065" s="117">
        <v>45611</v>
      </c>
      <c r="F6065" s="116">
        <f>COUNTIFS($A$3:A14318,A6065,$B$3:B14318,B6065)</f>
        <v>1</v>
      </c>
      <c r="G6065" s="116"/>
    </row>
    <row r="6066" spans="1:7" x14ac:dyDescent="0.2">
      <c r="A6066" s="116">
        <f>IF(ISNUMBER(Tabela2[[#This Row],[CT-e/NFS]])=TRUE,(IF(B6066&gt;30000,4,IF(B6066&lt;1000,"ND",0))),"-")</f>
        <v>4</v>
      </c>
      <c r="B6066" s="116">
        <v>50041</v>
      </c>
      <c r="C6066" s="117">
        <v>45607</v>
      </c>
      <c r="D6066" s="116">
        <v>995.85</v>
      </c>
      <c r="E6066" s="117">
        <v>45611</v>
      </c>
      <c r="F6066" s="116">
        <f>COUNTIFS($A$3:A14319,A6066,$B$3:B14319,B6066)</f>
        <v>1</v>
      </c>
      <c r="G6066" s="116"/>
    </row>
    <row r="6067" spans="1:7" x14ac:dyDescent="0.2">
      <c r="A6067" s="116">
        <f>IF(ISNUMBER(Tabela2[[#This Row],[CT-e/NFS]])=TRUE,(IF(B6067&gt;30000,4,IF(B6067&lt;1000,"ND",0))),"-")</f>
        <v>4</v>
      </c>
      <c r="B6067" s="116">
        <v>50053</v>
      </c>
      <c r="C6067" s="117">
        <v>45607</v>
      </c>
      <c r="D6067" s="116">
        <v>1251.25</v>
      </c>
      <c r="E6067" s="117">
        <v>45611</v>
      </c>
      <c r="F6067" s="116">
        <f>COUNTIFS($A$3:A14320,A6067,$B$3:B14320,B6067)</f>
        <v>1</v>
      </c>
      <c r="G6067" s="116"/>
    </row>
    <row r="6068" spans="1:7" x14ac:dyDescent="0.2">
      <c r="A6068" s="116">
        <f>IF(ISNUMBER(Tabela2[[#This Row],[CT-e/NFS]])=TRUE,(IF(B6068&gt;30000,4,IF(B6068&lt;1000,"ND",0))),"-")</f>
        <v>4</v>
      </c>
      <c r="B6068" s="116">
        <v>50051</v>
      </c>
      <c r="C6068" s="117">
        <v>45607</v>
      </c>
      <c r="D6068" s="116">
        <v>2502.5100000000002</v>
      </c>
      <c r="E6068" s="117">
        <v>45611</v>
      </c>
      <c r="F6068" s="116">
        <f>COUNTIFS($A$3:A14321,A6068,$B$3:B14321,B6068)</f>
        <v>1</v>
      </c>
      <c r="G6068" s="116"/>
    </row>
    <row r="6069" spans="1:7" x14ac:dyDescent="0.2">
      <c r="A6069" s="116">
        <f>IF(ISNUMBER(Tabela2[[#This Row],[CT-e/NFS]])=TRUE,(IF(B6069&gt;30000,4,IF(B6069&lt;1000,"ND",0))),"-")</f>
        <v>4</v>
      </c>
      <c r="B6069" s="116">
        <v>50050</v>
      </c>
      <c r="C6069" s="117">
        <v>45607</v>
      </c>
      <c r="D6069" s="116">
        <v>2502.5100000000002</v>
      </c>
      <c r="E6069" s="117">
        <v>45611</v>
      </c>
      <c r="F6069" s="116">
        <f>COUNTIFS($A$3:A14322,A6069,$B$3:B14322,B6069)</f>
        <v>1</v>
      </c>
      <c r="G6069" s="116"/>
    </row>
    <row r="6070" spans="1:7" x14ac:dyDescent="0.2">
      <c r="A6070" s="116">
        <f>IF(ISNUMBER(Tabela2[[#This Row],[CT-e/NFS]])=TRUE,(IF(B6070&gt;30000,4,IF(B6070&lt;1000,"ND",0))),"-")</f>
        <v>4</v>
      </c>
      <c r="B6070" s="116">
        <v>50052</v>
      </c>
      <c r="C6070" s="117">
        <v>45607</v>
      </c>
      <c r="D6070" s="116">
        <v>2502.5100000000002</v>
      </c>
      <c r="E6070" s="117">
        <v>45611</v>
      </c>
      <c r="F6070" s="116">
        <f>COUNTIFS($A$3:A14323,A6070,$B$3:B14323,B6070)</f>
        <v>1</v>
      </c>
      <c r="G6070" s="116"/>
    </row>
    <row r="6071" spans="1:7" x14ac:dyDescent="0.2">
      <c r="A6071" s="116">
        <f>IF(ISNUMBER(Tabela2[[#This Row],[CT-e/NFS]])=TRUE,(IF(B6071&gt;30000,4,IF(B6071&lt;1000,"ND",0))),"-")</f>
        <v>4</v>
      </c>
      <c r="B6071" s="116">
        <v>50048</v>
      </c>
      <c r="C6071" s="117">
        <v>45607</v>
      </c>
      <c r="D6071" s="116">
        <v>3753.76</v>
      </c>
      <c r="E6071" s="117">
        <v>45611</v>
      </c>
      <c r="F6071" s="116">
        <f>COUNTIFS($A$3:A14324,A6071,$B$3:B14324,B6071)</f>
        <v>1</v>
      </c>
      <c r="G6071" s="116"/>
    </row>
    <row r="6072" spans="1:7" x14ac:dyDescent="0.2">
      <c r="A6072" s="116">
        <f>IF(ISNUMBER(Tabela2[[#This Row],[CT-e/NFS]])=TRUE,(IF(B6072&gt;30000,4,IF(B6072&lt;1000,"ND",0))),"-")</f>
        <v>4</v>
      </c>
      <c r="B6072" s="116">
        <v>50056</v>
      </c>
      <c r="C6072" s="117">
        <v>45607</v>
      </c>
      <c r="D6072" s="116">
        <v>312.82</v>
      </c>
      <c r="E6072" s="117">
        <v>45611</v>
      </c>
      <c r="F6072" s="116">
        <f>COUNTIFS($A$3:A14325,A6072,$B$3:B14325,B6072)</f>
        <v>1</v>
      </c>
      <c r="G6072" s="116"/>
    </row>
    <row r="6073" spans="1:7" x14ac:dyDescent="0.2">
      <c r="A6073" s="116">
        <f>IF(ISNUMBER(Tabela2[[#This Row],[CT-e/NFS]])=TRUE,(IF(B6073&gt;30000,4,IF(B6073&lt;1000,"ND",0))),"-")</f>
        <v>4</v>
      </c>
      <c r="B6073" s="116">
        <v>50049</v>
      </c>
      <c r="C6073" s="117">
        <v>45607</v>
      </c>
      <c r="D6073" s="116">
        <v>3128.14</v>
      </c>
      <c r="E6073" s="117">
        <v>45611</v>
      </c>
      <c r="F6073" s="116">
        <f>COUNTIFS($A$3:A14326,A6073,$B$3:B14326,B6073)</f>
        <v>1</v>
      </c>
      <c r="G6073" s="116"/>
    </row>
    <row r="6074" spans="1:7" x14ac:dyDescent="0.2">
      <c r="A6074" s="116">
        <f>IF(ISNUMBER(Tabela2[[#This Row],[CT-e/NFS]])=TRUE,(IF(B6074&gt;30000,4,IF(B6074&lt;1000,"ND",0))),"-")</f>
        <v>4</v>
      </c>
      <c r="B6074" s="116">
        <v>50055</v>
      </c>
      <c r="C6074" s="117">
        <v>45607</v>
      </c>
      <c r="D6074" s="116">
        <v>312.82</v>
      </c>
      <c r="E6074" s="117">
        <v>45611</v>
      </c>
      <c r="F6074" s="116">
        <f>COUNTIFS($A$3:A14327,A6074,$B$3:B14327,B6074)</f>
        <v>1</v>
      </c>
      <c r="G6074" s="116"/>
    </row>
    <row r="6075" spans="1:7" x14ac:dyDescent="0.2">
      <c r="A6075" s="116">
        <f>IF(ISNUMBER(Tabela2[[#This Row],[CT-e/NFS]])=TRUE,(IF(B6075&gt;30000,4,IF(B6075&lt;1000,"ND",0))),"-")</f>
        <v>4</v>
      </c>
      <c r="B6075" s="116">
        <v>50057</v>
      </c>
      <c r="C6075" s="117">
        <v>45607</v>
      </c>
      <c r="D6075" s="116">
        <v>3128.14</v>
      </c>
      <c r="E6075" s="117">
        <v>45611</v>
      </c>
      <c r="F6075" s="116">
        <f>COUNTIFS($A$3:A14328,A6075,$B$3:B14328,B6075)</f>
        <v>1</v>
      </c>
      <c r="G6075" s="116"/>
    </row>
    <row r="6076" spans="1:7" x14ac:dyDescent="0.2">
      <c r="A6076" s="116">
        <f>IF(ISNUMBER(Tabela2[[#This Row],[CT-e/NFS]])=TRUE,(IF(B6076&gt;30000,4,IF(B6076&lt;1000,"ND",0))),"-")</f>
        <v>4</v>
      </c>
      <c r="B6076" s="116">
        <v>50054</v>
      </c>
      <c r="C6076" s="117">
        <v>45607</v>
      </c>
      <c r="D6076" s="116">
        <v>1063.57</v>
      </c>
      <c r="E6076" s="117">
        <v>45611</v>
      </c>
      <c r="F6076" s="116">
        <f>COUNTIFS($A$3:A14329,A6076,$B$3:B14329,B6076)</f>
        <v>1</v>
      </c>
      <c r="G6076" s="116"/>
    </row>
    <row r="6077" spans="1:7" x14ac:dyDescent="0.2">
      <c r="A6077" s="116">
        <f>IF(ISNUMBER(Tabela2[[#This Row],[CT-e/NFS]])=TRUE,(IF(B6077&gt;30000,4,IF(B6077&lt;1000,"ND",0))),"-")</f>
        <v>4</v>
      </c>
      <c r="B6077" s="116">
        <v>50078</v>
      </c>
      <c r="C6077" s="117">
        <v>45607</v>
      </c>
      <c r="D6077" s="116">
        <v>62.76</v>
      </c>
      <c r="E6077" s="117">
        <v>45611</v>
      </c>
      <c r="F6077" s="116">
        <f>COUNTIFS($A$3:A14330,A6077,$B$3:B14330,B6077)</f>
        <v>1</v>
      </c>
      <c r="G6077" s="116"/>
    </row>
    <row r="6078" spans="1:7" x14ac:dyDescent="0.2">
      <c r="A6078" s="116">
        <f>IF(ISNUMBER(Tabela2[[#This Row],[CT-e/NFS]])=TRUE,(IF(B6078&gt;30000,4,IF(B6078&lt;1000,"ND",0))),"-")</f>
        <v>4</v>
      </c>
      <c r="B6078" s="116">
        <v>50076</v>
      </c>
      <c r="C6078" s="117">
        <v>45607</v>
      </c>
      <c r="D6078" s="116">
        <v>124.2</v>
      </c>
      <c r="E6078" s="117">
        <v>45611</v>
      </c>
      <c r="F6078" s="116">
        <f>COUNTIFS($A$3:A14331,A6078,$B$3:B14331,B6078)</f>
        <v>1</v>
      </c>
      <c r="G6078" s="116"/>
    </row>
    <row r="6079" spans="1:7" x14ac:dyDescent="0.2">
      <c r="A6079" s="116">
        <f>IF(ISNUMBER(Tabela2[[#This Row],[CT-e/NFS]])=TRUE,(IF(B6079&gt;30000,4,IF(B6079&lt;1000,"ND",0))),"-")</f>
        <v>4</v>
      </c>
      <c r="B6079" s="116">
        <v>50065</v>
      </c>
      <c r="C6079" s="117">
        <v>45607</v>
      </c>
      <c r="D6079" s="116">
        <v>238.68</v>
      </c>
      <c r="E6079" s="117">
        <v>45611</v>
      </c>
      <c r="F6079" s="116">
        <f>COUNTIFS($A$3:A14332,A6079,$B$3:B14332,B6079)</f>
        <v>1</v>
      </c>
      <c r="G6079" s="116"/>
    </row>
    <row r="6080" spans="1:7" x14ac:dyDescent="0.2">
      <c r="A6080" s="116">
        <f>IF(ISNUMBER(Tabela2[[#This Row],[CT-e/NFS]])=TRUE,(IF(B6080&gt;30000,4,IF(B6080&lt;1000,"ND",0))),"-")</f>
        <v>4</v>
      </c>
      <c r="B6080" s="116">
        <v>50059</v>
      </c>
      <c r="C6080" s="117">
        <v>45607</v>
      </c>
      <c r="D6080" s="116">
        <v>125.03</v>
      </c>
      <c r="E6080" s="117">
        <v>45611</v>
      </c>
      <c r="F6080" s="116">
        <f>COUNTIFS($A$3:A14333,A6080,$B$3:B14333,B6080)</f>
        <v>1</v>
      </c>
      <c r="G6080" s="116"/>
    </row>
    <row r="6081" spans="1:7" x14ac:dyDescent="0.2">
      <c r="A6081" s="116">
        <f>IF(ISNUMBER(Tabela2[[#This Row],[CT-e/NFS]])=TRUE,(IF(B6081&gt;30000,4,IF(B6081&lt;1000,"ND",0))),"-")</f>
        <v>4</v>
      </c>
      <c r="B6081" s="116">
        <v>50058</v>
      </c>
      <c r="C6081" s="117">
        <v>45607</v>
      </c>
      <c r="D6081" s="116">
        <v>282.44</v>
      </c>
      <c r="E6081" s="117">
        <v>45611</v>
      </c>
      <c r="F6081" s="116">
        <f>COUNTIFS($A$3:A14334,A6081,$B$3:B14334,B6081)</f>
        <v>1</v>
      </c>
      <c r="G6081" s="116"/>
    </row>
    <row r="6082" spans="1:7" x14ac:dyDescent="0.2">
      <c r="A6082" s="116">
        <f>IF(ISNUMBER(Tabela2[[#This Row],[CT-e/NFS]])=TRUE,(IF(B6082&gt;30000,4,IF(B6082&lt;1000,"ND",0))),"-")</f>
        <v>4</v>
      </c>
      <c r="B6082" s="116">
        <v>50084</v>
      </c>
      <c r="C6082" s="117">
        <v>45607</v>
      </c>
      <c r="D6082" s="116">
        <v>238.89</v>
      </c>
      <c r="E6082" s="117">
        <v>45611</v>
      </c>
      <c r="F6082" s="116">
        <f>COUNTIFS($A$3:A14335,A6082,$B$3:B14335,B6082)</f>
        <v>1</v>
      </c>
      <c r="G6082" s="116"/>
    </row>
    <row r="6083" spans="1:7" x14ac:dyDescent="0.2">
      <c r="A6083" s="116">
        <f>IF(ISNUMBER(Tabela2[[#This Row],[CT-e/NFS]])=TRUE,(IF(B6083&gt;30000,4,IF(B6083&lt;1000,"ND",0))),"-")</f>
        <v>4</v>
      </c>
      <c r="B6083" s="116">
        <v>50077</v>
      </c>
      <c r="C6083" s="117">
        <v>45607</v>
      </c>
      <c r="D6083" s="116">
        <v>124.31</v>
      </c>
      <c r="E6083" s="117">
        <v>45611</v>
      </c>
      <c r="F6083" s="116">
        <f>COUNTIFS($A$3:A14336,A6083,$B$3:B14336,B6083)</f>
        <v>1</v>
      </c>
      <c r="G6083" s="116"/>
    </row>
    <row r="6084" spans="1:7" x14ac:dyDescent="0.2">
      <c r="A6084" s="116">
        <f>IF(ISNUMBER(Tabela2[[#This Row],[CT-e/NFS]])=TRUE,(IF(B6084&gt;30000,4,IF(B6084&lt;1000,"ND",0))),"-")</f>
        <v>4</v>
      </c>
      <c r="B6084" s="116">
        <v>50066</v>
      </c>
      <c r="C6084" s="117">
        <v>45607</v>
      </c>
      <c r="D6084" s="116">
        <v>123.89</v>
      </c>
      <c r="E6084" s="117">
        <v>45611</v>
      </c>
      <c r="F6084" s="116">
        <f>COUNTIFS($A$3:A14337,A6084,$B$3:B14337,B6084)</f>
        <v>1</v>
      </c>
      <c r="G6084" s="116"/>
    </row>
    <row r="6085" spans="1:7" x14ac:dyDescent="0.2">
      <c r="A6085" s="116">
        <f>IF(ISNUMBER(Tabela2[[#This Row],[CT-e/NFS]])=TRUE,(IF(B6085&gt;30000,4,IF(B6085&lt;1000,"ND",0))),"-")</f>
        <v>4</v>
      </c>
      <c r="B6085" s="116">
        <v>50085</v>
      </c>
      <c r="C6085" s="117">
        <v>45607</v>
      </c>
      <c r="D6085" s="116">
        <v>124.51</v>
      </c>
      <c r="E6085" s="117">
        <v>45611</v>
      </c>
      <c r="F6085" s="116">
        <f>COUNTIFS($A$3:A14338,A6085,$B$3:B14338,B6085)</f>
        <v>1</v>
      </c>
      <c r="G6085" s="116"/>
    </row>
    <row r="6086" spans="1:7" x14ac:dyDescent="0.2">
      <c r="A6086" s="116">
        <f>IF(ISNUMBER(Tabela2[[#This Row],[CT-e/NFS]])=TRUE,(IF(B6086&gt;30000,4,IF(B6086&lt;1000,"ND",0))),"-")</f>
        <v>4</v>
      </c>
      <c r="B6086" s="116">
        <v>50064</v>
      </c>
      <c r="C6086" s="117">
        <v>45607</v>
      </c>
      <c r="D6086" s="116">
        <v>124.32</v>
      </c>
      <c r="E6086" s="117">
        <v>45611</v>
      </c>
      <c r="F6086" s="116">
        <f>COUNTIFS($A$3:A14339,A6086,$B$3:B14339,B6086)</f>
        <v>1</v>
      </c>
      <c r="G6086" s="116"/>
    </row>
    <row r="6087" spans="1:7" x14ac:dyDescent="0.2">
      <c r="A6087" s="116">
        <f>IF(ISNUMBER(Tabela2[[#This Row],[CT-e/NFS]])=TRUE,(IF(B6087&gt;30000,4,IF(B6087&lt;1000,"ND",0))),"-")</f>
        <v>4</v>
      </c>
      <c r="B6087" s="116">
        <v>50079</v>
      </c>
      <c r="C6087" s="117">
        <v>45607</v>
      </c>
      <c r="D6087" s="116">
        <v>125.58</v>
      </c>
      <c r="E6087" s="117">
        <v>45611</v>
      </c>
      <c r="F6087" s="116">
        <f>COUNTIFS($A$3:A14340,A6087,$B$3:B14340,B6087)</f>
        <v>1</v>
      </c>
      <c r="G6087" s="116"/>
    </row>
    <row r="6088" spans="1:7" x14ac:dyDescent="0.2">
      <c r="A6088" s="116">
        <f>IF(ISNUMBER(Tabela2[[#This Row],[CT-e/NFS]])=TRUE,(IF(B6088&gt;30000,4,IF(B6088&lt;1000,"ND",0))),"-")</f>
        <v>4</v>
      </c>
      <c r="B6088" s="116">
        <v>50080</v>
      </c>
      <c r="C6088" s="117">
        <v>45607</v>
      </c>
      <c r="D6088" s="116">
        <v>124.03</v>
      </c>
      <c r="E6088" s="117">
        <v>45611</v>
      </c>
      <c r="F6088" s="116">
        <f>COUNTIFS($A$3:A14341,A6088,$B$3:B14341,B6088)</f>
        <v>1</v>
      </c>
      <c r="G6088" s="116"/>
    </row>
    <row r="6089" spans="1:7" x14ac:dyDescent="0.2">
      <c r="A6089" s="116">
        <f>IF(ISNUMBER(Tabela2[[#This Row],[CT-e/NFS]])=TRUE,(IF(B6089&gt;30000,4,IF(B6089&lt;1000,"ND",0))),"-")</f>
        <v>4</v>
      </c>
      <c r="B6089" s="116">
        <v>50060</v>
      </c>
      <c r="C6089" s="117">
        <v>45607</v>
      </c>
      <c r="D6089" s="116">
        <v>123.53</v>
      </c>
      <c r="E6089" s="117">
        <v>45611</v>
      </c>
      <c r="F6089" s="116">
        <f>COUNTIFS($A$3:A14342,A6089,$B$3:B14342,B6089)</f>
        <v>1</v>
      </c>
      <c r="G6089" s="116"/>
    </row>
    <row r="6090" spans="1:7" x14ac:dyDescent="0.2">
      <c r="A6090" s="116">
        <f>IF(ISNUMBER(Tabela2[[#This Row],[CT-e/NFS]])=TRUE,(IF(B6090&gt;30000,4,IF(B6090&lt;1000,"ND",0))),"-")</f>
        <v>4</v>
      </c>
      <c r="B6090" s="116">
        <v>50063</v>
      </c>
      <c r="C6090" s="117">
        <v>45607</v>
      </c>
      <c r="D6090" s="116">
        <v>243.8</v>
      </c>
      <c r="E6090" s="117">
        <v>45611</v>
      </c>
      <c r="F6090" s="116">
        <f>COUNTIFS($A$3:A14343,A6090,$B$3:B14343,B6090)</f>
        <v>1</v>
      </c>
      <c r="G6090" s="116"/>
    </row>
    <row r="6091" spans="1:7" x14ac:dyDescent="0.2">
      <c r="A6091" s="116">
        <f>IF(ISNUMBER(Tabela2[[#This Row],[CT-e/NFS]])=TRUE,(IF(B6091&gt;30000,4,IF(B6091&lt;1000,"ND",0))),"-")</f>
        <v>4</v>
      </c>
      <c r="B6091" s="116">
        <v>50090</v>
      </c>
      <c r="C6091" s="117">
        <v>45607</v>
      </c>
      <c r="D6091" s="116">
        <v>154.15</v>
      </c>
      <c r="E6091" s="117">
        <v>45611</v>
      </c>
      <c r="F6091" s="116">
        <f>COUNTIFS($A$3:A14344,A6091,$B$3:B14344,B6091)</f>
        <v>1</v>
      </c>
      <c r="G6091" s="116"/>
    </row>
    <row r="6092" spans="1:7" x14ac:dyDescent="0.2">
      <c r="A6092" s="116">
        <f>IF(ISNUMBER(Tabela2[[#This Row],[CT-e/NFS]])=TRUE,(IF(B6092&gt;30000,4,IF(B6092&lt;1000,"ND",0))),"-")</f>
        <v>4</v>
      </c>
      <c r="B6092" s="116">
        <v>50062</v>
      </c>
      <c r="C6092" s="117">
        <v>45607</v>
      </c>
      <c r="D6092" s="116">
        <v>239.08</v>
      </c>
      <c r="E6092" s="117">
        <v>45611</v>
      </c>
      <c r="F6092" s="116">
        <f>COUNTIFS($A$3:A14345,A6092,$B$3:B14345,B6092)</f>
        <v>1</v>
      </c>
      <c r="G6092" s="116"/>
    </row>
    <row r="6093" spans="1:7" x14ac:dyDescent="0.2">
      <c r="A6093" s="116">
        <f>IF(ISNUMBER(Tabela2[[#This Row],[CT-e/NFS]])=TRUE,(IF(B6093&gt;30000,4,IF(B6093&lt;1000,"ND",0))),"-")</f>
        <v>4</v>
      </c>
      <c r="B6093" s="116">
        <v>50070</v>
      </c>
      <c r="C6093" s="117">
        <v>45607</v>
      </c>
      <c r="D6093" s="116">
        <v>523.29999999999995</v>
      </c>
      <c r="E6093" s="117">
        <v>45611</v>
      </c>
      <c r="F6093" s="116">
        <f>COUNTIFS($A$3:A14346,A6093,$B$3:B14346,B6093)</f>
        <v>1</v>
      </c>
      <c r="G6093" s="116"/>
    </row>
    <row r="6094" spans="1:7" x14ac:dyDescent="0.2">
      <c r="A6094" s="116">
        <f>IF(ISNUMBER(Tabela2[[#This Row],[CT-e/NFS]])=TRUE,(IF(B6094&gt;30000,4,IF(B6094&lt;1000,"ND",0))),"-")</f>
        <v>4</v>
      </c>
      <c r="B6094" s="116">
        <v>50081</v>
      </c>
      <c r="C6094" s="117">
        <v>45607</v>
      </c>
      <c r="D6094" s="116">
        <v>113.25</v>
      </c>
      <c r="E6094" s="117">
        <v>45611</v>
      </c>
      <c r="F6094" s="116">
        <f>COUNTIFS($A$3:A14347,A6094,$B$3:B14347,B6094)</f>
        <v>1</v>
      </c>
      <c r="G6094" s="116"/>
    </row>
    <row r="6095" spans="1:7" x14ac:dyDescent="0.2">
      <c r="A6095" s="116">
        <f>IF(ISNUMBER(Tabela2[[#This Row],[CT-e/NFS]])=TRUE,(IF(B6095&gt;30000,4,IF(B6095&lt;1000,"ND",0))),"-")</f>
        <v>4</v>
      </c>
      <c r="B6095" s="116">
        <v>50067</v>
      </c>
      <c r="C6095" s="117">
        <v>45607</v>
      </c>
      <c r="D6095" s="116">
        <v>125.08</v>
      </c>
      <c r="E6095" s="117">
        <v>45611</v>
      </c>
      <c r="F6095" s="116">
        <f>COUNTIFS($A$3:A14348,A6095,$B$3:B14348,B6095)</f>
        <v>1</v>
      </c>
      <c r="G6095" s="116"/>
    </row>
    <row r="6096" spans="1:7" x14ac:dyDescent="0.2">
      <c r="A6096" s="116">
        <f>IF(ISNUMBER(Tabela2[[#This Row],[CT-e/NFS]])=TRUE,(IF(B6096&gt;30000,4,IF(B6096&lt;1000,"ND",0))),"-")</f>
        <v>4</v>
      </c>
      <c r="B6096" s="116">
        <v>50068</v>
      </c>
      <c r="C6096" s="117">
        <v>45607</v>
      </c>
      <c r="D6096" s="116">
        <v>125.01</v>
      </c>
      <c r="E6096" s="117">
        <v>45611</v>
      </c>
      <c r="F6096" s="116">
        <f>COUNTIFS($A$3:A14349,A6096,$B$3:B14349,B6096)</f>
        <v>1</v>
      </c>
      <c r="G6096" s="116"/>
    </row>
    <row r="6097" spans="1:7" x14ac:dyDescent="0.2">
      <c r="A6097" s="116">
        <f>IF(ISNUMBER(Tabela2[[#This Row],[CT-e/NFS]])=TRUE,(IF(B6097&gt;30000,4,IF(B6097&lt;1000,"ND",0))),"-")</f>
        <v>4</v>
      </c>
      <c r="B6097" s="116">
        <v>50083</v>
      </c>
      <c r="C6097" s="117">
        <v>45607</v>
      </c>
      <c r="D6097" s="116">
        <v>125.34</v>
      </c>
      <c r="E6097" s="117">
        <v>45611</v>
      </c>
      <c r="F6097" s="116">
        <f>COUNTIFS($A$3:A14350,A6097,$B$3:B14350,B6097)</f>
        <v>1</v>
      </c>
      <c r="G6097" s="116"/>
    </row>
    <row r="6098" spans="1:7" x14ac:dyDescent="0.2">
      <c r="A6098" s="116">
        <f>IF(ISNUMBER(Tabela2[[#This Row],[CT-e/NFS]])=TRUE,(IF(B6098&gt;30000,4,IF(B6098&lt;1000,"ND",0))),"-")</f>
        <v>4</v>
      </c>
      <c r="B6098" s="116">
        <v>50061</v>
      </c>
      <c r="C6098" s="117">
        <v>45607</v>
      </c>
      <c r="D6098" s="116">
        <v>400.98</v>
      </c>
      <c r="E6098" s="117">
        <v>45611</v>
      </c>
      <c r="F6098" s="116">
        <f>COUNTIFS($A$3:A14351,A6098,$B$3:B14351,B6098)</f>
        <v>1</v>
      </c>
      <c r="G6098" s="116"/>
    </row>
    <row r="6099" spans="1:7" x14ac:dyDescent="0.2">
      <c r="A6099" s="116">
        <f>IF(ISNUMBER(Tabela2[[#This Row],[CT-e/NFS]])=TRUE,(IF(B6099&gt;30000,4,IF(B6099&lt;1000,"ND",0))),"-")</f>
        <v>4</v>
      </c>
      <c r="B6099" s="116">
        <v>50069</v>
      </c>
      <c r="C6099" s="117">
        <v>45607</v>
      </c>
      <c r="D6099" s="116">
        <v>123.9</v>
      </c>
      <c r="E6099" s="117">
        <v>45611</v>
      </c>
      <c r="F6099" s="116">
        <f>COUNTIFS($A$3:A14352,A6099,$B$3:B14352,B6099)</f>
        <v>1</v>
      </c>
      <c r="G6099" s="116"/>
    </row>
    <row r="6100" spans="1:7" x14ac:dyDescent="0.2">
      <c r="A6100" s="116">
        <f>IF(ISNUMBER(Tabela2[[#This Row],[CT-e/NFS]])=TRUE,(IF(B6100&gt;30000,4,IF(B6100&lt;1000,"ND",0))),"-")</f>
        <v>4</v>
      </c>
      <c r="B6100" s="116">
        <v>50095</v>
      </c>
      <c r="C6100" s="117">
        <v>45607</v>
      </c>
      <c r="D6100" s="116">
        <v>591.72</v>
      </c>
      <c r="E6100" s="117">
        <v>45611</v>
      </c>
      <c r="F6100" s="116">
        <f>COUNTIFS($A$3:A14353,A6100,$B$3:B14353,B6100)</f>
        <v>1</v>
      </c>
      <c r="G6100" s="116"/>
    </row>
    <row r="6101" spans="1:7" x14ac:dyDescent="0.2">
      <c r="A6101" s="116">
        <f>IF(ISNUMBER(Tabela2[[#This Row],[CT-e/NFS]])=TRUE,(IF(B6101&gt;30000,4,IF(B6101&lt;1000,"ND",0))),"-")</f>
        <v>0</v>
      </c>
      <c r="B6101" s="116">
        <v>22347</v>
      </c>
      <c r="C6101" s="117">
        <v>45607</v>
      </c>
      <c r="D6101" s="116">
        <v>76</v>
      </c>
      <c r="E6101" s="117">
        <v>45611</v>
      </c>
      <c r="F6101" s="116">
        <f>COUNTIFS($A$3:A14354,A6101,$B$3:B14354,B6101)</f>
        <v>1</v>
      </c>
      <c r="G6101" s="116"/>
    </row>
    <row r="6102" spans="1:7" x14ac:dyDescent="0.2">
      <c r="A6102" s="116">
        <f>IF(ISNUMBER(Tabela2[[#This Row],[CT-e/NFS]])=TRUE,(IF(B6102&gt;30000,4,IF(B6102&lt;1000,"ND",0))),"-")</f>
        <v>0</v>
      </c>
      <c r="B6102" s="116">
        <v>22348</v>
      </c>
      <c r="C6102" s="117">
        <v>45607</v>
      </c>
      <c r="D6102" s="116">
        <v>76.8</v>
      </c>
      <c r="E6102" s="117">
        <v>45611</v>
      </c>
      <c r="F6102" s="116">
        <f>COUNTIFS($A$3:A14355,A6102,$B$3:B14355,B6102)</f>
        <v>1</v>
      </c>
      <c r="G6102" s="116"/>
    </row>
    <row r="6103" spans="1:7" x14ac:dyDescent="0.2">
      <c r="A6103" s="116">
        <f>IF(ISNUMBER(Tabela2[[#This Row],[CT-e/NFS]])=TRUE,(IF(B6103&gt;30000,4,IF(B6103&lt;1000,"ND",0))),"-")</f>
        <v>0</v>
      </c>
      <c r="B6103" s="116">
        <v>22346</v>
      </c>
      <c r="C6103" s="117">
        <v>45607</v>
      </c>
      <c r="D6103" s="116">
        <v>416.35</v>
      </c>
      <c r="E6103" s="117">
        <v>45611</v>
      </c>
      <c r="F6103" s="116">
        <f>COUNTIFS($A$3:A14356,A6103,$B$3:B14356,B6103)</f>
        <v>1</v>
      </c>
      <c r="G6103" s="116"/>
    </row>
    <row r="6104" spans="1:7" x14ac:dyDescent="0.2">
      <c r="A6104" s="116">
        <f>IF(ISNUMBER(Tabela2[[#This Row],[CT-e/NFS]])=TRUE,(IF(B6104&gt;30000,4,IF(B6104&lt;1000,"ND",0))),"-")</f>
        <v>0</v>
      </c>
      <c r="B6104" s="116">
        <v>22345</v>
      </c>
      <c r="C6104" s="117">
        <v>45607</v>
      </c>
      <c r="D6104" s="116">
        <v>122.46</v>
      </c>
      <c r="E6104" s="117">
        <v>45611</v>
      </c>
      <c r="F6104" s="116">
        <f>COUNTIFS($A$3:A14357,A6104,$B$3:B14357,B6104)</f>
        <v>1</v>
      </c>
      <c r="G6104" s="116"/>
    </row>
    <row r="6105" spans="1:7" x14ac:dyDescent="0.2">
      <c r="A6105" s="116">
        <f>IF(ISNUMBER(Tabela2[[#This Row],[CT-e/NFS]])=TRUE,(IF(B6105&gt;30000,4,IF(B6105&lt;1000,"ND",0))),"-")</f>
        <v>0</v>
      </c>
      <c r="B6105" s="116">
        <v>22343</v>
      </c>
      <c r="C6105" s="117">
        <v>45607</v>
      </c>
      <c r="D6105" s="116">
        <v>76.34</v>
      </c>
      <c r="E6105" s="117">
        <v>45611</v>
      </c>
      <c r="F6105" s="116">
        <f>COUNTIFS($A$3:A14358,A6105,$B$3:B14358,B6105)</f>
        <v>1</v>
      </c>
      <c r="G6105" s="116"/>
    </row>
    <row r="6106" spans="1:7" x14ac:dyDescent="0.2">
      <c r="A6106" s="116">
        <f>IF(ISNUMBER(Tabela2[[#This Row],[CT-e/NFS]])=TRUE,(IF(B6106&gt;30000,4,IF(B6106&lt;1000,"ND",0))),"-")</f>
        <v>4</v>
      </c>
      <c r="B6106" s="116">
        <v>50071</v>
      </c>
      <c r="C6106" s="117">
        <v>45607</v>
      </c>
      <c r="D6106" s="116">
        <v>2906.31</v>
      </c>
      <c r="E6106" s="117">
        <v>45611</v>
      </c>
      <c r="F6106" s="116">
        <f>COUNTIFS($A$3:A14359,A6106,$B$3:B14359,B6106)</f>
        <v>1</v>
      </c>
      <c r="G6106" s="116"/>
    </row>
    <row r="6107" spans="1:7" x14ac:dyDescent="0.2">
      <c r="A6107" s="116">
        <f>IF(ISNUMBER(Tabela2[[#This Row],[CT-e/NFS]])=TRUE,(IF(B6107&gt;30000,4,IF(B6107&lt;1000,"ND",0))),"-")</f>
        <v>4</v>
      </c>
      <c r="B6107" s="116">
        <v>50112</v>
      </c>
      <c r="C6107" s="117">
        <v>45607</v>
      </c>
      <c r="D6107" s="116">
        <v>916.69</v>
      </c>
      <c r="E6107" s="117">
        <v>45611</v>
      </c>
      <c r="F6107" s="116">
        <f>COUNTIFS($A$3:A14360,A6107,$B$3:B14360,B6107)</f>
        <v>1</v>
      </c>
      <c r="G6107" s="116"/>
    </row>
    <row r="6108" spans="1:7" x14ac:dyDescent="0.2">
      <c r="A6108" s="116">
        <f>IF(ISNUMBER(Tabela2[[#This Row],[CT-e/NFS]])=TRUE,(IF(B6108&gt;30000,4,IF(B6108&lt;1000,"ND",0))),"-")</f>
        <v>4</v>
      </c>
      <c r="B6108" s="116">
        <v>50107</v>
      </c>
      <c r="C6108" s="117">
        <v>45607</v>
      </c>
      <c r="D6108" s="116">
        <v>119.44</v>
      </c>
      <c r="E6108" s="117">
        <v>45611</v>
      </c>
      <c r="F6108" s="116">
        <f>COUNTIFS($A$3:A14361,A6108,$B$3:B14361,B6108)</f>
        <v>1</v>
      </c>
      <c r="G6108" s="116"/>
    </row>
    <row r="6109" spans="1:7" x14ac:dyDescent="0.2">
      <c r="A6109" s="116">
        <f>IF(ISNUMBER(Tabela2[[#This Row],[CT-e/NFS]])=TRUE,(IF(B6109&gt;30000,4,IF(B6109&lt;1000,"ND",0))),"-")</f>
        <v>4</v>
      </c>
      <c r="B6109" s="116">
        <v>50108</v>
      </c>
      <c r="C6109" s="117">
        <v>45607</v>
      </c>
      <c r="D6109" s="116">
        <v>215.02</v>
      </c>
      <c r="E6109" s="117">
        <v>45611</v>
      </c>
      <c r="F6109" s="116">
        <f>COUNTIFS($A$3:A14362,A6109,$B$3:B14362,B6109)</f>
        <v>1</v>
      </c>
      <c r="G6109" s="116"/>
    </row>
    <row r="6110" spans="1:7" x14ac:dyDescent="0.2">
      <c r="A6110" s="116">
        <f>IF(ISNUMBER(Tabela2[[#This Row],[CT-e/NFS]])=TRUE,(IF(B6110&gt;30000,4,IF(B6110&lt;1000,"ND",0))),"-")</f>
        <v>4</v>
      </c>
      <c r="B6110" s="116">
        <v>50113</v>
      </c>
      <c r="C6110" s="117">
        <v>45607</v>
      </c>
      <c r="D6110" s="116">
        <v>221.03</v>
      </c>
      <c r="E6110" s="117">
        <v>45611</v>
      </c>
      <c r="F6110" s="116">
        <f>COUNTIFS($A$3:A14363,A6110,$B$3:B14363,B6110)</f>
        <v>1</v>
      </c>
      <c r="G6110" s="116"/>
    </row>
    <row r="6111" spans="1:7" x14ac:dyDescent="0.2">
      <c r="A6111" s="116">
        <f>IF(ISNUMBER(Tabela2[[#This Row],[CT-e/NFS]])=TRUE,(IF(B6111&gt;30000,4,IF(B6111&lt;1000,"ND",0))),"-")</f>
        <v>0</v>
      </c>
      <c r="B6111" s="116">
        <v>22344</v>
      </c>
      <c r="C6111" s="117">
        <v>45607</v>
      </c>
      <c r="D6111" s="116">
        <v>515.41</v>
      </c>
      <c r="E6111" s="117">
        <v>45611</v>
      </c>
      <c r="F6111" s="116">
        <f>COUNTIFS($A$3:A14364,A6111,$B$3:B14364,B6111)</f>
        <v>1</v>
      </c>
      <c r="G6111" s="116"/>
    </row>
    <row r="6112" spans="1:7" x14ac:dyDescent="0.2">
      <c r="A6112" s="116">
        <f>IF(ISNUMBER(Tabela2[[#This Row],[CT-e/NFS]])=TRUE,(IF(B6112&gt;30000,4,IF(B6112&lt;1000,"ND",0))),"-")</f>
        <v>4</v>
      </c>
      <c r="B6112" s="116">
        <v>50109</v>
      </c>
      <c r="C6112" s="117">
        <v>45607</v>
      </c>
      <c r="D6112" s="116">
        <v>200.49</v>
      </c>
      <c r="E6112" s="117">
        <v>45611</v>
      </c>
      <c r="F6112" s="116">
        <f>COUNTIFS($A$3:A14365,A6112,$B$3:B14365,B6112)</f>
        <v>1</v>
      </c>
      <c r="G6112" s="116"/>
    </row>
    <row r="6113" spans="1:7" x14ac:dyDescent="0.2">
      <c r="A6113" s="116">
        <f>IF(ISNUMBER(Tabela2[[#This Row],[CT-e/NFS]])=TRUE,(IF(B6113&gt;30000,4,IF(B6113&lt;1000,"ND",0))),"-")</f>
        <v>4</v>
      </c>
      <c r="B6113" s="116">
        <v>50117</v>
      </c>
      <c r="C6113" s="117">
        <v>45607</v>
      </c>
      <c r="D6113" s="116">
        <v>62.76</v>
      </c>
      <c r="E6113" s="117">
        <v>45611</v>
      </c>
      <c r="F6113" s="116">
        <f>COUNTIFS($A$3:A14366,A6113,$B$3:B14366,B6113)</f>
        <v>1</v>
      </c>
      <c r="G6113" s="116"/>
    </row>
    <row r="6114" spans="1:7" x14ac:dyDescent="0.2">
      <c r="A6114" s="116">
        <f>IF(ISNUMBER(Tabela2[[#This Row],[CT-e/NFS]])=TRUE,(IF(B6114&gt;30000,4,IF(B6114&lt;1000,"ND",0))),"-")</f>
        <v>4</v>
      </c>
      <c r="B6114" s="116">
        <v>50096</v>
      </c>
      <c r="C6114" s="117">
        <v>45607</v>
      </c>
      <c r="D6114" s="116">
        <v>242.03</v>
      </c>
      <c r="E6114" s="117">
        <v>45611</v>
      </c>
      <c r="F6114" s="116">
        <f>COUNTIFS($A$3:A14368,A6114,$B$3:B14368,B6114)</f>
        <v>1</v>
      </c>
      <c r="G6114" s="116"/>
    </row>
    <row r="6115" spans="1:7" x14ac:dyDescent="0.2">
      <c r="A6115" s="116">
        <f>IF(ISNUMBER(Tabela2[[#This Row],[CT-e/NFS]])=TRUE,(IF(B6115&gt;30000,4,IF(B6115&lt;1000,"ND",0))),"-")</f>
        <v>4</v>
      </c>
      <c r="B6115" s="116">
        <v>50103</v>
      </c>
      <c r="C6115" s="117">
        <v>45607</v>
      </c>
      <c r="D6115" s="116">
        <v>125.16</v>
      </c>
      <c r="E6115" s="117">
        <v>45611</v>
      </c>
      <c r="F6115" s="116">
        <f>COUNTIFS($A$3:A14369,A6115,$B$3:B14369,B6115)</f>
        <v>1</v>
      </c>
      <c r="G6115" s="116"/>
    </row>
    <row r="6116" spans="1:7" x14ac:dyDescent="0.2">
      <c r="A6116" s="116">
        <f>IF(ISNUMBER(Tabela2[[#This Row],[CT-e/NFS]])=TRUE,(IF(B6116&gt;30000,4,IF(B6116&lt;1000,"ND",0))),"-")</f>
        <v>4</v>
      </c>
      <c r="B6116" s="116">
        <v>50097</v>
      </c>
      <c r="C6116" s="117">
        <v>45607</v>
      </c>
      <c r="D6116" s="116">
        <v>123.13</v>
      </c>
      <c r="E6116" s="117">
        <v>45611</v>
      </c>
      <c r="F6116" s="116">
        <f>COUNTIFS($A$3:A14370,A6116,$B$3:B14370,B6116)</f>
        <v>1</v>
      </c>
      <c r="G6116" s="116"/>
    </row>
    <row r="6117" spans="1:7" x14ac:dyDescent="0.2">
      <c r="A6117" s="116">
        <f>IF(ISNUMBER(Tabela2[[#This Row],[CT-e/NFS]])=TRUE,(IF(B6117&gt;30000,4,IF(B6117&lt;1000,"ND",0))),"-")</f>
        <v>4</v>
      </c>
      <c r="B6117" s="116">
        <v>50102</v>
      </c>
      <c r="C6117" s="117">
        <v>45607</v>
      </c>
      <c r="D6117" s="116">
        <v>571.44000000000005</v>
      </c>
      <c r="E6117" s="117">
        <v>45611</v>
      </c>
      <c r="F6117" s="116">
        <f>COUNTIFS($A$3:A14371,A6117,$B$3:B14371,B6117)</f>
        <v>1</v>
      </c>
      <c r="G6117" s="116"/>
    </row>
    <row r="6118" spans="1:7" x14ac:dyDescent="0.2">
      <c r="A6118" s="116">
        <f>IF(ISNUMBER(Tabela2[[#This Row],[CT-e/NFS]])=TRUE,(IF(B6118&gt;30000,4,IF(B6118&lt;1000,"ND",0))),"-")</f>
        <v>4</v>
      </c>
      <c r="B6118" s="116">
        <v>50114</v>
      </c>
      <c r="C6118" s="117">
        <v>45607</v>
      </c>
      <c r="D6118" s="116">
        <v>240.63</v>
      </c>
      <c r="E6118" s="117">
        <v>45611</v>
      </c>
      <c r="F6118" s="116">
        <f>COUNTIFS($A$3:A14372,A6118,$B$3:B14372,B6118)</f>
        <v>1</v>
      </c>
      <c r="G6118" s="116"/>
    </row>
    <row r="6119" spans="1:7" x14ac:dyDescent="0.2">
      <c r="A6119" s="116">
        <f>IF(ISNUMBER(Tabela2[[#This Row],[CT-e/NFS]])=TRUE,(IF(B6119&gt;30000,4,IF(B6119&lt;1000,"ND",0))),"-")</f>
        <v>4</v>
      </c>
      <c r="B6119" s="116">
        <v>50101</v>
      </c>
      <c r="C6119" s="117">
        <v>45607</v>
      </c>
      <c r="D6119" s="116">
        <v>124.39</v>
      </c>
      <c r="E6119" s="117">
        <v>45611</v>
      </c>
      <c r="F6119" s="116">
        <f>COUNTIFS($A$3:A14373,A6119,$B$3:B14373,B6119)</f>
        <v>1</v>
      </c>
      <c r="G6119" s="116"/>
    </row>
    <row r="6120" spans="1:7" x14ac:dyDescent="0.2">
      <c r="A6120" s="116">
        <f>IF(ISNUMBER(Tabela2[[#This Row],[CT-e/NFS]])=TRUE,(IF(B6120&gt;30000,4,IF(B6120&lt;1000,"ND",0))),"-")</f>
        <v>4</v>
      </c>
      <c r="B6120" s="116">
        <v>50099</v>
      </c>
      <c r="C6120" s="117">
        <v>45607</v>
      </c>
      <c r="D6120" s="116">
        <v>114.19</v>
      </c>
      <c r="E6120" s="117">
        <v>45611</v>
      </c>
      <c r="F6120" s="116">
        <f>COUNTIFS($A$3:A14375,A6120,$B$3:B14375,B6120)</f>
        <v>1</v>
      </c>
      <c r="G6120" s="116"/>
    </row>
    <row r="6121" spans="1:7" x14ac:dyDescent="0.2">
      <c r="A6121" s="116">
        <f>IF(ISNUMBER(Tabela2[[#This Row],[CT-e/NFS]])=TRUE,(IF(B6121&gt;30000,4,IF(B6121&lt;1000,"ND",0))),"-")</f>
        <v>4</v>
      </c>
      <c r="B6121" s="116">
        <v>50100</v>
      </c>
      <c r="C6121" s="117">
        <v>45607</v>
      </c>
      <c r="D6121" s="116">
        <v>124.15</v>
      </c>
      <c r="E6121" s="117">
        <v>45611</v>
      </c>
      <c r="F6121" s="116">
        <f>COUNTIFS($A$3:A14376,A6121,$B$3:B14376,B6121)</f>
        <v>1</v>
      </c>
      <c r="G6121" s="116"/>
    </row>
    <row r="6122" spans="1:7" x14ac:dyDescent="0.2">
      <c r="A6122" s="116">
        <f>IF(ISNUMBER(Tabela2[[#This Row],[CT-e/NFS]])=TRUE,(IF(B6122&gt;30000,4,IF(B6122&lt;1000,"ND",0))),"-")</f>
        <v>4</v>
      </c>
      <c r="B6122" s="116">
        <v>50106</v>
      </c>
      <c r="C6122" s="117">
        <v>45607</v>
      </c>
      <c r="D6122" s="116">
        <v>2015.88</v>
      </c>
      <c r="E6122" s="117">
        <v>45611</v>
      </c>
      <c r="F6122" s="116">
        <f>COUNTIFS($A$3:A14377,A6122,$B$3:B14377,B6122)</f>
        <v>1</v>
      </c>
      <c r="G6122" s="116"/>
    </row>
    <row r="6123" spans="1:7" x14ac:dyDescent="0.2">
      <c r="A6123" s="116">
        <f>IF(ISNUMBER(Tabela2[[#This Row],[CT-e/NFS]])=TRUE,(IF(B6123&gt;30000,4,IF(B6123&lt;1000,"ND",0))),"-")</f>
        <v>4</v>
      </c>
      <c r="B6123" s="116">
        <v>50116</v>
      </c>
      <c r="C6123" s="117">
        <v>45607</v>
      </c>
      <c r="D6123" s="116">
        <v>609.98</v>
      </c>
      <c r="E6123" s="117">
        <v>45611</v>
      </c>
      <c r="F6123" s="116">
        <f>COUNTIFS($A$3:A14378,A6123,$B$3:B14378,B6123)</f>
        <v>1</v>
      </c>
      <c r="G6123" s="116"/>
    </row>
    <row r="6124" spans="1:7" x14ac:dyDescent="0.2">
      <c r="A6124" s="116">
        <f>IF(ISNUMBER(Tabela2[[#This Row],[CT-e/NFS]])=TRUE,(IF(B6124&gt;30000,4,IF(B6124&lt;1000,"ND",0))),"-")</f>
        <v>4</v>
      </c>
      <c r="B6124" s="116">
        <v>50089</v>
      </c>
      <c r="C6124" s="117">
        <v>45607</v>
      </c>
      <c r="D6124" s="116">
        <v>122.73</v>
      </c>
      <c r="E6124" s="117">
        <v>45611</v>
      </c>
      <c r="F6124" s="116">
        <f>COUNTIFS($A$3:A14379,A6124,$B$3:B14379,B6124)</f>
        <v>1</v>
      </c>
      <c r="G6124" s="116"/>
    </row>
    <row r="6125" spans="1:7" x14ac:dyDescent="0.2">
      <c r="A6125" s="116">
        <f>IF(ISNUMBER(Tabela2[[#This Row],[CT-e/NFS]])=TRUE,(IF(B6125&gt;30000,4,IF(B6125&lt;1000,"ND",0))),"-")</f>
        <v>4</v>
      </c>
      <c r="B6125" s="116">
        <v>50091</v>
      </c>
      <c r="C6125" s="117">
        <v>45607</v>
      </c>
      <c r="D6125" s="116">
        <v>61.36</v>
      </c>
      <c r="E6125" s="117">
        <v>45611</v>
      </c>
      <c r="F6125" s="116">
        <f>COUNTIFS($A$3:A14380,A6125,$B$3:B14380,B6125)</f>
        <v>1</v>
      </c>
      <c r="G6125" s="116"/>
    </row>
    <row r="6126" spans="1:7" x14ac:dyDescent="0.2">
      <c r="A6126" s="116">
        <f>IF(ISNUMBER(Tabela2[[#This Row],[CT-e/NFS]])=TRUE,(IF(B6126&gt;30000,4,IF(B6126&lt;1000,"ND",0))),"-")</f>
        <v>4</v>
      </c>
      <c r="B6126" s="116">
        <v>50092</v>
      </c>
      <c r="C6126" s="117">
        <v>45607</v>
      </c>
      <c r="D6126" s="116">
        <v>110.45</v>
      </c>
      <c r="E6126" s="117">
        <v>45611</v>
      </c>
      <c r="F6126" s="116">
        <f>COUNTIFS($A$3:A14381,A6126,$B$3:B14381,B6126)</f>
        <v>1</v>
      </c>
      <c r="G6126" s="116"/>
    </row>
    <row r="6127" spans="1:7" x14ac:dyDescent="0.2">
      <c r="A6127" s="116">
        <f>IF(ISNUMBER(Tabela2[[#This Row],[CT-e/NFS]])=TRUE,(IF(B6127&gt;30000,4,IF(B6127&lt;1000,"ND",0))),"-")</f>
        <v>0</v>
      </c>
      <c r="B6127" s="116">
        <v>22351</v>
      </c>
      <c r="C6127" s="117">
        <v>45607</v>
      </c>
      <c r="D6127" s="116">
        <v>186.63</v>
      </c>
      <c r="E6127" s="117">
        <v>45611</v>
      </c>
      <c r="F6127" s="116">
        <f>COUNTIFS($A$3:A14382,A6127,$B$3:B14382,B6127)</f>
        <v>1</v>
      </c>
      <c r="G6127" s="116"/>
    </row>
    <row r="6128" spans="1:7" x14ac:dyDescent="0.2">
      <c r="A6128" s="116">
        <f>IF(ISNUMBER(Tabela2[[#This Row],[CT-e/NFS]])=TRUE,(IF(B6128&gt;30000,4,IF(B6128&lt;1000,"ND",0))),"-")</f>
        <v>4</v>
      </c>
      <c r="B6128" s="116">
        <v>50105</v>
      </c>
      <c r="C6128" s="117">
        <v>45607</v>
      </c>
      <c r="D6128" s="116">
        <v>2015.88</v>
      </c>
      <c r="E6128" s="117">
        <v>45611</v>
      </c>
      <c r="F6128" s="116">
        <f>COUNTIFS($A$3:A14383,A6128,$B$3:B14383,B6128)</f>
        <v>1</v>
      </c>
      <c r="G6128" s="116"/>
    </row>
    <row r="6129" spans="1:7" x14ac:dyDescent="0.2">
      <c r="A6129" s="116">
        <f>IF(ISNUMBER(Tabela2[[#This Row],[CT-e/NFS]])=TRUE,(IF(B6129&gt;30000,4,IF(B6129&lt;1000,"ND",0))),"-")</f>
        <v>4</v>
      </c>
      <c r="B6129" s="116">
        <v>50088</v>
      </c>
      <c r="C6129" s="117">
        <v>45607</v>
      </c>
      <c r="D6129" s="116">
        <v>122.73</v>
      </c>
      <c r="E6129" s="117">
        <v>45611</v>
      </c>
      <c r="F6129" s="116">
        <f>COUNTIFS($A$3:A14384,A6129,$B$3:B14384,B6129)</f>
        <v>1</v>
      </c>
      <c r="G6129" s="116"/>
    </row>
    <row r="6130" spans="1:7" x14ac:dyDescent="0.2">
      <c r="A6130" s="116">
        <f>IF(ISNUMBER(Tabela2[[#This Row],[CT-e/NFS]])=TRUE,(IF(B6130&gt;30000,4,IF(B6130&lt;1000,"ND",0))),"-")</f>
        <v>4</v>
      </c>
      <c r="B6130" s="116">
        <v>50093</v>
      </c>
      <c r="C6130" s="117">
        <v>45607</v>
      </c>
      <c r="D6130" s="116">
        <v>61.36</v>
      </c>
      <c r="E6130" s="117">
        <v>45611</v>
      </c>
      <c r="F6130" s="116">
        <f>COUNTIFS($A$3:A14385,A6130,$B$3:B14385,B6130)</f>
        <v>1</v>
      </c>
      <c r="G6130" s="116"/>
    </row>
    <row r="6131" spans="1:7" x14ac:dyDescent="0.2">
      <c r="A6131" s="116">
        <f>IF(ISNUMBER(Tabela2[[#This Row],[CT-e/NFS]])=TRUE,(IF(B6131&gt;30000,4,IF(B6131&lt;1000,"ND",0))),"-")</f>
        <v>4</v>
      </c>
      <c r="B6131" s="116">
        <v>50094</v>
      </c>
      <c r="C6131" s="117">
        <v>45607</v>
      </c>
      <c r="D6131" s="116">
        <v>110.45</v>
      </c>
      <c r="E6131" s="117">
        <v>45611</v>
      </c>
      <c r="F6131" s="116">
        <f>COUNTIFS($A$3:A14386,A6131,$B$3:B14386,B6131)</f>
        <v>1</v>
      </c>
      <c r="G6131" s="116"/>
    </row>
    <row r="6132" spans="1:7" x14ac:dyDescent="0.2">
      <c r="A6132" s="116">
        <f>IF(ISNUMBER(Tabela2[[#This Row],[CT-e/NFS]])=TRUE,(IF(B6132&gt;30000,4,IF(B6132&lt;1000,"ND",0))),"-")</f>
        <v>4</v>
      </c>
      <c r="B6132" s="116">
        <v>50129</v>
      </c>
      <c r="C6132" s="117">
        <v>45607</v>
      </c>
      <c r="D6132" s="116">
        <v>1088.07</v>
      </c>
      <c r="E6132" s="117">
        <v>45611</v>
      </c>
      <c r="F6132" s="116">
        <f>COUNTIFS($A$3:A14387,A6132,$B$3:B14387,B6132)</f>
        <v>1</v>
      </c>
      <c r="G6132" s="116"/>
    </row>
    <row r="6133" spans="1:7" x14ac:dyDescent="0.2">
      <c r="A6133" s="116">
        <f>IF(ISNUMBER(Tabela2[[#This Row],[CT-e/NFS]])=TRUE,(IF(B6133&gt;30000,4,IF(B6133&lt;1000,"ND",0))),"-")</f>
        <v>4</v>
      </c>
      <c r="B6133" s="116">
        <v>50134</v>
      </c>
      <c r="C6133" s="117">
        <v>45607</v>
      </c>
      <c r="D6133" s="116">
        <v>216.76</v>
      </c>
      <c r="E6133" s="117">
        <v>45611</v>
      </c>
      <c r="F6133" s="116">
        <f>COUNTIFS($A$3:A14388,A6133,$B$3:B14388,B6133)</f>
        <v>1</v>
      </c>
      <c r="G6133" s="116"/>
    </row>
    <row r="6134" spans="1:7" x14ac:dyDescent="0.2">
      <c r="A6134" s="116">
        <f>IF(ISNUMBER(Tabela2[[#This Row],[CT-e/NFS]])=TRUE,(IF(B6134&gt;30000,4,IF(B6134&lt;1000,"ND",0))),"-")</f>
        <v>4</v>
      </c>
      <c r="B6134" s="116">
        <v>50133</v>
      </c>
      <c r="C6134" s="117">
        <v>45607</v>
      </c>
      <c r="D6134" s="116">
        <v>120.31</v>
      </c>
      <c r="E6134" s="117">
        <v>45611</v>
      </c>
      <c r="F6134" s="116">
        <f>COUNTIFS($A$3:A14389,A6134,$B$3:B14389,B6134)</f>
        <v>1</v>
      </c>
      <c r="G6134" s="116"/>
    </row>
    <row r="6135" spans="1:7" x14ac:dyDescent="0.2">
      <c r="A6135" s="116">
        <f>IF(ISNUMBER(Tabela2[[#This Row],[CT-e/NFS]])=TRUE,(IF(B6135&gt;30000,4,IF(B6135&lt;1000,"ND",0))),"-")</f>
        <v>4</v>
      </c>
      <c r="B6135" s="116">
        <v>50124</v>
      </c>
      <c r="C6135" s="117">
        <v>45607</v>
      </c>
      <c r="D6135" s="116">
        <v>413.48</v>
      </c>
      <c r="E6135" s="117">
        <v>45611</v>
      </c>
      <c r="F6135" s="116">
        <f>COUNTIFS($A$3:A14390,A6135,$B$3:B14390,B6135)</f>
        <v>1</v>
      </c>
      <c r="G6135" s="116"/>
    </row>
    <row r="6136" spans="1:7" x14ac:dyDescent="0.2">
      <c r="A6136" s="116">
        <f>IF(ISNUMBER(Tabela2[[#This Row],[CT-e/NFS]])=TRUE,(IF(B6136&gt;30000,4,IF(B6136&lt;1000,"ND",0))),"-")</f>
        <v>4</v>
      </c>
      <c r="B6136" s="116">
        <v>50122</v>
      </c>
      <c r="C6136" s="117">
        <v>45607</v>
      </c>
      <c r="D6136" s="116">
        <v>223.65</v>
      </c>
      <c r="E6136" s="117">
        <v>45611</v>
      </c>
      <c r="F6136" s="116">
        <f>COUNTIFS($A$3:A14391,A6136,$B$3:B14391,B6136)</f>
        <v>1</v>
      </c>
      <c r="G6136" s="116"/>
    </row>
    <row r="6137" spans="1:7" x14ac:dyDescent="0.2">
      <c r="A6137" s="116">
        <f>IF(ISNUMBER(Tabela2[[#This Row],[CT-e/NFS]])=TRUE,(IF(B6137&gt;30000,4,IF(B6137&lt;1000,"ND",0))),"-")</f>
        <v>4</v>
      </c>
      <c r="B6137" s="116">
        <v>50132</v>
      </c>
      <c r="C6137" s="117">
        <v>45607</v>
      </c>
      <c r="D6137" s="116">
        <v>125.67</v>
      </c>
      <c r="E6137" s="117">
        <v>45611</v>
      </c>
      <c r="F6137" s="116">
        <f>COUNTIFS($A$3:A14392,A6137,$B$3:B14392,B6137)</f>
        <v>1</v>
      </c>
      <c r="G6137" s="116"/>
    </row>
    <row r="6138" spans="1:7" x14ac:dyDescent="0.2">
      <c r="A6138" s="116">
        <f>IF(ISNUMBER(Tabela2[[#This Row],[CT-e/NFS]])=TRUE,(IF(B6138&gt;30000,4,IF(B6138&lt;1000,"ND",0))),"-")</f>
        <v>4</v>
      </c>
      <c r="B6138" s="116">
        <v>50123</v>
      </c>
      <c r="C6138" s="117">
        <v>45607</v>
      </c>
      <c r="D6138" s="116">
        <v>248.35</v>
      </c>
      <c r="E6138" s="117">
        <v>45611</v>
      </c>
      <c r="F6138" s="116">
        <f>COUNTIFS($A$3:A14393,A6138,$B$3:B14393,B6138)</f>
        <v>1</v>
      </c>
      <c r="G6138" s="116"/>
    </row>
    <row r="6139" spans="1:7" x14ac:dyDescent="0.2">
      <c r="A6139" s="116">
        <f>IF(ISNUMBER(Tabela2[[#This Row],[CT-e/NFS]])=TRUE,(IF(B6139&gt;30000,4,IF(B6139&lt;1000,"ND",0))),"-")</f>
        <v>4</v>
      </c>
      <c r="B6139" s="116">
        <v>50121</v>
      </c>
      <c r="C6139" s="117">
        <v>45607</v>
      </c>
      <c r="D6139" s="116">
        <v>252.25</v>
      </c>
      <c r="E6139" s="117">
        <v>45611</v>
      </c>
      <c r="F6139" s="116">
        <f>COUNTIFS($A$3:A14394,A6139,$B$3:B14394,B6139)</f>
        <v>1</v>
      </c>
      <c r="G6139" s="116"/>
    </row>
    <row r="6140" spans="1:7" x14ac:dyDescent="0.2">
      <c r="A6140" s="116">
        <f>IF(ISNUMBER(Tabela2[[#This Row],[CT-e/NFS]])=TRUE,(IF(B6140&gt;30000,4,IF(B6140&lt;1000,"ND",0))),"-")</f>
        <v>4</v>
      </c>
      <c r="B6140" s="116">
        <v>50126</v>
      </c>
      <c r="C6140" s="117">
        <v>45607</v>
      </c>
      <c r="D6140" s="116">
        <v>240.26</v>
      </c>
      <c r="E6140" s="117">
        <v>45611</v>
      </c>
      <c r="F6140" s="116">
        <f>COUNTIFS($A$3:A14395,A6140,$B$3:B14395,B6140)</f>
        <v>1</v>
      </c>
      <c r="G6140" s="116"/>
    </row>
    <row r="6141" spans="1:7" x14ac:dyDescent="0.2">
      <c r="A6141" s="116">
        <f>IF(ISNUMBER(Tabela2[[#This Row],[CT-e/NFS]])=TRUE,(IF(B6141&gt;30000,4,IF(B6141&lt;1000,"ND",0))),"-")</f>
        <v>4</v>
      </c>
      <c r="B6141" s="116">
        <v>50119</v>
      </c>
      <c r="C6141" s="117">
        <v>45607</v>
      </c>
      <c r="D6141" s="116">
        <v>558.23</v>
      </c>
      <c r="E6141" s="117">
        <v>45611</v>
      </c>
      <c r="F6141" s="116">
        <f>COUNTIFS($A$3:A14396,A6141,$B$3:B14396,B6141)</f>
        <v>1</v>
      </c>
      <c r="G6141" s="116"/>
    </row>
    <row r="6142" spans="1:7" x14ac:dyDescent="0.2">
      <c r="A6142" s="116">
        <f>IF(ISNUMBER(Tabela2[[#This Row],[CT-e/NFS]])=TRUE,(IF(B6142&gt;30000,4,IF(B6142&lt;1000,"ND",0))),"-")</f>
        <v>4</v>
      </c>
      <c r="B6142" s="116">
        <v>50131</v>
      </c>
      <c r="C6142" s="117">
        <v>45607</v>
      </c>
      <c r="D6142" s="116">
        <v>124.03</v>
      </c>
      <c r="E6142" s="117">
        <v>45611</v>
      </c>
      <c r="F6142" s="116">
        <f>COUNTIFS($A$3:A14397,A6142,$B$3:B14397,B6142)</f>
        <v>1</v>
      </c>
      <c r="G6142" s="116"/>
    </row>
    <row r="6143" spans="1:7" x14ac:dyDescent="0.2">
      <c r="A6143" s="116">
        <f>IF(ISNUMBER(Tabela2[[#This Row],[CT-e/NFS]])=TRUE,(IF(B6143&gt;30000,4,IF(B6143&lt;1000,"ND",0))),"-")</f>
        <v>4</v>
      </c>
      <c r="B6143" s="116">
        <v>50130</v>
      </c>
      <c r="C6143" s="117">
        <v>45607</v>
      </c>
      <c r="D6143" s="116">
        <v>124.89</v>
      </c>
      <c r="E6143" s="117">
        <v>45611</v>
      </c>
      <c r="F6143" s="116">
        <f>COUNTIFS($A$3:A14398,A6143,$B$3:B14398,B6143)</f>
        <v>1</v>
      </c>
      <c r="G6143" s="116"/>
    </row>
    <row r="6144" spans="1:7" x14ac:dyDescent="0.2">
      <c r="A6144" s="116">
        <f>IF(ISNUMBER(Tabela2[[#This Row],[CT-e/NFS]])=TRUE,(IF(B6144&gt;30000,4,IF(B6144&lt;1000,"ND",0))),"-")</f>
        <v>4</v>
      </c>
      <c r="B6144" s="116">
        <v>50115</v>
      </c>
      <c r="C6144" s="117">
        <v>45607</v>
      </c>
      <c r="D6144" s="116">
        <v>239.15</v>
      </c>
      <c r="E6144" s="117">
        <v>45611</v>
      </c>
      <c r="F6144" s="116">
        <f>COUNTIFS($A$3:A14399,A6144,$B$3:B14399,B6144)</f>
        <v>1</v>
      </c>
      <c r="G6144" s="116"/>
    </row>
    <row r="6145" spans="1:7" x14ac:dyDescent="0.2">
      <c r="A6145" s="116">
        <f>IF(ISNUMBER(Tabela2[[#This Row],[CT-e/NFS]])=TRUE,(IF(B6145&gt;30000,4,IF(B6145&lt;1000,"ND",0))),"-")</f>
        <v>4</v>
      </c>
      <c r="B6145" s="116">
        <v>50128</v>
      </c>
      <c r="C6145" s="117">
        <v>45607</v>
      </c>
      <c r="D6145" s="116">
        <v>122.92</v>
      </c>
      <c r="E6145" s="117">
        <v>45611</v>
      </c>
      <c r="F6145" s="116">
        <f>COUNTIFS($A$3:A14400,A6145,$B$3:B14400,B6145)</f>
        <v>1</v>
      </c>
      <c r="G6145" s="116"/>
    </row>
    <row r="6146" spans="1:7" x14ac:dyDescent="0.2">
      <c r="A6146" s="116">
        <f>IF(ISNUMBER(Tabela2[[#This Row],[CT-e/NFS]])=TRUE,(IF(B6146&gt;30000,4,IF(B6146&lt;1000,"ND",0))),"-")</f>
        <v>4</v>
      </c>
      <c r="B6146" s="116">
        <v>50125</v>
      </c>
      <c r="C6146" s="117">
        <v>45607</v>
      </c>
      <c r="D6146" s="116">
        <v>131.9</v>
      </c>
      <c r="E6146" s="117">
        <v>45611</v>
      </c>
      <c r="F6146" s="116">
        <f>COUNTIFS($A$3:A14401,A6146,$B$3:B14401,B6146)</f>
        <v>1</v>
      </c>
      <c r="G6146" s="116"/>
    </row>
    <row r="6147" spans="1:7" x14ac:dyDescent="0.2">
      <c r="A6147" s="116">
        <f>IF(ISNUMBER(Tabela2[[#This Row],[CT-e/NFS]])=TRUE,(IF(B6147&gt;30000,4,IF(B6147&lt;1000,"ND",0))),"-")</f>
        <v>4</v>
      </c>
      <c r="B6147" s="116">
        <v>50120</v>
      </c>
      <c r="C6147" s="117">
        <v>45607</v>
      </c>
      <c r="D6147" s="116">
        <v>454.19</v>
      </c>
      <c r="E6147" s="117">
        <v>45611</v>
      </c>
      <c r="F6147" s="116">
        <f>COUNTIFS($A$3:A14402,A6147,$B$3:B14402,B6147)</f>
        <v>1</v>
      </c>
      <c r="G6147" s="116"/>
    </row>
    <row r="6148" spans="1:7" x14ac:dyDescent="0.2">
      <c r="A6148" s="116">
        <f>IF(ISNUMBER(Tabela2[[#This Row],[CT-e/NFS]])=TRUE,(IF(B6148&gt;30000,4,IF(B6148&lt;1000,"ND",0))),"-")</f>
        <v>4</v>
      </c>
      <c r="B6148" s="116">
        <v>50110</v>
      </c>
      <c r="C6148" s="117">
        <v>45607</v>
      </c>
      <c r="D6148" s="116">
        <v>362.14</v>
      </c>
      <c r="E6148" s="117">
        <v>45611</v>
      </c>
      <c r="F6148" s="116">
        <f>COUNTIFS($A$3:A14405,A6148,$B$3:B14405,B6148)</f>
        <v>1</v>
      </c>
      <c r="G6148" s="116"/>
    </row>
    <row r="6149" spans="1:7" x14ac:dyDescent="0.2">
      <c r="A6149" s="116">
        <f>IF(ISNUMBER(Tabela2[[#This Row],[CT-e/NFS]])=TRUE,(IF(B6149&gt;30000,4,IF(B6149&lt;1000,"ND",0))),"-")</f>
        <v>0</v>
      </c>
      <c r="B6149" s="116">
        <v>22354</v>
      </c>
      <c r="C6149" s="117">
        <v>45607</v>
      </c>
      <c r="D6149" s="116">
        <v>589.79999999999995</v>
      </c>
      <c r="E6149" s="117">
        <v>45611</v>
      </c>
      <c r="F6149" s="116">
        <f>COUNTIFS($A$3:A14406,A6149,$B$3:B14406,B6149)</f>
        <v>1</v>
      </c>
      <c r="G6149" s="116"/>
    </row>
    <row r="6150" spans="1:7" x14ac:dyDescent="0.2">
      <c r="A6150" s="116">
        <f>IF(ISNUMBER(Tabela2[[#This Row],[CT-e/NFS]])=TRUE,(IF(B6150&gt;30000,4,IF(B6150&lt;1000,"ND",0))),"-")</f>
        <v>0</v>
      </c>
      <c r="B6150" s="116">
        <v>22355</v>
      </c>
      <c r="C6150" s="117">
        <v>45607</v>
      </c>
      <c r="D6150" s="116">
        <v>75.7</v>
      </c>
      <c r="E6150" s="117">
        <v>45611</v>
      </c>
      <c r="F6150" s="116">
        <f>COUNTIFS($A$3:A14407,A6150,$B$3:B14407,B6150)</f>
        <v>1</v>
      </c>
      <c r="G6150" s="116"/>
    </row>
    <row r="6151" spans="1:7" x14ac:dyDescent="0.2">
      <c r="A6151" s="116">
        <f>IF(ISNUMBER(Tabela2[[#This Row],[CT-e/NFS]])=TRUE,(IF(B6151&gt;30000,4,IF(B6151&lt;1000,"ND",0))),"-")</f>
        <v>0</v>
      </c>
      <c r="B6151" s="116">
        <v>22356</v>
      </c>
      <c r="C6151" s="117">
        <v>45607</v>
      </c>
      <c r="D6151" s="116">
        <v>75.709999999999994</v>
      </c>
      <c r="E6151" s="117">
        <v>45611</v>
      </c>
      <c r="F6151" s="116">
        <f>COUNTIFS($A$3:A14408,A6151,$B$3:B14408,B6151)</f>
        <v>1</v>
      </c>
      <c r="G6151" s="116"/>
    </row>
    <row r="6152" spans="1:7" x14ac:dyDescent="0.2">
      <c r="A6152" s="116">
        <f>IF(ISNUMBER(Tabela2[[#This Row],[CT-e/NFS]])=TRUE,(IF(B6152&gt;30000,4,IF(B6152&lt;1000,"ND",0))),"-")</f>
        <v>0</v>
      </c>
      <c r="B6152" s="116">
        <v>22358</v>
      </c>
      <c r="C6152" s="117">
        <v>45607</v>
      </c>
      <c r="D6152" s="116">
        <v>527.15</v>
      </c>
      <c r="E6152" s="117">
        <v>45611</v>
      </c>
      <c r="F6152" s="116">
        <f>COUNTIFS($A$3:A14409,A6152,$B$3:B14409,B6152)</f>
        <v>1</v>
      </c>
      <c r="G6152" s="116"/>
    </row>
    <row r="6153" spans="1:7" x14ac:dyDescent="0.2">
      <c r="A6153" s="116">
        <f>IF(ISNUMBER(Tabela2[[#This Row],[CT-e/NFS]])=TRUE,(IF(B6153&gt;30000,4,IF(B6153&lt;1000,"ND",0))),"-")</f>
        <v>0</v>
      </c>
      <c r="B6153" s="116">
        <v>22357</v>
      </c>
      <c r="C6153" s="117">
        <v>45607</v>
      </c>
      <c r="D6153" s="116">
        <v>597.04</v>
      </c>
      <c r="E6153" s="117">
        <v>45611</v>
      </c>
      <c r="F6153" s="116">
        <f>COUNTIFS($A$3:A14410,A6153,$B$3:B14410,B6153)</f>
        <v>1</v>
      </c>
      <c r="G6153" s="116"/>
    </row>
    <row r="6154" spans="1:7" x14ac:dyDescent="0.2">
      <c r="A6154" s="116">
        <f>IF(ISNUMBER(Tabela2[[#This Row],[CT-e/NFS]])=TRUE,(IF(B6154&gt;30000,4,IF(B6154&lt;1000,"ND",0))),"-")</f>
        <v>4</v>
      </c>
      <c r="B6154" s="116">
        <v>50104</v>
      </c>
      <c r="C6154" s="117">
        <v>45607</v>
      </c>
      <c r="D6154" s="116">
        <v>123.13</v>
      </c>
      <c r="E6154" s="117">
        <v>45611</v>
      </c>
      <c r="F6154" s="116">
        <f>COUNTIFS($A$3:A14411,A6154,$B$3:B14411,B6154)</f>
        <v>1</v>
      </c>
      <c r="G6154" s="116"/>
    </row>
    <row r="6155" spans="1:7" x14ac:dyDescent="0.2">
      <c r="A6155" s="116">
        <f>IF(ISNUMBER(Tabela2[[#This Row],[CT-e/NFS]])=TRUE,(IF(B6155&gt;30000,4,IF(B6155&lt;1000,"ND",0))),"-")</f>
        <v>0</v>
      </c>
      <c r="B6155" s="116">
        <v>22283</v>
      </c>
      <c r="C6155" s="117">
        <v>45607</v>
      </c>
      <c r="D6155" s="116">
        <v>38.159999999999997</v>
      </c>
      <c r="E6155" s="117">
        <v>45611</v>
      </c>
      <c r="F6155" s="116">
        <f>COUNTIFS($A$3:A14412,A6155,$B$3:B14412,B6155)</f>
        <v>1</v>
      </c>
      <c r="G6155" s="116"/>
    </row>
    <row r="6156" spans="1:7" x14ac:dyDescent="0.2">
      <c r="A6156" s="116">
        <f>IF(ISNUMBER(Tabela2[[#This Row],[CT-e/NFS]])=TRUE,(IF(B6156&gt;30000,4,IF(B6156&lt;1000,"ND",0))),"-")</f>
        <v>0</v>
      </c>
      <c r="B6156" s="116">
        <v>22284</v>
      </c>
      <c r="C6156" s="117">
        <v>45607</v>
      </c>
      <c r="D6156" s="116">
        <v>68.77</v>
      </c>
      <c r="E6156" s="117">
        <v>45611</v>
      </c>
      <c r="F6156" s="116">
        <f>COUNTIFS($A$3:A14413,A6156,$B$3:B14413,B6156)</f>
        <v>1</v>
      </c>
      <c r="G6156" s="116"/>
    </row>
    <row r="6157" spans="1:7" x14ac:dyDescent="0.2">
      <c r="A6157" s="116">
        <f>IF(ISNUMBER(Tabela2[[#This Row],[CT-e/NFS]])=TRUE,(IF(B6157&gt;30000,4,IF(B6157&lt;1000,"ND",0))),"-")</f>
        <v>0</v>
      </c>
      <c r="B6157" s="116">
        <v>22280</v>
      </c>
      <c r="C6157" s="117">
        <v>45607</v>
      </c>
      <c r="D6157" s="116">
        <v>38.159999999999997</v>
      </c>
      <c r="E6157" s="117">
        <v>45611</v>
      </c>
      <c r="F6157" s="116">
        <f>COUNTIFS($A$3:A14414,A6157,$B$3:B14414,B6157)</f>
        <v>1</v>
      </c>
      <c r="G6157" s="116"/>
    </row>
    <row r="6158" spans="1:7" x14ac:dyDescent="0.2">
      <c r="A6158" s="116">
        <f>IF(ISNUMBER(Tabela2[[#This Row],[CT-e/NFS]])=TRUE,(IF(B6158&gt;30000,4,IF(B6158&lt;1000,"ND",0))),"-")</f>
        <v>0</v>
      </c>
      <c r="B6158" s="116">
        <v>22278</v>
      </c>
      <c r="C6158" s="117">
        <v>45607</v>
      </c>
      <c r="D6158" s="116">
        <v>68.77</v>
      </c>
      <c r="E6158" s="117">
        <v>45611</v>
      </c>
      <c r="F6158" s="116">
        <f>COUNTIFS($A$3:A14415,A6158,$B$3:B14415,B6158)</f>
        <v>1</v>
      </c>
      <c r="G6158" s="116"/>
    </row>
    <row r="6159" spans="1:7" x14ac:dyDescent="0.2">
      <c r="A6159" s="116">
        <f>IF(ISNUMBER(Tabela2[[#This Row],[CT-e/NFS]])=TRUE,(IF(B6159&gt;30000,4,IF(B6159&lt;1000,"ND",0))),"-")</f>
        <v>0</v>
      </c>
      <c r="B6159" s="116">
        <v>22288</v>
      </c>
      <c r="C6159" s="117">
        <v>45607</v>
      </c>
      <c r="D6159" s="116">
        <v>597.04</v>
      </c>
      <c r="E6159" s="117">
        <v>45611</v>
      </c>
      <c r="F6159" s="116">
        <f>COUNTIFS($A$3:A14416,A6159,$B$3:B14416,B6159)</f>
        <v>1</v>
      </c>
      <c r="G6159" s="116"/>
    </row>
    <row r="6160" spans="1:7" x14ac:dyDescent="0.2">
      <c r="A6160" s="116">
        <f>IF(ISNUMBER(Tabela2[[#This Row],[CT-e/NFS]])=TRUE,(IF(B6160&gt;30000,4,IF(B6160&lt;1000,"ND",0))),"-")</f>
        <v>0</v>
      </c>
      <c r="B6160" s="116">
        <v>22342</v>
      </c>
      <c r="C6160" s="117">
        <v>45607</v>
      </c>
      <c r="D6160" s="116">
        <v>597.04</v>
      </c>
      <c r="E6160" s="117">
        <v>45611</v>
      </c>
      <c r="F6160" s="116">
        <f>COUNTIFS($A$3:A14417,A6160,$B$3:B14417,B6160)</f>
        <v>1</v>
      </c>
      <c r="G6160" s="116"/>
    </row>
    <row r="6161" spans="1:7" x14ac:dyDescent="0.2">
      <c r="A6161" s="116">
        <f>IF(ISNUMBER(Tabela2[[#This Row],[CT-e/NFS]])=TRUE,(IF(B6161&gt;30000,4,IF(B6161&lt;1000,"ND",0))),"-")</f>
        <v>0</v>
      </c>
      <c r="B6161" s="116">
        <v>22309</v>
      </c>
      <c r="C6161" s="117">
        <v>45607</v>
      </c>
      <c r="D6161" s="116">
        <v>37.93</v>
      </c>
      <c r="E6161" s="117">
        <v>45611</v>
      </c>
      <c r="F6161" s="116">
        <f>COUNTIFS($A$3:A14418,A6161,$B$3:B14418,B6161)</f>
        <v>1</v>
      </c>
      <c r="G6161" s="116"/>
    </row>
    <row r="6162" spans="1:7" x14ac:dyDescent="0.2">
      <c r="A6162" s="116">
        <f>IF(ISNUMBER(Tabela2[[#This Row],[CT-e/NFS]])=TRUE,(IF(B6162&gt;30000,4,IF(B6162&lt;1000,"ND",0))),"-")</f>
        <v>0</v>
      </c>
      <c r="B6162" s="116">
        <v>22311</v>
      </c>
      <c r="C6162" s="117">
        <v>45607</v>
      </c>
      <c r="D6162" s="116">
        <v>68.3</v>
      </c>
      <c r="E6162" s="117">
        <v>45611</v>
      </c>
      <c r="F6162" s="116">
        <f>COUNTIFS($A$3:A14419,A6162,$B$3:B14419,B6162)</f>
        <v>1</v>
      </c>
      <c r="G6162" s="116"/>
    </row>
    <row r="6163" spans="1:7" x14ac:dyDescent="0.2">
      <c r="A6163" s="116">
        <f>IF(ISNUMBER(Tabela2[[#This Row],[CT-e/NFS]])=TRUE,(IF(B6163&gt;30000,4,IF(B6163&lt;1000,"ND",0))),"-")</f>
        <v>0</v>
      </c>
      <c r="B6163" s="116">
        <v>22312</v>
      </c>
      <c r="C6163" s="117">
        <v>45607</v>
      </c>
      <c r="D6163" s="116">
        <v>68.959999999999994</v>
      </c>
      <c r="E6163" s="117">
        <v>45611</v>
      </c>
      <c r="F6163" s="116">
        <f>COUNTIFS($A$3:A14420,A6163,$B$3:B14420,B6163)</f>
        <v>1</v>
      </c>
      <c r="G6163" s="116"/>
    </row>
    <row r="6164" spans="1:7" x14ac:dyDescent="0.2">
      <c r="A6164" s="116">
        <f>IF(ISNUMBER(Tabela2[[#This Row],[CT-e/NFS]])=TRUE,(IF(B6164&gt;30000,4,IF(B6164&lt;1000,"ND",0))),"-")</f>
        <v>0</v>
      </c>
      <c r="B6164" s="116">
        <v>22313</v>
      </c>
      <c r="C6164" s="117">
        <v>45607</v>
      </c>
      <c r="D6164" s="116">
        <v>38.26</v>
      </c>
      <c r="E6164" s="117">
        <v>45611</v>
      </c>
      <c r="F6164" s="116">
        <f>COUNTIFS($A$3:A14421,A6164,$B$3:B14421,B6164)</f>
        <v>1</v>
      </c>
      <c r="G6164" s="116"/>
    </row>
    <row r="6165" spans="1:7" x14ac:dyDescent="0.2">
      <c r="A6165" s="116">
        <f>IF(ISNUMBER(Tabela2[[#This Row],[CT-e/NFS]])=TRUE,(IF(B6165&gt;30000,4,IF(B6165&lt;1000,"ND",0))),"-")</f>
        <v>0</v>
      </c>
      <c r="B6165" s="116">
        <v>22325</v>
      </c>
      <c r="C6165" s="117">
        <v>45607</v>
      </c>
      <c r="D6165" s="116">
        <v>375.86</v>
      </c>
      <c r="E6165" s="117">
        <v>45611</v>
      </c>
      <c r="F6165" s="116">
        <f>COUNTIFS($A$3:A14422,A6165,$B$3:B14422,B6165)</f>
        <v>1</v>
      </c>
      <c r="G6165" s="116"/>
    </row>
    <row r="6166" spans="1:7" x14ac:dyDescent="0.2">
      <c r="A6166" s="116">
        <f>IF(ISNUMBER(Tabela2[[#This Row],[CT-e/NFS]])=TRUE,(IF(B6166&gt;30000,4,IF(B6166&lt;1000,"ND",0))),"-")</f>
        <v>0</v>
      </c>
      <c r="B6166" s="116">
        <v>22327</v>
      </c>
      <c r="C6166" s="117">
        <v>45607</v>
      </c>
      <c r="D6166" s="116">
        <v>208.17</v>
      </c>
      <c r="E6166" s="117">
        <v>45611</v>
      </c>
      <c r="F6166" s="116">
        <f>COUNTIFS($A$3:A14423,A6166,$B$3:B14423,B6166)</f>
        <v>1</v>
      </c>
      <c r="G6166" s="116"/>
    </row>
    <row r="6167" spans="1:7" x14ac:dyDescent="0.2">
      <c r="A6167" s="116">
        <f>IF(ISNUMBER(Tabela2[[#This Row],[CT-e/NFS]])=TRUE,(IF(B6167&gt;30000,4,IF(B6167&lt;1000,"ND",0))),"-")</f>
        <v>0</v>
      </c>
      <c r="B6167" s="116">
        <v>22336</v>
      </c>
      <c r="C6167" s="117">
        <v>45607</v>
      </c>
      <c r="D6167" s="116">
        <v>38.53</v>
      </c>
      <c r="E6167" s="117">
        <v>45611</v>
      </c>
      <c r="F6167" s="116">
        <f>COUNTIFS($A$3:A14424,A6167,$B$3:B14424,B6167)</f>
        <v>1</v>
      </c>
      <c r="G6167" s="116"/>
    </row>
    <row r="6168" spans="1:7" x14ac:dyDescent="0.2">
      <c r="A6168" s="116">
        <f>IF(ISNUMBER(Tabela2[[#This Row],[CT-e/NFS]])=TRUE,(IF(B6168&gt;30000,4,IF(B6168&lt;1000,"ND",0))),"-")</f>
        <v>0</v>
      </c>
      <c r="B6168" s="116">
        <v>22337</v>
      </c>
      <c r="C6168" s="117">
        <v>45607</v>
      </c>
      <c r="D6168" s="116">
        <v>69.5</v>
      </c>
      <c r="E6168" s="117">
        <v>45611</v>
      </c>
      <c r="F6168" s="116">
        <f>COUNTIFS($A$3:A14425,A6168,$B$3:B14425,B6168)</f>
        <v>1</v>
      </c>
      <c r="G6168" s="116"/>
    </row>
    <row r="6169" spans="1:7" x14ac:dyDescent="0.2">
      <c r="A6169" s="116" t="str">
        <f>IF(ISNUMBER(Tabela2[[#This Row],[CT-e/NFS]])=TRUE,(IF(B6169&gt;30000,4,IF(B6169&lt;1000,"ND",0))),"-")</f>
        <v>ND</v>
      </c>
      <c r="B6169" s="116">
        <v>238</v>
      </c>
      <c r="C6169" s="117">
        <v>45607</v>
      </c>
      <c r="D6169" s="116">
        <v>1092.23</v>
      </c>
      <c r="E6169" s="117">
        <v>45611</v>
      </c>
      <c r="F6169" s="116">
        <f>COUNTIFS($A$3:A14426,A6169,$B$3:B14426,B6169)</f>
        <v>1</v>
      </c>
      <c r="G6169" s="116"/>
    </row>
    <row r="6170" spans="1:7" x14ac:dyDescent="0.2">
      <c r="A6170" s="116" t="str">
        <f>IF(ISNUMBER(Tabela2[[#This Row],[CT-e/NFS]])=TRUE,(IF(B6170&gt;30000,4,IF(B6170&lt;1000,"ND",0))),"-")</f>
        <v>ND</v>
      </c>
      <c r="B6170" s="116">
        <v>239</v>
      </c>
      <c r="C6170" s="117">
        <v>45607</v>
      </c>
      <c r="D6170" s="116">
        <v>804.73</v>
      </c>
      <c r="E6170" s="117">
        <v>45611</v>
      </c>
      <c r="F6170" s="116">
        <f>COUNTIFS($A$3:A14427,A6170,$B$3:B14427,B6170)</f>
        <v>1</v>
      </c>
      <c r="G6170" s="116"/>
    </row>
    <row r="6171" spans="1:7" x14ac:dyDescent="0.2">
      <c r="A6171" s="116">
        <f>IF(ISNUMBER(Tabela2[[#This Row],[CT-e/NFS]])=TRUE,(IF(B6171&gt;30000,4,IF(B6171&lt;1000,"ND",0))),"-")</f>
        <v>0</v>
      </c>
      <c r="B6171" s="116">
        <v>21968</v>
      </c>
      <c r="C6171" s="117">
        <v>45498</v>
      </c>
      <c r="D6171" s="116">
        <v>96.2</v>
      </c>
      <c r="E6171" s="117">
        <v>45611</v>
      </c>
      <c r="F6171" s="116">
        <f>COUNTIFS($A$3:A14421,A6171,$B$3:B14421,B6171)</f>
        <v>1</v>
      </c>
      <c r="G6171" s="116"/>
    </row>
    <row r="6172" spans="1:7" x14ac:dyDescent="0.2">
      <c r="A6172" s="116">
        <f>IF(ISNUMBER(Tabela2[[#This Row],[CT-e/NFS]])=TRUE,(IF(B6172&gt;30000,4,IF(B6172&lt;1000,"ND",0))),"-")</f>
        <v>0</v>
      </c>
      <c r="B6172" s="1">
        <v>22240</v>
      </c>
      <c r="C6172" s="2">
        <v>45554</v>
      </c>
      <c r="D6172" s="116">
        <v>92.43</v>
      </c>
      <c r="E6172" s="117">
        <v>45611</v>
      </c>
      <c r="F6172" s="116">
        <f>COUNTIFS($A$3:A14422,A6172,$B$3:B14422,B6172)</f>
        <v>1</v>
      </c>
      <c r="G6172" s="116"/>
    </row>
    <row r="6173" spans="1:7" x14ac:dyDescent="0.2">
      <c r="A6173" s="116">
        <f>IF(ISNUMBER(Tabela2[[#This Row],[CT-e/NFS]])=TRUE,(IF(B6173&gt;30000,4,IF(B6173&lt;1000,"ND",0))),"-")</f>
        <v>4</v>
      </c>
      <c r="B6173" s="1">
        <v>49665</v>
      </c>
      <c r="C6173" s="2">
        <v>45554</v>
      </c>
      <c r="D6173" s="1">
        <v>984.3</v>
      </c>
      <c r="E6173" s="117">
        <v>45611</v>
      </c>
      <c r="F6173" s="116">
        <f>COUNTIFS($A$3:A14423,A6173,$B$3:B14423,B6173)</f>
        <v>1</v>
      </c>
      <c r="G6173" s="116"/>
    </row>
    <row r="6174" spans="1:7" x14ac:dyDescent="0.2">
      <c r="A6174" s="116">
        <f>IF(ISNUMBER(Tabela2[[#This Row],[CT-e/NFS]])=TRUE,(IF(B6174&gt;30000,4,IF(B6174&lt;1000,"ND",0))),"-")</f>
        <v>4</v>
      </c>
      <c r="B6174" s="1">
        <v>49681</v>
      </c>
      <c r="C6174" s="2">
        <v>45554</v>
      </c>
      <c r="D6174" s="1">
        <v>2110.2800000000002</v>
      </c>
      <c r="E6174" s="117">
        <v>45611</v>
      </c>
      <c r="F6174" s="116">
        <f>COUNTIFS($A$3:A14424,A6174,$B$3:B14424,B6174)</f>
        <v>1</v>
      </c>
      <c r="G6174" s="116"/>
    </row>
    <row r="6175" spans="1:7" x14ac:dyDescent="0.2">
      <c r="A6175" s="116">
        <f>IF(ISNUMBER(Tabela2[[#This Row],[CT-e/NFS]])=TRUE,(IF(B6175&gt;30000,4,IF(B6175&lt;1000,"ND",0))),"-")</f>
        <v>4</v>
      </c>
      <c r="B6175" s="1">
        <v>49726</v>
      </c>
      <c r="C6175" s="2">
        <v>45554</v>
      </c>
      <c r="D6175" s="1">
        <v>1766.06</v>
      </c>
      <c r="E6175" s="117">
        <v>45611</v>
      </c>
      <c r="F6175" s="116">
        <f>COUNTIFS($A$3:A14425,A6175,$B$3:B14425,B6175)</f>
        <v>1</v>
      </c>
      <c r="G6175" s="116"/>
    </row>
    <row r="6176" spans="1:7" x14ac:dyDescent="0.2">
      <c r="A6176" s="116">
        <f>IF(ISNUMBER(Tabela2[[#This Row],[CT-e/NFS]])=TRUE,(IF(B6176&gt;30000,4,IF(B6176&lt;1000,"ND",0))),"-")</f>
        <v>4</v>
      </c>
      <c r="B6176" s="1">
        <v>49727</v>
      </c>
      <c r="C6176" s="2">
        <v>45554</v>
      </c>
      <c r="D6176" s="1">
        <v>517.83000000000004</v>
      </c>
      <c r="E6176" s="117">
        <v>45611</v>
      </c>
      <c r="F6176" s="116">
        <f>COUNTIFS($A$3:A14426,A6176,$B$3:B14426,B6176)</f>
        <v>1</v>
      </c>
      <c r="G6176" s="116"/>
    </row>
    <row r="6177" spans="1:7" x14ac:dyDescent="0.2">
      <c r="A6177" s="116">
        <f>IF(ISNUMBER(Tabela2[[#This Row],[CT-e/NFS]])=TRUE,(IF(B6177&gt;30000,4,IF(B6177&lt;1000,"ND",0))),"-")</f>
        <v>0</v>
      </c>
      <c r="B6177" s="1">
        <v>22271</v>
      </c>
      <c r="C6177" s="2">
        <v>45561</v>
      </c>
      <c r="D6177" s="1">
        <v>609.19000000000005</v>
      </c>
      <c r="E6177" s="117">
        <v>45611</v>
      </c>
      <c r="F6177" s="116">
        <f>COUNTIFS($A$3:A14427,A6177,$B$3:B14427,B6177)</f>
        <v>1</v>
      </c>
      <c r="G6177" s="116"/>
    </row>
    <row r="6178" spans="1:7" x14ac:dyDescent="0.2">
      <c r="A6178" s="116">
        <f>IF(ISNUMBER(Tabela2[[#This Row],[CT-e/NFS]])=TRUE,(IF(B6178&gt;30000,4,IF(B6178&lt;1000,"ND",0))),"-")</f>
        <v>0</v>
      </c>
      <c r="B6178" s="1">
        <v>22248</v>
      </c>
      <c r="C6178" s="2">
        <v>45561</v>
      </c>
      <c r="D6178" s="1">
        <v>91.83</v>
      </c>
      <c r="E6178" s="117">
        <v>45611</v>
      </c>
      <c r="F6178" s="116">
        <f>COUNTIFS($A$3:A14428,A6178,$B$3:B14428,B6178)</f>
        <v>1</v>
      </c>
      <c r="G6178" s="116"/>
    </row>
    <row r="6179" spans="1:7" x14ac:dyDescent="0.2">
      <c r="A6179" s="116">
        <f>IF(ISNUMBER(Tabela2[[#This Row],[CT-e/NFS]])=TRUE,(IF(B6179&gt;30000,4,IF(B6179&lt;1000,"ND",0))),"-")</f>
        <v>4</v>
      </c>
      <c r="B6179" s="1">
        <v>49763</v>
      </c>
      <c r="C6179" s="2">
        <v>45561</v>
      </c>
      <c r="D6179" s="1">
        <v>136.69</v>
      </c>
      <c r="E6179" s="117">
        <v>45611</v>
      </c>
      <c r="F6179" s="116">
        <f>COUNTIFS($A$3:A14429,A6179,$B$3:B14429,B6179)</f>
        <v>1</v>
      </c>
      <c r="G6179" s="116"/>
    </row>
    <row r="6180" spans="1:7" x14ac:dyDescent="0.2">
      <c r="A6180" s="116">
        <f>IF(ISNUMBER(Tabela2[[#This Row],[CT-e/NFS]])=TRUE,(IF(B6180&gt;30000,4,IF(B6180&lt;1000,"ND",0))),"-")</f>
        <v>4</v>
      </c>
      <c r="B6180" s="1">
        <v>49764</v>
      </c>
      <c r="C6180" s="2">
        <v>45561</v>
      </c>
      <c r="D6180" s="1">
        <v>99.73</v>
      </c>
      <c r="E6180" s="117">
        <v>45611</v>
      </c>
      <c r="F6180" s="116">
        <f>COUNTIFS($A$3:A14430,A6180,$B$3:B14430,B6180)</f>
        <v>1</v>
      </c>
      <c r="G6180" s="116"/>
    </row>
    <row r="6181" spans="1:7" x14ac:dyDescent="0.2">
      <c r="A6181" s="116">
        <f>IF(ISNUMBER(Tabela2[[#This Row],[CT-e/NFS]])=TRUE,(IF(B6181&gt;30000,4,IF(B6181&lt;1000,"ND",0))),"-")</f>
        <v>4</v>
      </c>
      <c r="B6181" s="1">
        <v>49784</v>
      </c>
      <c r="C6181" s="2">
        <v>45561</v>
      </c>
      <c r="D6181" s="1">
        <v>404.1</v>
      </c>
      <c r="E6181" s="117">
        <v>45611</v>
      </c>
      <c r="F6181" s="116">
        <f>COUNTIFS($A$3:A14431,A6181,$B$3:B14431,B6181)</f>
        <v>1</v>
      </c>
      <c r="G6181" s="116"/>
    </row>
    <row r="6182" spans="1:7" x14ac:dyDescent="0.2">
      <c r="A6182" s="116">
        <f>IF(ISNUMBER(Tabela2[[#This Row],[CT-e/NFS]])=TRUE,(IF(B6182&gt;30000,4,IF(B6182&lt;1000,"ND",0))),"-")</f>
        <v>4</v>
      </c>
      <c r="B6182" s="1">
        <v>49785</v>
      </c>
      <c r="C6182" s="2">
        <v>45561</v>
      </c>
      <c r="D6182" s="1">
        <v>261.16000000000003</v>
      </c>
      <c r="E6182" s="117">
        <v>45611</v>
      </c>
      <c r="F6182" s="116">
        <f>COUNTIFS($A$3:A14432,A6182,$B$3:B14432,B6182)</f>
        <v>1</v>
      </c>
      <c r="G6182" s="116"/>
    </row>
    <row r="6183" spans="1:7" x14ac:dyDescent="0.2">
      <c r="A6183" s="116">
        <f>IF(ISNUMBER(Tabela2[[#This Row],[CT-e/NFS]])=TRUE,(IF(B6183&gt;30000,4,IF(B6183&lt;1000,"ND",0))),"-")</f>
        <v>4</v>
      </c>
      <c r="B6183" s="1">
        <v>49786</v>
      </c>
      <c r="C6183" s="2">
        <v>45561</v>
      </c>
      <c r="D6183" s="1">
        <v>570</v>
      </c>
      <c r="E6183" s="117">
        <v>45611</v>
      </c>
      <c r="F6183" s="116">
        <f>COUNTIFS($A$3:A14433,A6183,$B$3:B14433,B6183)</f>
        <v>1</v>
      </c>
      <c r="G6183" s="116"/>
    </row>
    <row r="6184" spans="1:7" x14ac:dyDescent="0.2">
      <c r="A6184" s="116">
        <f>IF(ISNUMBER(Tabela2[[#This Row],[CT-e/NFS]])=TRUE,(IF(B6184&gt;30000,4,IF(B6184&lt;1000,"ND",0))),"-")</f>
        <v>4</v>
      </c>
      <c r="B6184" s="1">
        <v>49815</v>
      </c>
      <c r="C6184" s="2">
        <v>45561</v>
      </c>
      <c r="D6184" s="1">
        <v>163.82</v>
      </c>
      <c r="E6184" s="117">
        <v>45611</v>
      </c>
      <c r="F6184" s="116">
        <f>COUNTIFS($A$3:A14434,A6184,$B$3:B14434,B6184)</f>
        <v>1</v>
      </c>
      <c r="G6184" s="116"/>
    </row>
    <row r="6185" spans="1:7" x14ac:dyDescent="0.2">
      <c r="A6185" s="116">
        <f>IF(ISNUMBER(Tabela2[[#This Row],[CT-e/NFS]])=TRUE,(IF(B6185&gt;30000,4,IF(B6185&lt;1000,"ND",0))),"-")</f>
        <v>4</v>
      </c>
      <c r="B6185" s="1">
        <v>49834</v>
      </c>
      <c r="C6185" s="2">
        <v>45561</v>
      </c>
      <c r="D6185" s="1">
        <v>201.08</v>
      </c>
      <c r="E6185" s="117">
        <v>45611</v>
      </c>
      <c r="F6185" s="116">
        <f>COUNTIFS($A$3:A14435,A6185,$B$3:B14435,B6185)</f>
        <v>1</v>
      </c>
      <c r="G6185" s="116"/>
    </row>
    <row r="6186" spans="1:7" x14ac:dyDescent="0.2">
      <c r="A6186" s="116">
        <f>IF(ISNUMBER(Tabela2[[#This Row],[CT-e/NFS]])=TRUE,(IF(B6186&gt;30000,4,IF(B6186&lt;1000,"ND",0))),"-")</f>
        <v>0</v>
      </c>
      <c r="B6186" s="1">
        <v>22276</v>
      </c>
      <c r="C6186" s="2">
        <v>45568</v>
      </c>
      <c r="D6186" s="1">
        <v>522.79999999999995</v>
      </c>
      <c r="E6186" s="117">
        <v>45611</v>
      </c>
      <c r="F6186" s="116">
        <f>COUNTIFS($A$3:A14436,A6186,$B$3:B14436,B6186)</f>
        <v>1</v>
      </c>
      <c r="G6186" s="116"/>
    </row>
    <row r="6187" spans="1:7" x14ac:dyDescent="0.2">
      <c r="A6187" s="116">
        <f>IF(ISNUMBER(Tabela2[[#This Row],[CT-e/NFS]])=TRUE,(IF(B6187&gt;30000,4,IF(B6187&lt;1000,"ND",0))),"-")</f>
        <v>0</v>
      </c>
      <c r="B6187" s="1">
        <v>22273</v>
      </c>
      <c r="C6187" s="2">
        <v>45568</v>
      </c>
      <c r="D6187" s="1">
        <v>91.88</v>
      </c>
      <c r="E6187" s="117">
        <v>45611</v>
      </c>
      <c r="F6187" s="116">
        <f>COUNTIFS($A$3:A14437,A6187,$B$3:B14437,B6187)</f>
        <v>1</v>
      </c>
      <c r="G6187" s="116"/>
    </row>
    <row r="6188" spans="1:7" x14ac:dyDescent="0.2">
      <c r="A6188" s="116">
        <f>IF(ISNUMBER(Tabela2[[#This Row],[CT-e/NFS]])=TRUE,(IF(B6188&gt;30000,4,IF(B6188&lt;1000,"ND",0))),"-")</f>
        <v>4</v>
      </c>
      <c r="B6188" s="1">
        <v>49896</v>
      </c>
      <c r="C6188" s="2">
        <v>45568</v>
      </c>
      <c r="D6188" s="1">
        <v>162.78</v>
      </c>
      <c r="E6188" s="117">
        <v>45611</v>
      </c>
      <c r="F6188" s="116">
        <f>COUNTIFS($A$3:A14438,A6188,$B$3:B14438,B6188)</f>
        <v>1</v>
      </c>
      <c r="G6188" s="116"/>
    </row>
    <row r="6189" spans="1:7" x14ac:dyDescent="0.2">
      <c r="A6189" s="116">
        <f>IF(ISNUMBER(Tabela2[[#This Row],[CT-e/NFS]])=TRUE,(IF(B6189&gt;30000,4,IF(B6189&lt;1000,"ND",0))),"-")</f>
        <v>4</v>
      </c>
      <c r="B6189" s="1">
        <v>49958</v>
      </c>
      <c r="C6189" s="2">
        <v>45568</v>
      </c>
      <c r="D6189" s="1">
        <v>107.64</v>
      </c>
      <c r="E6189" s="117">
        <v>45611</v>
      </c>
      <c r="F6189" s="116">
        <f>COUNTIFS($A$3:A14439,A6189,$B$3:B14439,B6189)</f>
        <v>1</v>
      </c>
      <c r="G6189" s="116"/>
    </row>
    <row r="6190" spans="1:7" x14ac:dyDescent="0.2">
      <c r="A6190" s="116">
        <f>IF(ISNUMBER(Tabela2[[#This Row],[CT-e/NFS]])=TRUE,(IF(B6190&gt;30000,4,IF(B6190&lt;1000,"ND",0))),"-")</f>
        <v>4</v>
      </c>
      <c r="B6190" s="1">
        <v>49962</v>
      </c>
      <c r="C6190" s="2">
        <v>45568</v>
      </c>
      <c r="D6190" s="1">
        <v>131.16</v>
      </c>
      <c r="E6190" s="117">
        <v>45611</v>
      </c>
      <c r="F6190" s="116">
        <f>COUNTIFS($A$3:A14440,A6190,$B$3:B14440,B6190)</f>
        <v>1</v>
      </c>
      <c r="G6190" s="116"/>
    </row>
    <row r="6191" spans="1:7" x14ac:dyDescent="0.2">
      <c r="A6191" s="116">
        <f>IF(ISNUMBER(Tabela2[[#This Row],[CT-e/NFS]])=TRUE,(IF(B6191&gt;30000,4,IF(B6191&lt;1000,"ND",0))),"-")</f>
        <v>0</v>
      </c>
      <c r="B6191" s="1">
        <v>22339</v>
      </c>
      <c r="C6191" s="2">
        <v>45575</v>
      </c>
      <c r="D6191" s="1">
        <v>91.05</v>
      </c>
      <c r="E6191" s="117">
        <v>45611</v>
      </c>
      <c r="F6191" s="116">
        <f>COUNTIFS($A$3:A14441,A6191,$B$3:B14441,B6191)</f>
        <v>1</v>
      </c>
      <c r="G6191" s="116"/>
    </row>
    <row r="6192" spans="1:7" x14ac:dyDescent="0.2">
      <c r="A6192" s="116">
        <f>IF(ISNUMBER(Tabela2[[#This Row],[CT-e/NFS]])=TRUE,(IF(B6192&gt;30000,4,IF(B6192&lt;1000,"ND",0))),"-")</f>
        <v>4</v>
      </c>
      <c r="B6192" s="1">
        <v>49989</v>
      </c>
      <c r="C6192" s="2">
        <v>45575</v>
      </c>
      <c r="D6192" s="1">
        <v>818.07</v>
      </c>
      <c r="E6192" s="117">
        <v>45611</v>
      </c>
      <c r="F6192" s="116">
        <f>COUNTIFS($A$3:A14442,A6192,$B$3:B14442,B6192)</f>
        <v>1</v>
      </c>
      <c r="G6192" s="116"/>
    </row>
    <row r="6193" spans="1:7" x14ac:dyDescent="0.2">
      <c r="A6193" s="116">
        <f>IF(ISNUMBER(Tabela2[[#This Row],[CT-e/NFS]])=TRUE,(IF(B6193&gt;30000,4,IF(B6193&lt;1000,"ND",0))),"-")</f>
        <v>4</v>
      </c>
      <c r="B6193" s="1">
        <v>50022</v>
      </c>
      <c r="C6193" s="2">
        <v>45575</v>
      </c>
      <c r="D6193" s="1">
        <v>451.72</v>
      </c>
      <c r="E6193" s="117">
        <v>45611</v>
      </c>
      <c r="F6193" s="116">
        <f>COUNTIFS($A$3:A14443,A6193,$B$3:B14443,B6193)</f>
        <v>1</v>
      </c>
      <c r="G6193" s="116"/>
    </row>
    <row r="6194" spans="1:7" x14ac:dyDescent="0.2">
      <c r="A6194" s="116">
        <f>IF(ISNUMBER(Tabela2[[#This Row],[CT-e/NFS]])=TRUE,(IF(B6194&gt;30000,4,IF(B6194&lt;1000,"ND",0))),"-")</f>
        <v>4</v>
      </c>
      <c r="B6194" s="1">
        <v>50043</v>
      </c>
      <c r="C6194" s="2">
        <v>45575</v>
      </c>
      <c r="D6194" s="1">
        <v>324.83</v>
      </c>
      <c r="E6194" s="117">
        <v>45611</v>
      </c>
      <c r="F6194" s="116">
        <f>COUNTIFS($A$3:A14444,A6194,$B$3:B14444,B6194)</f>
        <v>1</v>
      </c>
      <c r="G6194" s="116"/>
    </row>
    <row r="6195" spans="1:7" x14ac:dyDescent="0.2">
      <c r="A6195" s="116">
        <f>IF(ISNUMBER(Tabela2[[#This Row],[CT-e/NFS]])=TRUE,(IF(B6195&gt;30000,4,IF(B6195&lt;1000,"ND",0))),"-")</f>
        <v>4</v>
      </c>
      <c r="B6195" s="1">
        <v>50074</v>
      </c>
      <c r="C6195" s="2">
        <v>45575</v>
      </c>
      <c r="D6195" s="1">
        <v>2114.6</v>
      </c>
      <c r="E6195" s="117">
        <v>45611</v>
      </c>
      <c r="F6195" s="116">
        <f>COUNTIFS($A$3:A14445,A6195,$B$3:B14445,B6195)</f>
        <v>1</v>
      </c>
      <c r="G6195" s="116"/>
    </row>
    <row r="6196" spans="1:7" x14ac:dyDescent="0.2">
      <c r="A6196" s="116">
        <f>IF(ISNUMBER(Tabela2[[#This Row],[CT-e/NFS]])=TRUE,(IF(B6196&gt;30000,4,IF(B6196&lt;1000,"ND",0))),"-")</f>
        <v>4</v>
      </c>
      <c r="B6196" s="1">
        <v>50075</v>
      </c>
      <c r="C6196" s="2">
        <v>45575</v>
      </c>
      <c r="D6196" s="1">
        <v>1302.69</v>
      </c>
      <c r="E6196" s="117">
        <v>45611</v>
      </c>
      <c r="F6196" s="116">
        <f>COUNTIFS($A$3:A14446,A6196,$B$3:B14446,B6196)</f>
        <v>1</v>
      </c>
      <c r="G6196" s="116"/>
    </row>
    <row r="6197" spans="1:7" x14ac:dyDescent="0.2">
      <c r="A6197" s="116">
        <f>IF(ISNUMBER(Tabela2[[#This Row],[CT-e/NFS]])=TRUE,(IF(B6197&gt;30000,4,IF(B6197&lt;1000,"ND",0))),"-")</f>
        <v>0</v>
      </c>
      <c r="B6197" s="1">
        <v>22366</v>
      </c>
      <c r="C6197" s="2">
        <v>45582</v>
      </c>
      <c r="D6197" s="1">
        <v>92.35</v>
      </c>
      <c r="E6197" s="117">
        <v>45611</v>
      </c>
      <c r="F6197" s="116">
        <f>COUNTIFS($A$3:A14447,A6197,$B$3:B14447,B6197)</f>
        <v>1</v>
      </c>
      <c r="G6197" s="116"/>
    </row>
    <row r="6198" spans="1:7" x14ac:dyDescent="0.2">
      <c r="A6198" s="116">
        <f>IF(ISNUMBER(Tabela2[[#This Row],[CT-e/NFS]])=TRUE,(IF(B6198&gt;30000,4,IF(B6198&lt;1000,"ND",0))),"-")</f>
        <v>0</v>
      </c>
      <c r="B6198" s="1">
        <v>22365</v>
      </c>
      <c r="C6198" s="2">
        <v>45582</v>
      </c>
      <c r="D6198" s="1">
        <v>786.66</v>
      </c>
      <c r="E6198" s="117">
        <v>45611</v>
      </c>
      <c r="F6198" s="116">
        <f>COUNTIFS($A$3:A14448,A6198,$B$3:B14448,B6198)</f>
        <v>1</v>
      </c>
      <c r="G6198" s="116"/>
    </row>
    <row r="6199" spans="1:7" x14ac:dyDescent="0.2">
      <c r="A6199" s="116">
        <f>IF(ISNUMBER(Tabela2[[#This Row],[CT-e/NFS]])=TRUE,(IF(B6199&gt;30000,4,IF(B6199&lt;1000,"ND",0))),"-")</f>
        <v>0</v>
      </c>
      <c r="B6199" s="1">
        <v>22349</v>
      </c>
      <c r="C6199" s="2">
        <v>45582</v>
      </c>
      <c r="D6199" s="1">
        <v>92.5</v>
      </c>
      <c r="E6199" s="117">
        <v>45611</v>
      </c>
      <c r="F6199" s="116">
        <f>COUNTIFS($A$3:A14449,A6199,$B$3:B14449,B6199)</f>
        <v>1</v>
      </c>
      <c r="G6199" s="116"/>
    </row>
    <row r="6200" spans="1:7" x14ac:dyDescent="0.2">
      <c r="A6200" s="116">
        <f>IF(ISNUMBER(Tabela2[[#This Row],[CT-e/NFS]])=TRUE,(IF(B6200&gt;30000,4,IF(B6200&lt;1000,"ND",0))),"-")</f>
        <v>4</v>
      </c>
      <c r="B6200" s="1">
        <v>50127</v>
      </c>
      <c r="C6200" s="2">
        <v>45582</v>
      </c>
      <c r="D6200" s="1">
        <v>105.4</v>
      </c>
      <c r="E6200" s="117">
        <v>45611</v>
      </c>
      <c r="F6200" s="116">
        <f>COUNTIFS($A$3:A14450,A6200,$B$3:B14450,B6200)</f>
        <v>1</v>
      </c>
      <c r="G6200" s="116"/>
    </row>
    <row r="6201" spans="1:7" x14ac:dyDescent="0.2">
      <c r="A6201" s="116">
        <f>IF(ISNUMBER(Tabela2[[#This Row],[CT-e/NFS]])=TRUE,(IF(B6201&gt;30000,4,IF(B6201&lt;1000,"ND",0))),"-")</f>
        <v>4</v>
      </c>
      <c r="B6201" s="1">
        <v>50275</v>
      </c>
      <c r="C6201" s="2">
        <v>45589</v>
      </c>
      <c r="D6201" s="1">
        <v>136.82</v>
      </c>
      <c r="E6201" s="117">
        <v>45611</v>
      </c>
      <c r="F6201" s="116">
        <f>COUNTIFS($A$3:A14451,A6201,$B$3:B14451,B6201)</f>
        <v>1</v>
      </c>
      <c r="G6201" s="116"/>
    </row>
    <row r="6202" spans="1:7" x14ac:dyDescent="0.2">
      <c r="A6202" s="116">
        <f>IF(ISNUMBER(Tabela2[[#This Row],[CT-e/NFS]])=TRUE,(IF(B6202&gt;30000,4,IF(B6202&lt;1000,"ND",0))),"-")</f>
        <v>4</v>
      </c>
      <c r="B6202" s="1">
        <v>50306</v>
      </c>
      <c r="C6202" s="2">
        <v>45589</v>
      </c>
      <c r="D6202" s="1">
        <v>522.32000000000005</v>
      </c>
      <c r="E6202" s="117">
        <v>45611</v>
      </c>
      <c r="F6202" s="116">
        <f>COUNTIFS($A$3:A14452,A6202,$B$3:B14452,B6202)</f>
        <v>1</v>
      </c>
      <c r="G6202" s="116"/>
    </row>
    <row r="6203" spans="1:7" x14ac:dyDescent="0.2">
      <c r="A6203" s="116">
        <f>IF(ISNUMBER(Tabela2[[#This Row],[CT-e/NFS]])=TRUE,(IF(B6203&gt;30000,4,IF(B6203&lt;1000,"ND",0))),"-")</f>
        <v>4</v>
      </c>
      <c r="B6203" s="116">
        <v>50307</v>
      </c>
      <c r="C6203" s="2">
        <v>45589</v>
      </c>
      <c r="D6203" s="1">
        <v>116.52</v>
      </c>
      <c r="E6203" s="117">
        <v>45611</v>
      </c>
      <c r="F6203" s="116">
        <f>COUNTIFS($A$3:A14453,A6203,$B$3:B14453,B6203)</f>
        <v>1</v>
      </c>
      <c r="G6203" s="116"/>
    </row>
    <row r="6204" spans="1:7" x14ac:dyDescent="0.2">
      <c r="A6204" s="116">
        <f>IF(ISNUMBER(Tabela2[[#This Row],[CT-e/NFS]])=TRUE,(IF(B6204&gt;30000,4,IF(B6204&lt;1000,"ND",0))),"-")</f>
        <v>4</v>
      </c>
      <c r="B6204" s="116">
        <v>50308</v>
      </c>
      <c r="C6204" s="2">
        <v>45589</v>
      </c>
      <c r="D6204" s="1">
        <v>335.91</v>
      </c>
      <c r="E6204" s="117">
        <v>45611</v>
      </c>
      <c r="F6204" s="116">
        <f>COUNTIFS($A$3:A14454,A6204,$B$3:B14454,B6204)</f>
        <v>1</v>
      </c>
      <c r="G6204" s="116"/>
    </row>
    <row r="6205" spans="1:7" x14ac:dyDescent="0.2">
      <c r="A6205" s="116">
        <f>IF(ISNUMBER(Tabela2[[#This Row],[CT-e/NFS]])=TRUE,(IF(B6205&gt;30000,4,IF(B6205&lt;1000,"ND",0))),"-")</f>
        <v>4</v>
      </c>
      <c r="B6205" s="116">
        <v>50310</v>
      </c>
      <c r="C6205" s="2">
        <v>45589</v>
      </c>
      <c r="D6205" s="1">
        <v>590.27</v>
      </c>
      <c r="E6205" s="117">
        <v>45611</v>
      </c>
      <c r="F6205" s="116">
        <f>COUNTIFS($A$3:A14455,A6205,$B$3:B14455,B6205)</f>
        <v>1</v>
      </c>
      <c r="G6205" s="116"/>
    </row>
    <row r="6206" spans="1:7" x14ac:dyDescent="0.2">
      <c r="A6206" s="116">
        <f>IF(ISNUMBER(Tabela2[[#This Row],[CT-e/NFS]])=TRUE,(IF(B6206&gt;30000,4,IF(B6206&lt;1000,"ND",0))),"-")</f>
        <v>4</v>
      </c>
      <c r="B6206" s="116">
        <v>50336</v>
      </c>
      <c r="C6206" s="2">
        <v>45589</v>
      </c>
      <c r="D6206" s="1">
        <v>755.32</v>
      </c>
      <c r="E6206" s="117">
        <v>45611</v>
      </c>
      <c r="F6206" s="116">
        <f>COUNTIFS($A$3:A14456,A6206,$B$3:B14456,B6206)</f>
        <v>1</v>
      </c>
      <c r="G6206" s="116"/>
    </row>
    <row r="6207" spans="1:7" x14ac:dyDescent="0.2">
      <c r="A6207" s="116">
        <f>IF(ISNUMBER(Tabela2[[#This Row],[CT-e/NFS]])=TRUE,(IF(B6207&gt;30000,4,IF(B6207&lt;1000,"ND",0))),"-")</f>
        <v>4</v>
      </c>
      <c r="B6207" s="1">
        <v>50422</v>
      </c>
      <c r="C6207" s="2">
        <v>45596</v>
      </c>
      <c r="D6207" s="1">
        <v>153.22999999999999</v>
      </c>
      <c r="E6207" s="117">
        <v>45611</v>
      </c>
      <c r="F6207" s="116">
        <f>COUNTIFS($A$3:A14457,A6207,$B$3:B14457,B6207)</f>
        <v>1</v>
      </c>
      <c r="G6207" s="116"/>
    </row>
    <row r="6208" spans="1:7" x14ac:dyDescent="0.2">
      <c r="A6208" s="116">
        <f>IF(ISNUMBER(Tabela2[[#This Row],[CT-e/NFS]])=TRUE,(IF(B6208&gt;30000,4,IF(B6208&lt;1000,"ND",0))),"-")</f>
        <v>0</v>
      </c>
      <c r="B6208" s="1">
        <v>22492</v>
      </c>
      <c r="C6208" s="2">
        <v>45603</v>
      </c>
      <c r="D6208" s="1">
        <v>261.45</v>
      </c>
      <c r="E6208" s="117">
        <v>45611</v>
      </c>
      <c r="F6208" s="116">
        <f>COUNTIFS($A$3:A14458,A6208,$B$3:B14458,B6208)</f>
        <v>1</v>
      </c>
      <c r="G6208" s="116"/>
    </row>
    <row r="6209" spans="1:7" x14ac:dyDescent="0.2">
      <c r="A6209" s="116">
        <f>IF(ISNUMBER(Tabela2[[#This Row],[CT-e/NFS]])=TRUE,(IF(B6209&gt;30000,4,IF(B6209&lt;1000,"ND",0))),"-")</f>
        <v>0</v>
      </c>
      <c r="B6209" s="1">
        <v>22481</v>
      </c>
      <c r="C6209" s="2">
        <v>45603</v>
      </c>
      <c r="D6209" s="1">
        <v>194.65</v>
      </c>
      <c r="E6209" s="117">
        <v>45611</v>
      </c>
      <c r="F6209" s="116">
        <f>COUNTIFS($A$3:A14459,A6209,$B$3:B14459,B6209)</f>
        <v>1</v>
      </c>
      <c r="G6209" s="116"/>
    </row>
    <row r="6210" spans="1:7" x14ac:dyDescent="0.2">
      <c r="A6210" s="116">
        <f>IF(ISNUMBER(Tabela2[[#This Row],[CT-e/NFS]])=TRUE,(IF(B6210&gt;30000,4,IF(B6210&lt;1000,"ND",0))),"-")</f>
        <v>4</v>
      </c>
      <c r="B6210" s="1">
        <v>50468</v>
      </c>
      <c r="C6210" s="2">
        <v>45603</v>
      </c>
      <c r="D6210" s="1">
        <v>103.52</v>
      </c>
      <c r="E6210" s="117">
        <v>45611</v>
      </c>
      <c r="F6210" s="116">
        <f>COUNTIFS($A$3:A14460,A6210,$B$3:B14460,B6210)</f>
        <v>1</v>
      </c>
      <c r="G6210" s="116"/>
    </row>
    <row r="6211" spans="1:7" x14ac:dyDescent="0.2">
      <c r="A6211" s="116">
        <f>IF(ISNUMBER(Tabela2[[#This Row],[CT-e/NFS]])=TRUE,(IF(B6211&gt;30000,4,IF(B6211&lt;1000,"ND",0))),"-")</f>
        <v>4</v>
      </c>
      <c r="B6211" s="1">
        <v>50491</v>
      </c>
      <c r="C6211" s="2">
        <v>45603</v>
      </c>
      <c r="D6211" s="1">
        <v>244.17</v>
      </c>
      <c r="E6211" s="117">
        <v>45611</v>
      </c>
      <c r="F6211" s="116">
        <f>COUNTIFS($A$3:A14461,A6211,$B$3:B14461,B6211)</f>
        <v>1</v>
      </c>
      <c r="G6211" s="116"/>
    </row>
    <row r="6212" spans="1:7" x14ac:dyDescent="0.2">
      <c r="A6212" s="116">
        <f>IF(ISNUMBER(Tabela2[[#This Row],[CT-e/NFS]])=TRUE,(IF(B6212&gt;30000,4,IF(B6212&lt;1000,"ND",0))),"-")</f>
        <v>4</v>
      </c>
      <c r="B6212" s="1">
        <v>50496</v>
      </c>
      <c r="C6212" s="2">
        <v>45603</v>
      </c>
      <c r="D6212" s="1">
        <v>312.64999999999998</v>
      </c>
      <c r="E6212" s="117">
        <v>45611</v>
      </c>
      <c r="F6212" s="116">
        <f>COUNTIFS($A$3:A14462,A6212,$B$3:B14462,B6212)</f>
        <v>1</v>
      </c>
      <c r="G6212" s="116"/>
    </row>
    <row r="6213" spans="1:7" x14ac:dyDescent="0.2">
      <c r="A6213" s="116">
        <f>IF(ISNUMBER(Tabela2[[#This Row],[CT-e/NFS]])=TRUE,(IF(B6213&gt;30000,4,IF(B6213&lt;1000,"ND",0))),"-")</f>
        <v>4</v>
      </c>
      <c r="B6213" s="1">
        <v>50512</v>
      </c>
      <c r="C6213" s="2">
        <v>45603</v>
      </c>
      <c r="D6213" s="1">
        <v>126.24</v>
      </c>
      <c r="E6213" s="117">
        <v>45611</v>
      </c>
      <c r="F6213" s="116">
        <f>COUNTIFS($A$3:A14463,A6213,$B$3:B14463,B6213)</f>
        <v>1</v>
      </c>
      <c r="G6213" s="116"/>
    </row>
    <row r="6214" spans="1:7" x14ac:dyDescent="0.2">
      <c r="A6214" s="116">
        <f>IF(ISNUMBER(Tabela2[[#This Row],[CT-e/NFS]])=TRUE,(IF(B6214&gt;30000,4,IF(B6214&lt;1000,"ND",0))),"-")</f>
        <v>4</v>
      </c>
      <c r="B6214" s="1">
        <v>50513</v>
      </c>
      <c r="C6214" s="2">
        <v>45603</v>
      </c>
      <c r="D6214" s="1">
        <v>151.26</v>
      </c>
      <c r="E6214" s="117">
        <v>45611</v>
      </c>
      <c r="F6214" s="116">
        <f>COUNTIFS($A$3:A14464,A6214,$B$3:B14464,B6214)</f>
        <v>1</v>
      </c>
      <c r="G6214" s="116"/>
    </row>
    <row r="6215" spans="1:7" x14ac:dyDescent="0.2">
      <c r="A6215" s="116">
        <f>IF(ISNUMBER(Tabela2[[#This Row],[CT-e/NFS]])=TRUE,(IF(B6215&gt;30000,4,IF(B6215&lt;1000,"ND",0))),"-")</f>
        <v>4</v>
      </c>
      <c r="B6215" s="1">
        <v>50538</v>
      </c>
      <c r="C6215" s="2">
        <v>45603</v>
      </c>
      <c r="D6215" s="1">
        <v>354.58</v>
      </c>
      <c r="E6215" s="117">
        <v>45611</v>
      </c>
      <c r="F6215" s="116">
        <f>COUNTIFS($A$3:A14465,A6215,$B$3:B14465,B6215)</f>
        <v>1</v>
      </c>
      <c r="G6215" s="116"/>
    </row>
    <row r="6216" spans="1:7" x14ac:dyDescent="0.2">
      <c r="A6216" s="116">
        <f>IF(ISNUMBER(Tabela2[[#This Row],[CT-e/NFS]])=TRUE,(IF(B6216&gt;30000,4,IF(B6216&lt;1000,"ND",0))),"-")</f>
        <v>4</v>
      </c>
      <c r="B6216" s="1">
        <v>50557</v>
      </c>
      <c r="C6216" s="2">
        <v>45603</v>
      </c>
      <c r="D6216" s="1">
        <v>510.07</v>
      </c>
      <c r="E6216" s="117">
        <v>45611</v>
      </c>
      <c r="F6216" s="116">
        <f>COUNTIFS($A$3:A14466,A6216,$B$3:B14466,B6216)</f>
        <v>1</v>
      </c>
      <c r="G6216" s="116"/>
    </row>
    <row r="6217" spans="1:7" x14ac:dyDescent="0.2">
      <c r="A6217" s="132">
        <f>IF(ISNUMBER(Tabela2[[#This Row],[CT-e/NFS]])=TRUE,(IF(B6217&gt;30000,4,IF(B6217&lt;1000,"ND",0))),"-")</f>
        <v>0</v>
      </c>
      <c r="B6217" s="132">
        <v>22353</v>
      </c>
      <c r="C6217" s="133">
        <v>45615</v>
      </c>
      <c r="D6217" s="132">
        <v>100.41</v>
      </c>
      <c r="E6217" s="133">
        <v>45611</v>
      </c>
      <c r="F6217" s="132">
        <f>COUNTIFS($A$3:A14467,A6217,$B$3:B14467,B6217)</f>
        <v>1</v>
      </c>
      <c r="G6217" s="132" t="s">
        <v>149</v>
      </c>
    </row>
    <row r="6218" spans="1:7" x14ac:dyDescent="0.2">
      <c r="A6218" s="132">
        <f>IF(ISNUMBER(Tabela2[[#This Row],[CT-e/NFS]])=TRUE,(IF(B6218&gt;30000,4,IF(B6218&lt;1000,"ND",0))),"-")</f>
        <v>0</v>
      </c>
      <c r="B6218" s="132">
        <v>22352</v>
      </c>
      <c r="C6218" s="133">
        <v>45615</v>
      </c>
      <c r="D6218" s="132">
        <v>111.73</v>
      </c>
      <c r="E6218" s="133">
        <v>45611</v>
      </c>
      <c r="F6218" s="132">
        <f>COUNTIFS($A$3:A14468,A6218,$B$3:B14468,B6218)</f>
        <v>1</v>
      </c>
      <c r="G6218" s="132" t="s">
        <v>149</v>
      </c>
    </row>
    <row r="6219" spans="1:7" x14ac:dyDescent="0.2">
      <c r="A6219" s="132">
        <f>IF(ISNUMBER(Tabela2[[#This Row],[CT-e/NFS]])=TRUE,(IF(B6219&gt;30000,4,IF(B6219&lt;1000,"ND",0))),"-")</f>
        <v>0</v>
      </c>
      <c r="B6219" s="132">
        <v>22350</v>
      </c>
      <c r="C6219" s="133">
        <v>45615</v>
      </c>
      <c r="D6219" s="132">
        <v>100.74</v>
      </c>
      <c r="E6219" s="133">
        <v>45611</v>
      </c>
      <c r="F6219" s="132">
        <f>COUNTIFS($A$3:A14469,A6219,$B$3:B14469,B6219)</f>
        <v>1</v>
      </c>
      <c r="G6219" s="132" t="s">
        <v>149</v>
      </c>
    </row>
    <row r="6220" spans="1:7" x14ac:dyDescent="0.2">
      <c r="A6220" s="132">
        <f>IF(ISNUMBER(Tabela2[[#This Row],[CT-e/NFS]])=TRUE,(IF(B6220&gt;30000,4,IF(B6220&lt;1000,"ND",0))),"-")</f>
        <v>0</v>
      </c>
      <c r="B6220" s="132">
        <v>22359</v>
      </c>
      <c r="C6220" s="133">
        <v>45615</v>
      </c>
      <c r="D6220" s="132">
        <v>67.16</v>
      </c>
      <c r="E6220" s="133">
        <v>45611</v>
      </c>
      <c r="F6220" s="132">
        <f>COUNTIFS($A$3:A14470,A6220,$B$3:B14470,B6220)</f>
        <v>1</v>
      </c>
      <c r="G6220" s="132" t="s">
        <v>149</v>
      </c>
    </row>
    <row r="6221" spans="1:7" x14ac:dyDescent="0.2">
      <c r="A6221" s="132">
        <f>IF(ISNUMBER(Tabela2[[#This Row],[CT-e/NFS]])=TRUE,(IF(B6221&gt;30000,4,IF(B6221&lt;1000,"ND",0))),"-")</f>
        <v>4</v>
      </c>
      <c r="B6221" s="132">
        <v>50201</v>
      </c>
      <c r="C6221" s="133">
        <v>45615</v>
      </c>
      <c r="D6221" s="132">
        <v>122.9</v>
      </c>
      <c r="E6221" s="133">
        <v>45611</v>
      </c>
      <c r="F6221" s="132">
        <f>COUNTIFS($A$3:A14471,A6221,$B$3:B14471,B6221)</f>
        <v>1</v>
      </c>
      <c r="G6221" s="132" t="s">
        <v>149</v>
      </c>
    </row>
    <row r="6222" spans="1:7" x14ac:dyDescent="0.2">
      <c r="A6222" s="132">
        <f>IF(ISNUMBER(Tabela2[[#This Row],[CT-e/NFS]])=TRUE,(IF(B6222&gt;30000,4,IF(B6222&lt;1000,"ND",0))),"-")</f>
        <v>4</v>
      </c>
      <c r="B6222" s="132">
        <v>50200</v>
      </c>
      <c r="C6222" s="133">
        <v>45615</v>
      </c>
      <c r="D6222" s="132">
        <v>124.63</v>
      </c>
      <c r="E6222" s="133">
        <v>45611</v>
      </c>
      <c r="F6222" s="132">
        <f>COUNTIFS($A$3:A14472,A6222,$B$3:B14472,B6222)</f>
        <v>1</v>
      </c>
      <c r="G6222" s="132" t="s">
        <v>149</v>
      </c>
    </row>
    <row r="6223" spans="1:7" x14ac:dyDescent="0.2">
      <c r="A6223" s="132">
        <f>IF(ISNUMBER(Tabela2[[#This Row],[CT-e/NFS]])=TRUE,(IF(B6223&gt;30000,4,IF(B6223&lt;1000,"ND",0))),"-")</f>
        <v>0</v>
      </c>
      <c r="B6223" s="132">
        <v>22385</v>
      </c>
      <c r="C6223" s="133">
        <v>45615</v>
      </c>
      <c r="D6223" s="132">
        <v>98.54</v>
      </c>
      <c r="E6223" s="133">
        <v>45611</v>
      </c>
      <c r="F6223" s="132">
        <f>COUNTIFS($A$3:A14473,A6223,$B$3:B14473,B6223)</f>
        <v>1</v>
      </c>
      <c r="G6223" s="132" t="s">
        <v>149</v>
      </c>
    </row>
    <row r="6224" spans="1:7" x14ac:dyDescent="0.2">
      <c r="A6224" s="132">
        <f>IF(ISNUMBER(Tabela2[[#This Row],[CT-e/NFS]])=TRUE,(IF(B6224&gt;30000,4,IF(B6224&lt;1000,"ND",0))),"-")</f>
        <v>0</v>
      </c>
      <c r="B6224" s="132">
        <v>22377</v>
      </c>
      <c r="C6224" s="133">
        <v>45615</v>
      </c>
      <c r="D6224" s="132">
        <v>76.28</v>
      </c>
      <c r="E6224" s="133">
        <v>45611</v>
      </c>
      <c r="F6224" s="132">
        <f>COUNTIFS($A$3:A14474,A6224,$B$3:B14474,B6224)</f>
        <v>1</v>
      </c>
      <c r="G6224" s="132" t="s">
        <v>149</v>
      </c>
    </row>
    <row r="6225" spans="1:7" x14ac:dyDescent="0.2">
      <c r="A6225" s="116">
        <f>IF(ISNUMBER(Tabela2[[#This Row],[CT-e/NFS]])=TRUE,(IF(B6225&gt;30000,4,IF(B6225&lt;1000,"ND",0))),"-")</f>
        <v>4</v>
      </c>
      <c r="B6225" s="116">
        <v>50137</v>
      </c>
      <c r="C6225" s="117">
        <v>45617</v>
      </c>
      <c r="D6225" s="116">
        <v>123.13</v>
      </c>
      <c r="E6225" s="117">
        <v>45626</v>
      </c>
      <c r="F6225" s="116">
        <f>COUNTIFS($A$3:A14475,A6225,$B$3:B14475,B6225)</f>
        <v>1</v>
      </c>
      <c r="G6225" s="116"/>
    </row>
    <row r="6226" spans="1:7" x14ac:dyDescent="0.2">
      <c r="A6226" s="116">
        <f>IF(ISNUMBER(Tabela2[[#This Row],[CT-e/NFS]])=TRUE,(IF(B6226&gt;30000,4,IF(B6226&lt;1000,"ND",0))),"-")</f>
        <v>4</v>
      </c>
      <c r="B6226" s="116">
        <v>50146</v>
      </c>
      <c r="C6226" s="117">
        <v>45617</v>
      </c>
      <c r="D6226" s="116">
        <v>122.89</v>
      </c>
      <c r="E6226" s="117">
        <v>45626</v>
      </c>
      <c r="F6226" s="116">
        <f>COUNTIFS($A$3:A14476,A6226,$B$3:B14476,B6226)</f>
        <v>1</v>
      </c>
      <c r="G6226" s="116"/>
    </row>
    <row r="6227" spans="1:7" x14ac:dyDescent="0.2">
      <c r="A6227" s="116">
        <f>IF(ISNUMBER(Tabela2[[#This Row],[CT-e/NFS]])=TRUE,(IF(B6227&gt;30000,4,IF(B6227&lt;1000,"ND",0))),"-")</f>
        <v>4</v>
      </c>
      <c r="B6227" s="116">
        <v>50149</v>
      </c>
      <c r="C6227" s="117">
        <v>45617</v>
      </c>
      <c r="D6227" s="116">
        <v>123.89</v>
      </c>
      <c r="E6227" s="117">
        <v>45626</v>
      </c>
      <c r="F6227" s="116">
        <f>COUNTIFS($A$3:A14477,A6227,$B$3:B14477,B6227)</f>
        <v>1</v>
      </c>
      <c r="G6227" s="116"/>
    </row>
    <row r="6228" spans="1:7" x14ac:dyDescent="0.2">
      <c r="A6228" s="116">
        <f>IF(ISNUMBER(Tabela2[[#This Row],[CT-e/NFS]])=TRUE,(IF(B6228&gt;30000,4,IF(B6228&lt;1000,"ND",0))),"-")</f>
        <v>4</v>
      </c>
      <c r="B6228" s="116">
        <v>50147</v>
      </c>
      <c r="C6228" s="117">
        <v>45617</v>
      </c>
      <c r="D6228" s="116">
        <v>124.3</v>
      </c>
      <c r="E6228" s="117">
        <v>45626</v>
      </c>
      <c r="F6228" s="116">
        <f>COUNTIFS($A$3:A14478,A6228,$B$3:B14478,B6228)</f>
        <v>1</v>
      </c>
      <c r="G6228" s="116"/>
    </row>
    <row r="6229" spans="1:7" x14ac:dyDescent="0.2">
      <c r="A6229" s="116">
        <f>IF(ISNUMBER(Tabela2[[#This Row],[CT-e/NFS]])=TRUE,(IF(B6229&gt;30000,4,IF(B6229&lt;1000,"ND",0))),"-")</f>
        <v>4</v>
      </c>
      <c r="B6229" s="116">
        <v>50140</v>
      </c>
      <c r="C6229" s="117">
        <v>45617</v>
      </c>
      <c r="D6229" s="116">
        <v>123.89</v>
      </c>
      <c r="E6229" s="117">
        <v>45626</v>
      </c>
      <c r="F6229" s="116">
        <f>COUNTIFS($A$3:A14479,A6229,$B$3:B14479,B6229)</f>
        <v>1</v>
      </c>
      <c r="G6229" s="116"/>
    </row>
    <row r="6230" spans="1:7" x14ac:dyDescent="0.2">
      <c r="A6230" s="116">
        <f>IF(ISNUMBER(Tabela2[[#This Row],[CT-e/NFS]])=TRUE,(IF(B6230&gt;30000,4,IF(B6230&lt;1000,"ND",0))),"-")</f>
        <v>4</v>
      </c>
      <c r="B6230" s="116">
        <v>50154</v>
      </c>
      <c r="C6230" s="117">
        <v>45617</v>
      </c>
      <c r="D6230" s="116">
        <v>124.63</v>
      </c>
      <c r="E6230" s="117">
        <v>45626</v>
      </c>
      <c r="F6230" s="116">
        <f>COUNTIFS($A$3:A14480,A6230,$B$3:B14480,B6230)</f>
        <v>1</v>
      </c>
      <c r="G6230" s="116"/>
    </row>
    <row r="6231" spans="1:7" x14ac:dyDescent="0.2">
      <c r="A6231" s="116">
        <f>IF(ISNUMBER(Tabela2[[#This Row],[CT-e/NFS]])=TRUE,(IF(B6231&gt;30000,4,IF(B6231&lt;1000,"ND",0))),"-")</f>
        <v>4</v>
      </c>
      <c r="B6231" s="116">
        <v>50153</v>
      </c>
      <c r="C6231" s="117">
        <v>45617</v>
      </c>
      <c r="D6231" s="116">
        <v>238.68</v>
      </c>
      <c r="E6231" s="117">
        <v>45626</v>
      </c>
      <c r="F6231" s="116">
        <f>COUNTIFS($A$3:A14481,A6231,$B$3:B14481,B6231)</f>
        <v>1</v>
      </c>
      <c r="G6231" s="116"/>
    </row>
    <row r="6232" spans="1:7" x14ac:dyDescent="0.2">
      <c r="A6232" s="116">
        <f>IF(ISNUMBER(Tabela2[[#This Row],[CT-e/NFS]])=TRUE,(IF(B6232&gt;30000,4,IF(B6232&lt;1000,"ND",0))),"-")</f>
        <v>4</v>
      </c>
      <c r="B6232" s="116">
        <v>50151</v>
      </c>
      <c r="C6232" s="117">
        <v>45617</v>
      </c>
      <c r="D6232" s="116">
        <v>239.07</v>
      </c>
      <c r="E6232" s="117">
        <v>45626</v>
      </c>
      <c r="F6232" s="116">
        <f>COUNTIFS($A$3:A14482,A6232,$B$3:B14482,B6232)</f>
        <v>1</v>
      </c>
      <c r="G6232" s="116"/>
    </row>
    <row r="6233" spans="1:7" x14ac:dyDescent="0.2">
      <c r="A6233" s="116">
        <f>IF(ISNUMBER(Tabela2[[#This Row],[CT-e/NFS]])=TRUE,(IF(B6233&gt;30000,4,IF(B6233&lt;1000,"ND",0))),"-")</f>
        <v>4</v>
      </c>
      <c r="B6233" s="116">
        <v>50157</v>
      </c>
      <c r="C6233" s="117">
        <v>45617</v>
      </c>
      <c r="D6233" s="116">
        <v>531.16999999999996</v>
      </c>
      <c r="E6233" s="117">
        <v>45626</v>
      </c>
      <c r="F6233" s="116">
        <f>COUNTIFS($A$3:A14483,A6233,$B$3:B14483,B6233)</f>
        <v>1</v>
      </c>
      <c r="G6233" s="116"/>
    </row>
    <row r="6234" spans="1:7" x14ac:dyDescent="0.2">
      <c r="A6234" s="116">
        <f>IF(ISNUMBER(Tabela2[[#This Row],[CT-e/NFS]])=TRUE,(IF(B6234&gt;30000,4,IF(B6234&lt;1000,"ND",0))),"-")</f>
        <v>4</v>
      </c>
      <c r="B6234" s="116">
        <v>50159</v>
      </c>
      <c r="C6234" s="117">
        <v>45617</v>
      </c>
      <c r="D6234" s="116">
        <v>319.38</v>
      </c>
      <c r="E6234" s="117">
        <v>45626</v>
      </c>
      <c r="F6234" s="116">
        <f>COUNTIFS($A$3:A14484,A6234,$B$3:B14484,B6234)</f>
        <v>1</v>
      </c>
      <c r="G6234" s="116"/>
    </row>
    <row r="6235" spans="1:7" x14ac:dyDescent="0.2">
      <c r="A6235" s="116">
        <f>IF(ISNUMBER(Tabela2[[#This Row],[CT-e/NFS]])=TRUE,(IF(B6235&gt;30000,4,IF(B6235&lt;1000,"ND",0))),"-")</f>
        <v>4</v>
      </c>
      <c r="B6235" s="116">
        <v>50158</v>
      </c>
      <c r="C6235" s="117">
        <v>45617</v>
      </c>
      <c r="D6235" s="116">
        <v>332.32</v>
      </c>
      <c r="E6235" s="117">
        <v>45626</v>
      </c>
      <c r="F6235" s="116">
        <f>COUNTIFS($A$3:A14485,A6235,$B$3:B14485,B6235)</f>
        <v>1</v>
      </c>
      <c r="G6235" s="116"/>
    </row>
    <row r="6236" spans="1:7" x14ac:dyDescent="0.2">
      <c r="A6236" s="116">
        <f>IF(ISNUMBER(Tabela2[[#This Row],[CT-e/NFS]])=TRUE,(IF(B6236&gt;30000,4,IF(B6236&lt;1000,"ND",0))),"-")</f>
        <v>4</v>
      </c>
      <c r="B6236" s="116">
        <v>50160</v>
      </c>
      <c r="C6236" s="117">
        <v>45617</v>
      </c>
      <c r="D6236" s="116">
        <v>575.42999999999995</v>
      </c>
      <c r="E6236" s="117">
        <v>45626</v>
      </c>
      <c r="F6236" s="116">
        <f>COUNTIFS($A$3:A14486,A6236,$B$3:B14486,B6236)</f>
        <v>1</v>
      </c>
      <c r="G6236" s="116"/>
    </row>
    <row r="6237" spans="1:7" x14ac:dyDescent="0.2">
      <c r="A6237" s="116">
        <f>IF(ISNUMBER(Tabela2[[#This Row],[CT-e/NFS]])=TRUE,(IF(B6237&gt;30000,4,IF(B6237&lt;1000,"ND",0))),"-")</f>
        <v>4</v>
      </c>
      <c r="B6237" s="116">
        <v>50150</v>
      </c>
      <c r="C6237" s="117">
        <v>45617</v>
      </c>
      <c r="D6237" s="116">
        <v>122.88</v>
      </c>
      <c r="E6237" s="117">
        <v>45626</v>
      </c>
      <c r="F6237" s="116">
        <f>COUNTIFS($A$3:A14487,A6237,$B$3:B14487,B6237)</f>
        <v>1</v>
      </c>
      <c r="G6237" s="116"/>
    </row>
    <row r="6238" spans="1:7" x14ac:dyDescent="0.2">
      <c r="A6238" s="116">
        <f>IF(ISNUMBER(Tabela2[[#This Row],[CT-e/NFS]])=TRUE,(IF(B6238&gt;30000,4,IF(B6238&lt;1000,"ND",0))),"-")</f>
        <v>4</v>
      </c>
      <c r="B6238" s="116">
        <v>50152</v>
      </c>
      <c r="C6238" s="117">
        <v>45617</v>
      </c>
      <c r="D6238" s="116">
        <v>240.26</v>
      </c>
      <c r="E6238" s="117">
        <v>45626</v>
      </c>
      <c r="F6238" s="116">
        <f>COUNTIFS($A$3:A14488,A6238,$B$3:B14488,B6238)</f>
        <v>1</v>
      </c>
      <c r="G6238" s="116"/>
    </row>
    <row r="6239" spans="1:7" x14ac:dyDescent="0.2">
      <c r="A6239" s="116">
        <f>IF(ISNUMBER(Tabela2[[#This Row],[CT-e/NFS]])=TRUE,(IF(B6239&gt;30000,4,IF(B6239&lt;1000,"ND",0))),"-")</f>
        <v>4</v>
      </c>
      <c r="B6239" s="116">
        <v>50143</v>
      </c>
      <c r="C6239" s="117">
        <v>45617</v>
      </c>
      <c r="D6239" s="116">
        <v>124.18</v>
      </c>
      <c r="E6239" s="117">
        <v>45626</v>
      </c>
      <c r="F6239" s="116">
        <f>COUNTIFS($A$3:A14489,A6239,$B$3:B14489,B6239)</f>
        <v>1</v>
      </c>
      <c r="G6239" s="116"/>
    </row>
    <row r="6240" spans="1:7" x14ac:dyDescent="0.2">
      <c r="A6240" s="116">
        <f>IF(ISNUMBER(Tabela2[[#This Row],[CT-e/NFS]])=TRUE,(IF(B6240&gt;30000,4,IF(B6240&lt;1000,"ND",0))),"-")</f>
        <v>4</v>
      </c>
      <c r="B6240" s="116">
        <v>50145</v>
      </c>
      <c r="C6240" s="117">
        <v>45617</v>
      </c>
      <c r="D6240" s="116">
        <v>124.16</v>
      </c>
      <c r="E6240" s="117">
        <v>45626</v>
      </c>
      <c r="F6240" s="116">
        <f>COUNTIFS($A$3:A14490,A6240,$B$3:B14490,B6240)</f>
        <v>1</v>
      </c>
      <c r="G6240" s="116"/>
    </row>
    <row r="6241" spans="1:7" x14ac:dyDescent="0.2">
      <c r="A6241" s="116">
        <f>IF(ISNUMBER(Tabela2[[#This Row],[CT-e/NFS]])=TRUE,(IF(B6241&gt;30000,4,IF(B6241&lt;1000,"ND",0))),"-")</f>
        <v>4</v>
      </c>
      <c r="B6241" s="116">
        <v>50138</v>
      </c>
      <c r="C6241" s="117">
        <v>45617</v>
      </c>
      <c r="D6241" s="116">
        <v>1003.68</v>
      </c>
      <c r="E6241" s="117">
        <v>45626</v>
      </c>
      <c r="F6241" s="116">
        <f>COUNTIFS($A$3:A14491,A6241,$B$3:B14491,B6241)</f>
        <v>1</v>
      </c>
      <c r="G6241" s="116"/>
    </row>
    <row r="6242" spans="1:7" x14ac:dyDescent="0.2">
      <c r="A6242" s="116">
        <f>IF(ISNUMBER(Tabela2[[#This Row],[CT-e/NFS]])=TRUE,(IF(B6242&gt;30000,4,IF(B6242&lt;1000,"ND",0))),"-")</f>
        <v>4</v>
      </c>
      <c r="B6242" s="116">
        <v>50141</v>
      </c>
      <c r="C6242" s="117">
        <v>45617</v>
      </c>
      <c r="D6242" s="116">
        <v>186.05</v>
      </c>
      <c r="E6242" s="117">
        <v>45626</v>
      </c>
      <c r="F6242" s="116">
        <f>COUNTIFS($A$3:A14492,A6242,$B$3:B14492,B6242)</f>
        <v>1</v>
      </c>
      <c r="G6242" s="116"/>
    </row>
    <row r="6243" spans="1:7" x14ac:dyDescent="0.2">
      <c r="A6243" s="116">
        <f>IF(ISNUMBER(Tabela2[[#This Row],[CT-e/NFS]])=TRUE,(IF(B6243&gt;30000,4,IF(B6243&lt;1000,"ND",0))),"-")</f>
        <v>4</v>
      </c>
      <c r="B6243" s="116">
        <v>50144</v>
      </c>
      <c r="C6243" s="117">
        <v>45617</v>
      </c>
      <c r="D6243" s="116">
        <v>668.78</v>
      </c>
      <c r="E6243" s="117">
        <v>45626</v>
      </c>
      <c r="F6243" s="116">
        <f>COUNTIFS($A$3:A14493,A6243,$B$3:B14493,B6243)</f>
        <v>1</v>
      </c>
      <c r="G6243" s="116"/>
    </row>
    <row r="6244" spans="1:7" x14ac:dyDescent="0.2">
      <c r="A6244" s="116">
        <f>IF(ISNUMBER(Tabela2[[#This Row],[CT-e/NFS]])=TRUE,(IF(B6244&gt;30000,4,IF(B6244&lt;1000,"ND",0))),"-")</f>
        <v>4</v>
      </c>
      <c r="B6244" s="116">
        <v>50142</v>
      </c>
      <c r="C6244" s="117">
        <v>45617</v>
      </c>
      <c r="D6244" s="116">
        <v>126.53</v>
      </c>
      <c r="E6244" s="117">
        <v>45626</v>
      </c>
      <c r="F6244" s="116">
        <f>COUNTIFS($A$3:A14494,A6244,$B$3:B14494,B6244)</f>
        <v>1</v>
      </c>
      <c r="G6244" s="116"/>
    </row>
    <row r="6245" spans="1:7" x14ac:dyDescent="0.2">
      <c r="A6245" s="116">
        <f>IF(ISNUMBER(Tabela2[[#This Row],[CT-e/NFS]])=TRUE,(IF(B6245&gt;30000,4,IF(B6245&lt;1000,"ND",0))),"-")</f>
        <v>4</v>
      </c>
      <c r="B6245" s="116">
        <v>50139</v>
      </c>
      <c r="C6245" s="117">
        <v>45617</v>
      </c>
      <c r="D6245" s="116">
        <v>609.98</v>
      </c>
      <c r="E6245" s="117">
        <v>45626</v>
      </c>
      <c r="F6245" s="116">
        <f>COUNTIFS($A$3:A14495,A6245,$B$3:B14495,B6245)</f>
        <v>1</v>
      </c>
      <c r="G6245" s="116"/>
    </row>
    <row r="6246" spans="1:7" x14ac:dyDescent="0.2">
      <c r="A6246" s="116">
        <f>IF(ISNUMBER(Tabela2[[#This Row],[CT-e/NFS]])=TRUE,(IF(B6246&gt;30000,4,IF(B6246&lt;1000,"ND",0))),"-")</f>
        <v>4</v>
      </c>
      <c r="B6246" s="116">
        <v>50164</v>
      </c>
      <c r="C6246" s="117">
        <v>45617</v>
      </c>
      <c r="D6246" s="116">
        <v>62.09</v>
      </c>
      <c r="E6246" s="117">
        <v>45626</v>
      </c>
      <c r="F6246" s="116">
        <f>COUNTIFS($A$3:A14496,A6246,$B$3:B14496,B6246)</f>
        <v>1</v>
      </c>
      <c r="G6246" s="116"/>
    </row>
    <row r="6247" spans="1:7" x14ac:dyDescent="0.2">
      <c r="A6247" s="116">
        <f>IF(ISNUMBER(Tabela2[[#This Row],[CT-e/NFS]])=TRUE,(IF(B6247&gt;30000,4,IF(B6247&lt;1000,"ND",0))),"-")</f>
        <v>0</v>
      </c>
      <c r="B6247" s="116">
        <v>22360</v>
      </c>
      <c r="C6247" s="117">
        <v>45617</v>
      </c>
      <c r="D6247" s="116">
        <v>76.41</v>
      </c>
      <c r="E6247" s="117">
        <v>45626</v>
      </c>
      <c r="F6247" s="116">
        <f>COUNTIFS($A$3:A14497,A6247,$B$3:B14497,B6247)</f>
        <v>1</v>
      </c>
      <c r="G6247" s="116"/>
    </row>
    <row r="6248" spans="1:7" x14ac:dyDescent="0.2">
      <c r="A6248" s="116">
        <f>IF(ISNUMBER(Tabela2[[#This Row],[CT-e/NFS]])=TRUE,(IF(B6248&gt;30000,4,IF(B6248&lt;1000,"ND",0))),"-")</f>
        <v>0</v>
      </c>
      <c r="B6248" s="116">
        <v>22361</v>
      </c>
      <c r="C6248" s="117">
        <v>45617</v>
      </c>
      <c r="D6248" s="116">
        <v>77</v>
      </c>
      <c r="E6248" s="117">
        <v>45626</v>
      </c>
      <c r="F6248" s="116">
        <f>COUNTIFS($A$3:A14498,A6248,$B$3:B14498,B6248)</f>
        <v>1</v>
      </c>
      <c r="G6248" s="116"/>
    </row>
    <row r="6249" spans="1:7" x14ac:dyDescent="0.2">
      <c r="A6249" s="116">
        <f>IF(ISNUMBER(Tabela2[[#This Row],[CT-e/NFS]])=TRUE,(IF(B6249&gt;30000,4,IF(B6249&lt;1000,"ND",0))),"-")</f>
        <v>0</v>
      </c>
      <c r="B6249" s="116">
        <v>22362</v>
      </c>
      <c r="C6249" s="117">
        <v>45617</v>
      </c>
      <c r="D6249" s="116">
        <v>76.34</v>
      </c>
      <c r="E6249" s="117">
        <v>45626</v>
      </c>
      <c r="F6249" s="116">
        <f>COUNTIFS($A$3:A14499,A6249,$B$3:B14499,B6249)</f>
        <v>1</v>
      </c>
      <c r="G6249" s="116"/>
    </row>
    <row r="6250" spans="1:7" x14ac:dyDescent="0.2">
      <c r="A6250" s="116">
        <f>IF(ISNUMBER(Tabela2[[#This Row],[CT-e/NFS]])=TRUE,(IF(B6250&gt;30000,4,IF(B6250&lt;1000,"ND",0))),"-")</f>
        <v>0</v>
      </c>
      <c r="B6250" s="116">
        <v>22363</v>
      </c>
      <c r="C6250" s="117">
        <v>45617</v>
      </c>
      <c r="D6250" s="116">
        <v>76</v>
      </c>
      <c r="E6250" s="117">
        <v>45626</v>
      </c>
      <c r="F6250" s="116">
        <f>COUNTIFS($A$3:A14500,A6250,$B$3:B14500,B6250)</f>
        <v>1</v>
      </c>
      <c r="G6250" s="116"/>
    </row>
    <row r="6251" spans="1:7" x14ac:dyDescent="0.2">
      <c r="A6251" s="116">
        <f>IF(ISNUMBER(Tabela2[[#This Row],[CT-e/NFS]])=TRUE,(IF(B6251&gt;30000,4,IF(B6251&lt;1000,"ND",0))),"-")</f>
        <v>0</v>
      </c>
      <c r="B6251" s="116">
        <v>22364</v>
      </c>
      <c r="C6251" s="117">
        <v>45617</v>
      </c>
      <c r="D6251" s="116">
        <v>338.2</v>
      </c>
      <c r="E6251" s="117">
        <v>45626</v>
      </c>
      <c r="F6251" s="116">
        <f>COUNTIFS($A$3:A14501,A6251,$B$3:B14501,B6251)</f>
        <v>1</v>
      </c>
      <c r="G6251" s="116"/>
    </row>
    <row r="6252" spans="1:7" x14ac:dyDescent="0.2">
      <c r="A6252" s="116">
        <f>IF(ISNUMBER(Tabela2[[#This Row],[CT-e/NFS]])=TRUE,(IF(B6252&gt;30000,4,IF(B6252&lt;1000,"ND",0))),"-")</f>
        <v>4</v>
      </c>
      <c r="B6252" s="116">
        <v>50176</v>
      </c>
      <c r="C6252" s="117">
        <v>45617</v>
      </c>
      <c r="D6252" s="116">
        <v>126.08</v>
      </c>
      <c r="E6252" s="117">
        <v>45626</v>
      </c>
      <c r="F6252" s="116">
        <f>COUNTIFS($A$3:A14502,A6252,$B$3:B14502,B6252)</f>
        <v>1</v>
      </c>
      <c r="G6252" s="116"/>
    </row>
    <row r="6253" spans="1:7" x14ac:dyDescent="0.2">
      <c r="A6253" s="116">
        <f>IF(ISNUMBER(Tabela2[[#This Row],[CT-e/NFS]])=TRUE,(IF(B6253&gt;30000,4,IF(B6253&lt;1000,"ND",0))),"-")</f>
        <v>4</v>
      </c>
      <c r="B6253" s="116">
        <v>50174</v>
      </c>
      <c r="C6253" s="117">
        <v>45617</v>
      </c>
      <c r="D6253" s="116">
        <v>123.32</v>
      </c>
      <c r="E6253" s="117">
        <v>45626</v>
      </c>
      <c r="F6253" s="116">
        <f>COUNTIFS($A$3:A14503,A6253,$B$3:B14503,B6253)</f>
        <v>1</v>
      </c>
      <c r="G6253" s="116"/>
    </row>
    <row r="6254" spans="1:7" x14ac:dyDescent="0.2">
      <c r="A6254" s="116">
        <f>IF(ISNUMBER(Tabela2[[#This Row],[CT-e/NFS]])=TRUE,(IF(B6254&gt;30000,4,IF(B6254&lt;1000,"ND",0))),"-")</f>
        <v>4</v>
      </c>
      <c r="B6254" s="116">
        <v>50165</v>
      </c>
      <c r="C6254" s="117">
        <v>45617</v>
      </c>
      <c r="D6254" s="116">
        <v>263.8</v>
      </c>
      <c r="E6254" s="117">
        <v>45626</v>
      </c>
      <c r="F6254" s="116">
        <f>COUNTIFS($A$3:A14504,A6254,$B$3:B14504,B6254)</f>
        <v>1</v>
      </c>
      <c r="G6254" s="116"/>
    </row>
    <row r="6255" spans="1:7" x14ac:dyDescent="0.2">
      <c r="A6255" s="116">
        <f>IF(ISNUMBER(Tabela2[[#This Row],[CT-e/NFS]])=TRUE,(IF(B6255&gt;30000,4,IF(B6255&lt;1000,"ND",0))),"-")</f>
        <v>4</v>
      </c>
      <c r="B6255" s="116">
        <v>50148</v>
      </c>
      <c r="C6255" s="117">
        <v>45617</v>
      </c>
      <c r="D6255" s="116">
        <v>286.95</v>
      </c>
      <c r="E6255" s="117">
        <v>45626</v>
      </c>
      <c r="F6255" s="116">
        <f>COUNTIFS($A$3:A14505,A6255,$B$3:B14505,B6255)</f>
        <v>1</v>
      </c>
      <c r="G6255" s="116"/>
    </row>
    <row r="6256" spans="1:7" x14ac:dyDescent="0.2">
      <c r="A6256" s="116">
        <f>IF(ISNUMBER(Tabela2[[#This Row],[CT-e/NFS]])=TRUE,(IF(B6256&gt;30000,4,IF(B6256&lt;1000,"ND",0))),"-")</f>
        <v>4</v>
      </c>
      <c r="B6256" s="116">
        <v>50171</v>
      </c>
      <c r="C6256" s="117">
        <v>45617</v>
      </c>
      <c r="D6256" s="116">
        <v>260.72000000000003</v>
      </c>
      <c r="E6256" s="117">
        <v>45626</v>
      </c>
      <c r="F6256" s="116">
        <f>COUNTIFS($A$3:A14506,A6256,$B$3:B14506,B6256)</f>
        <v>1</v>
      </c>
      <c r="G6256" s="116"/>
    </row>
    <row r="6257" spans="1:7" x14ac:dyDescent="0.2">
      <c r="A6257" s="116">
        <f>IF(ISNUMBER(Tabela2[[#This Row],[CT-e/NFS]])=TRUE,(IF(B6257&gt;30000,4,IF(B6257&lt;1000,"ND",0))),"-")</f>
        <v>4</v>
      </c>
      <c r="B6257" s="116">
        <v>50167</v>
      </c>
      <c r="C6257" s="117">
        <v>45617</v>
      </c>
      <c r="D6257" s="116">
        <v>124.1</v>
      </c>
      <c r="E6257" s="117">
        <v>45626</v>
      </c>
      <c r="F6257" s="116">
        <f>COUNTIFS($A$3:A14507,A6257,$B$3:B14507,B6257)</f>
        <v>1</v>
      </c>
      <c r="G6257" s="116"/>
    </row>
    <row r="6258" spans="1:7" x14ac:dyDescent="0.2">
      <c r="A6258" s="116">
        <f>IF(ISNUMBER(Tabela2[[#This Row],[CT-e/NFS]])=TRUE,(IF(B6258&gt;30000,4,IF(B6258&lt;1000,"ND",0))),"-")</f>
        <v>4</v>
      </c>
      <c r="B6258" s="116">
        <v>50182</v>
      </c>
      <c r="C6258" s="117">
        <v>45617</v>
      </c>
      <c r="D6258" s="116">
        <v>239.93</v>
      </c>
      <c r="E6258" s="117">
        <v>45626</v>
      </c>
      <c r="F6258" s="116">
        <f>COUNTIFS($A$3:A14508,A6258,$B$3:B14508,B6258)</f>
        <v>1</v>
      </c>
      <c r="G6258" s="116"/>
    </row>
    <row r="6259" spans="1:7" x14ac:dyDescent="0.2">
      <c r="A6259" s="116">
        <f>IF(ISNUMBER(Tabela2[[#This Row],[CT-e/NFS]])=TRUE,(IF(B6259&gt;30000,4,IF(B6259&lt;1000,"ND",0))),"-")</f>
        <v>4</v>
      </c>
      <c r="B6259" s="116">
        <v>50175</v>
      </c>
      <c r="C6259" s="117">
        <v>45617</v>
      </c>
      <c r="D6259" s="116">
        <v>1245.6099999999999</v>
      </c>
      <c r="E6259" s="117">
        <v>45626</v>
      </c>
      <c r="F6259" s="116">
        <f>COUNTIFS($A$3:A14509,A6259,$B$3:B14509,B6259)</f>
        <v>1</v>
      </c>
      <c r="G6259" s="116"/>
    </row>
    <row r="6260" spans="1:7" x14ac:dyDescent="0.2">
      <c r="A6260" s="116">
        <f>IF(ISNUMBER(Tabela2[[#This Row],[CT-e/NFS]])=TRUE,(IF(B6260&gt;30000,4,IF(B6260&lt;1000,"ND",0))),"-")</f>
        <v>4</v>
      </c>
      <c r="B6260" s="116">
        <v>50166</v>
      </c>
      <c r="C6260" s="117">
        <v>45617</v>
      </c>
      <c r="D6260" s="116">
        <v>125.07</v>
      </c>
      <c r="E6260" s="117">
        <v>45626</v>
      </c>
      <c r="F6260" s="116">
        <f>COUNTIFS($A$3:A14510,A6260,$B$3:B14510,B6260)</f>
        <v>1</v>
      </c>
      <c r="G6260" s="116"/>
    </row>
    <row r="6261" spans="1:7" x14ac:dyDescent="0.2">
      <c r="A6261" s="116">
        <f>IF(ISNUMBER(Tabela2[[#This Row],[CT-e/NFS]])=TRUE,(IF(B6261&gt;30000,4,IF(B6261&lt;1000,"ND",0))),"-")</f>
        <v>4</v>
      </c>
      <c r="B6261" s="116">
        <v>50170</v>
      </c>
      <c r="C6261" s="117">
        <v>45617</v>
      </c>
      <c r="D6261" s="116">
        <v>168.14</v>
      </c>
      <c r="E6261" s="117">
        <v>45626</v>
      </c>
      <c r="F6261" s="116">
        <f>COUNTIFS($A$3:A14511,A6261,$B$3:B14511,B6261)</f>
        <v>1</v>
      </c>
      <c r="G6261" s="116"/>
    </row>
    <row r="6262" spans="1:7" x14ac:dyDescent="0.2">
      <c r="A6262" s="116">
        <f>IF(ISNUMBER(Tabela2[[#This Row],[CT-e/NFS]])=TRUE,(IF(B6262&gt;30000,4,IF(B6262&lt;1000,"ND",0))),"-")</f>
        <v>4</v>
      </c>
      <c r="B6262" s="116">
        <v>50172</v>
      </c>
      <c r="C6262" s="117">
        <v>45617</v>
      </c>
      <c r="D6262" s="116">
        <v>124.52</v>
      </c>
      <c r="E6262" s="117">
        <v>45626</v>
      </c>
      <c r="F6262" s="116">
        <f>COUNTIFS($A$3:A14512,A6262,$B$3:B14512,B6262)</f>
        <v>1</v>
      </c>
      <c r="G6262" s="116"/>
    </row>
    <row r="6263" spans="1:7" x14ac:dyDescent="0.2">
      <c r="A6263" s="116">
        <f>IF(ISNUMBER(Tabela2[[#This Row],[CT-e/NFS]])=TRUE,(IF(B6263&gt;30000,4,IF(B6263&lt;1000,"ND",0))),"-")</f>
        <v>4</v>
      </c>
      <c r="B6263" s="116">
        <v>50173</v>
      </c>
      <c r="C6263" s="117">
        <v>45617</v>
      </c>
      <c r="D6263" s="116">
        <v>243.9</v>
      </c>
      <c r="E6263" s="117">
        <v>45626</v>
      </c>
      <c r="F6263" s="116">
        <f>COUNTIFS($A$3:A14513,A6263,$B$3:B14513,B6263)</f>
        <v>1</v>
      </c>
      <c r="G6263" s="116"/>
    </row>
    <row r="6264" spans="1:7" x14ac:dyDescent="0.2">
      <c r="A6264" s="116">
        <f>IF(ISNUMBER(Tabela2[[#This Row],[CT-e/NFS]])=TRUE,(IF(B6264&gt;30000,4,IF(B6264&lt;1000,"ND",0))),"-")</f>
        <v>4</v>
      </c>
      <c r="B6264" s="116">
        <v>50169</v>
      </c>
      <c r="C6264" s="117">
        <v>45617</v>
      </c>
      <c r="D6264" s="116">
        <v>123.51</v>
      </c>
      <c r="E6264" s="117">
        <v>45626</v>
      </c>
      <c r="F6264" s="116">
        <f>COUNTIFS($A$3:A14514,A6264,$B$3:B14514,B6264)</f>
        <v>1</v>
      </c>
      <c r="G6264" s="116"/>
    </row>
    <row r="6265" spans="1:7" x14ac:dyDescent="0.2">
      <c r="A6265" s="116">
        <f>IF(ISNUMBER(Tabela2[[#This Row],[CT-e/NFS]])=TRUE,(IF(B6265&gt;30000,4,IF(B6265&lt;1000,"ND",0))),"-")</f>
        <v>4</v>
      </c>
      <c r="B6265" s="116">
        <v>50168</v>
      </c>
      <c r="C6265" s="117">
        <v>45617</v>
      </c>
      <c r="D6265" s="116">
        <v>124.3</v>
      </c>
      <c r="E6265" s="117">
        <v>45626</v>
      </c>
      <c r="F6265" s="116">
        <f>COUNTIFS($A$3:A14515,A6265,$B$3:B14515,B6265)</f>
        <v>1</v>
      </c>
      <c r="G6265" s="116"/>
    </row>
    <row r="6266" spans="1:7" x14ac:dyDescent="0.2">
      <c r="A6266" s="116">
        <f>IF(ISNUMBER(Tabela2[[#This Row],[CT-e/NFS]])=TRUE,(IF(B6266&gt;30000,4,IF(B6266&lt;1000,"ND",0))),"-")</f>
        <v>4</v>
      </c>
      <c r="B6266" s="116">
        <v>50163</v>
      </c>
      <c r="C6266" s="117">
        <v>45617</v>
      </c>
      <c r="D6266" s="116">
        <v>61.36</v>
      </c>
      <c r="E6266" s="117">
        <v>45626</v>
      </c>
      <c r="F6266" s="116">
        <f>COUNTIFS($A$3:A14516,A6266,$B$3:B14516,B6266)</f>
        <v>1</v>
      </c>
      <c r="G6266" s="116"/>
    </row>
    <row r="6267" spans="1:7" x14ac:dyDescent="0.2">
      <c r="A6267" s="116">
        <f>IF(ISNUMBER(Tabela2[[#This Row],[CT-e/NFS]])=TRUE,(IF(B6267&gt;30000,4,IF(B6267&lt;1000,"ND",0))),"-")</f>
        <v>4</v>
      </c>
      <c r="B6267" s="116">
        <v>50162</v>
      </c>
      <c r="C6267" s="117">
        <v>45617</v>
      </c>
      <c r="D6267" s="116">
        <v>61.36</v>
      </c>
      <c r="E6267" s="117">
        <v>45626</v>
      </c>
      <c r="F6267" s="116">
        <f>COUNTIFS($A$3:A14517,A6267,$B$3:B14517,B6267)</f>
        <v>1</v>
      </c>
      <c r="G6267" s="116"/>
    </row>
    <row r="6268" spans="1:7" x14ac:dyDescent="0.2">
      <c r="A6268" s="116">
        <f>IF(ISNUMBER(Tabela2[[#This Row],[CT-e/NFS]])=TRUE,(IF(B6268&gt;30000,4,IF(B6268&lt;1000,"ND",0))),"-")</f>
        <v>4</v>
      </c>
      <c r="B6268" s="116">
        <v>50185</v>
      </c>
      <c r="C6268" s="117">
        <v>45617</v>
      </c>
      <c r="D6268" s="116">
        <v>119.97</v>
      </c>
      <c r="E6268" s="117">
        <v>45626</v>
      </c>
      <c r="F6268" s="116">
        <f>COUNTIFS($A$3:A14518,A6268,$B$3:B14518,B6268)</f>
        <v>1</v>
      </c>
      <c r="G6268" s="116"/>
    </row>
    <row r="6269" spans="1:7" x14ac:dyDescent="0.2">
      <c r="A6269" s="116">
        <f>IF(ISNUMBER(Tabela2[[#This Row],[CT-e/NFS]])=TRUE,(IF(B6269&gt;30000,4,IF(B6269&lt;1000,"ND",0))),"-")</f>
        <v>0</v>
      </c>
      <c r="B6269" s="116">
        <v>22368</v>
      </c>
      <c r="C6269" s="117">
        <v>45617</v>
      </c>
      <c r="D6269" s="116">
        <v>75.81</v>
      </c>
      <c r="E6269" s="117">
        <v>45626</v>
      </c>
      <c r="F6269" s="116">
        <f>COUNTIFS($A$3:A14519,A6269,$B$3:B14519,B6269)</f>
        <v>1</v>
      </c>
      <c r="G6269" s="116"/>
    </row>
    <row r="6270" spans="1:7" x14ac:dyDescent="0.2">
      <c r="A6270" s="116">
        <f>IF(ISNUMBER(Tabela2[[#This Row],[CT-e/NFS]])=TRUE,(IF(B6270&gt;30000,4,IF(B6270&lt;1000,"ND",0))),"-")</f>
        <v>0</v>
      </c>
      <c r="B6270" s="116">
        <v>22372</v>
      </c>
      <c r="C6270" s="117">
        <v>45617</v>
      </c>
      <c r="D6270" s="116">
        <v>76.44</v>
      </c>
      <c r="E6270" s="117">
        <v>45626</v>
      </c>
      <c r="F6270" s="116">
        <f>COUNTIFS($A$3:A14520,A6270,$B$3:B14520,B6270)</f>
        <v>1</v>
      </c>
      <c r="G6270" s="116"/>
    </row>
    <row r="6271" spans="1:7" x14ac:dyDescent="0.2">
      <c r="A6271" s="116">
        <f>IF(ISNUMBER(Tabela2[[#This Row],[CT-e/NFS]])=TRUE,(IF(B6271&gt;30000,4,IF(B6271&lt;1000,"ND",0))),"-")</f>
        <v>0</v>
      </c>
      <c r="B6271" s="116">
        <v>22374</v>
      </c>
      <c r="C6271" s="117">
        <v>45617</v>
      </c>
      <c r="D6271" s="116">
        <v>76.23</v>
      </c>
      <c r="E6271" s="117">
        <v>45626</v>
      </c>
      <c r="F6271" s="116">
        <f>COUNTIFS($A$3:A14521,A6271,$B$3:B14521,B6271)</f>
        <v>1</v>
      </c>
      <c r="G6271" s="116"/>
    </row>
    <row r="6272" spans="1:7" x14ac:dyDescent="0.2">
      <c r="A6272" s="116">
        <f>IF(ISNUMBER(Tabela2[[#This Row],[CT-e/NFS]])=TRUE,(IF(B6272&gt;30000,4,IF(B6272&lt;1000,"ND",0))),"-")</f>
        <v>0</v>
      </c>
      <c r="B6272" s="116">
        <v>22371</v>
      </c>
      <c r="C6272" s="117">
        <v>45617</v>
      </c>
      <c r="D6272" s="116">
        <v>76.790000000000006</v>
      </c>
      <c r="E6272" s="117">
        <v>45626</v>
      </c>
      <c r="F6272" s="116">
        <f>COUNTIFS($A$3:A14522,A6272,$B$3:B14522,B6272)</f>
        <v>1</v>
      </c>
      <c r="G6272" s="116"/>
    </row>
    <row r="6273" spans="1:7" x14ac:dyDescent="0.2">
      <c r="A6273" s="116">
        <f>IF(ISNUMBER(Tabela2[[#This Row],[CT-e/NFS]])=TRUE,(IF(B6273&gt;30000,4,IF(B6273&lt;1000,"ND",0))),"-")</f>
        <v>0</v>
      </c>
      <c r="B6273" s="116">
        <v>22373</v>
      </c>
      <c r="C6273" s="117">
        <v>45617</v>
      </c>
      <c r="D6273" s="116">
        <v>162.80000000000001</v>
      </c>
      <c r="E6273" s="117">
        <v>45626</v>
      </c>
      <c r="F6273" s="116">
        <f>COUNTIFS($A$3:A14523,A6273,$B$3:B14523,B6273)</f>
        <v>1</v>
      </c>
      <c r="G6273" s="116"/>
    </row>
    <row r="6274" spans="1:7" x14ac:dyDescent="0.2">
      <c r="A6274" s="116">
        <f>IF(ISNUMBER(Tabela2[[#This Row],[CT-e/NFS]])=TRUE,(IF(B6274&gt;30000,4,IF(B6274&lt;1000,"ND",0))),"-")</f>
        <v>0</v>
      </c>
      <c r="B6274" s="116">
        <v>22370</v>
      </c>
      <c r="C6274" s="117">
        <v>45617</v>
      </c>
      <c r="D6274" s="116">
        <v>122.46</v>
      </c>
      <c r="E6274" s="117">
        <v>45626</v>
      </c>
      <c r="F6274" s="116">
        <f>COUNTIFS($A$3:A14524,A6274,$B$3:B14524,B6274)</f>
        <v>1</v>
      </c>
      <c r="G6274" s="116"/>
    </row>
    <row r="6275" spans="1:7" x14ac:dyDescent="0.2">
      <c r="A6275" s="116">
        <f>IF(ISNUMBER(Tabela2[[#This Row],[CT-e/NFS]])=TRUE,(IF(B6275&gt;30000,4,IF(B6275&lt;1000,"ND",0))),"-")</f>
        <v>0</v>
      </c>
      <c r="B6275" s="116">
        <v>22369</v>
      </c>
      <c r="C6275" s="117">
        <v>45617</v>
      </c>
      <c r="D6275" s="116">
        <v>76.39</v>
      </c>
      <c r="E6275" s="117">
        <v>45626</v>
      </c>
      <c r="F6275" s="116">
        <f>COUNTIFS($A$3:A14525,A6275,$B$3:B14525,B6275)</f>
        <v>1</v>
      </c>
      <c r="G6275" s="116"/>
    </row>
    <row r="6276" spans="1:7" x14ac:dyDescent="0.2">
      <c r="A6276" s="116">
        <f>IF(ISNUMBER(Tabela2[[#This Row],[CT-e/NFS]])=TRUE,(IF(B6276&gt;30000,4,IF(B6276&lt;1000,"ND",0))),"-")</f>
        <v>0</v>
      </c>
      <c r="B6276" s="116">
        <v>22375</v>
      </c>
      <c r="C6276" s="117">
        <v>45617</v>
      </c>
      <c r="D6276" s="116">
        <v>76.58</v>
      </c>
      <c r="E6276" s="117">
        <v>45626</v>
      </c>
      <c r="F6276" s="116">
        <f>COUNTIFS($A$3:A14526,A6276,$B$3:B14526,B6276)</f>
        <v>1</v>
      </c>
      <c r="G6276" s="116"/>
    </row>
    <row r="6277" spans="1:7" x14ac:dyDescent="0.2">
      <c r="A6277" s="116">
        <f>IF(ISNUMBER(Tabela2[[#This Row],[CT-e/NFS]])=TRUE,(IF(B6277&gt;30000,4,IF(B6277&lt;1000,"ND",0))),"-")</f>
        <v>4</v>
      </c>
      <c r="B6277" s="116">
        <v>50177</v>
      </c>
      <c r="C6277" s="117">
        <v>45617</v>
      </c>
      <c r="D6277" s="116">
        <v>501.84</v>
      </c>
      <c r="E6277" s="117">
        <v>45626</v>
      </c>
      <c r="F6277" s="116">
        <f>COUNTIFS($A$3:A14527,A6277,$B$3:B14527,B6277)</f>
        <v>1</v>
      </c>
      <c r="G6277" s="116"/>
    </row>
    <row r="6278" spans="1:7" x14ac:dyDescent="0.2">
      <c r="A6278" s="116">
        <f>IF(ISNUMBER(Tabela2[[#This Row],[CT-e/NFS]])=TRUE,(IF(B6278&gt;30000,4,IF(B6278&lt;1000,"ND",0))),"-")</f>
        <v>4</v>
      </c>
      <c r="B6278" s="116">
        <v>50179</v>
      </c>
      <c r="C6278" s="117">
        <v>45617</v>
      </c>
      <c r="D6278" s="116">
        <v>176.14</v>
      </c>
      <c r="E6278" s="117">
        <v>45626</v>
      </c>
      <c r="F6278" s="116">
        <f>COUNTIFS($A$3:A14528,A6278,$B$3:B14528,B6278)</f>
        <v>1</v>
      </c>
      <c r="G6278" s="116"/>
    </row>
    <row r="6279" spans="1:7" x14ac:dyDescent="0.2">
      <c r="A6279" s="116">
        <f>IF(ISNUMBER(Tabela2[[#This Row],[CT-e/NFS]])=TRUE,(IF(B6279&gt;30000,4,IF(B6279&lt;1000,"ND",0))),"-")</f>
        <v>4</v>
      </c>
      <c r="B6279" s="116">
        <v>50178</v>
      </c>
      <c r="C6279" s="117">
        <v>45617</v>
      </c>
      <c r="D6279" s="116">
        <v>921.13</v>
      </c>
      <c r="E6279" s="117">
        <v>45626</v>
      </c>
      <c r="F6279" s="116">
        <f>COUNTIFS($A$3:A14529,A6279,$B$3:B14529,B6279)</f>
        <v>1</v>
      </c>
      <c r="G6279" s="116"/>
    </row>
    <row r="6280" spans="1:7" x14ac:dyDescent="0.2">
      <c r="A6280" s="116">
        <f>IF(ISNUMBER(Tabela2[[#This Row],[CT-e/NFS]])=TRUE,(IF(B6280&gt;30000,4,IF(B6280&lt;1000,"ND",0))),"-")</f>
        <v>4</v>
      </c>
      <c r="B6280" s="116">
        <v>50161</v>
      </c>
      <c r="C6280" s="117">
        <v>45617</v>
      </c>
      <c r="D6280" s="116">
        <v>176.14</v>
      </c>
      <c r="E6280" s="117">
        <v>45626</v>
      </c>
      <c r="F6280" s="116">
        <f>COUNTIFS($A$3:A14530,A6280,$B$3:B14530,B6280)</f>
        <v>1</v>
      </c>
      <c r="G6280" s="116"/>
    </row>
    <row r="6281" spans="1:7" x14ac:dyDescent="0.2">
      <c r="A6281" s="116">
        <f>IF(ISNUMBER(Tabela2[[#This Row],[CT-e/NFS]])=TRUE,(IF(B6281&gt;30000,4,IF(B6281&lt;1000,"ND",0))),"-")</f>
        <v>4</v>
      </c>
      <c r="B6281" s="116">
        <v>50180</v>
      </c>
      <c r="C6281" s="117">
        <v>45617</v>
      </c>
      <c r="D6281" s="116">
        <v>119.34</v>
      </c>
      <c r="E6281" s="117">
        <v>45626</v>
      </c>
      <c r="F6281" s="116">
        <f>COUNTIFS($A$3:A14531,A6281,$B$3:B14531,B6281)</f>
        <v>1</v>
      </c>
      <c r="G6281" s="116"/>
    </row>
    <row r="6282" spans="1:7" x14ac:dyDescent="0.2">
      <c r="A6282" s="116">
        <f>IF(ISNUMBER(Tabela2[[#This Row],[CT-e/NFS]])=TRUE,(IF(B6282&gt;30000,4,IF(B6282&lt;1000,"ND",0))),"-")</f>
        <v>4</v>
      </c>
      <c r="B6282" s="116">
        <v>50181</v>
      </c>
      <c r="C6282" s="117">
        <v>45617</v>
      </c>
      <c r="D6282" s="116">
        <v>214.82</v>
      </c>
      <c r="E6282" s="117">
        <v>45626</v>
      </c>
      <c r="F6282" s="116">
        <f>COUNTIFS($A$3:A14532,A6282,$B$3:B14532,B6282)</f>
        <v>1</v>
      </c>
      <c r="G6282" s="116"/>
    </row>
    <row r="6283" spans="1:7" x14ac:dyDescent="0.2">
      <c r="A6283" s="116">
        <f>IF(ISNUMBER(Tabela2[[#This Row],[CT-e/NFS]])=TRUE,(IF(B6283&gt;30000,4,IF(B6283&lt;1000,"ND",0))),"-")</f>
        <v>4</v>
      </c>
      <c r="B6283" s="116">
        <v>50184</v>
      </c>
      <c r="C6283" s="117">
        <v>45617</v>
      </c>
      <c r="D6283" s="116">
        <v>111.91</v>
      </c>
      <c r="E6283" s="117">
        <v>45626</v>
      </c>
      <c r="F6283" s="116">
        <f>COUNTIFS($A$3:A14533,A6283,$B$3:B14533,B6283)</f>
        <v>1</v>
      </c>
      <c r="G6283" s="116"/>
    </row>
    <row r="6284" spans="1:7" x14ac:dyDescent="0.2">
      <c r="A6284" s="116">
        <f>IF(ISNUMBER(Tabela2[[#This Row],[CT-e/NFS]])=TRUE,(IF(B6284&gt;30000,4,IF(B6284&lt;1000,"ND",0))),"-")</f>
        <v>4</v>
      </c>
      <c r="B6284" s="116">
        <v>50189</v>
      </c>
      <c r="C6284" s="117">
        <v>45617</v>
      </c>
      <c r="D6284" s="116">
        <v>269.97000000000003</v>
      </c>
      <c r="E6284" s="117">
        <v>45626</v>
      </c>
      <c r="F6284" s="116">
        <f>COUNTIFS($A$3:A14534,A6284,$B$3:B14534,B6284)</f>
        <v>1</v>
      </c>
      <c r="G6284" s="116"/>
    </row>
    <row r="6285" spans="1:7" x14ac:dyDescent="0.2">
      <c r="A6285" s="116">
        <f>IF(ISNUMBER(Tabela2[[#This Row],[CT-e/NFS]])=TRUE,(IF(B6285&gt;30000,4,IF(B6285&lt;1000,"ND",0))),"-")</f>
        <v>4</v>
      </c>
      <c r="B6285" s="116">
        <v>50188</v>
      </c>
      <c r="C6285" s="117">
        <v>45617</v>
      </c>
      <c r="D6285" s="116">
        <v>641.86</v>
      </c>
      <c r="E6285" s="117">
        <v>45626</v>
      </c>
      <c r="F6285" s="116">
        <f>COUNTIFS($A$3:A14535,A6285,$B$3:B14535,B6285)</f>
        <v>1</v>
      </c>
      <c r="G6285" s="116"/>
    </row>
    <row r="6286" spans="1:7" x14ac:dyDescent="0.2">
      <c r="A6286" s="116">
        <f>IF(ISNUMBER(Tabela2[[#This Row],[CT-e/NFS]])=TRUE,(IF(B6286&gt;30000,4,IF(B6286&lt;1000,"ND",0))),"-")</f>
        <v>4</v>
      </c>
      <c r="B6286" s="116">
        <v>50187</v>
      </c>
      <c r="C6286" s="117">
        <v>45617</v>
      </c>
      <c r="D6286" s="116">
        <v>225.9</v>
      </c>
      <c r="E6286" s="117">
        <v>45626</v>
      </c>
      <c r="F6286" s="116">
        <f>COUNTIFS($A$3:A14536,A6286,$B$3:B14536,B6286)</f>
        <v>1</v>
      </c>
      <c r="G6286" s="116"/>
    </row>
    <row r="6287" spans="1:7" x14ac:dyDescent="0.2">
      <c r="A6287" s="116">
        <f>IF(ISNUMBER(Tabela2[[#This Row],[CT-e/NFS]])=TRUE,(IF(B6287&gt;30000,4,IF(B6287&lt;1000,"ND",0))),"-")</f>
        <v>4</v>
      </c>
      <c r="B6287" s="116">
        <v>50198</v>
      </c>
      <c r="C6287" s="117">
        <v>45617</v>
      </c>
      <c r="D6287" s="116">
        <v>238.82</v>
      </c>
      <c r="E6287" s="117">
        <v>45626</v>
      </c>
      <c r="F6287" s="116">
        <f>COUNTIFS($A$3:A14537,A6287,$B$3:B14537,B6287)</f>
        <v>1</v>
      </c>
      <c r="G6287" s="116"/>
    </row>
    <row r="6288" spans="1:7" x14ac:dyDescent="0.2">
      <c r="A6288" s="116">
        <f>IF(ISNUMBER(Tabela2[[#This Row],[CT-e/NFS]])=TRUE,(IF(B6288&gt;30000,4,IF(B6288&lt;1000,"ND",0))),"-")</f>
        <v>4</v>
      </c>
      <c r="B6288" s="116">
        <v>50197</v>
      </c>
      <c r="C6288" s="117">
        <v>45617</v>
      </c>
      <c r="D6288" s="116">
        <v>260.85000000000002</v>
      </c>
      <c r="E6288" s="117">
        <v>45626</v>
      </c>
      <c r="F6288" s="116">
        <f>COUNTIFS($A$3:A14538,A6288,$B$3:B14538,B6288)</f>
        <v>1</v>
      </c>
      <c r="G6288" s="116"/>
    </row>
    <row r="6289" spans="1:7" x14ac:dyDescent="0.2">
      <c r="A6289" s="116">
        <f>IF(ISNUMBER(Tabela2[[#This Row],[CT-e/NFS]])=TRUE,(IF(B6289&gt;30000,4,IF(B6289&lt;1000,"ND",0))),"-")</f>
        <v>4</v>
      </c>
      <c r="B6289" s="116">
        <v>50196</v>
      </c>
      <c r="C6289" s="117">
        <v>45617</v>
      </c>
      <c r="D6289" s="116">
        <v>240.41</v>
      </c>
      <c r="E6289" s="117">
        <v>45626</v>
      </c>
      <c r="F6289" s="116">
        <f>COUNTIFS($A$3:A14539,A6289,$B$3:B14539,B6289)</f>
        <v>1</v>
      </c>
      <c r="G6289" s="116"/>
    </row>
    <row r="6290" spans="1:7" x14ac:dyDescent="0.2">
      <c r="A6290" s="116">
        <f>IF(ISNUMBER(Tabela2[[#This Row],[CT-e/NFS]])=TRUE,(IF(B6290&gt;30000,4,IF(B6290&lt;1000,"ND",0))),"-")</f>
        <v>4</v>
      </c>
      <c r="B6290" s="116">
        <v>50206</v>
      </c>
      <c r="C6290" s="117">
        <v>45617</v>
      </c>
      <c r="D6290" s="116">
        <v>216.07</v>
      </c>
      <c r="E6290" s="117">
        <v>45626</v>
      </c>
      <c r="F6290" s="116">
        <f>COUNTIFS($A$3:A14540,A6290,$B$3:B14540,B6290)</f>
        <v>1</v>
      </c>
      <c r="G6290" s="116"/>
    </row>
    <row r="6291" spans="1:7" x14ac:dyDescent="0.2">
      <c r="A6291" s="116">
        <f>IF(ISNUMBER(Tabela2[[#This Row],[CT-e/NFS]])=TRUE,(IF(B6291&gt;30000,4,IF(B6291&lt;1000,"ND",0))),"-")</f>
        <v>4</v>
      </c>
      <c r="B6291" s="116">
        <v>50204</v>
      </c>
      <c r="C6291" s="117">
        <v>45617</v>
      </c>
      <c r="D6291" s="116">
        <v>124.26</v>
      </c>
      <c r="E6291" s="117">
        <v>45626</v>
      </c>
      <c r="F6291" s="116">
        <f>COUNTIFS($A$3:A14541,A6291,$B$3:B14541,B6291)</f>
        <v>1</v>
      </c>
      <c r="G6291" s="116"/>
    </row>
    <row r="6292" spans="1:7" x14ac:dyDescent="0.2">
      <c r="A6292" s="116">
        <f>IF(ISNUMBER(Tabela2[[#This Row],[CT-e/NFS]])=TRUE,(IF(B6292&gt;30000,4,IF(B6292&lt;1000,"ND",0))),"-")</f>
        <v>4</v>
      </c>
      <c r="B6292" s="116">
        <v>50208</v>
      </c>
      <c r="C6292" s="117">
        <v>45617</v>
      </c>
      <c r="D6292" s="116">
        <v>396.45</v>
      </c>
      <c r="E6292" s="117">
        <v>45626</v>
      </c>
      <c r="F6292" s="116">
        <f>COUNTIFS($A$3:A14542,A6292,$B$3:B14542,B6292)</f>
        <v>1</v>
      </c>
      <c r="G6292" s="116"/>
    </row>
    <row r="6293" spans="1:7" x14ac:dyDescent="0.2">
      <c r="A6293" s="116">
        <f>IF(ISNUMBER(Tabela2[[#This Row],[CT-e/NFS]])=TRUE,(IF(B6293&gt;30000,4,IF(B6293&lt;1000,"ND",0))),"-")</f>
        <v>4</v>
      </c>
      <c r="B6293" s="116">
        <v>50202</v>
      </c>
      <c r="C6293" s="117">
        <v>45617</v>
      </c>
      <c r="D6293" s="116">
        <v>124.07</v>
      </c>
      <c r="E6293" s="117">
        <v>45626</v>
      </c>
      <c r="F6293" s="116">
        <f>COUNTIFS($A$3:A14545,A6293,$B$3:B14545,B6293)</f>
        <v>1</v>
      </c>
      <c r="G6293" s="116"/>
    </row>
    <row r="6294" spans="1:7" x14ac:dyDescent="0.2">
      <c r="A6294" s="116">
        <f>IF(ISNUMBER(Tabela2[[#This Row],[CT-e/NFS]])=TRUE,(IF(B6294&gt;30000,4,IF(B6294&lt;1000,"ND",0))),"-")</f>
        <v>4</v>
      </c>
      <c r="B6294" s="116">
        <v>50203</v>
      </c>
      <c r="C6294" s="117">
        <v>45617</v>
      </c>
      <c r="D6294" s="116">
        <v>246.33</v>
      </c>
      <c r="E6294" s="117">
        <v>45626</v>
      </c>
      <c r="F6294" s="116">
        <f>COUNTIFS($A$3:A14546,A6294,$B$3:B14546,B6294)</f>
        <v>1</v>
      </c>
      <c r="G6294" s="116"/>
    </row>
    <row r="6295" spans="1:7" x14ac:dyDescent="0.2">
      <c r="A6295" s="116">
        <f>IF(ISNUMBER(Tabela2[[#This Row],[CT-e/NFS]])=TRUE,(IF(B6295&gt;30000,4,IF(B6295&lt;1000,"ND",0))),"-")</f>
        <v>4</v>
      </c>
      <c r="B6295" s="116">
        <v>50190</v>
      </c>
      <c r="C6295" s="117">
        <v>45617</v>
      </c>
      <c r="D6295" s="116">
        <v>609.98</v>
      </c>
      <c r="E6295" s="117">
        <v>45626</v>
      </c>
      <c r="F6295" s="116">
        <f>COUNTIFS($A$3:A14547,A6295,$B$3:B14547,B6295)</f>
        <v>1</v>
      </c>
      <c r="G6295" s="116"/>
    </row>
    <row r="6296" spans="1:7" x14ac:dyDescent="0.2">
      <c r="A6296" s="116">
        <f>IF(ISNUMBER(Tabela2[[#This Row],[CT-e/NFS]])=TRUE,(IF(B6296&gt;30000,4,IF(B6296&lt;1000,"ND",0))),"-")</f>
        <v>4</v>
      </c>
      <c r="B6296" s="116">
        <v>50199</v>
      </c>
      <c r="C6296" s="117">
        <v>45617</v>
      </c>
      <c r="D6296" s="116">
        <v>126.6</v>
      </c>
      <c r="E6296" s="117">
        <v>45626</v>
      </c>
      <c r="F6296" s="116">
        <f>COUNTIFS($A$3:A14548,A6296,$B$3:B14548,B6296)</f>
        <v>1</v>
      </c>
      <c r="G6296" s="116"/>
    </row>
    <row r="6297" spans="1:7" x14ac:dyDescent="0.2">
      <c r="A6297" s="116">
        <f>IF(ISNUMBER(Tabela2[[#This Row],[CT-e/NFS]])=TRUE,(IF(B6297&gt;30000,4,IF(B6297&lt;1000,"ND",0))),"-")</f>
        <v>4</v>
      </c>
      <c r="B6297" s="116">
        <v>50205</v>
      </c>
      <c r="C6297" s="117">
        <v>45617</v>
      </c>
      <c r="D6297" s="116">
        <v>394.14</v>
      </c>
      <c r="E6297" s="117">
        <v>45626</v>
      </c>
      <c r="F6297" s="116">
        <f>COUNTIFS($A$3:A14549,A6297,$B$3:B14549,B6297)</f>
        <v>1</v>
      </c>
      <c r="G6297" s="116"/>
    </row>
    <row r="6298" spans="1:7" x14ac:dyDescent="0.2">
      <c r="A6298" s="116">
        <f>IF(ISNUMBER(Tabela2[[#This Row],[CT-e/NFS]])=TRUE,(IF(B6298&gt;30000,4,IF(B6298&lt;1000,"ND",0))),"-")</f>
        <v>4</v>
      </c>
      <c r="B6298" s="116">
        <v>50195</v>
      </c>
      <c r="C6298" s="117">
        <v>45617</v>
      </c>
      <c r="D6298" s="116">
        <v>364</v>
      </c>
      <c r="E6298" s="117">
        <v>45626</v>
      </c>
      <c r="F6298" s="116">
        <f>COUNTIFS($A$3:A14550,A6298,$B$3:B14550,B6298)</f>
        <v>1</v>
      </c>
      <c r="G6298" s="116"/>
    </row>
    <row r="6299" spans="1:7" x14ac:dyDescent="0.2">
      <c r="A6299" s="116">
        <f>IF(ISNUMBER(Tabela2[[#This Row],[CT-e/NFS]])=TRUE,(IF(B6299&gt;30000,4,IF(B6299&lt;1000,"ND",0))),"-")</f>
        <v>4</v>
      </c>
      <c r="B6299" s="116">
        <v>50191</v>
      </c>
      <c r="C6299" s="117">
        <v>45617</v>
      </c>
      <c r="D6299" s="116">
        <v>274.77999999999997</v>
      </c>
      <c r="E6299" s="117">
        <v>45626</v>
      </c>
      <c r="F6299" s="116">
        <f>COUNTIFS($A$3:A14551,A6299,$B$3:B14551,B6299)</f>
        <v>1</v>
      </c>
      <c r="G6299" s="116"/>
    </row>
    <row r="6300" spans="1:7" x14ac:dyDescent="0.2">
      <c r="A6300" s="116">
        <f>IF(ISNUMBER(Tabela2[[#This Row],[CT-e/NFS]])=TRUE,(IF(B6300&gt;30000,4,IF(B6300&lt;1000,"ND",0))),"-")</f>
        <v>4</v>
      </c>
      <c r="B6300" s="116">
        <v>50192</v>
      </c>
      <c r="C6300" s="117">
        <v>45617</v>
      </c>
      <c r="D6300" s="116">
        <v>160.07</v>
      </c>
      <c r="E6300" s="117">
        <v>45626</v>
      </c>
      <c r="F6300" s="116">
        <f>COUNTIFS($A$3:A14552,A6300,$B$3:B14552,B6300)</f>
        <v>1</v>
      </c>
      <c r="G6300" s="116"/>
    </row>
    <row r="6301" spans="1:7" x14ac:dyDescent="0.2">
      <c r="A6301" s="116">
        <f>IF(ISNUMBER(Tabela2[[#This Row],[CT-e/NFS]])=TRUE,(IF(B6301&gt;30000,4,IF(B6301&lt;1000,"ND",0))),"-")</f>
        <v>4</v>
      </c>
      <c r="B6301" s="116">
        <v>50194</v>
      </c>
      <c r="C6301" s="117">
        <v>45617</v>
      </c>
      <c r="D6301" s="116">
        <v>355.11</v>
      </c>
      <c r="E6301" s="117">
        <v>45626</v>
      </c>
      <c r="F6301" s="116">
        <f>COUNTIFS($A$3:A14553,A6301,$B$3:B14553,B6301)</f>
        <v>1</v>
      </c>
      <c r="G6301" s="116"/>
    </row>
    <row r="6302" spans="1:7" x14ac:dyDescent="0.2">
      <c r="A6302" s="116">
        <f>IF(ISNUMBER(Tabela2[[#This Row],[CT-e/NFS]])=TRUE,(IF(B6302&gt;30000,4,IF(B6302&lt;1000,"ND",0))),"-")</f>
        <v>4</v>
      </c>
      <c r="B6302" s="116">
        <v>50193</v>
      </c>
      <c r="C6302" s="117">
        <v>45617</v>
      </c>
      <c r="D6302" s="116">
        <v>283.85000000000002</v>
      </c>
      <c r="E6302" s="117">
        <v>45626</v>
      </c>
      <c r="F6302" s="116">
        <f>COUNTIFS($A$3:A14554,A6302,$B$3:B14554,B6302)</f>
        <v>1</v>
      </c>
      <c r="G6302" s="116"/>
    </row>
    <row r="6303" spans="1:7" x14ac:dyDescent="0.2">
      <c r="A6303" s="116">
        <f>IF(ISNUMBER(Tabela2[[#This Row],[CT-e/NFS]])=TRUE,(IF(B6303&gt;30000,4,IF(B6303&lt;1000,"ND",0))),"-")</f>
        <v>4</v>
      </c>
      <c r="B6303" s="116">
        <v>50210</v>
      </c>
      <c r="C6303" s="117">
        <v>45617</v>
      </c>
      <c r="D6303" s="116">
        <v>702.74</v>
      </c>
      <c r="E6303" s="117">
        <v>45626</v>
      </c>
      <c r="F6303" s="116">
        <f>COUNTIFS($A$3:A14555,A6303,$B$3:B14555,B6303)</f>
        <v>1</v>
      </c>
      <c r="G6303" s="116"/>
    </row>
    <row r="6304" spans="1:7" x14ac:dyDescent="0.2">
      <c r="A6304" s="116">
        <f>IF(ISNUMBER(Tabela2[[#This Row],[CT-e/NFS]])=TRUE,(IF(B6304&gt;30000,4,IF(B6304&lt;1000,"ND",0))),"-")</f>
        <v>0</v>
      </c>
      <c r="B6304" s="116">
        <v>22384</v>
      </c>
      <c r="C6304" s="117">
        <v>45617</v>
      </c>
      <c r="D6304" s="116">
        <v>77.2</v>
      </c>
      <c r="E6304" s="117">
        <v>45626</v>
      </c>
      <c r="F6304" s="116">
        <f>COUNTIFS($A$3:A14557,A6304,$B$3:B14557,B6304)</f>
        <v>1</v>
      </c>
      <c r="G6304" s="116"/>
    </row>
    <row r="6305" spans="1:7" x14ac:dyDescent="0.2">
      <c r="A6305" s="116">
        <f>IF(ISNUMBER(Tabela2[[#This Row],[CT-e/NFS]])=TRUE,(IF(B6305&gt;30000,4,IF(B6305&lt;1000,"ND",0))),"-")</f>
        <v>0</v>
      </c>
      <c r="B6305" s="116">
        <v>22383</v>
      </c>
      <c r="C6305" s="117">
        <v>45617</v>
      </c>
      <c r="D6305" s="116">
        <v>244.92</v>
      </c>
      <c r="E6305" s="117">
        <v>45626</v>
      </c>
      <c r="F6305" s="116">
        <f>COUNTIFS($A$3:A14558,A6305,$B$3:B14558,B6305)</f>
        <v>1</v>
      </c>
      <c r="G6305" s="116"/>
    </row>
    <row r="6306" spans="1:7" x14ac:dyDescent="0.2">
      <c r="A6306" s="116">
        <f>IF(ISNUMBER(Tabela2[[#This Row],[CT-e/NFS]])=TRUE,(IF(B6306&gt;30000,4,IF(B6306&lt;1000,"ND",0))),"-")</f>
        <v>0</v>
      </c>
      <c r="B6306" s="116">
        <v>22380</v>
      </c>
      <c r="C6306" s="117">
        <v>45617</v>
      </c>
      <c r="D6306" s="116">
        <v>79.27</v>
      </c>
      <c r="E6306" s="117">
        <v>45626</v>
      </c>
      <c r="F6306" s="116">
        <f>COUNTIFS($A$3:A14559,A6306,$B$3:B14559,B6306)</f>
        <v>1</v>
      </c>
      <c r="G6306" s="116"/>
    </row>
    <row r="6307" spans="1:7" x14ac:dyDescent="0.2">
      <c r="A6307" s="116">
        <f>IF(ISNUMBER(Tabela2[[#This Row],[CT-e/NFS]])=TRUE,(IF(B6307&gt;30000,4,IF(B6307&lt;1000,"ND",0))),"-")</f>
        <v>0</v>
      </c>
      <c r="B6307" s="116">
        <v>22382</v>
      </c>
      <c r="C6307" s="117">
        <v>45617</v>
      </c>
      <c r="D6307" s="116">
        <v>76.95</v>
      </c>
      <c r="E6307" s="117">
        <v>45626</v>
      </c>
      <c r="F6307" s="116">
        <f>COUNTIFS($A$3:A14560,A6307,$B$3:B14560,B6307)</f>
        <v>1</v>
      </c>
      <c r="G6307" s="116"/>
    </row>
    <row r="6308" spans="1:7" x14ac:dyDescent="0.2">
      <c r="A6308" s="116">
        <f>IF(ISNUMBER(Tabela2[[#This Row],[CT-e/NFS]])=TRUE,(IF(B6308&gt;30000,4,IF(B6308&lt;1000,"ND",0))),"-")</f>
        <v>0</v>
      </c>
      <c r="B6308" s="116">
        <v>22379</v>
      </c>
      <c r="C6308" s="117">
        <v>45617</v>
      </c>
      <c r="D6308" s="116">
        <v>76.92</v>
      </c>
      <c r="E6308" s="117">
        <v>45626</v>
      </c>
      <c r="F6308" s="116">
        <f>COUNTIFS($A$3:A14561,A6308,$B$3:B14561,B6308)</f>
        <v>1</v>
      </c>
      <c r="G6308" s="116"/>
    </row>
    <row r="6309" spans="1:7" x14ac:dyDescent="0.2">
      <c r="A6309" s="116">
        <f>IF(ISNUMBER(Tabela2[[#This Row],[CT-e/NFS]])=TRUE,(IF(B6309&gt;30000,4,IF(B6309&lt;1000,"ND",0))),"-")</f>
        <v>0</v>
      </c>
      <c r="B6309" s="116">
        <v>22381</v>
      </c>
      <c r="C6309" s="117">
        <v>45617</v>
      </c>
      <c r="D6309" s="116">
        <v>77.040000000000006</v>
      </c>
      <c r="E6309" s="117">
        <v>45626</v>
      </c>
      <c r="F6309" s="116">
        <f>COUNTIFS($A$3:A14562,A6309,$B$3:B14562,B6309)</f>
        <v>1</v>
      </c>
      <c r="G6309" s="116"/>
    </row>
    <row r="6310" spans="1:7" x14ac:dyDescent="0.2">
      <c r="A6310" s="116">
        <f>IF(ISNUMBER(Tabela2[[#This Row],[CT-e/NFS]])=TRUE,(IF(B6310&gt;30000,4,IF(B6310&lt;1000,"ND",0))),"-")</f>
        <v>0</v>
      </c>
      <c r="B6310" s="116">
        <v>22378</v>
      </c>
      <c r="C6310" s="117">
        <v>45617</v>
      </c>
      <c r="D6310" s="116">
        <v>76.36</v>
      </c>
      <c r="E6310" s="117">
        <v>45626</v>
      </c>
      <c r="F6310" s="116">
        <f>COUNTIFS($A$3:A14563,A6310,$B$3:B14563,B6310)</f>
        <v>1</v>
      </c>
      <c r="G6310" s="116"/>
    </row>
    <row r="6311" spans="1:7" x14ac:dyDescent="0.2">
      <c r="A6311" s="116">
        <f>IF(ISNUMBER(Tabela2[[#This Row],[CT-e/NFS]])=TRUE,(IF(B6311&gt;30000,4,IF(B6311&lt;1000,"ND",0))),"-")</f>
        <v>4</v>
      </c>
      <c r="B6311" s="116">
        <v>50231</v>
      </c>
      <c r="C6311" s="117">
        <v>45617</v>
      </c>
      <c r="D6311" s="116">
        <v>2010.86</v>
      </c>
      <c r="E6311" s="117">
        <v>45626</v>
      </c>
      <c r="F6311" s="116">
        <f>COUNTIFS($A$3:A14564,A6311,$B$3:B14564,B6311)</f>
        <v>1</v>
      </c>
      <c r="G6311" s="116"/>
    </row>
    <row r="6312" spans="1:7" x14ac:dyDescent="0.2">
      <c r="A6312" s="116">
        <f>IF(ISNUMBER(Tabela2[[#This Row],[CT-e/NFS]])=TRUE,(IF(B6312&gt;30000,4,IF(B6312&lt;1000,"ND",0))),"-")</f>
        <v>4</v>
      </c>
      <c r="B6312" s="116">
        <v>50229</v>
      </c>
      <c r="C6312" s="117">
        <v>45617</v>
      </c>
      <c r="D6312" s="116">
        <v>238.73</v>
      </c>
      <c r="E6312" s="117">
        <v>45626</v>
      </c>
      <c r="F6312" s="116">
        <f>COUNTIFS($A$3:A14565,A6312,$B$3:B14565,B6312)</f>
        <v>1</v>
      </c>
      <c r="G6312" s="116"/>
    </row>
    <row r="6313" spans="1:7" x14ac:dyDescent="0.2">
      <c r="A6313" s="116">
        <f>IF(ISNUMBER(Tabela2[[#This Row],[CT-e/NFS]])=TRUE,(IF(B6313&gt;30000,4,IF(B6313&lt;1000,"ND",0))),"-")</f>
        <v>4</v>
      </c>
      <c r="B6313" s="116">
        <v>50221</v>
      </c>
      <c r="C6313" s="117">
        <v>45617</v>
      </c>
      <c r="D6313" s="116">
        <v>122.92</v>
      </c>
      <c r="E6313" s="117">
        <v>45626</v>
      </c>
      <c r="F6313" s="116">
        <f>COUNTIFS($A$3:A14566,A6313,$B$3:B14566,B6313)</f>
        <v>1</v>
      </c>
      <c r="G6313" s="116"/>
    </row>
    <row r="6314" spans="1:7" x14ac:dyDescent="0.2">
      <c r="A6314" s="116">
        <f>IF(ISNUMBER(Tabela2[[#This Row],[CT-e/NFS]])=TRUE,(IF(B6314&gt;30000,4,IF(B6314&lt;1000,"ND",0))),"-")</f>
        <v>4</v>
      </c>
      <c r="B6314" s="116">
        <v>50227</v>
      </c>
      <c r="C6314" s="117">
        <v>45617</v>
      </c>
      <c r="D6314" s="116">
        <v>241.26</v>
      </c>
      <c r="E6314" s="117">
        <v>45626</v>
      </c>
      <c r="F6314" s="116">
        <f>COUNTIFS($A$3:A14567,A6314,$B$3:B14567,B6314)</f>
        <v>1</v>
      </c>
      <c r="G6314" s="116"/>
    </row>
    <row r="6315" spans="1:7" x14ac:dyDescent="0.2">
      <c r="A6315" s="116">
        <f>IF(ISNUMBER(Tabela2[[#This Row],[CT-e/NFS]])=TRUE,(IF(B6315&gt;30000,4,IF(B6315&lt;1000,"ND",0))),"-")</f>
        <v>4</v>
      </c>
      <c r="B6315" s="116">
        <v>50226</v>
      </c>
      <c r="C6315" s="117">
        <v>45617</v>
      </c>
      <c r="D6315" s="116">
        <v>124.05</v>
      </c>
      <c r="E6315" s="117">
        <v>45626</v>
      </c>
      <c r="F6315" s="116">
        <f>COUNTIFS($A$3:A14568,A6315,$B$3:B14568,B6315)</f>
        <v>1</v>
      </c>
      <c r="G6315" s="116"/>
    </row>
    <row r="6316" spans="1:7" x14ac:dyDescent="0.2">
      <c r="A6316" s="116">
        <f>IF(ISNUMBER(Tabela2[[#This Row],[CT-e/NFS]])=TRUE,(IF(B6316&gt;30000,4,IF(B6316&lt;1000,"ND",0))),"-")</f>
        <v>4</v>
      </c>
      <c r="B6316" s="116">
        <v>50228</v>
      </c>
      <c r="C6316" s="117">
        <v>45617</v>
      </c>
      <c r="D6316" s="116">
        <v>240.24</v>
      </c>
      <c r="E6316" s="117">
        <v>45626</v>
      </c>
      <c r="F6316" s="116">
        <f>COUNTIFS($A$3:A14569,A6316,$B$3:B14569,B6316)</f>
        <v>1</v>
      </c>
      <c r="G6316" s="116"/>
    </row>
    <row r="6317" spans="1:7" x14ac:dyDescent="0.2">
      <c r="A6317" s="116">
        <f>IF(ISNUMBER(Tabela2[[#This Row],[CT-e/NFS]])=TRUE,(IF(B6317&gt;30000,4,IF(B6317&lt;1000,"ND",0))),"-")</f>
        <v>4</v>
      </c>
      <c r="B6317" s="116">
        <v>50225</v>
      </c>
      <c r="C6317" s="117">
        <v>45617</v>
      </c>
      <c r="D6317" s="116">
        <v>240.47</v>
      </c>
      <c r="E6317" s="117">
        <v>45626</v>
      </c>
      <c r="F6317" s="116">
        <f>COUNTIFS($A$3:A14570,A6317,$B$3:B14570,B6317)</f>
        <v>1</v>
      </c>
      <c r="G6317" s="116"/>
    </row>
    <row r="6318" spans="1:7" x14ac:dyDescent="0.2">
      <c r="A6318" s="116">
        <f>IF(ISNUMBER(Tabela2[[#This Row],[CT-e/NFS]])=TRUE,(IF(B6318&gt;30000,4,IF(B6318&lt;1000,"ND",0))),"-")</f>
        <v>4</v>
      </c>
      <c r="B6318" s="116">
        <v>50222</v>
      </c>
      <c r="C6318" s="117">
        <v>45617</v>
      </c>
      <c r="D6318" s="116">
        <v>125.52</v>
      </c>
      <c r="E6318" s="117">
        <v>45626</v>
      </c>
      <c r="F6318" s="116">
        <f>COUNTIFS($A$3:A14571,A6318,$B$3:B14571,B6318)</f>
        <v>1</v>
      </c>
      <c r="G6318" s="116"/>
    </row>
    <row r="6319" spans="1:7" x14ac:dyDescent="0.2">
      <c r="A6319" s="116">
        <f>IF(ISNUMBER(Tabela2[[#This Row],[CT-e/NFS]])=TRUE,(IF(B6319&gt;30000,4,IF(B6319&lt;1000,"ND",0))),"-")</f>
        <v>4</v>
      </c>
      <c r="B6319" s="116">
        <v>50216</v>
      </c>
      <c r="C6319" s="117">
        <v>45617</v>
      </c>
      <c r="D6319" s="116">
        <v>124.68</v>
      </c>
      <c r="E6319" s="117">
        <v>45626</v>
      </c>
      <c r="F6319" s="116">
        <f>COUNTIFS($A$3:A14572,A6319,$B$3:B14572,B6319)</f>
        <v>1</v>
      </c>
      <c r="G6319" s="116"/>
    </row>
    <row r="6320" spans="1:7" x14ac:dyDescent="0.2">
      <c r="A6320" s="116">
        <f>IF(ISNUMBER(Tabela2[[#This Row],[CT-e/NFS]])=TRUE,(IF(B6320&gt;30000,4,IF(B6320&lt;1000,"ND",0))),"-")</f>
        <v>4</v>
      </c>
      <c r="B6320" s="116">
        <v>50224</v>
      </c>
      <c r="C6320" s="117">
        <v>45617</v>
      </c>
      <c r="D6320" s="116">
        <v>231.08</v>
      </c>
      <c r="E6320" s="117">
        <v>45626</v>
      </c>
      <c r="F6320" s="116">
        <f>COUNTIFS($A$3:A14573,A6320,$B$3:B14573,B6320)</f>
        <v>1</v>
      </c>
      <c r="G6320" s="116"/>
    </row>
    <row r="6321" spans="1:7" x14ac:dyDescent="0.2">
      <c r="A6321" s="116">
        <f>IF(ISNUMBER(Tabela2[[#This Row],[CT-e/NFS]])=TRUE,(IF(B6321&gt;30000,4,IF(B6321&lt;1000,"ND",0))),"-")</f>
        <v>4</v>
      </c>
      <c r="B6321" s="116">
        <v>50223</v>
      </c>
      <c r="C6321" s="117">
        <v>45617</v>
      </c>
      <c r="D6321" s="116">
        <v>125.81</v>
      </c>
      <c r="E6321" s="117">
        <v>45626</v>
      </c>
      <c r="F6321" s="116">
        <f>COUNTIFS($A$3:A14574,A6321,$B$3:B14574,B6321)</f>
        <v>1</v>
      </c>
      <c r="G6321" s="116"/>
    </row>
    <row r="6322" spans="1:7" x14ac:dyDescent="0.2">
      <c r="A6322" s="116">
        <f>IF(ISNUMBER(Tabela2[[#This Row],[CT-e/NFS]])=TRUE,(IF(B6322&gt;30000,4,IF(B6322&lt;1000,"ND",0))),"-")</f>
        <v>4</v>
      </c>
      <c r="B6322" s="116">
        <v>50212</v>
      </c>
      <c r="C6322" s="117">
        <v>45617</v>
      </c>
      <c r="D6322" s="116">
        <v>1245.6099999999999</v>
      </c>
      <c r="E6322" s="117">
        <v>45626</v>
      </c>
      <c r="F6322" s="116">
        <f>COUNTIFS($A$3:A14575,A6322,$B$3:B14575,B6322)</f>
        <v>1</v>
      </c>
      <c r="G6322" s="116"/>
    </row>
    <row r="6323" spans="1:7" x14ac:dyDescent="0.2">
      <c r="A6323" s="116">
        <f>IF(ISNUMBER(Tabela2[[#This Row],[CT-e/NFS]])=TRUE,(IF(B6323&gt;30000,4,IF(B6323&lt;1000,"ND",0))),"-")</f>
        <v>4</v>
      </c>
      <c r="B6323" s="116">
        <v>50217</v>
      </c>
      <c r="C6323" s="117">
        <v>45617</v>
      </c>
      <c r="D6323" s="116">
        <v>122.77</v>
      </c>
      <c r="E6323" s="117">
        <v>45626</v>
      </c>
      <c r="F6323" s="116">
        <f>COUNTIFS($A$3:A14576,A6323,$B$3:B14576,B6323)</f>
        <v>1</v>
      </c>
      <c r="G6323" s="116"/>
    </row>
    <row r="6324" spans="1:7" x14ac:dyDescent="0.2">
      <c r="A6324" s="116">
        <f>IF(ISNUMBER(Tabela2[[#This Row],[CT-e/NFS]])=TRUE,(IF(B6324&gt;30000,4,IF(B6324&lt;1000,"ND",0))),"-")</f>
        <v>4</v>
      </c>
      <c r="B6324" s="116">
        <v>50213</v>
      </c>
      <c r="C6324" s="117">
        <v>45617</v>
      </c>
      <c r="D6324" s="116">
        <v>446.84</v>
      </c>
      <c r="E6324" s="117">
        <v>45626</v>
      </c>
      <c r="F6324" s="116">
        <f>COUNTIFS($A$3:A14577,A6324,$B$3:B14577,B6324)</f>
        <v>1</v>
      </c>
      <c r="G6324" s="116"/>
    </row>
    <row r="6325" spans="1:7" x14ac:dyDescent="0.2">
      <c r="A6325" s="116">
        <f>IF(ISNUMBER(Tabela2[[#This Row],[CT-e/NFS]])=TRUE,(IF(B6325&gt;30000,4,IF(B6325&lt;1000,"ND",0))),"-")</f>
        <v>4</v>
      </c>
      <c r="B6325" s="116">
        <v>50155</v>
      </c>
      <c r="C6325" s="117">
        <v>45617</v>
      </c>
      <c r="D6325" s="116">
        <v>122.73</v>
      </c>
      <c r="E6325" s="117">
        <v>45626</v>
      </c>
      <c r="F6325" s="116">
        <f>COUNTIFS($A$3:A14578,A6325,$B$3:B14578,B6325)</f>
        <v>1</v>
      </c>
      <c r="G6325" s="116"/>
    </row>
    <row r="6326" spans="1:7" x14ac:dyDescent="0.2">
      <c r="A6326" s="116">
        <f>IF(ISNUMBER(Tabela2[[#This Row],[CT-e/NFS]])=TRUE,(IF(B6326&gt;30000,4,IF(B6326&lt;1000,"ND",0))),"-")</f>
        <v>4</v>
      </c>
      <c r="B6326" s="116">
        <v>50156</v>
      </c>
      <c r="C6326" s="117">
        <v>45617</v>
      </c>
      <c r="D6326" s="116">
        <v>122.73</v>
      </c>
      <c r="E6326" s="117">
        <v>45626</v>
      </c>
      <c r="F6326" s="116">
        <f>COUNTIFS($A$3:A14579,A6326,$B$3:B14579,B6326)</f>
        <v>1</v>
      </c>
      <c r="G6326" s="116"/>
    </row>
    <row r="6327" spans="1:7" x14ac:dyDescent="0.2">
      <c r="A6327" s="116">
        <f>IF(ISNUMBER(Tabela2[[#This Row],[CT-e/NFS]])=TRUE,(IF(B6327&gt;30000,4,IF(B6327&lt;1000,"ND",0))),"-")</f>
        <v>4</v>
      </c>
      <c r="B6327" s="116">
        <v>50220</v>
      </c>
      <c r="C6327" s="117">
        <v>45617</v>
      </c>
      <c r="D6327" s="116">
        <v>124.3</v>
      </c>
      <c r="E6327" s="117">
        <v>45626</v>
      </c>
      <c r="F6327" s="116">
        <f>COUNTIFS($A$3:A14580,A6327,$B$3:B14580,B6327)</f>
        <v>1</v>
      </c>
      <c r="G6327" s="116"/>
    </row>
    <row r="6328" spans="1:7" x14ac:dyDescent="0.2">
      <c r="A6328" s="116">
        <f>IF(ISNUMBER(Tabela2[[#This Row],[CT-e/NFS]])=TRUE,(IF(B6328&gt;30000,4,IF(B6328&lt;1000,"ND",0))),"-")</f>
        <v>4</v>
      </c>
      <c r="B6328" s="116">
        <v>50219</v>
      </c>
      <c r="C6328" s="117">
        <v>45617</v>
      </c>
      <c r="D6328" s="116">
        <v>126.65</v>
      </c>
      <c r="E6328" s="117">
        <v>45626</v>
      </c>
      <c r="F6328" s="116">
        <f>COUNTIFS($A$3:A14581,A6328,$B$3:B14581,B6328)</f>
        <v>1</v>
      </c>
      <c r="G6328" s="116"/>
    </row>
    <row r="6329" spans="1:7" x14ac:dyDescent="0.2">
      <c r="A6329" s="116">
        <f>IF(ISNUMBER(Tabela2[[#This Row],[CT-e/NFS]])=TRUE,(IF(B6329&gt;30000,4,IF(B6329&lt;1000,"ND",0))),"-")</f>
        <v>4</v>
      </c>
      <c r="B6329" s="116">
        <v>50207</v>
      </c>
      <c r="C6329" s="117">
        <v>45617</v>
      </c>
      <c r="D6329" s="116">
        <v>122.74</v>
      </c>
      <c r="E6329" s="117">
        <v>45626</v>
      </c>
      <c r="F6329" s="116">
        <f>COUNTIFS($A$3:A14582,A6329,$B$3:B14582,B6329)</f>
        <v>1</v>
      </c>
      <c r="G6329" s="116"/>
    </row>
    <row r="6330" spans="1:7" x14ac:dyDescent="0.2">
      <c r="A6330" s="116">
        <f>IF(ISNUMBER(Tabela2[[#This Row],[CT-e/NFS]])=TRUE,(IF(B6330&gt;30000,4,IF(B6330&lt;1000,"ND",0))),"-")</f>
        <v>4</v>
      </c>
      <c r="B6330" s="116">
        <v>50218</v>
      </c>
      <c r="C6330" s="117">
        <v>45617</v>
      </c>
      <c r="D6330" s="116">
        <v>369.5</v>
      </c>
      <c r="E6330" s="117">
        <v>45626</v>
      </c>
      <c r="F6330" s="116">
        <f>COUNTIFS($A$3:A14583,A6330,$B$3:B14583,B6330)</f>
        <v>1</v>
      </c>
      <c r="G6330" s="116"/>
    </row>
    <row r="6331" spans="1:7" x14ac:dyDescent="0.2">
      <c r="A6331" s="116">
        <f>IF(ISNUMBER(Tabela2[[#This Row],[CT-e/NFS]])=TRUE,(IF(B6331&gt;30000,4,IF(B6331&lt;1000,"ND",0))),"-")</f>
        <v>4</v>
      </c>
      <c r="B6331" s="116">
        <v>50211</v>
      </c>
      <c r="C6331" s="117">
        <v>45617</v>
      </c>
      <c r="D6331" s="116">
        <v>931.82</v>
      </c>
      <c r="E6331" s="117">
        <v>45626</v>
      </c>
      <c r="F6331" s="116">
        <f>COUNTIFS($A$3:A14584,A6331,$B$3:B14584,B6331)</f>
        <v>1</v>
      </c>
      <c r="G6331" s="116"/>
    </row>
    <row r="6332" spans="1:7" x14ac:dyDescent="0.2">
      <c r="A6332" s="116">
        <f>IF(ISNUMBER(Tabela2[[#This Row],[CT-e/NFS]])=TRUE,(IF(B6332&gt;30000,4,IF(B6332&lt;1000,"ND",0))),"-")</f>
        <v>4</v>
      </c>
      <c r="B6332" s="116">
        <v>50230</v>
      </c>
      <c r="C6332" s="117">
        <v>45617</v>
      </c>
      <c r="D6332" s="116">
        <v>609.98</v>
      </c>
      <c r="E6332" s="117">
        <v>45626</v>
      </c>
      <c r="F6332" s="116">
        <f>COUNTIFS($A$3:A14585,A6332,$B$3:B14585,B6332)</f>
        <v>1</v>
      </c>
      <c r="G6332" s="116"/>
    </row>
    <row r="6333" spans="1:7" x14ac:dyDescent="0.2">
      <c r="A6333" s="116">
        <f>IF(ISNUMBER(Tabela2[[#This Row],[CT-e/NFS]])=TRUE,(IF(B6333&gt;30000,4,IF(B6333&lt;1000,"ND",0))),"-")</f>
        <v>4</v>
      </c>
      <c r="B6333" s="116">
        <v>50214</v>
      </c>
      <c r="C6333" s="117">
        <v>45617</v>
      </c>
      <c r="D6333" s="116">
        <v>1126.94</v>
      </c>
      <c r="E6333" s="117">
        <v>45626</v>
      </c>
      <c r="F6333" s="116">
        <f>COUNTIFS($A$3:A14586,A6333,$B$3:B14586,B6333)</f>
        <v>1</v>
      </c>
      <c r="G6333" s="116"/>
    </row>
    <row r="6334" spans="1:7" x14ac:dyDescent="0.2">
      <c r="A6334" s="116">
        <f>IF(ISNUMBER(Tabela2[[#This Row],[CT-e/NFS]])=TRUE,(IF(B6334&gt;30000,4,IF(B6334&lt;1000,"ND",0))),"-")</f>
        <v>4</v>
      </c>
      <c r="B6334" s="116">
        <v>50215</v>
      </c>
      <c r="C6334" s="117">
        <v>45617</v>
      </c>
      <c r="D6334" s="116">
        <v>631.35</v>
      </c>
      <c r="E6334" s="117">
        <v>45626</v>
      </c>
      <c r="F6334" s="116">
        <f>COUNTIFS($A$3:A14587,A6334,$B$3:B14587,B6334)</f>
        <v>1</v>
      </c>
      <c r="G6334" s="116"/>
    </row>
    <row r="6335" spans="1:7" x14ac:dyDescent="0.2">
      <c r="A6335" s="116">
        <f>IF(ISNUMBER(Tabela2[[#This Row],[CT-e/NFS]])=TRUE,(IF(B6335&gt;30000,4,IF(B6335&lt;1000,"ND",0))),"-")</f>
        <v>0</v>
      </c>
      <c r="B6335" s="116">
        <v>22388</v>
      </c>
      <c r="C6335" s="117">
        <v>45617</v>
      </c>
      <c r="D6335" s="116">
        <v>76.33</v>
      </c>
      <c r="E6335" s="117">
        <v>45626</v>
      </c>
      <c r="F6335" s="116">
        <f>COUNTIFS($A$3:A14588,A6335,$B$3:B14588,B6335)</f>
        <v>1</v>
      </c>
      <c r="G6335" s="116"/>
    </row>
    <row r="6336" spans="1:7" x14ac:dyDescent="0.2">
      <c r="A6336" s="116">
        <f>IF(ISNUMBER(Tabela2[[#This Row],[CT-e/NFS]])=TRUE,(IF(B6336&gt;30000,4,IF(B6336&lt;1000,"ND",0))),"-")</f>
        <v>0</v>
      </c>
      <c r="B6336" s="116">
        <v>22395</v>
      </c>
      <c r="C6336" s="117">
        <v>45617</v>
      </c>
      <c r="D6336" s="116">
        <v>111.37</v>
      </c>
      <c r="E6336" s="117">
        <v>45626</v>
      </c>
      <c r="F6336" s="116">
        <f>COUNTIFS($A$3:A14589,A6336,$B$3:B14589,B6336)</f>
        <v>1</v>
      </c>
      <c r="G6336" s="116"/>
    </row>
    <row r="6337" spans="1:7" x14ac:dyDescent="0.2">
      <c r="A6337" s="116">
        <f>IF(ISNUMBER(Tabela2[[#This Row],[CT-e/NFS]])=TRUE,(IF(B6337&gt;30000,4,IF(B6337&lt;1000,"ND",0))),"-")</f>
        <v>0</v>
      </c>
      <c r="B6337" s="116">
        <v>22391</v>
      </c>
      <c r="C6337" s="117">
        <v>45617</v>
      </c>
      <c r="D6337" s="116">
        <v>122.46</v>
      </c>
      <c r="E6337" s="117">
        <v>45626</v>
      </c>
      <c r="F6337" s="116">
        <f>COUNTIFS($A$3:A14590,A6337,$B$3:B14590,B6337)</f>
        <v>1</v>
      </c>
      <c r="G6337" s="116"/>
    </row>
    <row r="6338" spans="1:7" x14ac:dyDescent="0.2">
      <c r="A6338" s="116">
        <f>IF(ISNUMBER(Tabela2[[#This Row],[CT-e/NFS]])=TRUE,(IF(B6338&gt;30000,4,IF(B6338&lt;1000,"ND",0))),"-")</f>
        <v>0</v>
      </c>
      <c r="B6338" s="116">
        <v>22390</v>
      </c>
      <c r="C6338" s="117">
        <v>45617</v>
      </c>
      <c r="D6338" s="116">
        <v>76.95</v>
      </c>
      <c r="E6338" s="117">
        <v>45626</v>
      </c>
      <c r="F6338" s="116">
        <f>COUNTIFS($A$3:A14591,A6338,$B$3:B14591,B6338)</f>
        <v>1</v>
      </c>
      <c r="G6338" s="116"/>
    </row>
    <row r="6339" spans="1:7" x14ac:dyDescent="0.2">
      <c r="A6339" s="116">
        <f>IF(ISNUMBER(Tabela2[[#This Row],[CT-e/NFS]])=TRUE,(IF(B6339&gt;30000,4,IF(B6339&lt;1000,"ND",0))),"-")</f>
        <v>0</v>
      </c>
      <c r="B6339" s="116">
        <v>22389</v>
      </c>
      <c r="C6339" s="117">
        <v>45617</v>
      </c>
      <c r="D6339" s="116">
        <v>77.39</v>
      </c>
      <c r="E6339" s="117">
        <v>45626</v>
      </c>
      <c r="F6339" s="116">
        <f>COUNTIFS($A$3:A14592,A6339,$B$3:B14592,B6339)</f>
        <v>1</v>
      </c>
      <c r="G6339" s="116"/>
    </row>
    <row r="6340" spans="1:7" x14ac:dyDescent="0.2">
      <c r="A6340" s="116">
        <f>IF(ISNUMBER(Tabela2[[#This Row],[CT-e/NFS]])=TRUE,(IF(B6340&gt;30000,4,IF(B6340&lt;1000,"ND",0))),"-")</f>
        <v>4</v>
      </c>
      <c r="B6340" s="116">
        <v>50241</v>
      </c>
      <c r="C6340" s="117">
        <v>45617</v>
      </c>
      <c r="D6340" s="116">
        <v>62.02</v>
      </c>
      <c r="E6340" s="117">
        <v>45626</v>
      </c>
      <c r="F6340" s="116">
        <f>COUNTIFS($A$3:A14593,A6340,$B$3:B14593,B6340)</f>
        <v>1</v>
      </c>
      <c r="G6340" s="116"/>
    </row>
    <row r="6341" spans="1:7" x14ac:dyDescent="0.2">
      <c r="A6341" s="116">
        <f>IF(ISNUMBER(Tabela2[[#This Row],[CT-e/NFS]])=TRUE,(IF(B6341&gt;30000,4,IF(B6341&lt;1000,"ND",0))),"-")</f>
        <v>4</v>
      </c>
      <c r="B6341" s="116">
        <v>50242</v>
      </c>
      <c r="C6341" s="117">
        <v>45617</v>
      </c>
      <c r="D6341" s="116">
        <v>111.77</v>
      </c>
      <c r="E6341" s="117">
        <v>45626</v>
      </c>
      <c r="F6341" s="116">
        <f>COUNTIFS($A$3:A14594,A6341,$B$3:B14594,B6341)</f>
        <v>1</v>
      </c>
      <c r="G6341" s="116"/>
    </row>
    <row r="6342" spans="1:7" x14ac:dyDescent="0.2">
      <c r="A6342" s="116">
        <f>IF(ISNUMBER(Tabela2[[#This Row],[CT-e/NFS]])=TRUE,(IF(B6342&gt;30000,4,IF(B6342&lt;1000,"ND",0))),"-")</f>
        <v>4</v>
      </c>
      <c r="B6342" s="116">
        <v>50236</v>
      </c>
      <c r="C6342" s="117">
        <v>45617</v>
      </c>
      <c r="D6342" s="116">
        <v>397.05</v>
      </c>
      <c r="E6342" s="117">
        <v>45626</v>
      </c>
      <c r="F6342" s="116">
        <f>COUNTIFS($A$3:A14595,A6342,$B$3:B14595,B6342)</f>
        <v>1</v>
      </c>
      <c r="G6342" s="116"/>
    </row>
    <row r="6343" spans="1:7" x14ac:dyDescent="0.2">
      <c r="A6343" s="116">
        <f>IF(ISNUMBER(Tabela2[[#This Row],[CT-e/NFS]])=TRUE,(IF(B6343&gt;30000,4,IF(B6343&lt;1000,"ND",0))),"-")</f>
        <v>4</v>
      </c>
      <c r="B6343" s="116">
        <v>50235</v>
      </c>
      <c r="C6343" s="117">
        <v>45617</v>
      </c>
      <c r="D6343" s="116">
        <v>124.3</v>
      </c>
      <c r="E6343" s="117">
        <v>45626</v>
      </c>
      <c r="F6343" s="116">
        <f>COUNTIFS($A$3:A14596,A6343,$B$3:B14596,B6343)</f>
        <v>1</v>
      </c>
      <c r="G6343" s="116"/>
    </row>
    <row r="6344" spans="1:7" x14ac:dyDescent="0.2">
      <c r="A6344" s="116">
        <f>IF(ISNUMBER(Tabela2[[#This Row],[CT-e/NFS]])=TRUE,(IF(B6344&gt;30000,4,IF(B6344&lt;1000,"ND",0))),"-")</f>
        <v>4</v>
      </c>
      <c r="B6344" s="116">
        <v>50237</v>
      </c>
      <c r="C6344" s="117">
        <v>45617</v>
      </c>
      <c r="D6344" s="116">
        <v>246.33</v>
      </c>
      <c r="E6344" s="117">
        <v>45626</v>
      </c>
      <c r="F6344" s="116">
        <f>COUNTIFS($A$3:A14597,A6344,$B$3:B14597,B6344)</f>
        <v>1</v>
      </c>
      <c r="G6344" s="116"/>
    </row>
    <row r="6345" spans="1:7" x14ac:dyDescent="0.2">
      <c r="A6345" s="116">
        <f>IF(ISNUMBER(Tabela2[[#This Row],[CT-e/NFS]])=TRUE,(IF(B6345&gt;30000,4,IF(B6345&lt;1000,"ND",0))),"-")</f>
        <v>4</v>
      </c>
      <c r="B6345" s="116">
        <v>50243</v>
      </c>
      <c r="C6345" s="117">
        <v>45617</v>
      </c>
      <c r="D6345" s="116">
        <v>124.22</v>
      </c>
      <c r="E6345" s="117">
        <v>45626</v>
      </c>
      <c r="F6345" s="116">
        <f>COUNTIFS($A$3:A14598,A6345,$B$3:B14598,B6345)</f>
        <v>1</v>
      </c>
      <c r="G6345" s="116"/>
    </row>
    <row r="6346" spans="1:7" x14ac:dyDescent="0.2">
      <c r="A6346" s="116">
        <f>IF(ISNUMBER(Tabela2[[#This Row],[CT-e/NFS]])=TRUE,(IF(B6346&gt;30000,4,IF(B6346&lt;1000,"ND",0))),"-")</f>
        <v>4</v>
      </c>
      <c r="B6346" s="116">
        <v>50239</v>
      </c>
      <c r="C6346" s="117">
        <v>45617</v>
      </c>
      <c r="D6346" s="116">
        <v>251.26</v>
      </c>
      <c r="E6346" s="117">
        <v>45626</v>
      </c>
      <c r="F6346" s="116">
        <f>COUNTIFS($A$3:A14599,A6346,$B$3:B14599,B6346)</f>
        <v>1</v>
      </c>
      <c r="G6346" s="116"/>
    </row>
    <row r="6347" spans="1:7" x14ac:dyDescent="0.2">
      <c r="A6347" s="116">
        <f>IF(ISNUMBER(Tabela2[[#This Row],[CT-e/NFS]])=TRUE,(IF(B6347&gt;30000,4,IF(B6347&lt;1000,"ND",0))),"-")</f>
        <v>4</v>
      </c>
      <c r="B6347" s="116">
        <v>50240</v>
      </c>
      <c r="C6347" s="117">
        <v>45617</v>
      </c>
      <c r="D6347" s="116">
        <v>279.91000000000003</v>
      </c>
      <c r="E6347" s="117">
        <v>45626</v>
      </c>
      <c r="F6347" s="116">
        <f>COUNTIFS($A$3:A14600,A6347,$B$3:B14600,B6347)</f>
        <v>1</v>
      </c>
      <c r="G6347" s="116"/>
    </row>
    <row r="6348" spans="1:7" x14ac:dyDescent="0.2">
      <c r="A6348" s="116">
        <f>IF(ISNUMBER(Tabela2[[#This Row],[CT-e/NFS]])=TRUE,(IF(B6348&gt;30000,4,IF(B6348&lt;1000,"ND",0))),"-")</f>
        <v>4</v>
      </c>
      <c r="B6348" s="116">
        <v>50238</v>
      </c>
      <c r="C6348" s="117">
        <v>45617</v>
      </c>
      <c r="D6348" s="116">
        <v>124.16</v>
      </c>
      <c r="E6348" s="117">
        <v>45626</v>
      </c>
      <c r="F6348" s="116">
        <f>COUNTIFS($A$3:A14601,A6348,$B$3:B14601,B6348)</f>
        <v>1</v>
      </c>
      <c r="G6348" s="116"/>
    </row>
    <row r="6349" spans="1:7" x14ac:dyDescent="0.2">
      <c r="A6349" s="116">
        <f>IF(ISNUMBER(Tabela2[[#This Row],[CT-e/NFS]])=TRUE,(IF(B6349&gt;30000,4,IF(B6349&lt;1000,"ND",0))),"-")</f>
        <v>4</v>
      </c>
      <c r="B6349" s="116">
        <v>50251</v>
      </c>
      <c r="C6349" s="117">
        <v>45617</v>
      </c>
      <c r="D6349" s="116">
        <v>201</v>
      </c>
      <c r="E6349" s="117">
        <v>45626</v>
      </c>
      <c r="F6349" s="116">
        <f>COUNTIFS($A$3:A14602,A6349,$B$3:B14602,B6349)</f>
        <v>1</v>
      </c>
      <c r="G6349" s="116"/>
    </row>
    <row r="6350" spans="1:7" x14ac:dyDescent="0.2">
      <c r="A6350" s="116">
        <f>IF(ISNUMBER(Tabela2[[#This Row],[CT-e/NFS]])=TRUE,(IF(B6350&gt;30000,4,IF(B6350&lt;1000,"ND",0))),"-")</f>
        <v>4</v>
      </c>
      <c r="B6350" s="116">
        <v>50247</v>
      </c>
      <c r="C6350" s="117">
        <v>45617</v>
      </c>
      <c r="D6350" s="116">
        <v>122.92</v>
      </c>
      <c r="E6350" s="117">
        <v>45626</v>
      </c>
      <c r="F6350" s="116">
        <f>COUNTIFS($A$3:A14603,A6350,$B$3:B14603,B6350)</f>
        <v>1</v>
      </c>
      <c r="G6350" s="116"/>
    </row>
    <row r="6351" spans="1:7" x14ac:dyDescent="0.2">
      <c r="A6351" s="116">
        <f>IF(ISNUMBER(Tabela2[[#This Row],[CT-e/NFS]])=TRUE,(IF(B6351&gt;30000,4,IF(B6351&lt;1000,"ND",0))),"-")</f>
        <v>4</v>
      </c>
      <c r="B6351" s="116">
        <v>50250</v>
      </c>
      <c r="C6351" s="117">
        <v>45617</v>
      </c>
      <c r="D6351" s="116">
        <v>110.5</v>
      </c>
      <c r="E6351" s="117">
        <v>45626</v>
      </c>
      <c r="F6351" s="116">
        <f>COUNTIFS($A$3:A14604,A6351,$B$3:B14604,B6351)</f>
        <v>1</v>
      </c>
      <c r="G6351" s="116"/>
    </row>
    <row r="6352" spans="1:7" x14ac:dyDescent="0.2">
      <c r="A6352" s="116">
        <f>IF(ISNUMBER(Tabela2[[#This Row],[CT-e/NFS]])=TRUE,(IF(B6352&gt;30000,4,IF(B6352&lt;1000,"ND",0))),"-")</f>
        <v>4</v>
      </c>
      <c r="B6352" s="116">
        <v>50249</v>
      </c>
      <c r="C6352" s="117">
        <v>45617</v>
      </c>
      <c r="D6352" s="116">
        <v>61.39</v>
      </c>
      <c r="E6352" s="117">
        <v>45626</v>
      </c>
      <c r="F6352" s="116">
        <f>COUNTIFS($A$3:A14605,A6352,$B$3:B14605,B6352)</f>
        <v>1</v>
      </c>
      <c r="G6352" s="116"/>
    </row>
    <row r="6353" spans="1:7" x14ac:dyDescent="0.2">
      <c r="A6353" s="116">
        <f>IF(ISNUMBER(Tabela2[[#This Row],[CT-e/NFS]])=TRUE,(IF(B6353&gt;30000,4,IF(B6353&lt;1000,"ND",0))),"-")</f>
        <v>4</v>
      </c>
      <c r="B6353" s="116">
        <v>50248</v>
      </c>
      <c r="C6353" s="117">
        <v>45617</v>
      </c>
      <c r="D6353" s="116">
        <v>124.63</v>
      </c>
      <c r="E6353" s="117">
        <v>45626</v>
      </c>
      <c r="F6353" s="116">
        <f>COUNTIFS($A$3:A14606,A6353,$B$3:B14606,B6353)</f>
        <v>1</v>
      </c>
      <c r="G6353" s="116"/>
    </row>
    <row r="6354" spans="1:7" x14ac:dyDescent="0.2">
      <c r="A6354" s="116">
        <f>IF(ISNUMBER(Tabela2[[#This Row],[CT-e/NFS]])=TRUE,(IF(B6354&gt;30000,4,IF(B6354&lt;1000,"ND",0))),"-")</f>
        <v>4</v>
      </c>
      <c r="B6354" s="116">
        <v>50246</v>
      </c>
      <c r="C6354" s="117">
        <v>45617</v>
      </c>
      <c r="D6354" s="116">
        <v>1137.73</v>
      </c>
      <c r="E6354" s="117">
        <v>45626</v>
      </c>
      <c r="F6354" s="116">
        <f>COUNTIFS($A$3:A14607,A6354,$B$3:B14607,B6354)</f>
        <v>1</v>
      </c>
      <c r="G6354" s="116"/>
    </row>
    <row r="6355" spans="1:7" x14ac:dyDescent="0.2">
      <c r="A6355" s="116">
        <f>IF(ISNUMBER(Tabela2[[#This Row],[CT-e/NFS]])=TRUE,(IF(B6355&gt;30000,4,IF(B6355&lt;1000,"ND",0))),"-")</f>
        <v>4</v>
      </c>
      <c r="B6355" s="116">
        <v>50252</v>
      </c>
      <c r="C6355" s="117">
        <v>45617</v>
      </c>
      <c r="D6355" s="116">
        <v>160.07</v>
      </c>
      <c r="E6355" s="117">
        <v>45626</v>
      </c>
      <c r="F6355" s="116">
        <f>COUNTIFS($A$3:A14608,A6355,$B$3:B14608,B6355)</f>
        <v>1</v>
      </c>
      <c r="G6355" s="116"/>
    </row>
    <row r="6356" spans="1:7" x14ac:dyDescent="0.2">
      <c r="A6356" s="116">
        <f>IF(ISNUMBER(Tabela2[[#This Row],[CT-e/NFS]])=TRUE,(IF(B6356&gt;30000,4,IF(B6356&lt;1000,"ND",0))),"-")</f>
        <v>4</v>
      </c>
      <c r="B6356" s="116">
        <v>50234</v>
      </c>
      <c r="C6356" s="117">
        <v>45617</v>
      </c>
      <c r="D6356" s="116">
        <v>1796.03</v>
      </c>
      <c r="E6356" s="117">
        <v>45626</v>
      </c>
      <c r="F6356" s="116">
        <f>COUNTIFS($A$3:A14609,A6356,$B$3:B14609,B6356)</f>
        <v>1</v>
      </c>
      <c r="G6356" s="116"/>
    </row>
    <row r="6357" spans="1:7" x14ac:dyDescent="0.2">
      <c r="A6357" s="116">
        <f>IF(ISNUMBER(Tabela2[[#This Row],[CT-e/NFS]])=TRUE,(IF(B6357&gt;30000,4,IF(B6357&lt;1000,"ND",0))),"-")</f>
        <v>4</v>
      </c>
      <c r="B6357" s="116">
        <v>50244</v>
      </c>
      <c r="C6357" s="117">
        <v>45617</v>
      </c>
      <c r="D6357" s="116">
        <v>868.14</v>
      </c>
      <c r="E6357" s="117">
        <v>45626</v>
      </c>
      <c r="F6357" s="116">
        <f>COUNTIFS($A$3:A14610,A6357,$B$3:B14610,B6357)</f>
        <v>1</v>
      </c>
      <c r="G6357" s="116"/>
    </row>
    <row r="6358" spans="1:7" x14ac:dyDescent="0.2">
      <c r="A6358" s="116">
        <f>IF(ISNUMBER(Tabela2[[#This Row],[CT-e/NFS]])=TRUE,(IF(B6358&gt;30000,4,IF(B6358&lt;1000,"ND",0))),"-")</f>
        <v>4</v>
      </c>
      <c r="B6358" s="116">
        <v>50245</v>
      </c>
      <c r="C6358" s="117">
        <v>45617</v>
      </c>
      <c r="D6358" s="116">
        <v>281.52999999999997</v>
      </c>
      <c r="E6358" s="117">
        <v>45626</v>
      </c>
      <c r="F6358" s="116">
        <f>COUNTIFS($A$3:A14611,A6358,$B$3:B14611,B6358)</f>
        <v>1</v>
      </c>
      <c r="G6358" s="116"/>
    </row>
    <row r="6359" spans="1:7" x14ac:dyDescent="0.2">
      <c r="A6359" s="116">
        <f>IF(ISNUMBER(Tabela2[[#This Row],[CT-e/NFS]])=TRUE,(IF(B6359&gt;30000,4,IF(B6359&lt;1000,"ND",0))),"-")</f>
        <v>4</v>
      </c>
      <c r="B6359" s="116">
        <v>50253</v>
      </c>
      <c r="C6359" s="117">
        <v>45617</v>
      </c>
      <c r="D6359" s="116">
        <v>1137.73</v>
      </c>
      <c r="E6359" s="117">
        <v>45626</v>
      </c>
      <c r="F6359" s="116">
        <f>COUNTIFS($A$3:A14612,A6359,$B$3:B14612,B6359)</f>
        <v>1</v>
      </c>
      <c r="G6359" s="116"/>
    </row>
    <row r="6360" spans="1:7" x14ac:dyDescent="0.2">
      <c r="A6360" s="116">
        <f>IF(ISNUMBER(Tabela2[[#This Row],[CT-e/NFS]])=TRUE,(IF(B6360&gt;30000,4,IF(B6360&lt;1000,"ND",0))),"-")</f>
        <v>4</v>
      </c>
      <c r="B6360" s="116">
        <v>50277</v>
      </c>
      <c r="C6360" s="117">
        <v>45617</v>
      </c>
      <c r="D6360" s="116">
        <v>119.36</v>
      </c>
      <c r="E6360" s="117">
        <v>45626</v>
      </c>
      <c r="F6360" s="116">
        <f>COUNTIFS($A$3:A14613,A6360,$B$3:B14613,B6360)</f>
        <v>1</v>
      </c>
      <c r="G6360" s="116"/>
    </row>
    <row r="6361" spans="1:7" x14ac:dyDescent="0.2">
      <c r="A6361" s="116">
        <f>IF(ISNUMBER(Tabela2[[#This Row],[CT-e/NFS]])=TRUE,(IF(B6361&gt;30000,4,IF(B6361&lt;1000,"ND",0))),"-")</f>
        <v>4</v>
      </c>
      <c r="B6361" s="116">
        <v>50280</v>
      </c>
      <c r="C6361" s="117">
        <v>45617</v>
      </c>
      <c r="D6361" s="116">
        <v>62.08</v>
      </c>
      <c r="E6361" s="117">
        <v>45626</v>
      </c>
      <c r="F6361" s="116">
        <f>COUNTIFS($A$3:A14614,A6361,$B$3:B14614,B6361)</f>
        <v>1</v>
      </c>
      <c r="G6361" s="116"/>
    </row>
    <row r="6362" spans="1:7" x14ac:dyDescent="0.2">
      <c r="A6362" s="116">
        <f>IF(ISNUMBER(Tabela2[[#This Row],[CT-e/NFS]])=TRUE,(IF(B6362&gt;30000,4,IF(B6362&lt;1000,"ND",0))),"-")</f>
        <v>4</v>
      </c>
      <c r="B6362" s="116">
        <v>50268</v>
      </c>
      <c r="C6362" s="117">
        <v>45617</v>
      </c>
      <c r="D6362" s="116">
        <v>122.93</v>
      </c>
      <c r="E6362" s="117">
        <v>45626</v>
      </c>
      <c r="F6362" s="116">
        <f>COUNTIFS($A$3:A14615,A6362,$B$3:B14615,B6362)</f>
        <v>1</v>
      </c>
      <c r="G6362" s="116"/>
    </row>
    <row r="6363" spans="1:7" x14ac:dyDescent="0.2">
      <c r="A6363" s="116">
        <f>IF(ISNUMBER(Tabela2[[#This Row],[CT-e/NFS]])=TRUE,(IF(B6363&gt;30000,4,IF(B6363&lt;1000,"ND",0))),"-")</f>
        <v>4</v>
      </c>
      <c r="B6363" s="116">
        <v>50281</v>
      </c>
      <c r="C6363" s="117">
        <v>45617</v>
      </c>
      <c r="D6363" s="116">
        <v>111.89</v>
      </c>
      <c r="E6363" s="117">
        <v>45626</v>
      </c>
      <c r="F6363" s="116">
        <f>COUNTIFS($A$3:A14616,A6363,$B$3:B14616,B6363)</f>
        <v>1</v>
      </c>
      <c r="G6363" s="116"/>
    </row>
    <row r="6364" spans="1:7" x14ac:dyDescent="0.2">
      <c r="A6364" s="116">
        <f>IF(ISNUMBER(Tabela2[[#This Row],[CT-e/NFS]])=TRUE,(IF(B6364&gt;30000,4,IF(B6364&lt;1000,"ND",0))),"-")</f>
        <v>4</v>
      </c>
      <c r="B6364" s="116">
        <v>50265</v>
      </c>
      <c r="C6364" s="117">
        <v>45617</v>
      </c>
      <c r="D6364" s="116">
        <v>123.38</v>
      </c>
      <c r="E6364" s="117">
        <v>45626</v>
      </c>
      <c r="F6364" s="116">
        <f>COUNTIFS($A$3:A14617,A6364,$B$3:B14617,B6364)</f>
        <v>1</v>
      </c>
      <c r="G6364" s="116"/>
    </row>
    <row r="6365" spans="1:7" x14ac:dyDescent="0.2">
      <c r="A6365" s="116">
        <f>IF(ISNUMBER(Tabela2[[#This Row],[CT-e/NFS]])=TRUE,(IF(B6365&gt;30000,4,IF(B6365&lt;1000,"ND",0))),"-")</f>
        <v>4</v>
      </c>
      <c r="B6365" s="116">
        <v>50263</v>
      </c>
      <c r="C6365" s="117">
        <v>45617</v>
      </c>
      <c r="D6365" s="116">
        <v>125.34</v>
      </c>
      <c r="E6365" s="117">
        <v>45626</v>
      </c>
      <c r="F6365" s="116">
        <f>COUNTIFS($A$3:A14618,A6365,$B$3:B14618,B6365)</f>
        <v>1</v>
      </c>
      <c r="G6365" s="116"/>
    </row>
    <row r="6366" spans="1:7" x14ac:dyDescent="0.2">
      <c r="A6366" s="116">
        <f>IF(ISNUMBER(Tabela2[[#This Row],[CT-e/NFS]])=TRUE,(IF(B6366&gt;30000,4,IF(B6366&lt;1000,"ND",0))),"-")</f>
        <v>4</v>
      </c>
      <c r="B6366" s="116">
        <v>50261</v>
      </c>
      <c r="C6366" s="117">
        <v>45617</v>
      </c>
      <c r="D6366" s="116">
        <v>260.13</v>
      </c>
      <c r="E6366" s="117">
        <v>45626</v>
      </c>
      <c r="F6366" s="116">
        <f>COUNTIFS($A$3:A14619,A6366,$B$3:B14619,B6366)</f>
        <v>1</v>
      </c>
      <c r="G6366" s="116"/>
    </row>
    <row r="6367" spans="1:7" x14ac:dyDescent="0.2">
      <c r="A6367" s="116">
        <f>IF(ISNUMBER(Tabela2[[#This Row],[CT-e/NFS]])=TRUE,(IF(B6367&gt;30000,4,IF(B6367&lt;1000,"ND",0))),"-")</f>
        <v>4</v>
      </c>
      <c r="B6367" s="116">
        <v>50256</v>
      </c>
      <c r="C6367" s="117">
        <v>45617</v>
      </c>
      <c r="D6367" s="116">
        <v>240.43</v>
      </c>
      <c r="E6367" s="117">
        <v>45626</v>
      </c>
      <c r="F6367" s="116">
        <f>COUNTIFS($A$3:A14620,A6367,$B$3:B14620,B6367)</f>
        <v>1</v>
      </c>
      <c r="G6367" s="116"/>
    </row>
    <row r="6368" spans="1:7" x14ac:dyDescent="0.2">
      <c r="A6368" s="116">
        <f>IF(ISNUMBER(Tabela2[[#This Row],[CT-e/NFS]])=TRUE,(IF(B6368&gt;30000,4,IF(B6368&lt;1000,"ND",0))),"-")</f>
        <v>4</v>
      </c>
      <c r="B6368" s="116">
        <v>50269</v>
      </c>
      <c r="C6368" s="117">
        <v>45617</v>
      </c>
      <c r="D6368" s="116">
        <v>125.07</v>
      </c>
      <c r="E6368" s="117">
        <v>45626</v>
      </c>
      <c r="F6368" s="116">
        <f>COUNTIFS($A$3:A14621,A6368,$B$3:B14621,B6368)</f>
        <v>1</v>
      </c>
      <c r="G6368" s="116"/>
    </row>
    <row r="6369" spans="1:7" x14ac:dyDescent="0.2">
      <c r="A6369" s="116">
        <f>IF(ISNUMBER(Tabela2[[#This Row],[CT-e/NFS]])=TRUE,(IF(B6369&gt;30000,4,IF(B6369&lt;1000,"ND",0))),"-")</f>
        <v>4</v>
      </c>
      <c r="B6369" s="116">
        <v>50264</v>
      </c>
      <c r="C6369" s="117">
        <v>45617</v>
      </c>
      <c r="D6369" s="116">
        <v>126.07</v>
      </c>
      <c r="E6369" s="117">
        <v>45626</v>
      </c>
      <c r="F6369" s="116">
        <f>COUNTIFS($A$3:A14622,A6369,$B$3:B14622,B6369)</f>
        <v>1</v>
      </c>
      <c r="G6369" s="116"/>
    </row>
    <row r="6370" spans="1:7" x14ac:dyDescent="0.2">
      <c r="A6370" s="116">
        <f>IF(ISNUMBER(Tabela2[[#This Row],[CT-e/NFS]])=TRUE,(IF(B6370&gt;30000,4,IF(B6370&lt;1000,"ND",0))),"-")</f>
        <v>4</v>
      </c>
      <c r="B6370" s="116">
        <v>50270</v>
      </c>
      <c r="C6370" s="117">
        <v>45617</v>
      </c>
      <c r="D6370" s="116">
        <v>124.89</v>
      </c>
      <c r="E6370" s="117">
        <v>45626</v>
      </c>
      <c r="F6370" s="116">
        <f>COUNTIFS($A$3:A14623,A6370,$B$3:B14623,B6370)</f>
        <v>1</v>
      </c>
      <c r="G6370" s="116"/>
    </row>
    <row r="6371" spans="1:7" x14ac:dyDescent="0.2">
      <c r="A6371" s="116">
        <f>IF(ISNUMBER(Tabela2[[#This Row],[CT-e/NFS]])=TRUE,(IF(B6371&gt;30000,4,IF(B6371&lt;1000,"ND",0))),"-")</f>
        <v>4</v>
      </c>
      <c r="B6371" s="116">
        <v>50279</v>
      </c>
      <c r="C6371" s="117">
        <v>45617</v>
      </c>
      <c r="D6371" s="116">
        <v>123.18</v>
      </c>
      <c r="E6371" s="117">
        <v>45626</v>
      </c>
      <c r="F6371" s="116">
        <f>COUNTIFS($A$3:A14624,A6371,$B$3:B14624,B6371)</f>
        <v>1</v>
      </c>
      <c r="G6371" s="116"/>
    </row>
    <row r="6372" spans="1:7" x14ac:dyDescent="0.2">
      <c r="A6372" s="116">
        <f>IF(ISNUMBER(Tabela2[[#This Row],[CT-e/NFS]])=TRUE,(IF(B6372&gt;30000,4,IF(B6372&lt;1000,"ND",0))),"-")</f>
        <v>4</v>
      </c>
      <c r="B6372" s="116">
        <v>50278</v>
      </c>
      <c r="C6372" s="117">
        <v>45617</v>
      </c>
      <c r="D6372" s="116">
        <v>214.86</v>
      </c>
      <c r="E6372" s="117">
        <v>45626</v>
      </c>
      <c r="F6372" s="116">
        <f>COUNTIFS($A$3:A14625,A6372,$B$3:B14625,B6372)</f>
        <v>1</v>
      </c>
      <c r="G6372" s="116"/>
    </row>
    <row r="6373" spans="1:7" x14ac:dyDescent="0.2">
      <c r="A6373" s="116">
        <f>IF(ISNUMBER(Tabela2[[#This Row],[CT-e/NFS]])=TRUE,(IF(B6373&gt;30000,4,IF(B6373&lt;1000,"ND",0))),"-")</f>
        <v>0</v>
      </c>
      <c r="B6373" s="116">
        <v>22398</v>
      </c>
      <c r="C6373" s="117">
        <v>45617</v>
      </c>
      <c r="D6373" s="116">
        <v>75.81</v>
      </c>
      <c r="E6373" s="117">
        <v>45626</v>
      </c>
      <c r="F6373" s="116">
        <f>COUNTIFS($A$3:A14626,A6373,$B$3:B14626,B6373)</f>
        <v>1</v>
      </c>
      <c r="G6373" s="116"/>
    </row>
    <row r="6374" spans="1:7" x14ac:dyDescent="0.2">
      <c r="A6374" s="116">
        <f>IF(ISNUMBER(Tabela2[[#This Row],[CT-e/NFS]])=TRUE,(IF(B6374&gt;30000,4,IF(B6374&lt;1000,"ND",0))),"-")</f>
        <v>0</v>
      </c>
      <c r="B6374" s="116">
        <v>22400</v>
      </c>
      <c r="C6374" s="117">
        <v>45617</v>
      </c>
      <c r="D6374" s="116">
        <v>76.08</v>
      </c>
      <c r="E6374" s="117">
        <v>45626</v>
      </c>
      <c r="F6374" s="116">
        <f>COUNTIFS($A$3:A14627,A6374,$B$3:B14627,B6374)</f>
        <v>1</v>
      </c>
      <c r="G6374" s="116"/>
    </row>
    <row r="6375" spans="1:7" x14ac:dyDescent="0.2">
      <c r="A6375" s="116">
        <f>IF(ISNUMBER(Tabela2[[#This Row],[CT-e/NFS]])=TRUE,(IF(B6375&gt;30000,4,IF(B6375&lt;1000,"ND",0))),"-")</f>
        <v>0</v>
      </c>
      <c r="B6375" s="116">
        <v>22399</v>
      </c>
      <c r="C6375" s="117">
        <v>45617</v>
      </c>
      <c r="D6375" s="116">
        <v>76.41</v>
      </c>
      <c r="E6375" s="117">
        <v>45626</v>
      </c>
      <c r="F6375" s="116">
        <f>COUNTIFS($A$3:A14628,A6375,$B$3:B14628,B6375)</f>
        <v>1</v>
      </c>
      <c r="G6375" s="116"/>
    </row>
    <row r="6376" spans="1:7" x14ac:dyDescent="0.2">
      <c r="A6376" s="116">
        <f>IF(ISNUMBER(Tabela2[[#This Row],[CT-e/NFS]])=TRUE,(IF(B6376&gt;30000,4,IF(B6376&lt;1000,"ND",0))),"-")</f>
        <v>0</v>
      </c>
      <c r="B6376" s="116">
        <v>22397</v>
      </c>
      <c r="C6376" s="117">
        <v>45617</v>
      </c>
      <c r="D6376" s="116">
        <v>844.3</v>
      </c>
      <c r="E6376" s="117">
        <v>45626</v>
      </c>
      <c r="F6376" s="116">
        <f>COUNTIFS($A$3:A14629,A6376,$B$3:B14629,B6376)</f>
        <v>1</v>
      </c>
      <c r="G6376" s="116"/>
    </row>
    <row r="6377" spans="1:7" x14ac:dyDescent="0.2">
      <c r="A6377" s="116">
        <f>IF(ISNUMBER(Tabela2[[#This Row],[CT-e/NFS]])=TRUE,(IF(B6377&gt;30000,4,IF(B6377&lt;1000,"ND",0))),"-")</f>
        <v>4</v>
      </c>
      <c r="B6377" s="116">
        <v>50282</v>
      </c>
      <c r="C6377" s="117">
        <v>45617</v>
      </c>
      <c r="D6377" s="116">
        <v>126.11</v>
      </c>
      <c r="E6377" s="117">
        <v>45626</v>
      </c>
      <c r="F6377" s="116">
        <f>COUNTIFS($A$3:A14630,A6377,$B$3:B14630,B6377)</f>
        <v>1</v>
      </c>
      <c r="G6377" s="116"/>
    </row>
    <row r="6378" spans="1:7" x14ac:dyDescent="0.2">
      <c r="A6378" s="116">
        <f>IF(ISNUMBER(Tabela2[[#This Row],[CT-e/NFS]])=TRUE,(IF(B6378&gt;30000,4,IF(B6378&lt;1000,"ND",0))),"-")</f>
        <v>4</v>
      </c>
      <c r="B6378" s="116">
        <v>50262</v>
      </c>
      <c r="C6378" s="117">
        <v>45617</v>
      </c>
      <c r="D6378" s="116">
        <v>123.51</v>
      </c>
      <c r="E6378" s="117">
        <v>45626</v>
      </c>
      <c r="F6378" s="116">
        <f>COUNTIFS($A$3:A14631,A6378,$B$3:B14631,B6378)</f>
        <v>1</v>
      </c>
      <c r="G6378" s="116"/>
    </row>
    <row r="6379" spans="1:7" x14ac:dyDescent="0.2">
      <c r="A6379" s="116">
        <f>IF(ISNUMBER(Tabela2[[#This Row],[CT-e/NFS]])=TRUE,(IF(B6379&gt;30000,4,IF(B6379&lt;1000,"ND",0))),"-")</f>
        <v>4</v>
      </c>
      <c r="B6379" s="116">
        <v>50266</v>
      </c>
      <c r="C6379" s="117">
        <v>45617</v>
      </c>
      <c r="D6379" s="116">
        <v>124.03</v>
      </c>
      <c r="E6379" s="117">
        <v>45626</v>
      </c>
      <c r="F6379" s="116">
        <f>COUNTIFS($A$3:A14632,A6379,$B$3:B14632,B6379)</f>
        <v>1</v>
      </c>
      <c r="G6379" s="116"/>
    </row>
    <row r="6380" spans="1:7" x14ac:dyDescent="0.2">
      <c r="A6380" s="116">
        <f>IF(ISNUMBER(Tabela2[[#This Row],[CT-e/NFS]])=TRUE,(IF(B6380&gt;30000,4,IF(B6380&lt;1000,"ND",0))),"-")</f>
        <v>4</v>
      </c>
      <c r="B6380" s="116">
        <v>50267</v>
      </c>
      <c r="C6380" s="117">
        <v>45617</v>
      </c>
      <c r="D6380" s="116">
        <v>124.18</v>
      </c>
      <c r="E6380" s="117">
        <v>45626</v>
      </c>
      <c r="F6380" s="116">
        <f>COUNTIFS($A$3:A14633,A6380,$B$3:B14633,B6380)</f>
        <v>1</v>
      </c>
      <c r="G6380" s="116"/>
    </row>
    <row r="6381" spans="1:7" x14ac:dyDescent="0.2">
      <c r="A6381" s="116">
        <f>IF(ISNUMBER(Tabela2[[#This Row],[CT-e/NFS]])=TRUE,(IF(B6381&gt;30000,4,IF(B6381&lt;1000,"ND",0))),"-")</f>
        <v>4</v>
      </c>
      <c r="B6381" s="116">
        <v>50254</v>
      </c>
      <c r="C6381" s="117">
        <v>45617</v>
      </c>
      <c r="D6381" s="116">
        <v>2906.31</v>
      </c>
      <c r="E6381" s="117">
        <v>45626</v>
      </c>
      <c r="F6381" s="116">
        <f>COUNTIFS($A$3:A14634,A6381,$B$3:B14634,B6381)</f>
        <v>1</v>
      </c>
      <c r="G6381" s="116"/>
    </row>
    <row r="6382" spans="1:7" x14ac:dyDescent="0.2">
      <c r="A6382" s="116">
        <f>IF(ISNUMBER(Tabela2[[#This Row],[CT-e/NFS]])=TRUE,(IF(B6382&gt;30000,4,IF(B6382&lt;1000,"ND",0))),"-")</f>
        <v>4</v>
      </c>
      <c r="B6382" s="116">
        <v>50272</v>
      </c>
      <c r="C6382" s="117">
        <v>45617</v>
      </c>
      <c r="D6382" s="116">
        <v>702.11</v>
      </c>
      <c r="E6382" s="117">
        <v>45626</v>
      </c>
      <c r="F6382" s="116">
        <f>COUNTIFS($A$3:A14635,A6382,$B$3:B14635,B6382)</f>
        <v>1</v>
      </c>
      <c r="G6382" s="116"/>
    </row>
    <row r="6383" spans="1:7" x14ac:dyDescent="0.2">
      <c r="A6383" s="116">
        <f>IF(ISNUMBER(Tabela2[[#This Row],[CT-e/NFS]])=TRUE,(IF(B6383&gt;30000,4,IF(B6383&lt;1000,"ND",0))),"-")</f>
        <v>4</v>
      </c>
      <c r="B6383" s="116">
        <v>50260</v>
      </c>
      <c r="C6383" s="117">
        <v>45617</v>
      </c>
      <c r="D6383" s="116">
        <v>238.83</v>
      </c>
      <c r="E6383" s="117">
        <v>45626</v>
      </c>
      <c r="F6383" s="116">
        <f>COUNTIFS($A$3:A14636,A6383,$B$3:B14636,B6383)</f>
        <v>1</v>
      </c>
      <c r="G6383" s="116"/>
    </row>
    <row r="6384" spans="1:7" x14ac:dyDescent="0.2">
      <c r="A6384" s="116">
        <f>IF(ISNUMBER(Tabela2[[#This Row],[CT-e/NFS]])=TRUE,(IF(B6384&gt;30000,4,IF(B6384&lt;1000,"ND",0))),"-")</f>
        <v>4</v>
      </c>
      <c r="B6384" s="116">
        <v>50259</v>
      </c>
      <c r="C6384" s="117">
        <v>45617</v>
      </c>
      <c r="D6384" s="116">
        <v>122.92</v>
      </c>
      <c r="E6384" s="117">
        <v>45626</v>
      </c>
      <c r="F6384" s="116">
        <f>COUNTIFS($A$3:A14637,A6384,$B$3:B14637,B6384)</f>
        <v>1</v>
      </c>
      <c r="G6384" s="116"/>
    </row>
    <row r="6385" spans="1:7" x14ac:dyDescent="0.2">
      <c r="A6385" s="116">
        <f>IF(ISNUMBER(Tabela2[[#This Row],[CT-e/NFS]])=TRUE,(IF(B6385&gt;30000,4,IF(B6385&lt;1000,"ND",0))),"-")</f>
        <v>4</v>
      </c>
      <c r="B6385" s="116">
        <v>50258</v>
      </c>
      <c r="C6385" s="117">
        <v>45617</v>
      </c>
      <c r="D6385" s="116">
        <v>347.81</v>
      </c>
      <c r="E6385" s="117">
        <v>45626</v>
      </c>
      <c r="F6385" s="116">
        <f>COUNTIFS($A$3:A14638,A6385,$B$3:B14638,B6385)</f>
        <v>1</v>
      </c>
      <c r="G6385" s="116"/>
    </row>
    <row r="6386" spans="1:7" x14ac:dyDescent="0.2">
      <c r="A6386" s="116">
        <f>IF(ISNUMBER(Tabela2[[#This Row],[CT-e/NFS]])=TRUE,(IF(B6386&gt;30000,4,IF(B6386&lt;1000,"ND",0))),"-")</f>
        <v>4</v>
      </c>
      <c r="B6386" s="116">
        <v>50271</v>
      </c>
      <c r="C6386" s="117">
        <v>45617</v>
      </c>
      <c r="D6386" s="116">
        <v>591.72</v>
      </c>
      <c r="E6386" s="117">
        <v>45626</v>
      </c>
      <c r="F6386" s="116">
        <f>COUNTIFS($A$3:A14639,A6386,$B$3:B14639,B6386)</f>
        <v>1</v>
      </c>
      <c r="G6386" s="116"/>
    </row>
    <row r="6387" spans="1:7" x14ac:dyDescent="0.2">
      <c r="A6387" s="116">
        <f>IF(ISNUMBER(Tabela2[[#This Row],[CT-e/NFS]])=TRUE,(IF(B6387&gt;30000,4,IF(B6387&lt;1000,"ND",0))),"-")</f>
        <v>4</v>
      </c>
      <c r="B6387" s="116">
        <v>50257</v>
      </c>
      <c r="C6387" s="117">
        <v>45617</v>
      </c>
      <c r="D6387" s="116">
        <v>124.15</v>
      </c>
      <c r="E6387" s="117">
        <v>45626</v>
      </c>
      <c r="F6387" s="116">
        <f>COUNTIFS($A$3:A14640,A6387,$B$3:B14640,B6387)</f>
        <v>1</v>
      </c>
      <c r="G6387" s="116"/>
    </row>
    <row r="6388" spans="1:7" x14ac:dyDescent="0.2">
      <c r="A6388" s="116">
        <f>IF(ISNUMBER(Tabela2[[#This Row],[CT-e/NFS]])=TRUE,(IF(B6388&gt;30000,4,IF(B6388&lt;1000,"ND",0))),"-")</f>
        <v>0</v>
      </c>
      <c r="B6388" s="116">
        <v>22403</v>
      </c>
      <c r="C6388" s="117">
        <v>45617</v>
      </c>
      <c r="D6388" s="116">
        <v>75.8</v>
      </c>
      <c r="E6388" s="117">
        <v>45626</v>
      </c>
      <c r="F6388" s="116">
        <f>COUNTIFS($A$3:A14641,A6388,$B$3:B14641,B6388)</f>
        <v>1</v>
      </c>
      <c r="G6388" s="116"/>
    </row>
    <row r="6389" spans="1:7" x14ac:dyDescent="0.2">
      <c r="A6389" s="116">
        <f>IF(ISNUMBER(Tabela2[[#This Row],[CT-e/NFS]])=TRUE,(IF(B6389&gt;30000,4,IF(B6389&lt;1000,"ND",0))),"-")</f>
        <v>0</v>
      </c>
      <c r="B6389" s="116">
        <v>22405</v>
      </c>
      <c r="C6389" s="117">
        <v>45617</v>
      </c>
      <c r="D6389" s="116">
        <v>76.28</v>
      </c>
      <c r="E6389" s="117">
        <v>45626</v>
      </c>
      <c r="F6389" s="116">
        <f>COUNTIFS($A$3:A14642,A6389,$B$3:B14642,B6389)</f>
        <v>1</v>
      </c>
      <c r="G6389" s="116"/>
    </row>
    <row r="6390" spans="1:7" x14ac:dyDescent="0.2">
      <c r="A6390" s="116">
        <f>IF(ISNUMBER(Tabela2[[#This Row],[CT-e/NFS]])=TRUE,(IF(B6390&gt;30000,4,IF(B6390&lt;1000,"ND",0))),"-")</f>
        <v>0</v>
      </c>
      <c r="B6390" s="116">
        <v>22406</v>
      </c>
      <c r="C6390" s="117">
        <v>45617</v>
      </c>
      <c r="D6390" s="116">
        <v>77.13</v>
      </c>
      <c r="E6390" s="117">
        <v>45626</v>
      </c>
      <c r="F6390" s="116">
        <f>COUNTIFS($A$3:A14643,A6390,$B$3:B14643,B6390)</f>
        <v>1</v>
      </c>
      <c r="G6390" s="116"/>
    </row>
    <row r="6391" spans="1:7" x14ac:dyDescent="0.2">
      <c r="A6391" s="116">
        <f>IF(ISNUMBER(Tabela2[[#This Row],[CT-e/NFS]])=TRUE,(IF(B6391&gt;30000,4,IF(B6391&lt;1000,"ND",0))),"-")</f>
        <v>0</v>
      </c>
      <c r="B6391" s="116">
        <v>22402</v>
      </c>
      <c r="C6391" s="117">
        <v>45617</v>
      </c>
      <c r="D6391" s="116">
        <v>76.349999999999994</v>
      </c>
      <c r="E6391" s="117">
        <v>45626</v>
      </c>
      <c r="F6391" s="116">
        <f>COUNTIFS($A$3:A14644,A6391,$B$3:B14644,B6391)</f>
        <v>1</v>
      </c>
      <c r="G6391" s="116"/>
    </row>
    <row r="6392" spans="1:7" x14ac:dyDescent="0.2">
      <c r="A6392" s="116">
        <f>IF(ISNUMBER(Tabela2[[#This Row],[CT-e/NFS]])=TRUE,(IF(B6392&gt;30000,4,IF(B6392&lt;1000,"ND",0))),"-")</f>
        <v>0</v>
      </c>
      <c r="B6392" s="116">
        <v>22404</v>
      </c>
      <c r="C6392" s="117">
        <v>45617</v>
      </c>
      <c r="D6392" s="116">
        <v>76.36</v>
      </c>
      <c r="E6392" s="117">
        <v>45626</v>
      </c>
      <c r="F6392" s="116">
        <f>COUNTIFS($A$3:A14645,A6392,$B$3:B14645,B6392)</f>
        <v>1</v>
      </c>
      <c r="G6392" s="116"/>
    </row>
    <row r="6393" spans="1:7" x14ac:dyDescent="0.2">
      <c r="A6393" s="116">
        <f>IF(ISNUMBER(Tabela2[[#This Row],[CT-e/NFS]])=TRUE,(IF(B6393&gt;30000,4,IF(B6393&lt;1000,"ND",0))),"-")</f>
        <v>0</v>
      </c>
      <c r="B6393" s="116">
        <v>22410</v>
      </c>
      <c r="C6393" s="117">
        <v>45617</v>
      </c>
      <c r="D6393" s="116">
        <v>77.72</v>
      </c>
      <c r="E6393" s="117">
        <v>45626</v>
      </c>
      <c r="F6393" s="116">
        <f>COUNTIFS($A$3:A14646,A6393,$B$3:B14646,B6393)</f>
        <v>1</v>
      </c>
      <c r="G6393" s="116"/>
    </row>
    <row r="6394" spans="1:7" x14ac:dyDescent="0.2">
      <c r="A6394" s="116">
        <f>IF(ISNUMBER(Tabela2[[#This Row],[CT-e/NFS]])=TRUE,(IF(B6394&gt;30000,4,IF(B6394&lt;1000,"ND",0))),"-")</f>
        <v>0</v>
      </c>
      <c r="B6394" s="116">
        <v>22408</v>
      </c>
      <c r="C6394" s="117">
        <v>45617</v>
      </c>
      <c r="D6394" s="116">
        <v>132.53</v>
      </c>
      <c r="E6394" s="117">
        <v>45626</v>
      </c>
      <c r="F6394" s="116">
        <f>COUNTIFS($A$3:A14647,A6394,$B$3:B14647,B6394)</f>
        <v>1</v>
      </c>
      <c r="G6394" s="116"/>
    </row>
    <row r="6395" spans="1:7" x14ac:dyDescent="0.2">
      <c r="A6395" s="116">
        <f>IF(ISNUMBER(Tabela2[[#This Row],[CT-e/NFS]])=TRUE,(IF(B6395&gt;30000,4,IF(B6395&lt;1000,"ND",0))),"-")</f>
        <v>4</v>
      </c>
      <c r="B6395" s="116">
        <v>50284</v>
      </c>
      <c r="C6395" s="117">
        <v>45617</v>
      </c>
      <c r="D6395" s="116">
        <v>374.2</v>
      </c>
      <c r="E6395" s="117">
        <v>45626</v>
      </c>
      <c r="F6395" s="116">
        <f>COUNTIFS($A$3:A14648,A6395,$B$3:B14648,B6395)</f>
        <v>1</v>
      </c>
      <c r="G6395" s="116"/>
    </row>
    <row r="6396" spans="1:7" x14ac:dyDescent="0.2">
      <c r="A6396" s="116">
        <f>IF(ISNUMBER(Tabela2[[#This Row],[CT-e/NFS]])=TRUE,(IF(B6396&gt;30000,4,IF(B6396&lt;1000,"ND",0))),"-")</f>
        <v>4</v>
      </c>
      <c r="B6396" s="116">
        <v>50286</v>
      </c>
      <c r="C6396" s="117">
        <v>45617</v>
      </c>
      <c r="D6396" s="116">
        <v>347.15</v>
      </c>
      <c r="E6396" s="117">
        <v>45626</v>
      </c>
      <c r="F6396" s="116">
        <f>COUNTIFS($A$3:A14649,A6396,$B$3:B14649,B6396)</f>
        <v>1</v>
      </c>
      <c r="G6396" s="116"/>
    </row>
    <row r="6397" spans="1:7" x14ac:dyDescent="0.2">
      <c r="A6397" s="116">
        <f>IF(ISNUMBER(Tabela2[[#This Row],[CT-e/NFS]])=TRUE,(IF(B6397&gt;30000,4,IF(B6397&lt;1000,"ND",0))),"-")</f>
        <v>4</v>
      </c>
      <c r="B6397" s="116">
        <v>50287</v>
      </c>
      <c r="C6397" s="117">
        <v>45617</v>
      </c>
      <c r="D6397" s="116">
        <v>351.66</v>
      </c>
      <c r="E6397" s="117">
        <v>45626</v>
      </c>
      <c r="F6397" s="116">
        <f>COUNTIFS($A$3:A14650,A6397,$B$3:B14650,B6397)</f>
        <v>1</v>
      </c>
      <c r="G6397" s="116"/>
    </row>
    <row r="6398" spans="1:7" x14ac:dyDescent="0.2">
      <c r="A6398" s="116">
        <f>IF(ISNUMBER(Tabela2[[#This Row],[CT-e/NFS]])=TRUE,(IF(B6398&gt;30000,4,IF(B6398&lt;1000,"ND",0))),"-")</f>
        <v>4</v>
      </c>
      <c r="B6398" s="116">
        <v>50285</v>
      </c>
      <c r="C6398" s="117">
        <v>45617</v>
      </c>
      <c r="D6398" s="116">
        <v>338.14</v>
      </c>
      <c r="E6398" s="117">
        <v>45626</v>
      </c>
      <c r="F6398" s="116">
        <f>COUNTIFS($A$3:A14651,A6398,$B$3:B14651,B6398)</f>
        <v>1</v>
      </c>
      <c r="G6398" s="116"/>
    </row>
    <row r="6399" spans="1:7" x14ac:dyDescent="0.2">
      <c r="A6399" s="116">
        <f>IF(ISNUMBER(Tabela2[[#This Row],[CT-e/NFS]])=TRUE,(IF(B6399&gt;30000,4,IF(B6399&lt;1000,"ND",0))),"-")</f>
        <v>4</v>
      </c>
      <c r="B6399" s="116">
        <v>50288</v>
      </c>
      <c r="C6399" s="117">
        <v>45617</v>
      </c>
      <c r="D6399" s="116">
        <v>347.15</v>
      </c>
      <c r="E6399" s="117">
        <v>45626</v>
      </c>
      <c r="F6399" s="116">
        <f>COUNTIFS($A$3:A14652,A6399,$B$3:B14652,B6399)</f>
        <v>1</v>
      </c>
      <c r="G6399" s="116"/>
    </row>
    <row r="6400" spans="1:7" x14ac:dyDescent="0.2">
      <c r="A6400" s="116">
        <f>IF(ISNUMBER(Tabela2[[#This Row],[CT-e/NFS]])=TRUE,(IF(B6400&gt;30000,4,IF(B6400&lt;1000,"ND",0))),"-")</f>
        <v>4</v>
      </c>
      <c r="B6400" s="116">
        <v>50291</v>
      </c>
      <c r="C6400" s="117">
        <v>45617</v>
      </c>
      <c r="D6400" s="116">
        <v>148.78</v>
      </c>
      <c r="E6400" s="117">
        <v>45626</v>
      </c>
      <c r="F6400" s="116">
        <f>COUNTIFS($A$3:A14653,A6400,$B$3:B14653,B6400)</f>
        <v>1</v>
      </c>
      <c r="G6400" s="116"/>
    </row>
    <row r="6401" spans="1:7" x14ac:dyDescent="0.2">
      <c r="A6401" s="116">
        <f>IF(ISNUMBER(Tabela2[[#This Row],[CT-e/NFS]])=TRUE,(IF(B6401&gt;30000,4,IF(B6401&lt;1000,"ND",0))),"-")</f>
        <v>4</v>
      </c>
      <c r="B6401" s="116">
        <v>50289</v>
      </c>
      <c r="C6401" s="117">
        <v>45617</v>
      </c>
      <c r="D6401" s="116">
        <v>282.44</v>
      </c>
      <c r="E6401" s="117">
        <v>45626</v>
      </c>
      <c r="F6401" s="116">
        <f>COUNTIFS($A$3:A14654,A6401,$B$3:B14654,B6401)</f>
        <v>1</v>
      </c>
      <c r="G6401" s="116"/>
    </row>
    <row r="6402" spans="1:7" x14ac:dyDescent="0.2">
      <c r="A6402" s="116">
        <f>IF(ISNUMBER(Tabela2[[#This Row],[CT-e/NFS]])=TRUE,(IF(B6402&gt;30000,4,IF(B6402&lt;1000,"ND",0))),"-")</f>
        <v>4</v>
      </c>
      <c r="B6402" s="116">
        <v>50283</v>
      </c>
      <c r="C6402" s="117">
        <v>45617</v>
      </c>
      <c r="D6402" s="116">
        <v>1758.3</v>
      </c>
      <c r="E6402" s="117">
        <v>45626</v>
      </c>
      <c r="F6402" s="116">
        <f>COUNTIFS($A$3:A14655,A6402,$B$3:B14655,B6402)</f>
        <v>1</v>
      </c>
      <c r="G6402" s="116"/>
    </row>
    <row r="6403" spans="1:7" x14ac:dyDescent="0.2">
      <c r="A6403" s="116">
        <f>IF(ISNUMBER(Tabela2[[#This Row],[CT-e/NFS]])=TRUE,(IF(B6403&gt;30000,4,IF(B6403&lt;1000,"ND",0))),"-")</f>
        <v>4</v>
      </c>
      <c r="B6403" s="116">
        <v>50304</v>
      </c>
      <c r="C6403" s="117">
        <v>45617</v>
      </c>
      <c r="D6403" s="116">
        <v>125.56</v>
      </c>
      <c r="E6403" s="117">
        <v>45626</v>
      </c>
      <c r="F6403" s="116">
        <f>COUNTIFS($A$3:A14656,A6403,$B$3:B14656,B6403)</f>
        <v>1</v>
      </c>
      <c r="G6403" s="116"/>
    </row>
    <row r="6404" spans="1:7" x14ac:dyDescent="0.2">
      <c r="A6404" s="116">
        <f>IF(ISNUMBER(Tabela2[[#This Row],[CT-e/NFS]])=TRUE,(IF(B6404&gt;30000,4,IF(B6404&lt;1000,"ND",0))),"-")</f>
        <v>4</v>
      </c>
      <c r="B6404" s="116">
        <v>50295</v>
      </c>
      <c r="C6404" s="117">
        <v>45617</v>
      </c>
      <c r="D6404" s="116">
        <v>124.32</v>
      </c>
      <c r="E6404" s="117">
        <v>45626</v>
      </c>
      <c r="F6404" s="116">
        <f>COUNTIFS($A$3:A14657,A6404,$B$3:B14657,B6404)</f>
        <v>1</v>
      </c>
      <c r="G6404" s="116"/>
    </row>
    <row r="6405" spans="1:7" x14ac:dyDescent="0.2">
      <c r="A6405" s="116">
        <f>IF(ISNUMBER(Tabela2[[#This Row],[CT-e/NFS]])=TRUE,(IF(B6405&gt;30000,4,IF(B6405&lt;1000,"ND",0))),"-")</f>
        <v>4</v>
      </c>
      <c r="B6405" s="116">
        <v>50298</v>
      </c>
      <c r="C6405" s="117">
        <v>45617</v>
      </c>
      <c r="D6405" s="116">
        <v>124.33</v>
      </c>
      <c r="E6405" s="117">
        <v>45626</v>
      </c>
      <c r="F6405" s="116">
        <f>COUNTIFS($A$3:A14658,A6405,$B$3:B14658,B6405)</f>
        <v>1</v>
      </c>
      <c r="G6405" s="116"/>
    </row>
    <row r="6406" spans="1:7" x14ac:dyDescent="0.2">
      <c r="A6406" s="116">
        <f>IF(ISNUMBER(Tabela2[[#This Row],[CT-e/NFS]])=TRUE,(IF(B6406&gt;30000,4,IF(B6406&lt;1000,"ND",0))),"-")</f>
        <v>4</v>
      </c>
      <c r="B6406" s="116">
        <v>50297</v>
      </c>
      <c r="C6406" s="117">
        <v>45617</v>
      </c>
      <c r="D6406" s="116">
        <v>126.2</v>
      </c>
      <c r="E6406" s="117">
        <v>45626</v>
      </c>
      <c r="F6406" s="116">
        <f>COUNTIFS($A$3:A14659,A6406,$B$3:B14659,B6406)</f>
        <v>1</v>
      </c>
      <c r="G6406" s="116"/>
    </row>
    <row r="6407" spans="1:7" x14ac:dyDescent="0.2">
      <c r="A6407" s="116">
        <f>IF(ISNUMBER(Tabela2[[#This Row],[CT-e/NFS]])=TRUE,(IF(B6407&gt;30000,4,IF(B6407&lt;1000,"ND",0))),"-")</f>
        <v>4</v>
      </c>
      <c r="B6407" s="116">
        <v>50294</v>
      </c>
      <c r="C6407" s="117">
        <v>45617</v>
      </c>
      <c r="D6407" s="116">
        <v>124.05</v>
      </c>
      <c r="E6407" s="117">
        <v>45626</v>
      </c>
      <c r="F6407" s="116">
        <f>COUNTIFS($A$3:A14660,A6407,$B$3:B14660,B6407)</f>
        <v>1</v>
      </c>
      <c r="G6407" s="116"/>
    </row>
    <row r="6408" spans="1:7" x14ac:dyDescent="0.2">
      <c r="A6408" s="116">
        <f>IF(ISNUMBER(Tabela2[[#This Row],[CT-e/NFS]])=TRUE,(IF(B6408&gt;30000,4,IF(B6408&lt;1000,"ND",0))),"-")</f>
        <v>4</v>
      </c>
      <c r="B6408" s="116">
        <v>50312</v>
      </c>
      <c r="C6408" s="117">
        <v>45617</v>
      </c>
      <c r="D6408" s="116">
        <v>216.39</v>
      </c>
      <c r="E6408" s="117">
        <v>45626</v>
      </c>
      <c r="F6408" s="116">
        <f>COUNTIFS($A$3:A14661,A6408,$B$3:B14661,B6408)</f>
        <v>1</v>
      </c>
      <c r="G6408" s="116"/>
    </row>
    <row r="6409" spans="1:7" x14ac:dyDescent="0.2">
      <c r="A6409" s="116">
        <f>IF(ISNUMBER(Tabela2[[#This Row],[CT-e/NFS]])=TRUE,(IF(B6409&gt;30000,4,IF(B6409&lt;1000,"ND",0))),"-")</f>
        <v>4</v>
      </c>
      <c r="B6409" s="116">
        <v>50301</v>
      </c>
      <c r="C6409" s="117">
        <v>45617</v>
      </c>
      <c r="D6409" s="116">
        <v>125.92</v>
      </c>
      <c r="E6409" s="117">
        <v>45626</v>
      </c>
      <c r="F6409" s="116">
        <f>COUNTIFS($A$3:A14662,A6409,$B$3:B14662,B6409)</f>
        <v>1</v>
      </c>
      <c r="G6409" s="116"/>
    </row>
    <row r="6410" spans="1:7" x14ac:dyDescent="0.2">
      <c r="A6410" s="116">
        <f>IF(ISNUMBER(Tabela2[[#This Row],[CT-e/NFS]])=TRUE,(IF(B6410&gt;30000,4,IF(B6410&lt;1000,"ND",0))),"-")</f>
        <v>4</v>
      </c>
      <c r="B6410" s="116">
        <v>50300</v>
      </c>
      <c r="C6410" s="117">
        <v>45617</v>
      </c>
      <c r="D6410" s="116">
        <v>464.82</v>
      </c>
      <c r="E6410" s="117">
        <v>45626</v>
      </c>
      <c r="F6410" s="116">
        <f>COUNTIFS($A$3:A14663,A6410,$B$3:B14663,B6410)</f>
        <v>1</v>
      </c>
      <c r="G6410" s="116"/>
    </row>
    <row r="6411" spans="1:7" x14ac:dyDescent="0.2">
      <c r="A6411" s="116">
        <f>IF(ISNUMBER(Tabela2[[#This Row],[CT-e/NFS]])=TRUE,(IF(B6411&gt;30000,4,IF(B6411&lt;1000,"ND",0))),"-")</f>
        <v>4</v>
      </c>
      <c r="B6411" s="116">
        <v>50305</v>
      </c>
      <c r="C6411" s="117">
        <v>45617</v>
      </c>
      <c r="D6411" s="116">
        <v>123.52</v>
      </c>
      <c r="E6411" s="117">
        <v>45626</v>
      </c>
      <c r="F6411" s="116">
        <f>COUNTIFS($A$3:A14664,A6411,$B$3:B14664,B6411)</f>
        <v>1</v>
      </c>
      <c r="G6411" s="116"/>
    </row>
    <row r="6412" spans="1:7" x14ac:dyDescent="0.2">
      <c r="A6412" s="116">
        <f>IF(ISNUMBER(Tabela2[[#This Row],[CT-e/NFS]])=TRUE,(IF(B6412&gt;30000,4,IF(B6412&lt;1000,"ND",0))),"-")</f>
        <v>4</v>
      </c>
      <c r="B6412" s="116">
        <v>50303</v>
      </c>
      <c r="C6412" s="117">
        <v>45617</v>
      </c>
      <c r="D6412" s="116">
        <v>124.26</v>
      </c>
      <c r="E6412" s="117">
        <v>45626</v>
      </c>
      <c r="F6412" s="116">
        <f>COUNTIFS($A$3:A14665,A6412,$B$3:B14665,B6412)</f>
        <v>1</v>
      </c>
      <c r="G6412" s="116"/>
    </row>
    <row r="6413" spans="1:7" x14ac:dyDescent="0.2">
      <c r="A6413" s="116">
        <f>IF(ISNUMBER(Tabela2[[#This Row],[CT-e/NFS]])=TRUE,(IF(B6413&gt;30000,4,IF(B6413&lt;1000,"ND",0))),"-")</f>
        <v>4</v>
      </c>
      <c r="B6413" s="116">
        <v>50302</v>
      </c>
      <c r="C6413" s="117">
        <v>45617</v>
      </c>
      <c r="D6413" s="116">
        <v>124.33</v>
      </c>
      <c r="E6413" s="117">
        <v>45626</v>
      </c>
      <c r="F6413" s="116">
        <f>COUNTIFS($A$3:A14666,A6413,$B$3:B14666,B6413)</f>
        <v>1</v>
      </c>
      <c r="G6413" s="116"/>
    </row>
    <row r="6414" spans="1:7" x14ac:dyDescent="0.2">
      <c r="A6414" s="116">
        <f>IF(ISNUMBER(Tabela2[[#This Row],[CT-e/NFS]])=TRUE,(IF(B6414&gt;30000,4,IF(B6414&lt;1000,"ND",0))),"-")</f>
        <v>4</v>
      </c>
      <c r="B6414" s="116">
        <v>50299</v>
      </c>
      <c r="C6414" s="117">
        <v>45617</v>
      </c>
      <c r="D6414" s="116">
        <v>125.9</v>
      </c>
      <c r="E6414" s="117">
        <v>45626</v>
      </c>
      <c r="F6414" s="116">
        <f>COUNTIFS($A$3:A14667,A6414,$B$3:B14667,B6414)</f>
        <v>1</v>
      </c>
      <c r="G6414" s="116"/>
    </row>
    <row r="6415" spans="1:7" x14ac:dyDescent="0.2">
      <c r="A6415" s="116">
        <f>IF(ISNUMBER(Tabela2[[#This Row],[CT-e/NFS]])=TRUE,(IF(B6415&gt;30000,4,IF(B6415&lt;1000,"ND",0))),"-")</f>
        <v>4</v>
      </c>
      <c r="B6415" s="116">
        <v>50296</v>
      </c>
      <c r="C6415" s="117">
        <v>45617</v>
      </c>
      <c r="D6415" s="116">
        <v>124.26</v>
      </c>
      <c r="E6415" s="117">
        <v>45626</v>
      </c>
      <c r="F6415" s="116">
        <f>COUNTIFS($A$3:A14668,A6415,$B$3:B14668,B6415)</f>
        <v>1</v>
      </c>
      <c r="G6415" s="116"/>
    </row>
    <row r="6416" spans="1:7" x14ac:dyDescent="0.2">
      <c r="A6416" s="116">
        <f>IF(ISNUMBER(Tabela2[[#This Row],[CT-e/NFS]])=TRUE,(IF(B6416&gt;30000,4,IF(B6416&lt;1000,"ND",0))),"-")</f>
        <v>4</v>
      </c>
      <c r="B6416" s="116">
        <v>50290</v>
      </c>
      <c r="C6416" s="117">
        <v>45617</v>
      </c>
      <c r="D6416" s="116">
        <v>251.26</v>
      </c>
      <c r="E6416" s="117">
        <v>45626</v>
      </c>
      <c r="F6416" s="116">
        <f>COUNTIFS($A$3:A14669,A6416,$B$3:B14669,B6416)</f>
        <v>1</v>
      </c>
      <c r="G6416" s="116"/>
    </row>
    <row r="6417" spans="1:7" x14ac:dyDescent="0.2">
      <c r="A6417" s="116">
        <f>IF(ISNUMBER(Tabela2[[#This Row],[CT-e/NFS]])=TRUE,(IF(B6417&gt;30000,4,IF(B6417&lt;1000,"ND",0))),"-")</f>
        <v>4</v>
      </c>
      <c r="B6417" s="116">
        <v>50255</v>
      </c>
      <c r="C6417" s="117">
        <v>45617</v>
      </c>
      <c r="D6417" s="116">
        <v>1137.73</v>
      </c>
      <c r="E6417" s="117">
        <v>45626</v>
      </c>
      <c r="F6417" s="116">
        <f>COUNTIFS($A$3:A14670,A6417,$B$3:B14670,B6417)</f>
        <v>1</v>
      </c>
      <c r="G6417" s="116"/>
    </row>
    <row r="6418" spans="1:7" x14ac:dyDescent="0.2">
      <c r="A6418" s="116">
        <f>IF(ISNUMBER(Tabela2[[#This Row],[CT-e/NFS]])=TRUE,(IF(B6418&gt;30000,4,IF(B6418&lt;1000,"ND",0))),"-")</f>
        <v>4</v>
      </c>
      <c r="B6418" s="116">
        <v>50293</v>
      </c>
      <c r="C6418" s="117">
        <v>45617</v>
      </c>
      <c r="D6418" s="116">
        <v>125.34</v>
      </c>
      <c r="E6418" s="117">
        <v>45626</v>
      </c>
      <c r="F6418" s="116">
        <f>COUNTIFS($A$3:A14671,A6418,$B$3:B14671,B6418)</f>
        <v>1</v>
      </c>
      <c r="G6418" s="116"/>
    </row>
    <row r="6419" spans="1:7" x14ac:dyDescent="0.2">
      <c r="A6419" s="116">
        <f>IF(ISNUMBER(Tabela2[[#This Row],[CT-e/NFS]])=TRUE,(IF(B6419&gt;30000,4,IF(B6419&lt;1000,"ND",0))),"-")</f>
        <v>0</v>
      </c>
      <c r="B6419" s="116">
        <v>22413</v>
      </c>
      <c r="C6419" s="117">
        <v>45617</v>
      </c>
      <c r="D6419" s="116">
        <v>75.63</v>
      </c>
      <c r="E6419" s="117">
        <v>45626</v>
      </c>
      <c r="F6419" s="116">
        <f>COUNTIFS($A$3:A14672,A6419,$B$3:B14672,B6419)</f>
        <v>1</v>
      </c>
      <c r="G6419" s="116"/>
    </row>
    <row r="6420" spans="1:7" x14ac:dyDescent="0.2">
      <c r="A6420" s="116">
        <f>IF(ISNUMBER(Tabela2[[#This Row],[CT-e/NFS]])=TRUE,(IF(B6420&gt;30000,4,IF(B6420&lt;1000,"ND",0))),"-")</f>
        <v>0</v>
      </c>
      <c r="B6420" s="116">
        <v>22415</v>
      </c>
      <c r="C6420" s="117">
        <v>45617</v>
      </c>
      <c r="D6420" s="116">
        <v>76</v>
      </c>
      <c r="E6420" s="117">
        <v>45626</v>
      </c>
      <c r="F6420" s="116">
        <f>COUNTIFS($A$3:A14673,A6420,$B$3:B14673,B6420)</f>
        <v>1</v>
      </c>
      <c r="G6420" s="116"/>
    </row>
    <row r="6421" spans="1:7" x14ac:dyDescent="0.2">
      <c r="A6421" s="116">
        <f>IF(ISNUMBER(Tabela2[[#This Row],[CT-e/NFS]])=TRUE,(IF(B6421&gt;30000,4,IF(B6421&lt;1000,"ND",0))),"-")</f>
        <v>0</v>
      </c>
      <c r="B6421" s="116">
        <v>22411</v>
      </c>
      <c r="C6421" s="117">
        <v>45617</v>
      </c>
      <c r="D6421" s="116">
        <v>75.81</v>
      </c>
      <c r="E6421" s="117">
        <v>45626</v>
      </c>
      <c r="F6421" s="116">
        <f>COUNTIFS($A$3:A14674,A6421,$B$3:B14674,B6421)</f>
        <v>1</v>
      </c>
      <c r="G6421" s="116"/>
    </row>
    <row r="6422" spans="1:7" x14ac:dyDescent="0.2">
      <c r="A6422" s="116">
        <f>IF(ISNUMBER(Tabela2[[#This Row],[CT-e/NFS]])=TRUE,(IF(B6422&gt;30000,4,IF(B6422&lt;1000,"ND",0))),"-")</f>
        <v>0</v>
      </c>
      <c r="B6422" s="116">
        <v>22412</v>
      </c>
      <c r="C6422" s="117">
        <v>45617</v>
      </c>
      <c r="D6422" s="116">
        <v>76.8</v>
      </c>
      <c r="E6422" s="117">
        <v>45626</v>
      </c>
      <c r="F6422" s="116">
        <f>COUNTIFS($A$3:A14675,A6422,$B$3:B14675,B6422)</f>
        <v>1</v>
      </c>
      <c r="G6422" s="116"/>
    </row>
    <row r="6423" spans="1:7" x14ac:dyDescent="0.2">
      <c r="A6423" s="116">
        <f>IF(ISNUMBER(Tabela2[[#This Row],[CT-e/NFS]])=TRUE,(IF(B6423&gt;30000,4,IF(B6423&lt;1000,"ND",0))),"-")</f>
        <v>0</v>
      </c>
      <c r="B6423" s="116">
        <v>22416</v>
      </c>
      <c r="C6423" s="117">
        <v>45617</v>
      </c>
      <c r="D6423" s="116">
        <v>76.25</v>
      </c>
      <c r="E6423" s="117">
        <v>45626</v>
      </c>
      <c r="F6423" s="116">
        <f>COUNTIFS($A$3:A14676,A6423,$B$3:B14676,B6423)</f>
        <v>1</v>
      </c>
      <c r="G6423" s="116"/>
    </row>
    <row r="6424" spans="1:7" x14ac:dyDescent="0.2">
      <c r="A6424" s="116">
        <f>IF(ISNUMBER(Tabela2[[#This Row],[CT-e/NFS]])=TRUE,(IF(B6424&gt;30000,4,IF(B6424&lt;1000,"ND",0))),"-")</f>
        <v>0</v>
      </c>
      <c r="B6424" s="116">
        <v>22414</v>
      </c>
      <c r="C6424" s="117">
        <v>45617</v>
      </c>
      <c r="D6424" s="116">
        <v>76.34</v>
      </c>
      <c r="E6424" s="117">
        <v>45626</v>
      </c>
      <c r="F6424" s="116">
        <f>COUNTIFS($A$3:A14677,A6424,$B$3:B14677,B6424)</f>
        <v>1</v>
      </c>
      <c r="G6424" s="116"/>
    </row>
    <row r="6425" spans="1:7" x14ac:dyDescent="0.2">
      <c r="A6425" s="116">
        <f>IF(ISNUMBER(Tabela2[[#This Row],[CT-e/NFS]])=TRUE,(IF(B6425&gt;30000,4,IF(B6425&lt;1000,"ND",0))),"-")</f>
        <v>0</v>
      </c>
      <c r="B6425" s="116">
        <v>22418</v>
      </c>
      <c r="C6425" s="117">
        <v>45617</v>
      </c>
      <c r="D6425" s="116">
        <v>76.34</v>
      </c>
      <c r="E6425" s="117">
        <v>45626</v>
      </c>
      <c r="F6425" s="116">
        <f>COUNTIFS($A$3:A14678,A6425,$B$3:B14678,B6425)</f>
        <v>1</v>
      </c>
      <c r="G6425" s="116"/>
    </row>
    <row r="6426" spans="1:7" x14ac:dyDescent="0.2">
      <c r="A6426" s="116">
        <f>IF(ISNUMBER(Tabela2[[#This Row],[CT-e/NFS]])=TRUE,(IF(B6426&gt;30000,4,IF(B6426&lt;1000,"ND",0))),"-")</f>
        <v>0</v>
      </c>
      <c r="B6426" s="116">
        <v>22417</v>
      </c>
      <c r="C6426" s="117">
        <v>45617</v>
      </c>
      <c r="D6426" s="116">
        <v>1001.19</v>
      </c>
      <c r="E6426" s="117">
        <v>45626</v>
      </c>
      <c r="F6426" s="116">
        <f>COUNTIFS($A$3:A14679,A6426,$B$3:B14679,B6426)</f>
        <v>1</v>
      </c>
      <c r="G6426" s="116"/>
    </row>
    <row r="6427" spans="1:7" x14ac:dyDescent="0.2">
      <c r="A6427" s="116">
        <f>IF(ISNUMBER(Tabela2[[#This Row],[CT-e/NFS]])=TRUE,(IF(B6427&gt;30000,4,IF(B6427&lt;1000,"ND",0))),"-")</f>
        <v>4</v>
      </c>
      <c r="B6427" s="116">
        <v>50292</v>
      </c>
      <c r="C6427" s="117">
        <v>45617</v>
      </c>
      <c r="D6427" s="116">
        <v>123.2</v>
      </c>
      <c r="E6427" s="117">
        <v>45626</v>
      </c>
      <c r="F6427" s="116">
        <f>COUNTIFS($A$3:A14680,A6427,$B$3:B14680,B6427)</f>
        <v>1</v>
      </c>
      <c r="G6427" s="116"/>
    </row>
    <row r="6428" spans="1:7" x14ac:dyDescent="0.2">
      <c r="A6428" s="116">
        <f>IF(ISNUMBER(Tabela2[[#This Row],[CT-e/NFS]])=TRUE,(IF(B6428&gt;30000,4,IF(B6428&lt;1000,"ND",0))),"-")</f>
        <v>4</v>
      </c>
      <c r="B6428" s="116">
        <v>50311</v>
      </c>
      <c r="C6428" s="117">
        <v>45617</v>
      </c>
      <c r="D6428" s="116">
        <v>177.03</v>
      </c>
      <c r="E6428" s="117">
        <v>45626</v>
      </c>
      <c r="F6428" s="116">
        <f>COUNTIFS($A$3:A14681,A6428,$B$3:B14681,B6428)</f>
        <v>1</v>
      </c>
      <c r="G6428" s="116"/>
    </row>
    <row r="6429" spans="1:7" x14ac:dyDescent="0.2">
      <c r="A6429" s="116">
        <f>IF(ISNUMBER(Tabela2[[#This Row],[CT-e/NFS]])=TRUE,(IF(B6429&gt;30000,4,IF(B6429&lt;1000,"ND",0))),"-")</f>
        <v>4</v>
      </c>
      <c r="B6429" s="116">
        <v>50338</v>
      </c>
      <c r="C6429" s="117">
        <v>45617</v>
      </c>
      <c r="D6429" s="116">
        <v>226.28</v>
      </c>
      <c r="E6429" s="117">
        <v>45626</v>
      </c>
      <c r="F6429" s="116">
        <f>COUNTIFS($A$3:A14682,A6429,$B$3:B14682,B6429)</f>
        <v>1</v>
      </c>
      <c r="G6429" s="116"/>
    </row>
    <row r="6430" spans="1:7" x14ac:dyDescent="0.2">
      <c r="A6430" s="116">
        <f>IF(ISNUMBER(Tabela2[[#This Row],[CT-e/NFS]])=TRUE,(IF(B6430&gt;30000,4,IF(B6430&lt;1000,"ND",0))),"-")</f>
        <v>4</v>
      </c>
      <c r="B6430" s="116">
        <v>50339</v>
      </c>
      <c r="C6430" s="117">
        <v>45617</v>
      </c>
      <c r="D6430" s="116">
        <v>226.28</v>
      </c>
      <c r="E6430" s="117">
        <v>45626</v>
      </c>
      <c r="F6430" s="116">
        <f>COUNTIFS($A$3:A14683,A6430,$B$3:B14683,B6430)</f>
        <v>1</v>
      </c>
      <c r="G6430" s="116"/>
    </row>
    <row r="6431" spans="1:7" x14ac:dyDescent="0.2">
      <c r="A6431" s="116">
        <f>IF(ISNUMBER(Tabela2[[#This Row],[CT-e/NFS]])=TRUE,(IF(B6431&gt;30000,4,IF(B6431&lt;1000,"ND",0))),"-")</f>
        <v>4</v>
      </c>
      <c r="B6431" s="116">
        <v>50340</v>
      </c>
      <c r="C6431" s="117">
        <v>45617</v>
      </c>
      <c r="D6431" s="116">
        <v>685.16</v>
      </c>
      <c r="E6431" s="117">
        <v>45626</v>
      </c>
      <c r="F6431" s="116">
        <f>COUNTIFS($A$3:A14684,A6431,$B$3:B14684,B6431)</f>
        <v>1</v>
      </c>
      <c r="G6431" s="116"/>
    </row>
    <row r="6432" spans="1:7" x14ac:dyDescent="0.2">
      <c r="A6432" s="116">
        <f>IF(ISNUMBER(Tabela2[[#This Row],[CT-e/NFS]])=TRUE,(IF(B6432&gt;30000,4,IF(B6432&lt;1000,"ND",0))),"-")</f>
        <v>4</v>
      </c>
      <c r="B6432" s="116">
        <v>50327</v>
      </c>
      <c r="C6432" s="117">
        <v>45617</v>
      </c>
      <c r="D6432" s="116">
        <v>125.9</v>
      </c>
      <c r="E6432" s="117">
        <v>45626</v>
      </c>
      <c r="F6432" s="116">
        <f>COUNTIFS($A$3:A14685,A6432,$B$3:B14685,B6432)</f>
        <v>1</v>
      </c>
      <c r="G6432" s="116"/>
    </row>
    <row r="6433" spans="1:7" x14ac:dyDescent="0.2">
      <c r="A6433" s="116">
        <f>IF(ISNUMBER(Tabela2[[#This Row],[CT-e/NFS]])=TRUE,(IF(B6433&gt;30000,4,IF(B6433&lt;1000,"ND",0))),"-")</f>
        <v>4</v>
      </c>
      <c r="B6433" s="116">
        <v>50323</v>
      </c>
      <c r="C6433" s="117">
        <v>45617</v>
      </c>
      <c r="D6433" s="116">
        <v>126.01</v>
      </c>
      <c r="E6433" s="117">
        <v>45626</v>
      </c>
      <c r="F6433" s="116">
        <f>COUNTIFS($A$3:A14686,A6433,$B$3:B14686,B6433)</f>
        <v>1</v>
      </c>
      <c r="G6433" s="116"/>
    </row>
    <row r="6434" spans="1:7" x14ac:dyDescent="0.2">
      <c r="A6434" s="116">
        <f>IF(ISNUMBER(Tabela2[[#This Row],[CT-e/NFS]])=TRUE,(IF(B6434&gt;30000,4,IF(B6434&lt;1000,"ND",0))),"-")</f>
        <v>4</v>
      </c>
      <c r="B6434" s="116">
        <v>50331</v>
      </c>
      <c r="C6434" s="117">
        <v>45617</v>
      </c>
      <c r="D6434" s="116">
        <v>134.38</v>
      </c>
      <c r="E6434" s="117">
        <v>45626</v>
      </c>
      <c r="F6434" s="116">
        <f>COUNTIFS($A$3:A14687,A6434,$B$3:B14687,B6434)</f>
        <v>1</v>
      </c>
      <c r="G6434" s="116"/>
    </row>
    <row r="6435" spans="1:7" x14ac:dyDescent="0.2">
      <c r="A6435" s="116">
        <f>IF(ISNUMBER(Tabela2[[#This Row],[CT-e/NFS]])=TRUE,(IF(B6435&gt;30000,4,IF(B6435&lt;1000,"ND",0))),"-")</f>
        <v>4</v>
      </c>
      <c r="B6435" s="116">
        <v>50321</v>
      </c>
      <c r="C6435" s="117">
        <v>45617</v>
      </c>
      <c r="D6435" s="116">
        <v>124.3</v>
      </c>
      <c r="E6435" s="117">
        <v>45626</v>
      </c>
      <c r="F6435" s="116">
        <f>COUNTIFS($A$3:A14688,A6435,$B$3:B14688,B6435)</f>
        <v>1</v>
      </c>
      <c r="G6435" s="116"/>
    </row>
    <row r="6436" spans="1:7" x14ac:dyDescent="0.2">
      <c r="A6436" s="116">
        <f>IF(ISNUMBER(Tabela2[[#This Row],[CT-e/NFS]])=TRUE,(IF(B6436&gt;30000,4,IF(B6436&lt;1000,"ND",0))),"-")</f>
        <v>4</v>
      </c>
      <c r="B6436" s="116">
        <v>50318</v>
      </c>
      <c r="C6436" s="117">
        <v>45617</v>
      </c>
      <c r="D6436" s="116">
        <v>240.26</v>
      </c>
      <c r="E6436" s="117">
        <v>45626</v>
      </c>
      <c r="F6436" s="116">
        <f>COUNTIFS($A$3:A14689,A6436,$B$3:B14689,B6436)</f>
        <v>1</v>
      </c>
      <c r="G6436" s="116"/>
    </row>
    <row r="6437" spans="1:7" x14ac:dyDescent="0.2">
      <c r="A6437" s="116">
        <f>IF(ISNUMBER(Tabela2[[#This Row],[CT-e/NFS]])=TRUE,(IF(B6437&gt;30000,4,IF(B6437&lt;1000,"ND",0))),"-")</f>
        <v>4</v>
      </c>
      <c r="B6437" s="116">
        <v>50320</v>
      </c>
      <c r="C6437" s="117">
        <v>45617</v>
      </c>
      <c r="D6437" s="116">
        <v>150.75</v>
      </c>
      <c r="E6437" s="117">
        <v>45626</v>
      </c>
      <c r="F6437" s="116">
        <f>COUNTIFS($A$3:A14690,A6437,$B$3:B14690,B6437)</f>
        <v>1</v>
      </c>
      <c r="G6437" s="116"/>
    </row>
    <row r="6438" spans="1:7" x14ac:dyDescent="0.2">
      <c r="A6438" s="116">
        <f>IF(ISNUMBER(Tabela2[[#This Row],[CT-e/NFS]])=TRUE,(IF(B6438&gt;30000,4,IF(B6438&lt;1000,"ND",0))),"-")</f>
        <v>4</v>
      </c>
      <c r="B6438" s="116">
        <v>50330</v>
      </c>
      <c r="C6438" s="117">
        <v>45617</v>
      </c>
      <c r="D6438" s="116">
        <v>74.39</v>
      </c>
      <c r="E6438" s="117">
        <v>45626</v>
      </c>
      <c r="F6438" s="116">
        <f>COUNTIFS($A$3:A14691,A6438,$B$3:B14691,B6438)</f>
        <v>1</v>
      </c>
      <c r="G6438" s="116"/>
    </row>
    <row r="6439" spans="1:7" x14ac:dyDescent="0.2">
      <c r="A6439" s="116">
        <f>IF(ISNUMBER(Tabela2[[#This Row],[CT-e/NFS]])=TRUE,(IF(B6439&gt;30000,4,IF(B6439&lt;1000,"ND",0))),"-")</f>
        <v>4</v>
      </c>
      <c r="B6439" s="116">
        <v>50333</v>
      </c>
      <c r="C6439" s="117">
        <v>45617</v>
      </c>
      <c r="D6439" s="116">
        <v>112.05</v>
      </c>
      <c r="E6439" s="117">
        <v>45626</v>
      </c>
      <c r="F6439" s="116">
        <f>COUNTIFS($A$3:A14692,A6439,$B$3:B14692,B6439)</f>
        <v>1</v>
      </c>
      <c r="G6439" s="116"/>
    </row>
    <row r="6440" spans="1:7" x14ac:dyDescent="0.2">
      <c r="A6440" s="116">
        <f>IF(ISNUMBER(Tabela2[[#This Row],[CT-e/NFS]])=TRUE,(IF(B6440&gt;30000,4,IF(B6440&lt;1000,"ND",0))),"-")</f>
        <v>4</v>
      </c>
      <c r="B6440" s="116">
        <v>50319</v>
      </c>
      <c r="C6440" s="117">
        <v>45617</v>
      </c>
      <c r="D6440" s="116">
        <v>301.51</v>
      </c>
      <c r="E6440" s="117">
        <v>45626</v>
      </c>
      <c r="F6440" s="116">
        <f>COUNTIFS($A$3:A14693,A6440,$B$3:B14693,B6440)</f>
        <v>1</v>
      </c>
      <c r="G6440" s="116"/>
    </row>
    <row r="6441" spans="1:7" x14ac:dyDescent="0.2">
      <c r="A6441" s="116">
        <f>IF(ISNUMBER(Tabela2[[#This Row],[CT-e/NFS]])=TRUE,(IF(B6441&gt;30000,4,IF(B6441&lt;1000,"ND",0))),"-")</f>
        <v>4</v>
      </c>
      <c r="B6441" s="116">
        <v>50329</v>
      </c>
      <c r="C6441" s="117">
        <v>45617</v>
      </c>
      <c r="D6441" s="116">
        <v>123.89</v>
      </c>
      <c r="E6441" s="117">
        <v>45626</v>
      </c>
      <c r="F6441" s="116">
        <f>COUNTIFS($A$3:A14694,A6441,$B$3:B14694,B6441)</f>
        <v>1</v>
      </c>
      <c r="G6441" s="116"/>
    </row>
    <row r="6442" spans="1:7" x14ac:dyDescent="0.2">
      <c r="A6442" s="116">
        <f>IF(ISNUMBER(Tabela2[[#This Row],[CT-e/NFS]])=TRUE,(IF(B6442&gt;30000,4,IF(B6442&lt;1000,"ND",0))),"-")</f>
        <v>4</v>
      </c>
      <c r="B6442" s="116">
        <v>50328</v>
      </c>
      <c r="C6442" s="117">
        <v>45617</v>
      </c>
      <c r="D6442" s="116">
        <v>295.14999999999998</v>
      </c>
      <c r="E6442" s="117">
        <v>45626</v>
      </c>
      <c r="F6442" s="116">
        <f>COUNTIFS($A$3:A14695,A6442,$B$3:B14695,B6442)</f>
        <v>1</v>
      </c>
      <c r="G6442" s="116"/>
    </row>
    <row r="6443" spans="1:7" x14ac:dyDescent="0.2">
      <c r="A6443" s="116">
        <f>IF(ISNUMBER(Tabela2[[#This Row],[CT-e/NFS]])=TRUE,(IF(B6443&gt;30000,4,IF(B6443&lt;1000,"ND",0))),"-")</f>
        <v>4</v>
      </c>
      <c r="B6443" s="116">
        <v>50326</v>
      </c>
      <c r="C6443" s="117">
        <v>45617</v>
      </c>
      <c r="D6443" s="116">
        <v>124.49</v>
      </c>
      <c r="E6443" s="117">
        <v>45626</v>
      </c>
      <c r="F6443" s="116">
        <f>COUNTIFS($A$3:A14696,A6443,$B$3:B14696,B6443)</f>
        <v>1</v>
      </c>
      <c r="G6443" s="116"/>
    </row>
    <row r="6444" spans="1:7" x14ac:dyDescent="0.2">
      <c r="A6444" s="116">
        <f>IF(ISNUMBER(Tabela2[[#This Row],[CT-e/NFS]])=TRUE,(IF(B6444&gt;30000,4,IF(B6444&lt;1000,"ND",0))),"-")</f>
        <v>4</v>
      </c>
      <c r="B6444" s="116">
        <v>50322</v>
      </c>
      <c r="C6444" s="117">
        <v>45617</v>
      </c>
      <c r="D6444" s="116">
        <v>123.2</v>
      </c>
      <c r="E6444" s="117">
        <v>45626</v>
      </c>
      <c r="F6444" s="116">
        <f>COUNTIFS($A$3:A14697,A6444,$B$3:B14697,B6444)</f>
        <v>1</v>
      </c>
      <c r="G6444" s="116"/>
    </row>
    <row r="6445" spans="1:7" x14ac:dyDescent="0.2">
      <c r="A6445" s="116">
        <f>IF(ISNUMBER(Tabela2[[#This Row],[CT-e/NFS]])=TRUE,(IF(B6445&gt;30000,4,IF(B6445&lt;1000,"ND",0))),"-")</f>
        <v>4</v>
      </c>
      <c r="B6445" s="116">
        <v>50325</v>
      </c>
      <c r="C6445" s="117">
        <v>45617</v>
      </c>
      <c r="D6445" s="116">
        <v>124.03</v>
      </c>
      <c r="E6445" s="117">
        <v>45626</v>
      </c>
      <c r="F6445" s="116">
        <f>COUNTIFS($A$3:A14698,A6445,$B$3:B14698,B6445)</f>
        <v>1</v>
      </c>
      <c r="G6445" s="116"/>
    </row>
    <row r="6446" spans="1:7" x14ac:dyDescent="0.2">
      <c r="A6446" s="116">
        <f>IF(ISNUMBER(Tabela2[[#This Row],[CT-e/NFS]])=TRUE,(IF(B6446&gt;30000,4,IF(B6446&lt;1000,"ND",0))),"-")</f>
        <v>4</v>
      </c>
      <c r="B6446" s="116">
        <v>50317</v>
      </c>
      <c r="C6446" s="117">
        <v>45617</v>
      </c>
      <c r="D6446" s="116">
        <v>122.92</v>
      </c>
      <c r="E6446" s="117">
        <v>45626</v>
      </c>
      <c r="F6446" s="116">
        <f>COUNTIFS($A$3:A14699,A6446,$B$3:B14699,B6446)</f>
        <v>1</v>
      </c>
      <c r="G6446" s="116"/>
    </row>
    <row r="6447" spans="1:7" x14ac:dyDescent="0.2">
      <c r="A6447" s="116">
        <f>IF(ISNUMBER(Tabela2[[#This Row],[CT-e/NFS]])=TRUE,(IF(B6447&gt;30000,4,IF(B6447&lt;1000,"ND",0))),"-")</f>
        <v>4</v>
      </c>
      <c r="B6447" s="116">
        <v>50315</v>
      </c>
      <c r="C6447" s="117">
        <v>45617</v>
      </c>
      <c r="D6447" s="116">
        <v>124.41</v>
      </c>
      <c r="E6447" s="117">
        <v>45626</v>
      </c>
      <c r="F6447" s="116">
        <f>COUNTIFS($A$3:A14700,A6447,$B$3:B14700,B6447)</f>
        <v>1</v>
      </c>
      <c r="G6447" s="116"/>
    </row>
    <row r="6448" spans="1:7" x14ac:dyDescent="0.2">
      <c r="A6448" s="116">
        <f>IF(ISNUMBER(Tabela2[[#This Row],[CT-e/NFS]])=TRUE,(IF(B6448&gt;30000,4,IF(B6448&lt;1000,"ND",0))),"-")</f>
        <v>4</v>
      </c>
      <c r="B6448" s="116">
        <v>50316</v>
      </c>
      <c r="C6448" s="117">
        <v>45617</v>
      </c>
      <c r="D6448" s="116">
        <v>123.32</v>
      </c>
      <c r="E6448" s="117">
        <v>45626</v>
      </c>
      <c r="F6448" s="116">
        <f>COUNTIFS($A$3:A14701,A6448,$B$3:B14701,B6448)</f>
        <v>1</v>
      </c>
      <c r="G6448" s="116"/>
    </row>
    <row r="6449" spans="1:7" x14ac:dyDescent="0.2">
      <c r="A6449" s="116">
        <f>IF(ISNUMBER(Tabela2[[#This Row],[CT-e/NFS]])=TRUE,(IF(B6449&gt;30000,4,IF(B6449&lt;1000,"ND",0))),"-")</f>
        <v>4</v>
      </c>
      <c r="B6449" s="116">
        <v>50314</v>
      </c>
      <c r="C6449" s="117">
        <v>45617</v>
      </c>
      <c r="D6449" s="116">
        <v>150.75</v>
      </c>
      <c r="E6449" s="117">
        <v>45626</v>
      </c>
      <c r="F6449" s="116">
        <f>COUNTIFS($A$3:A14702,A6449,$B$3:B14702,B6449)</f>
        <v>1</v>
      </c>
      <c r="G6449" s="116"/>
    </row>
    <row r="6450" spans="1:7" x14ac:dyDescent="0.2">
      <c r="A6450" s="116">
        <f>IF(ISNUMBER(Tabela2[[#This Row],[CT-e/NFS]])=TRUE,(IF(B6450&gt;30000,4,IF(B6450&lt;1000,"ND",0))),"-")</f>
        <v>4</v>
      </c>
      <c r="B6450" s="116">
        <v>50332</v>
      </c>
      <c r="C6450" s="117">
        <v>45617</v>
      </c>
      <c r="D6450" s="116">
        <v>62.16</v>
      </c>
      <c r="E6450" s="117">
        <v>45626</v>
      </c>
      <c r="F6450" s="116">
        <f>COUNTIFS($A$3:A14703,A6450,$B$3:B14703,B6450)</f>
        <v>1</v>
      </c>
      <c r="G6450" s="116"/>
    </row>
    <row r="6451" spans="1:7" x14ac:dyDescent="0.2">
      <c r="A6451" s="116">
        <f>IF(ISNUMBER(Tabela2[[#This Row],[CT-e/NFS]])=TRUE,(IF(B6451&gt;30000,4,IF(B6451&lt;1000,"ND",0))),"-")</f>
        <v>4</v>
      </c>
      <c r="B6451" s="116">
        <v>50334</v>
      </c>
      <c r="C6451" s="117">
        <v>45617</v>
      </c>
      <c r="D6451" s="116">
        <v>62.16</v>
      </c>
      <c r="E6451" s="117">
        <v>45626</v>
      </c>
      <c r="F6451" s="116">
        <f>COUNTIFS($A$3:A14704,A6451,$B$3:B14704,B6451)</f>
        <v>1</v>
      </c>
      <c r="G6451" s="116"/>
    </row>
    <row r="6452" spans="1:7" x14ac:dyDescent="0.2">
      <c r="A6452" s="116">
        <f>IF(ISNUMBER(Tabela2[[#This Row],[CT-e/NFS]])=TRUE,(IF(B6452&gt;30000,4,IF(B6452&lt;1000,"ND",0))),"-")</f>
        <v>4</v>
      </c>
      <c r="B6452" s="116">
        <v>50324</v>
      </c>
      <c r="C6452" s="117">
        <v>45617</v>
      </c>
      <c r="D6452" s="116">
        <v>125.01</v>
      </c>
      <c r="E6452" s="117">
        <v>45626</v>
      </c>
      <c r="F6452" s="116">
        <f>COUNTIFS($A$3:A14705,A6452,$B$3:B14705,B6452)</f>
        <v>1</v>
      </c>
      <c r="G6452" s="116"/>
    </row>
    <row r="6453" spans="1:7" x14ac:dyDescent="0.2">
      <c r="A6453" s="116">
        <f>IF(ISNUMBER(Tabela2[[#This Row],[CT-e/NFS]])=TRUE,(IF(B6453&gt;30000,4,IF(B6453&lt;1000,"ND",0))),"-")</f>
        <v>4</v>
      </c>
      <c r="B6453" s="116">
        <v>50335</v>
      </c>
      <c r="C6453" s="117">
        <v>45617</v>
      </c>
      <c r="D6453" s="116">
        <v>112.06</v>
      </c>
      <c r="E6453" s="117">
        <v>45626</v>
      </c>
      <c r="F6453" s="116">
        <f>COUNTIFS($A$3:A14706,A6453,$B$3:B14706,B6453)</f>
        <v>1</v>
      </c>
      <c r="G6453" s="116"/>
    </row>
    <row r="6454" spans="1:7" x14ac:dyDescent="0.2">
      <c r="A6454" s="116">
        <f>IF(ISNUMBER(Tabela2[[#This Row],[CT-e/NFS]])=TRUE,(IF(B6454&gt;30000,4,IF(B6454&lt;1000,"ND",0))),"-")</f>
        <v>0</v>
      </c>
      <c r="B6454" s="116">
        <v>22421</v>
      </c>
      <c r="C6454" s="117">
        <v>45617</v>
      </c>
      <c r="D6454" s="116">
        <v>294.58999999999997</v>
      </c>
      <c r="E6454" s="117">
        <v>45626</v>
      </c>
      <c r="F6454" s="116">
        <f>COUNTIFS($A$3:A14707,A6454,$B$3:B14707,B6454)</f>
        <v>1</v>
      </c>
      <c r="G6454" s="116"/>
    </row>
    <row r="6455" spans="1:7" x14ac:dyDescent="0.2">
      <c r="A6455" s="116">
        <f>IF(ISNUMBER(Tabela2[[#This Row],[CT-e/NFS]])=TRUE,(IF(B6455&gt;30000,4,IF(B6455&lt;1000,"ND",0))),"-")</f>
        <v>0</v>
      </c>
      <c r="B6455" s="116">
        <v>22422</v>
      </c>
      <c r="C6455" s="117">
        <v>45617</v>
      </c>
      <c r="D6455" s="116">
        <v>197.86</v>
      </c>
      <c r="E6455" s="117">
        <v>45626</v>
      </c>
      <c r="F6455" s="116">
        <f>COUNTIFS($A$3:A14708,A6455,$B$3:B14708,B6455)</f>
        <v>1</v>
      </c>
      <c r="G6455" s="116"/>
    </row>
    <row r="6456" spans="1:7" x14ac:dyDescent="0.2">
      <c r="A6456" s="116">
        <f>IF(ISNUMBER(Tabela2[[#This Row],[CT-e/NFS]])=TRUE,(IF(B6456&gt;30000,4,IF(B6456&lt;1000,"ND",0))),"-")</f>
        <v>0</v>
      </c>
      <c r="B6456" s="116">
        <v>22423</v>
      </c>
      <c r="C6456" s="117">
        <v>45617</v>
      </c>
      <c r="D6456" s="116">
        <v>75.819999999999993</v>
      </c>
      <c r="E6456" s="117">
        <v>45626</v>
      </c>
      <c r="F6456" s="116">
        <f>COUNTIFS($A$3:A14709,A6456,$B$3:B14709,B6456)</f>
        <v>1</v>
      </c>
      <c r="G6456" s="116"/>
    </row>
    <row r="6457" spans="1:7" x14ac:dyDescent="0.2">
      <c r="A6457" s="116">
        <f>IF(ISNUMBER(Tabela2[[#This Row],[CT-e/NFS]])=TRUE,(IF(B6457&gt;30000,4,IF(B6457&lt;1000,"ND",0))),"-")</f>
        <v>0</v>
      </c>
      <c r="B6457" s="116">
        <v>22424</v>
      </c>
      <c r="C6457" s="117">
        <v>45617</v>
      </c>
      <c r="D6457" s="116">
        <v>76.27</v>
      </c>
      <c r="E6457" s="117">
        <v>45626</v>
      </c>
      <c r="F6457" s="116">
        <f>COUNTIFS($A$3:A14710,A6457,$B$3:B14710,B6457)</f>
        <v>1</v>
      </c>
      <c r="G6457" s="116"/>
    </row>
    <row r="6458" spans="1:7" x14ac:dyDescent="0.2">
      <c r="A6458" s="116">
        <f>IF(ISNUMBER(Tabela2[[#This Row],[CT-e/NFS]])=TRUE,(IF(B6458&gt;30000,4,IF(B6458&lt;1000,"ND",0))),"-")</f>
        <v>0</v>
      </c>
      <c r="B6458" s="116">
        <v>22425</v>
      </c>
      <c r="C6458" s="117">
        <v>45617</v>
      </c>
      <c r="D6458" s="116">
        <v>76.44</v>
      </c>
      <c r="E6458" s="117">
        <v>45626</v>
      </c>
      <c r="F6458" s="116">
        <f>COUNTIFS($A$3:A14711,A6458,$B$3:B14711,B6458)</f>
        <v>1</v>
      </c>
      <c r="G6458" s="116"/>
    </row>
    <row r="6459" spans="1:7" x14ac:dyDescent="0.2">
      <c r="A6459" s="116">
        <f>IF(ISNUMBER(Tabela2[[#This Row],[CT-e/NFS]])=TRUE,(IF(B6459&gt;30000,4,IF(B6459&lt;1000,"ND",0))),"-")</f>
        <v>0</v>
      </c>
      <c r="B6459" s="116">
        <v>22426</v>
      </c>
      <c r="C6459" s="117">
        <v>45617</v>
      </c>
      <c r="D6459" s="116">
        <v>76.34</v>
      </c>
      <c r="E6459" s="117">
        <v>45626</v>
      </c>
      <c r="F6459" s="116">
        <f>COUNTIFS($A$3:A14712,A6459,$B$3:B14712,B6459)</f>
        <v>1</v>
      </c>
      <c r="G6459" s="116"/>
    </row>
    <row r="6460" spans="1:7" x14ac:dyDescent="0.2">
      <c r="A6460" s="116">
        <f>IF(ISNUMBER(Tabela2[[#This Row],[CT-e/NFS]])=TRUE,(IF(B6460&gt;30000,4,IF(B6460&lt;1000,"ND",0))),"-")</f>
        <v>0</v>
      </c>
      <c r="B6460" s="116">
        <v>22431</v>
      </c>
      <c r="C6460" s="117">
        <v>45617</v>
      </c>
      <c r="D6460" s="116">
        <v>77.599999999999994</v>
      </c>
      <c r="E6460" s="117">
        <v>45626</v>
      </c>
      <c r="F6460" s="116">
        <f>COUNTIFS($A$3:A14713,A6460,$B$3:B14713,B6460)</f>
        <v>1</v>
      </c>
      <c r="G6460" s="116"/>
    </row>
    <row r="6461" spans="1:7" x14ac:dyDescent="0.2">
      <c r="A6461" s="116">
        <f>IF(ISNUMBER(Tabela2[[#This Row],[CT-e/NFS]])=TRUE,(IF(B6461&gt;30000,4,IF(B6461&lt;1000,"ND",0))),"-")</f>
        <v>0</v>
      </c>
      <c r="B6461" s="116">
        <v>22427</v>
      </c>
      <c r="C6461" s="117">
        <v>45617</v>
      </c>
      <c r="D6461" s="116">
        <v>122.46</v>
      </c>
      <c r="E6461" s="117">
        <v>45626</v>
      </c>
      <c r="F6461" s="116">
        <f>COUNTIFS($A$3:A14714,A6461,$B$3:B14714,B6461)</f>
        <v>1</v>
      </c>
      <c r="G6461" s="116"/>
    </row>
    <row r="6462" spans="1:7" x14ac:dyDescent="0.2">
      <c r="A6462" s="116">
        <f>IF(ISNUMBER(Tabela2[[#This Row],[CT-e/NFS]])=TRUE,(IF(B6462&gt;30000,4,IF(B6462&lt;1000,"ND",0))),"-")</f>
        <v>0</v>
      </c>
      <c r="B6462" s="116">
        <v>22428</v>
      </c>
      <c r="C6462" s="117">
        <v>45617</v>
      </c>
      <c r="D6462" s="116">
        <v>76.8</v>
      </c>
      <c r="E6462" s="117">
        <v>45626</v>
      </c>
      <c r="F6462" s="116">
        <f>COUNTIFS($A$3:A14715,A6462,$B$3:B14715,B6462)</f>
        <v>1</v>
      </c>
      <c r="G6462" s="116"/>
    </row>
    <row r="6463" spans="1:7" x14ac:dyDescent="0.2">
      <c r="A6463" s="116">
        <f>IF(ISNUMBER(Tabela2[[#This Row],[CT-e/NFS]])=TRUE,(IF(B6463&gt;30000,4,IF(B6463&lt;1000,"ND",0))),"-")</f>
        <v>4</v>
      </c>
      <c r="B6463" s="116">
        <v>50343</v>
      </c>
      <c r="C6463" s="117">
        <v>45617</v>
      </c>
      <c r="D6463" s="116">
        <v>710.23</v>
      </c>
      <c r="E6463" s="117">
        <v>45626</v>
      </c>
      <c r="F6463" s="116">
        <f>COUNTIFS($A$3:A14716,A6463,$B$3:B14716,B6463)</f>
        <v>1</v>
      </c>
      <c r="G6463" s="116"/>
    </row>
    <row r="6464" spans="1:7" x14ac:dyDescent="0.2">
      <c r="A6464" s="116">
        <f>IF(ISNUMBER(Tabela2[[#This Row],[CT-e/NFS]])=TRUE,(IF(B6464&gt;30000,4,IF(B6464&lt;1000,"ND",0))),"-")</f>
        <v>4</v>
      </c>
      <c r="B6464" s="116">
        <v>50344</v>
      </c>
      <c r="C6464" s="117">
        <v>45617</v>
      </c>
      <c r="D6464" s="116">
        <v>2116.6799999999998</v>
      </c>
      <c r="E6464" s="117">
        <v>45626</v>
      </c>
      <c r="F6464" s="116">
        <f>COUNTIFS($A$3:A14717,A6464,$B$3:B14717,B6464)</f>
        <v>1</v>
      </c>
      <c r="G6464" s="116"/>
    </row>
    <row r="6465" spans="1:7" x14ac:dyDescent="0.2">
      <c r="A6465" s="116">
        <f>IF(ISNUMBER(Tabela2[[#This Row],[CT-e/NFS]])=TRUE,(IF(B6465&gt;30000,4,IF(B6465&lt;1000,"ND",0))),"-")</f>
        <v>4</v>
      </c>
      <c r="B6465" s="116">
        <v>50342</v>
      </c>
      <c r="C6465" s="117">
        <v>45617</v>
      </c>
      <c r="D6465" s="116">
        <v>23737.88</v>
      </c>
      <c r="E6465" s="117">
        <v>45626</v>
      </c>
      <c r="F6465" s="116">
        <f>COUNTIFS($A$3:A14718,A6465,$B$3:B14718,B6465)</f>
        <v>1</v>
      </c>
      <c r="G6465" s="116"/>
    </row>
    <row r="6466" spans="1:7" x14ac:dyDescent="0.2">
      <c r="A6466" s="116">
        <f>IF(ISNUMBER(Tabela2[[#This Row],[CT-e/NFS]])=TRUE,(IF(B6466&gt;30000,4,IF(B6466&lt;1000,"ND",0))),"-")</f>
        <v>4</v>
      </c>
      <c r="B6466" s="116">
        <v>50341</v>
      </c>
      <c r="C6466" s="117">
        <v>45617</v>
      </c>
      <c r="D6466" s="116">
        <v>396.45</v>
      </c>
      <c r="E6466" s="117">
        <v>45626</v>
      </c>
      <c r="F6466" s="116">
        <f>COUNTIFS($A$3:A14719,A6466,$B$3:B14719,B6466)</f>
        <v>1</v>
      </c>
      <c r="G6466" s="116"/>
    </row>
    <row r="6467" spans="1:7" x14ac:dyDescent="0.2">
      <c r="A6467" s="116">
        <f>IF(ISNUMBER(Tabela2[[#This Row],[CT-e/NFS]])=TRUE,(IF(B6467&gt;30000,4,IF(B6467&lt;1000,"ND",0))),"-")</f>
        <v>0</v>
      </c>
      <c r="B6467" s="116">
        <v>22579</v>
      </c>
      <c r="C6467" s="117">
        <v>45617</v>
      </c>
      <c r="D6467" s="116">
        <v>91.93</v>
      </c>
      <c r="E6467" s="117">
        <v>45626</v>
      </c>
      <c r="F6467" s="116">
        <f>COUNTIFS($A$3:A14717,A6467,$B$3:B14717,B6467)</f>
        <v>1</v>
      </c>
      <c r="G6467" s="116"/>
    </row>
    <row r="6468" spans="1:7" x14ac:dyDescent="0.2">
      <c r="A6468" s="116">
        <f>IF(ISNUMBER(Tabela2[[#This Row],[CT-e/NFS]])=TRUE,(IF(B6468&gt;30000,4,IF(B6468&lt;1000,"ND",0))),"-")</f>
        <v>4</v>
      </c>
      <c r="B6468" s="116">
        <v>50712</v>
      </c>
      <c r="C6468" s="117">
        <v>45617</v>
      </c>
      <c r="D6468" s="116">
        <v>517.83000000000004</v>
      </c>
      <c r="E6468" s="117">
        <v>45626</v>
      </c>
      <c r="F6468" s="116">
        <f>COUNTIFS($A$3:A14718,A6468,$B$3:B14718,B6468)</f>
        <v>1</v>
      </c>
      <c r="G6468" s="116"/>
    </row>
    <row r="6469" spans="1:7" x14ac:dyDescent="0.2">
      <c r="A6469" s="116">
        <f>IF(ISNUMBER(Tabela2[[#This Row],[CT-e/NFS]])=TRUE,(IF(B6469&gt;30000,4,IF(B6469&lt;1000,"ND",0))),"-")</f>
        <v>4</v>
      </c>
      <c r="B6469" s="116">
        <v>50746</v>
      </c>
      <c r="C6469" s="117">
        <v>45617</v>
      </c>
      <c r="D6469" s="116">
        <v>335.91</v>
      </c>
      <c r="E6469" s="117">
        <v>45626</v>
      </c>
      <c r="F6469" s="116">
        <f>COUNTIFS($A$3:A14719,A6469,$B$3:B14719,B6469)</f>
        <v>1</v>
      </c>
      <c r="G6469" s="116"/>
    </row>
    <row r="6470" spans="1:7" x14ac:dyDescent="0.2">
      <c r="A6470" s="116">
        <f>IF(ISNUMBER(Tabela2[[#This Row],[CT-e/NFS]])=TRUE,(IF(B6470&gt;30000,4,IF(B6470&lt;1000,"ND",0))),"-")</f>
        <v>4</v>
      </c>
      <c r="B6470" s="116">
        <v>50795</v>
      </c>
      <c r="C6470" s="117">
        <v>45617</v>
      </c>
      <c r="D6470" s="116">
        <v>352.82</v>
      </c>
      <c r="E6470" s="117">
        <v>45626</v>
      </c>
      <c r="F6470" s="116">
        <f>COUNTIFS($A$3:A14720,A6470,$B$3:B14720,B6470)</f>
        <v>1</v>
      </c>
      <c r="G6470" s="116"/>
    </row>
    <row r="6471" spans="1:7" x14ac:dyDescent="0.2">
      <c r="A6471" s="116">
        <f>IF(ISNUMBER(Tabela2[[#This Row],[CT-e/NFS]])=TRUE,(IF(B6471&gt;30000,4,IF(B6471&lt;1000,"ND",0))),"-")</f>
        <v>4</v>
      </c>
      <c r="B6471" s="116">
        <v>50599</v>
      </c>
      <c r="C6471" s="117">
        <v>45602</v>
      </c>
      <c r="D6471" s="116">
        <v>183.45</v>
      </c>
      <c r="E6471" s="117">
        <v>45626</v>
      </c>
      <c r="F6471" s="116">
        <f>COUNTIFS($A$3:A14721,A6471,$B$3:B14721,B6471)</f>
        <v>1</v>
      </c>
      <c r="G6471" s="116"/>
    </row>
    <row r="6472" spans="1:7" x14ac:dyDescent="0.2">
      <c r="A6472" s="116">
        <f>IF(ISNUMBER(Tabela2[[#This Row],[CT-e/NFS]])=TRUE,(IF(B6472&gt;30000,4,IF(B6472&lt;1000,"ND",0))),"-")</f>
        <v>0</v>
      </c>
      <c r="B6472" s="116">
        <v>22502</v>
      </c>
      <c r="C6472" s="117">
        <v>45624</v>
      </c>
      <c r="D6472" s="116">
        <v>91.84</v>
      </c>
      <c r="E6472" s="117">
        <v>45641</v>
      </c>
      <c r="F6472" s="116">
        <f>COUNTIFS($A$3:A14722,A6472,$B$3:B14722,B6472)</f>
        <v>1</v>
      </c>
      <c r="G6472" s="116"/>
    </row>
    <row r="6473" spans="1:7" x14ac:dyDescent="0.2">
      <c r="A6473" s="116">
        <f>IF(ISNUMBER(Tabela2[[#This Row],[CT-e/NFS]])=TRUE,(IF(B6473&gt;30000,4,IF(B6473&lt;1000,"ND",0))),"-")</f>
        <v>0</v>
      </c>
      <c r="B6473" s="116">
        <v>22505</v>
      </c>
      <c r="C6473" s="117">
        <v>45624</v>
      </c>
      <c r="D6473" s="116">
        <v>450.51</v>
      </c>
      <c r="E6473" s="117">
        <v>45641</v>
      </c>
      <c r="F6473" s="116">
        <f>COUNTIFS($A$3:A14723,A6473,$B$3:B14723,B6473)</f>
        <v>1</v>
      </c>
      <c r="G6473" s="116"/>
    </row>
    <row r="6474" spans="1:7" x14ac:dyDescent="0.2">
      <c r="A6474" s="116">
        <f>IF(ISNUMBER(Tabela2[[#This Row],[CT-e/NFS]])=TRUE,(IF(B6474&gt;30000,4,IF(B6474&lt;1000,"ND",0))),"-")</f>
        <v>4</v>
      </c>
      <c r="B6474" s="116">
        <v>50672</v>
      </c>
      <c r="C6474" s="117">
        <v>45624</v>
      </c>
      <c r="D6474" s="116">
        <v>100.08</v>
      </c>
      <c r="E6474" s="117">
        <v>45641</v>
      </c>
      <c r="F6474" s="116">
        <f>COUNTIFS($A$3:A14724,A6474,$B$3:B14724,B6474)</f>
        <v>1</v>
      </c>
      <c r="G6474" s="116"/>
    </row>
    <row r="6475" spans="1:7" x14ac:dyDescent="0.2">
      <c r="A6475" s="116">
        <f>IF(ISNUMBER(Tabela2[[#This Row],[CT-e/NFS]])=TRUE,(IF(B6475&gt;30000,4,IF(B6475&lt;1000,"ND",0))),"-")</f>
        <v>4</v>
      </c>
      <c r="B6475" s="116">
        <v>50820</v>
      </c>
      <c r="C6475" s="117">
        <v>45624</v>
      </c>
      <c r="D6475" s="116">
        <v>201.08</v>
      </c>
      <c r="E6475" s="117">
        <v>45641</v>
      </c>
      <c r="F6475" s="116">
        <f>COUNTIFS($A$3:A14725,A6475,$B$3:B14725,B6475)</f>
        <v>1</v>
      </c>
      <c r="G6475" s="116"/>
    </row>
    <row r="6476" spans="1:7" x14ac:dyDescent="0.2">
      <c r="A6476" s="116">
        <f>IF(ISNUMBER(Tabela2[[#This Row],[CT-e/NFS]])=TRUE,(IF(B6476&gt;30000,4,IF(B6476&lt;1000,"ND",0))),"-")</f>
        <v>4</v>
      </c>
      <c r="B6476" s="116">
        <v>50852</v>
      </c>
      <c r="C6476" s="117">
        <v>45624</v>
      </c>
      <c r="D6476" s="116">
        <v>449.92</v>
      </c>
      <c r="E6476" s="117">
        <v>45641</v>
      </c>
      <c r="F6476" s="116">
        <f>COUNTIFS($A$3:A14726,A6476,$B$3:B14726,B6476)</f>
        <v>1</v>
      </c>
      <c r="G6476" s="116"/>
    </row>
    <row r="6477" spans="1:7" x14ac:dyDescent="0.2">
      <c r="A6477" s="116">
        <f>IF(ISNUMBER(Tabela2[[#This Row],[CT-e/NFS]])=TRUE,(IF(B6477&gt;30000,4,IF(B6477&lt;1000,"ND",0))),"-")</f>
        <v>4</v>
      </c>
      <c r="B6477" s="116">
        <v>50894</v>
      </c>
      <c r="C6477" s="117">
        <v>45624</v>
      </c>
      <c r="D6477" s="116">
        <v>563.76</v>
      </c>
      <c r="E6477" s="117">
        <v>45641</v>
      </c>
      <c r="F6477" s="116">
        <f>COUNTIFS($A$3:A14727,A6477,$B$3:B14727,B6477)</f>
        <v>1</v>
      </c>
      <c r="G6477" s="116"/>
    </row>
    <row r="6478" spans="1:7" x14ac:dyDescent="0.2">
      <c r="A6478" s="116">
        <f>IF(ISNUMBER(Tabela2[[#This Row],[CT-e/NFS]])=TRUE,(IF(B6478&gt;30000,4,IF(B6478&lt;1000,"ND",0))),"-")</f>
        <v>0</v>
      </c>
      <c r="B6478" s="116">
        <v>21888</v>
      </c>
      <c r="C6478" s="117">
        <v>45467</v>
      </c>
      <c r="D6478" s="116">
        <v>97.06</v>
      </c>
      <c r="E6478" s="117">
        <v>45641</v>
      </c>
      <c r="F6478" s="116">
        <f>COUNTIFS($A$3:A14728,A6478,$B$3:B14728,B6478)</f>
        <v>1</v>
      </c>
      <c r="G6478" s="116"/>
    </row>
    <row r="6479" spans="1:7" x14ac:dyDescent="0.2">
      <c r="A6479" s="116">
        <f>IF(ISNUMBER(Tabela2[[#This Row],[CT-e/NFS]])=TRUE,(IF(B6479&gt;30000,4,IF(B6479&lt;1000,"ND",0))),"-")</f>
        <v>0</v>
      </c>
      <c r="B6479" s="116">
        <v>21889</v>
      </c>
      <c r="C6479" s="117">
        <v>45467</v>
      </c>
      <c r="D6479" s="116">
        <v>147.44999999999999</v>
      </c>
      <c r="E6479" s="117">
        <v>45641</v>
      </c>
      <c r="F6479" s="116">
        <f>COUNTIFS($A$3:A14729,A6479,$B$3:B14729,B6479)</f>
        <v>1</v>
      </c>
      <c r="G6479" s="116"/>
    </row>
    <row r="6480" spans="1:7" x14ac:dyDescent="0.2">
      <c r="A6480" s="116">
        <f>IF(ISNUMBER(Tabela2[[#This Row],[CT-e/NFS]])=TRUE,(IF(B6480&gt;30000,4,IF(B6480&lt;1000,"ND",0))),"-")</f>
        <v>0</v>
      </c>
      <c r="B6480" s="116">
        <v>21858</v>
      </c>
      <c r="C6480" s="117">
        <v>45467</v>
      </c>
      <c r="D6480" s="116">
        <v>99.36</v>
      </c>
      <c r="E6480" s="117">
        <v>45641</v>
      </c>
      <c r="F6480" s="116">
        <f>COUNTIFS($A$3:A14730,A6480,$B$3:B14730,B6480)</f>
        <v>1</v>
      </c>
      <c r="G6480" s="116"/>
    </row>
    <row r="6481" spans="1:7" x14ac:dyDescent="0.2">
      <c r="A6481" s="116">
        <f>IF(ISNUMBER(Tabela2[[#This Row],[CT-e/NFS]])=TRUE,(IF(B6481&gt;30000,4,IF(B6481&lt;1000,"ND",0))),"-")</f>
        <v>0</v>
      </c>
      <c r="B6481" s="116">
        <v>21857</v>
      </c>
      <c r="C6481" s="117">
        <v>45467</v>
      </c>
      <c r="D6481" s="116">
        <v>101.45</v>
      </c>
      <c r="E6481" s="117">
        <v>45641</v>
      </c>
      <c r="F6481" s="116">
        <f>COUNTIFS($A$3:A14731,A6481,$B$3:B14731,B6481)</f>
        <v>1</v>
      </c>
      <c r="G6481" s="116"/>
    </row>
    <row r="6482" spans="1:7" x14ac:dyDescent="0.2">
      <c r="A6482" s="116">
        <f>IF(ISNUMBER(Tabela2[[#This Row],[CT-e/NFS]])=TRUE,(IF(B6482&gt;30000,4,IF(B6482&lt;1000,"ND",0))),"-")</f>
        <v>0</v>
      </c>
      <c r="B6482" s="116">
        <v>21849</v>
      </c>
      <c r="C6482" s="117">
        <v>45467</v>
      </c>
      <c r="D6482" s="116">
        <v>305.05</v>
      </c>
      <c r="E6482" s="117">
        <v>45641</v>
      </c>
      <c r="F6482" s="116">
        <f>COUNTIFS($A$3:A14732,A6482,$B$3:B14732,B6482)</f>
        <v>1</v>
      </c>
      <c r="G6482" s="116"/>
    </row>
    <row r="6483" spans="1:7" x14ac:dyDescent="0.2">
      <c r="A6483" s="116">
        <f>IF(ISNUMBER(Tabela2[[#This Row],[CT-e/NFS]])=TRUE,(IF(B6483&gt;30000,4,IF(B6483&lt;1000,"ND",0))),"-")</f>
        <v>4</v>
      </c>
      <c r="B6483" s="116">
        <v>48250</v>
      </c>
      <c r="C6483" s="117">
        <v>45467</v>
      </c>
      <c r="D6483" s="116">
        <v>327.44</v>
      </c>
      <c r="E6483" s="117">
        <v>45641</v>
      </c>
      <c r="F6483" s="116">
        <f>COUNTIFS($A$3:A14733,A6483,$B$3:B14733,B6483)</f>
        <v>1</v>
      </c>
      <c r="G6483" s="116"/>
    </row>
    <row r="6484" spans="1:7" x14ac:dyDescent="0.2">
      <c r="A6484" s="116">
        <f>IF(ISNUMBER(Tabela2[[#This Row],[CT-e/NFS]])=TRUE,(IF(B6484&gt;30000,4,IF(B6484&lt;1000,"ND",0))),"-")</f>
        <v>4</v>
      </c>
      <c r="B6484" s="116">
        <v>48287</v>
      </c>
      <c r="C6484" s="117">
        <v>45467</v>
      </c>
      <c r="D6484" s="116">
        <v>115.01</v>
      </c>
      <c r="E6484" s="117">
        <v>45641</v>
      </c>
      <c r="F6484" s="116">
        <f>COUNTIFS($A$3:A14734,A6484,$B$3:B14734,B6484)</f>
        <v>1</v>
      </c>
      <c r="G6484" s="116"/>
    </row>
    <row r="6485" spans="1:7" x14ac:dyDescent="0.2">
      <c r="A6485" s="116">
        <f>IF(ISNUMBER(Tabela2[[#This Row],[CT-e/NFS]])=TRUE,(IF(B6485&gt;30000,4,IF(B6485&lt;1000,"ND",0))),"-")</f>
        <v>4</v>
      </c>
      <c r="B6485" s="116">
        <v>48364</v>
      </c>
      <c r="C6485" s="117">
        <v>45467</v>
      </c>
      <c r="D6485" s="116">
        <v>104.17</v>
      </c>
      <c r="E6485" s="117">
        <v>45641</v>
      </c>
      <c r="F6485" s="116">
        <f>COUNTIFS($A$3:A14735,A6485,$B$3:B14735,B6485)</f>
        <v>1</v>
      </c>
      <c r="G6485" s="116"/>
    </row>
    <row r="6486" spans="1:7" x14ac:dyDescent="0.2">
      <c r="A6486" s="116">
        <f>IF(ISNUMBER(Tabela2[[#This Row],[CT-e/NFS]])=TRUE,(IF(B6486&gt;30000,4,IF(B6486&lt;1000,"ND",0))),"-")</f>
        <v>4</v>
      </c>
      <c r="B6486" s="116">
        <v>48378</v>
      </c>
      <c r="C6486" s="117">
        <v>45467</v>
      </c>
      <c r="D6486" s="116">
        <v>213.09</v>
      </c>
      <c r="E6486" s="117">
        <v>45641</v>
      </c>
      <c r="F6486" s="116">
        <f>COUNTIFS($A$3:A14736,A6486,$B$3:B14736,B6486)</f>
        <v>1</v>
      </c>
      <c r="G6486" s="116"/>
    </row>
    <row r="6487" spans="1:7" x14ac:dyDescent="0.2">
      <c r="A6487" s="116">
        <f>IF(ISNUMBER(Tabela2[[#This Row],[CT-e/NFS]])=TRUE,(IF(B6487&gt;30000,4,IF(B6487&lt;1000,"ND",0))),"-")</f>
        <v>0</v>
      </c>
      <c r="B6487" s="116">
        <v>22151</v>
      </c>
      <c r="C6487" s="117">
        <v>45518</v>
      </c>
      <c r="D6487" s="116">
        <v>113.26</v>
      </c>
      <c r="E6487" s="117">
        <v>45641</v>
      </c>
      <c r="F6487" s="116">
        <f>COUNTIFS($A$3:A14737,A6487,$B$3:B14737,B6487)</f>
        <v>1</v>
      </c>
      <c r="G6487" s="116"/>
    </row>
    <row r="6488" spans="1:7" x14ac:dyDescent="0.2">
      <c r="A6488" s="116">
        <f>IF(ISNUMBER(Tabela2[[#This Row],[CT-e/NFS]])=TRUE,(IF(B6488&gt;30000,4,IF(B6488&lt;1000,"ND",0))),"-")</f>
        <v>0</v>
      </c>
      <c r="B6488" s="116">
        <v>22152</v>
      </c>
      <c r="C6488" s="117">
        <v>45518</v>
      </c>
      <c r="D6488" s="116">
        <v>301.05</v>
      </c>
      <c r="E6488" s="117">
        <v>45641</v>
      </c>
      <c r="F6488" s="116">
        <f>COUNTIFS($A$3:A14738,A6488,$B$3:B14738,B6488)</f>
        <v>1</v>
      </c>
      <c r="G6488" s="116"/>
    </row>
    <row r="6489" spans="1:7" x14ac:dyDescent="0.2">
      <c r="A6489" s="116">
        <f>IF(ISNUMBER(Tabela2[[#This Row],[CT-e/NFS]])=TRUE,(IF(B6489&gt;30000,4,IF(B6489&lt;1000,"ND",0))),"-")</f>
        <v>0</v>
      </c>
      <c r="B6489" s="116">
        <v>22150</v>
      </c>
      <c r="C6489" s="117">
        <v>45518</v>
      </c>
      <c r="D6489" s="116">
        <v>159.04</v>
      </c>
      <c r="E6489" s="117">
        <v>45641</v>
      </c>
      <c r="F6489" s="116">
        <f>COUNTIFS($A$3:A14739,A6489,$B$3:B14739,B6489)</f>
        <v>1</v>
      </c>
      <c r="G6489" s="116"/>
    </row>
    <row r="6490" spans="1:7" x14ac:dyDescent="0.2">
      <c r="A6490" s="116">
        <f>IF(ISNUMBER(Tabela2[[#This Row],[CT-e/NFS]])=TRUE,(IF(B6490&gt;30000,4,IF(B6490&lt;1000,"ND",0))),"-")</f>
        <v>0</v>
      </c>
      <c r="B6490" s="116">
        <v>22141</v>
      </c>
      <c r="C6490" s="117">
        <v>45518</v>
      </c>
      <c r="D6490" s="116">
        <v>97.68</v>
      </c>
      <c r="E6490" s="117">
        <v>45641</v>
      </c>
      <c r="F6490" s="116">
        <f>COUNTIFS($A$3:A14740,A6490,$B$3:B14740,B6490)</f>
        <v>1</v>
      </c>
      <c r="G6490" s="116"/>
    </row>
    <row r="6491" spans="1:7" x14ac:dyDescent="0.2">
      <c r="A6491" s="116">
        <f>IF(ISNUMBER(Tabela2[[#This Row],[CT-e/NFS]])=TRUE,(IF(B6491&gt;30000,4,IF(B6491&lt;1000,"ND",0))),"-")</f>
        <v>0</v>
      </c>
      <c r="B6491" s="116">
        <v>22139</v>
      </c>
      <c r="C6491" s="117">
        <v>45518</v>
      </c>
      <c r="D6491" s="116">
        <v>106.05</v>
      </c>
      <c r="E6491" s="117">
        <v>45641</v>
      </c>
      <c r="F6491" s="116">
        <f>COUNTIFS($A$3:A14741,A6491,$B$3:B14741,B6491)</f>
        <v>1</v>
      </c>
      <c r="G6491" s="116"/>
    </row>
    <row r="6492" spans="1:7" x14ac:dyDescent="0.2">
      <c r="A6492" s="116">
        <f>IF(ISNUMBER(Tabela2[[#This Row],[CT-e/NFS]])=TRUE,(IF(B6492&gt;30000,4,IF(B6492&lt;1000,"ND",0))),"-")</f>
        <v>0</v>
      </c>
      <c r="B6492" s="116">
        <v>22142</v>
      </c>
      <c r="C6492" s="117">
        <v>45518</v>
      </c>
      <c r="D6492" s="116">
        <v>101.45</v>
      </c>
      <c r="E6492" s="117">
        <v>45641</v>
      </c>
      <c r="F6492" s="116">
        <f>COUNTIFS($A$3:A14742,A6492,$B$3:B14742,B6492)</f>
        <v>1</v>
      </c>
      <c r="G6492" s="116"/>
    </row>
    <row r="6493" spans="1:7" x14ac:dyDescent="0.2">
      <c r="A6493" s="116">
        <f>IF(ISNUMBER(Tabela2[[#This Row],[CT-e/NFS]])=TRUE,(IF(B6493&gt;30000,4,IF(B6493&lt;1000,"ND",0))),"-")</f>
        <v>0</v>
      </c>
      <c r="B6493" s="116">
        <v>22137</v>
      </c>
      <c r="C6493" s="117">
        <v>45518</v>
      </c>
      <c r="D6493" s="116">
        <v>97.06</v>
      </c>
      <c r="E6493" s="117">
        <v>45641</v>
      </c>
      <c r="F6493" s="116">
        <f>COUNTIFS($A$3:A14743,A6493,$B$3:B14743,B6493)</f>
        <v>1</v>
      </c>
      <c r="G6493" s="116"/>
    </row>
    <row r="6494" spans="1:7" x14ac:dyDescent="0.2">
      <c r="A6494" s="116">
        <f>IF(ISNUMBER(Tabela2[[#This Row],[CT-e/NFS]])=TRUE,(IF(B6494&gt;30000,4,IF(B6494&lt;1000,"ND",0))),"-")</f>
        <v>0</v>
      </c>
      <c r="B6494" s="116">
        <v>22127</v>
      </c>
      <c r="C6494" s="117">
        <v>45518</v>
      </c>
      <c r="D6494" s="116">
        <v>93.33</v>
      </c>
      <c r="E6494" s="117">
        <v>45641</v>
      </c>
      <c r="F6494" s="116">
        <f>COUNTIFS($A$3:A14744,A6494,$B$3:B14744,B6494)</f>
        <v>1</v>
      </c>
      <c r="G6494" s="116"/>
    </row>
    <row r="6495" spans="1:7" x14ac:dyDescent="0.2">
      <c r="A6495" s="116">
        <f>IF(ISNUMBER(Tabela2[[#This Row],[CT-e/NFS]])=TRUE,(IF(B6495&gt;30000,4,IF(B6495&lt;1000,"ND",0))),"-")</f>
        <v>0</v>
      </c>
      <c r="B6495" s="116">
        <v>22119</v>
      </c>
      <c r="C6495" s="117">
        <v>45518</v>
      </c>
      <c r="D6495" s="116">
        <v>94.77</v>
      </c>
      <c r="E6495" s="117">
        <v>45641</v>
      </c>
      <c r="F6495" s="116">
        <f>COUNTIFS($A$3:A14745,A6495,$B$3:B14745,B6495)</f>
        <v>1</v>
      </c>
      <c r="G6495" s="116"/>
    </row>
    <row r="6496" spans="1:7" x14ac:dyDescent="0.2">
      <c r="A6496" s="116">
        <f>IF(ISNUMBER(Tabela2[[#This Row],[CT-e/NFS]])=TRUE,(IF(B6496&gt;30000,4,IF(B6496&lt;1000,"ND",0))),"-")</f>
        <v>0</v>
      </c>
      <c r="B6496" s="116">
        <v>22115</v>
      </c>
      <c r="C6496" s="117">
        <v>45518</v>
      </c>
      <c r="D6496" s="116">
        <v>98.71</v>
      </c>
      <c r="E6496" s="117">
        <v>45641</v>
      </c>
      <c r="F6496" s="116">
        <f>COUNTIFS($A$3:A14746,A6496,$B$3:B14746,B6496)</f>
        <v>1</v>
      </c>
      <c r="G6496" s="116"/>
    </row>
    <row r="6497" spans="1:7" x14ac:dyDescent="0.2">
      <c r="A6497" s="116">
        <f>IF(ISNUMBER(Tabela2[[#This Row],[CT-e/NFS]])=TRUE,(IF(B6497&gt;30000,4,IF(B6497&lt;1000,"ND",0))),"-")</f>
        <v>4</v>
      </c>
      <c r="B6497" s="116">
        <v>49120</v>
      </c>
      <c r="C6497" s="117">
        <v>45518</v>
      </c>
      <c r="D6497" s="116">
        <v>573.58000000000004</v>
      </c>
      <c r="E6497" s="117">
        <v>45641</v>
      </c>
      <c r="F6497" s="116">
        <f>COUNTIFS($A$3:A14747,A6497,$B$3:B14747,B6497)</f>
        <v>1</v>
      </c>
      <c r="G6497" s="116"/>
    </row>
    <row r="6498" spans="1:7" x14ac:dyDescent="0.2">
      <c r="A6498" s="116">
        <f>IF(ISNUMBER(Tabela2[[#This Row],[CT-e/NFS]])=TRUE,(IF(B6498&gt;30000,4,IF(B6498&lt;1000,"ND",0))),"-")</f>
        <v>4</v>
      </c>
      <c r="B6498" s="116">
        <v>49121</v>
      </c>
      <c r="C6498" s="117">
        <v>45518</v>
      </c>
      <c r="D6498" s="116">
        <v>657.01</v>
      </c>
      <c r="E6498" s="117">
        <v>45641</v>
      </c>
      <c r="F6498" s="116">
        <f>COUNTIFS($A$3:A14748,A6498,$B$3:B14748,B6498)</f>
        <v>1</v>
      </c>
      <c r="G6498" s="116"/>
    </row>
    <row r="6499" spans="1:7" x14ac:dyDescent="0.2">
      <c r="A6499" s="116">
        <f>IF(ISNUMBER(Tabela2[[#This Row],[CT-e/NFS]])=TRUE,(IF(B6499&gt;30000,4,IF(B6499&lt;1000,"ND",0))),"-")</f>
        <v>4</v>
      </c>
      <c r="B6499" s="116">
        <v>49171</v>
      </c>
      <c r="C6499" s="117">
        <v>45518</v>
      </c>
      <c r="D6499" s="116">
        <v>104.17</v>
      </c>
      <c r="E6499" s="117">
        <v>45641</v>
      </c>
      <c r="F6499" s="116">
        <f>COUNTIFS($A$3:A14749,A6499,$B$3:B14749,B6499)</f>
        <v>1</v>
      </c>
      <c r="G6499" s="116"/>
    </row>
    <row r="6500" spans="1:7" x14ac:dyDescent="0.2">
      <c r="A6500" s="116">
        <f>IF(ISNUMBER(Tabela2[[#This Row],[CT-e/NFS]])=TRUE,(IF(B6500&gt;30000,4,IF(B6500&lt;1000,"ND",0))),"-")</f>
        <v>4</v>
      </c>
      <c r="B6500" s="116">
        <v>49175</v>
      </c>
      <c r="C6500" s="117">
        <v>45518</v>
      </c>
      <c r="D6500" s="116">
        <v>103.16</v>
      </c>
      <c r="E6500" s="117">
        <v>45641</v>
      </c>
      <c r="F6500" s="116">
        <f>COUNTIFS($A$3:A14750,A6500,$B$3:B14750,B6500)</f>
        <v>1</v>
      </c>
      <c r="G6500" s="116"/>
    </row>
    <row r="6501" spans="1:7" x14ac:dyDescent="0.2">
      <c r="A6501" s="116">
        <f>IF(ISNUMBER(Tabela2[[#This Row],[CT-e/NFS]])=TRUE,(IF(B6501&gt;30000,4,IF(B6501&lt;1000,"ND",0))),"-")</f>
        <v>4</v>
      </c>
      <c r="B6501" s="116">
        <v>49217</v>
      </c>
      <c r="C6501" s="117">
        <v>45518</v>
      </c>
      <c r="D6501" s="116">
        <v>130.91999999999999</v>
      </c>
      <c r="E6501" s="117">
        <v>45641</v>
      </c>
      <c r="F6501" s="116">
        <f>COUNTIFS($A$3:A14751,A6501,$B$3:B14751,B6501)</f>
        <v>1</v>
      </c>
      <c r="G6501" s="116"/>
    </row>
    <row r="6502" spans="1:7" x14ac:dyDescent="0.2">
      <c r="A6502" s="116">
        <f>IF(ISNUMBER(Tabela2[[#This Row],[CT-e/NFS]])=TRUE,(IF(B6502&gt;30000,4,IF(B6502&lt;1000,"ND",0))),"-")</f>
        <v>4</v>
      </c>
      <c r="B6502" s="116">
        <v>49220</v>
      </c>
      <c r="C6502" s="117">
        <v>45518</v>
      </c>
      <c r="D6502" s="116">
        <v>116.94</v>
      </c>
      <c r="E6502" s="117">
        <v>45641</v>
      </c>
      <c r="F6502" s="116">
        <f>COUNTIFS($A$3:A14752,A6502,$B$3:B14752,B6502)</f>
        <v>1</v>
      </c>
      <c r="G6502" s="116"/>
    </row>
    <row r="6503" spans="1:7" x14ac:dyDescent="0.2">
      <c r="A6503" s="116">
        <f>IF(ISNUMBER(Tabela2[[#This Row],[CT-e/NFS]])=TRUE,(IF(B6503&gt;30000,4,IF(B6503&lt;1000,"ND",0))),"-")</f>
        <v>4</v>
      </c>
      <c r="B6503" s="116">
        <v>49288</v>
      </c>
      <c r="C6503" s="117">
        <v>45518</v>
      </c>
      <c r="D6503" s="116">
        <v>179.72</v>
      </c>
      <c r="E6503" s="117">
        <v>45641</v>
      </c>
      <c r="F6503" s="116">
        <f>COUNTIFS($A$3:A14753,A6503,$B$3:B14753,B6503)</f>
        <v>1</v>
      </c>
      <c r="G6503" s="116"/>
    </row>
    <row r="6504" spans="1:7" x14ac:dyDescent="0.2">
      <c r="A6504" s="116">
        <f>IF(ISNUMBER(Tabela2[[#This Row],[CT-e/NFS]])=TRUE,(IF(B6504&gt;30000,4,IF(B6504&lt;1000,"ND",0))),"-")</f>
        <v>0</v>
      </c>
      <c r="B6504" s="116">
        <v>22386</v>
      </c>
      <c r="C6504" s="117">
        <v>45572</v>
      </c>
      <c r="D6504" s="116">
        <v>294.47000000000003</v>
      </c>
      <c r="E6504" s="117">
        <v>45641</v>
      </c>
      <c r="F6504" s="116">
        <f>COUNTIFS($A$3:A14754,A6504,$B$3:B14754,B6504)</f>
        <v>1</v>
      </c>
      <c r="G6504" s="116"/>
    </row>
    <row r="6505" spans="1:7" x14ac:dyDescent="0.2">
      <c r="A6505" s="116">
        <f>IF(ISNUMBER(Tabela2[[#This Row],[CT-e/NFS]])=TRUE,(IF(B6505&gt;30000,4,IF(B6505&lt;1000,"ND",0))),"-")</f>
        <v>0</v>
      </c>
      <c r="B6505" s="116">
        <v>22387</v>
      </c>
      <c r="C6505" s="117">
        <v>45572</v>
      </c>
      <c r="D6505" s="116">
        <v>288.72000000000003</v>
      </c>
      <c r="E6505" s="117">
        <v>45641</v>
      </c>
      <c r="F6505" s="116">
        <f>COUNTIFS($A$3:A14755,A6505,$B$3:B14755,B6505)</f>
        <v>1</v>
      </c>
      <c r="G6505" s="116"/>
    </row>
    <row r="6506" spans="1:7" x14ac:dyDescent="0.2">
      <c r="A6506" s="116">
        <f>IF(ISNUMBER(Tabela2[[#This Row],[CT-e/NFS]])=TRUE,(IF(B6506&gt;30000,4,IF(B6506&lt;1000,"ND",0))),"-")</f>
        <v>0</v>
      </c>
      <c r="B6506" s="116">
        <v>22376</v>
      </c>
      <c r="C6506" s="117">
        <v>45572</v>
      </c>
      <c r="D6506" s="116">
        <v>203.6</v>
      </c>
      <c r="E6506" s="117">
        <v>45641</v>
      </c>
      <c r="F6506" s="116">
        <f>COUNTIFS($A$3:A14757,A6506,$B$3:B14757,B6506)</f>
        <v>1</v>
      </c>
      <c r="G6506" s="116"/>
    </row>
    <row r="6507" spans="1:7" x14ac:dyDescent="0.2">
      <c r="A6507" s="116">
        <f>IF(ISNUMBER(Tabela2[[#This Row],[CT-e/NFS]])=TRUE,(IF(B6507&gt;30000,4,IF(B6507&lt;1000,"ND",0))),"-")</f>
        <v>0</v>
      </c>
      <c r="B6507" s="116">
        <v>22367</v>
      </c>
      <c r="C6507" s="117">
        <v>45572</v>
      </c>
      <c r="D6507" s="116">
        <v>111.16</v>
      </c>
      <c r="E6507" s="117">
        <v>45641</v>
      </c>
      <c r="F6507" s="116">
        <f>COUNTIFS($A$3:A14758,A6507,$B$3:B14758,B6507)</f>
        <v>1</v>
      </c>
      <c r="G6507" s="116"/>
    </row>
    <row r="6508" spans="1:7" x14ac:dyDescent="0.2">
      <c r="A6508" s="116">
        <f>IF(ISNUMBER(Tabela2[[#This Row],[CT-e/NFS]])=TRUE,(IF(B6508&gt;30000,4,IF(B6508&lt;1000,"ND",0))),"-")</f>
        <v>0</v>
      </c>
      <c r="B6508" s="116">
        <v>22341</v>
      </c>
      <c r="C6508" s="117">
        <v>45572</v>
      </c>
      <c r="D6508" s="116">
        <v>93.33</v>
      </c>
      <c r="E6508" s="117">
        <v>45641</v>
      </c>
      <c r="F6508" s="116">
        <f>COUNTIFS($A$3:A14763,A6508,$B$3:B14763,B6508)</f>
        <v>1</v>
      </c>
      <c r="G6508" s="116"/>
    </row>
    <row r="6509" spans="1:7" x14ac:dyDescent="0.2">
      <c r="A6509" s="116">
        <f>IF(ISNUMBER(Tabela2[[#This Row],[CT-e/NFS]])=TRUE,(IF(B6509&gt;30000,4,IF(B6509&lt;1000,"ND",0))),"-")</f>
        <v>0</v>
      </c>
      <c r="B6509" s="116">
        <v>22340</v>
      </c>
      <c r="C6509" s="117">
        <v>45572</v>
      </c>
      <c r="D6509" s="116">
        <v>294.01</v>
      </c>
      <c r="E6509" s="117">
        <v>45641</v>
      </c>
      <c r="F6509" s="116">
        <f>COUNTIFS($A$3:A14764,A6509,$B$3:B14764,B6509)</f>
        <v>1</v>
      </c>
      <c r="G6509" s="116"/>
    </row>
    <row r="6510" spans="1:7" x14ac:dyDescent="0.2">
      <c r="A6510" s="116">
        <f>IF(ISNUMBER(Tabela2[[#This Row],[CT-e/NFS]])=TRUE,(IF(B6510&gt;30000,4,IF(B6510&lt;1000,"ND",0))),"-")</f>
        <v>0</v>
      </c>
      <c r="B6510" s="116">
        <v>22338</v>
      </c>
      <c r="C6510" s="117">
        <v>45572</v>
      </c>
      <c r="D6510" s="116">
        <v>382.97</v>
      </c>
      <c r="E6510" s="117">
        <v>45641</v>
      </c>
      <c r="F6510" s="116">
        <f>COUNTIFS($A$3:A14765,A6510,$B$3:B14765,B6510)</f>
        <v>1</v>
      </c>
      <c r="G6510" s="116"/>
    </row>
    <row r="6511" spans="1:7" x14ac:dyDescent="0.2">
      <c r="A6511" s="116">
        <f>IF(ISNUMBER(Tabela2[[#This Row],[CT-e/NFS]])=TRUE,(IF(B6511&gt;30000,4,IF(B6511&lt;1000,"ND",0))),"-")</f>
        <v>0</v>
      </c>
      <c r="B6511" s="116">
        <v>22324</v>
      </c>
      <c r="C6511" s="117">
        <v>45572</v>
      </c>
      <c r="D6511" s="116">
        <v>99.26</v>
      </c>
      <c r="E6511" s="117">
        <v>45641</v>
      </c>
      <c r="F6511" s="116">
        <f>COUNTIFS($A$3:A14766,A6511,$B$3:B14766,B6511)</f>
        <v>1</v>
      </c>
      <c r="G6511" s="116"/>
    </row>
    <row r="6512" spans="1:7" x14ac:dyDescent="0.2">
      <c r="A6512" s="116">
        <f>IF(ISNUMBER(Tabela2[[#This Row],[CT-e/NFS]])=TRUE,(IF(B6512&gt;30000,4,IF(B6512&lt;1000,"ND",0))),"-")</f>
        <v>4</v>
      </c>
      <c r="B6512" s="116">
        <v>49990</v>
      </c>
      <c r="C6512" s="117">
        <v>45572</v>
      </c>
      <c r="D6512" s="116">
        <v>165.99</v>
      </c>
      <c r="E6512" s="117">
        <v>45641</v>
      </c>
      <c r="F6512" s="116">
        <f>COUNTIFS($A$3:A14767,A6512,$B$3:B14767,B6512)</f>
        <v>1</v>
      </c>
      <c r="G6512" s="116"/>
    </row>
    <row r="6513" spans="1:7" x14ac:dyDescent="0.2">
      <c r="A6513" s="116">
        <f>IF(ISNUMBER(Tabela2[[#This Row],[CT-e/NFS]])=TRUE,(IF(B6513&gt;30000,4,IF(B6513&lt;1000,"ND",0))),"-")</f>
        <v>4</v>
      </c>
      <c r="B6513" s="116">
        <v>49991</v>
      </c>
      <c r="C6513" s="117">
        <v>45572</v>
      </c>
      <c r="D6513" s="116">
        <v>215.84</v>
      </c>
      <c r="E6513" s="117">
        <v>45641</v>
      </c>
      <c r="F6513" s="116">
        <f>COUNTIFS($A$3:A14768,A6513,$B$3:B14768,B6513)</f>
        <v>1</v>
      </c>
      <c r="G6513" s="116"/>
    </row>
    <row r="6514" spans="1:7" x14ac:dyDescent="0.2">
      <c r="A6514" s="116">
        <f>IF(ISNUMBER(Tabela2[[#This Row],[CT-e/NFS]])=TRUE,(IF(B6514&gt;30000,4,IF(B6514&lt;1000,"ND",0))),"-")</f>
        <v>4</v>
      </c>
      <c r="B6514" s="116">
        <v>50042</v>
      </c>
      <c r="C6514" s="117">
        <v>45572</v>
      </c>
      <c r="D6514" s="116">
        <v>103.16</v>
      </c>
      <c r="E6514" s="117">
        <v>45641</v>
      </c>
      <c r="F6514" s="116">
        <f>COUNTIFS($A$3:A14770,A6514,$B$3:B14770,B6514)</f>
        <v>1</v>
      </c>
      <c r="G6514" s="116"/>
    </row>
    <row r="6515" spans="1:7" x14ac:dyDescent="0.2">
      <c r="A6515" s="116">
        <f>IF(ISNUMBER(Tabela2[[#This Row],[CT-e/NFS]])=TRUE,(IF(B6515&gt;30000,4,IF(B6515&lt;1000,"ND",0))),"-")</f>
        <v>4</v>
      </c>
      <c r="B6515" s="116">
        <v>50072</v>
      </c>
      <c r="C6515" s="117">
        <v>45572</v>
      </c>
      <c r="D6515" s="116">
        <v>168.09</v>
      </c>
      <c r="E6515" s="117">
        <v>45641</v>
      </c>
      <c r="F6515" s="116">
        <f>COUNTIFS($A$3:A14771,A6515,$B$3:B14771,B6515)</f>
        <v>1</v>
      </c>
      <c r="G6515" s="116"/>
    </row>
    <row r="6516" spans="1:7" x14ac:dyDescent="0.2">
      <c r="A6516" s="116">
        <f>IF(ISNUMBER(Tabela2[[#This Row],[CT-e/NFS]])=TRUE,(IF(B6516&gt;30000,4,IF(B6516&lt;1000,"ND",0))),"-")</f>
        <v>4</v>
      </c>
      <c r="B6516" s="116">
        <v>50073</v>
      </c>
      <c r="C6516" s="117">
        <v>45572</v>
      </c>
      <c r="D6516" s="116">
        <v>571.49</v>
      </c>
      <c r="E6516" s="117">
        <v>45641</v>
      </c>
      <c r="F6516" s="116">
        <f>COUNTIFS($A$3:A14772,A6516,$B$3:B14772,B6516)</f>
        <v>1</v>
      </c>
      <c r="G6516" s="116"/>
    </row>
    <row r="6517" spans="1:7" x14ac:dyDescent="0.2">
      <c r="A6517" s="116">
        <f>IF(ISNUMBER(Tabela2[[#This Row],[CT-e/NFS]])=TRUE,(IF(B6517&gt;30000,4,IF(B6517&lt;1000,"ND",0))),"-")</f>
        <v>4</v>
      </c>
      <c r="B6517" s="116">
        <v>50111</v>
      </c>
      <c r="C6517" s="117">
        <v>45572</v>
      </c>
      <c r="D6517" s="116">
        <v>573.84</v>
      </c>
      <c r="E6517" s="117">
        <v>45641</v>
      </c>
      <c r="F6517" s="116">
        <f>COUNTIFS($A$3:A14773,A6517,$B$3:B14773,B6517)</f>
        <v>1</v>
      </c>
      <c r="G6517" s="116"/>
    </row>
    <row r="6518" spans="1:7" x14ac:dyDescent="0.2">
      <c r="A6518" s="116">
        <f>IF(ISNUMBER(Tabela2[[#This Row],[CT-e/NFS]])=TRUE,(IF(B6518&gt;30000,4,IF(B6518&lt;1000,"ND",0))),"-")</f>
        <v>4</v>
      </c>
      <c r="B6518" s="116">
        <v>50183</v>
      </c>
      <c r="C6518" s="117">
        <v>45572</v>
      </c>
      <c r="D6518" s="116">
        <v>104.17</v>
      </c>
      <c r="E6518" s="117">
        <v>45641</v>
      </c>
      <c r="F6518" s="116">
        <f>COUNTIFS($A$3:A14774,A6518,$B$3:B14774,B6518)</f>
        <v>1</v>
      </c>
      <c r="G6518" s="116"/>
    </row>
    <row r="6519" spans="1:7" x14ac:dyDescent="0.2">
      <c r="A6519" s="116">
        <f>IF(ISNUMBER(Tabela2[[#This Row],[CT-e/NFS]])=TRUE,(IF(B6519&gt;30000,4,IF(B6519&lt;1000,"ND",0))),"-")</f>
        <v>4</v>
      </c>
      <c r="B6519" s="116">
        <v>50209</v>
      </c>
      <c r="C6519" s="117">
        <v>45572</v>
      </c>
      <c r="D6519" s="116">
        <v>626.63</v>
      </c>
      <c r="E6519" s="117">
        <v>45641</v>
      </c>
      <c r="F6519" s="116">
        <f>COUNTIFS($A$3:A14775,A6519,$B$3:B14775,B6519)</f>
        <v>1</v>
      </c>
      <c r="G6519" s="116"/>
    </row>
    <row r="6520" spans="1:7" x14ac:dyDescent="0.2">
      <c r="A6520" s="116">
        <f>IF(ISNUMBER(Tabela2[[#This Row],[CT-e/NFS]])=TRUE,(IF(B6520&gt;30000,4,IF(B6520&lt;1000,"ND",0))),"-")</f>
        <v>0</v>
      </c>
      <c r="B6520" s="116">
        <v>22451</v>
      </c>
      <c r="C6520" s="117">
        <v>45589</v>
      </c>
      <c r="D6520" s="116">
        <v>287.94</v>
      </c>
      <c r="E6520" s="117">
        <v>45641</v>
      </c>
      <c r="F6520" s="116">
        <f>COUNTIFS($A$3:A14776,A6520,$B$3:B14776,B6520)</f>
        <v>1</v>
      </c>
      <c r="G6520" s="116"/>
    </row>
    <row r="6521" spans="1:7" x14ac:dyDescent="0.2">
      <c r="A6521" s="116">
        <f>IF(ISNUMBER(Tabela2[[#This Row],[CT-e/NFS]])=TRUE,(IF(B6521&gt;30000,4,IF(B6521&lt;1000,"ND",0))),"-")</f>
        <v>0</v>
      </c>
      <c r="B6521" s="116">
        <v>22450</v>
      </c>
      <c r="C6521" s="117">
        <v>45589</v>
      </c>
      <c r="D6521" s="116">
        <v>276.47000000000003</v>
      </c>
      <c r="E6521" s="117">
        <v>45641</v>
      </c>
      <c r="F6521" s="116">
        <f>COUNTIFS($A$3:A14777,A6521,$B$3:B14777,B6521)</f>
        <v>1</v>
      </c>
      <c r="G6521" s="116"/>
    </row>
    <row r="6522" spans="1:7" x14ac:dyDescent="0.2">
      <c r="A6522" s="116">
        <f>IF(ISNUMBER(Tabela2[[#This Row],[CT-e/NFS]])=TRUE,(IF(B6522&gt;30000,4,IF(B6522&lt;1000,"ND",0))),"-")</f>
        <v>0</v>
      </c>
      <c r="B6522" s="116">
        <v>22430</v>
      </c>
      <c r="C6522" s="117">
        <v>45589</v>
      </c>
      <c r="D6522" s="116">
        <v>99.26</v>
      </c>
      <c r="E6522" s="117">
        <v>45641</v>
      </c>
      <c r="F6522" s="116">
        <f>COUNTIFS($A$3:A14778,A6522,$B$3:B14778,B6522)</f>
        <v>1</v>
      </c>
      <c r="G6522" s="116"/>
    </row>
    <row r="6523" spans="1:7" x14ac:dyDescent="0.2">
      <c r="A6523" s="116">
        <f>IF(ISNUMBER(Tabela2[[#This Row],[CT-e/NFS]])=TRUE,(IF(B6523&gt;30000,4,IF(B6523&lt;1000,"ND",0))),"-")</f>
        <v>0</v>
      </c>
      <c r="B6523" s="116">
        <v>22429</v>
      </c>
      <c r="C6523" s="117">
        <v>45589</v>
      </c>
      <c r="D6523" s="116">
        <v>54.82</v>
      </c>
      <c r="E6523" s="117">
        <v>45641</v>
      </c>
      <c r="F6523" s="116">
        <f>COUNTIFS($A$3:A14773,A6523,$B$3:B14773,B6523)</f>
        <v>1</v>
      </c>
      <c r="G6523" s="116"/>
    </row>
    <row r="6524" spans="1:7" x14ac:dyDescent="0.2">
      <c r="A6524" s="116">
        <f>IF(ISNUMBER(Tabela2[[#This Row],[CT-e/NFS]])=TRUE,(IF(B6524&gt;30000,4,IF(B6524&lt;1000,"ND",0))),"-")</f>
        <v>0</v>
      </c>
      <c r="B6524" s="116">
        <v>22420</v>
      </c>
      <c r="C6524" s="117">
        <v>45589</v>
      </c>
      <c r="D6524" s="116">
        <v>99.26</v>
      </c>
      <c r="E6524" s="117">
        <v>45641</v>
      </c>
      <c r="F6524" s="116">
        <f>COUNTIFS($A$3:A14774,A6524,$B$3:B14774,B6524)</f>
        <v>1</v>
      </c>
      <c r="G6524" s="116"/>
    </row>
    <row r="6525" spans="1:7" x14ac:dyDescent="0.2">
      <c r="A6525" s="116">
        <f>IF(ISNUMBER(Tabela2[[#This Row],[CT-e/NFS]])=TRUE,(IF(B6525&gt;30000,4,IF(B6525&lt;1000,"ND",0))),"-")</f>
        <v>0</v>
      </c>
      <c r="B6525" s="116">
        <v>22409</v>
      </c>
      <c r="C6525" s="117">
        <v>45589</v>
      </c>
      <c r="D6525" s="116">
        <v>128.71</v>
      </c>
      <c r="E6525" s="117">
        <v>45641</v>
      </c>
      <c r="F6525" s="116">
        <f>COUNTIFS($A$3:A14775,A6525,$B$3:B14775,B6525)</f>
        <v>1</v>
      </c>
      <c r="G6525" s="116"/>
    </row>
    <row r="6526" spans="1:7" x14ac:dyDescent="0.2">
      <c r="A6526" s="116">
        <f>IF(ISNUMBER(Tabela2[[#This Row],[CT-e/NFS]])=TRUE,(IF(B6526&gt;30000,4,IF(B6526&lt;1000,"ND",0))),"-")</f>
        <v>0</v>
      </c>
      <c r="B6526" s="116">
        <v>22401</v>
      </c>
      <c r="C6526" s="117">
        <v>45589</v>
      </c>
      <c r="D6526" s="116">
        <v>282.17</v>
      </c>
      <c r="E6526" s="117">
        <v>45641</v>
      </c>
      <c r="F6526" s="116">
        <f>COUNTIFS($A$3:A14776,A6526,$B$3:B14776,B6526)</f>
        <v>1</v>
      </c>
      <c r="G6526" s="116"/>
    </row>
    <row r="6527" spans="1:7" x14ac:dyDescent="0.2">
      <c r="A6527" s="116">
        <f>IF(ISNUMBER(Tabela2[[#This Row],[CT-e/NFS]])=TRUE,(IF(B6527&gt;30000,4,IF(B6527&lt;1000,"ND",0))),"-")</f>
        <v>0</v>
      </c>
      <c r="B6527" s="116">
        <v>22396</v>
      </c>
      <c r="C6527" s="117">
        <v>45589</v>
      </c>
      <c r="D6527" s="116">
        <v>294.47000000000003</v>
      </c>
      <c r="E6527" s="117">
        <v>45641</v>
      </c>
      <c r="F6527" s="116">
        <f>COUNTIFS($A$3:A14777,A6527,$B$3:B14777,B6527)</f>
        <v>1</v>
      </c>
      <c r="G6527" s="116"/>
    </row>
    <row r="6528" spans="1:7" x14ac:dyDescent="0.2">
      <c r="A6528" s="116">
        <f>IF(ISNUMBER(Tabela2[[#This Row],[CT-e/NFS]])=TRUE,(IF(B6528&gt;30000,4,IF(B6528&lt;1000,"ND",0))),"-")</f>
        <v>0</v>
      </c>
      <c r="B6528" s="116">
        <v>22393</v>
      </c>
      <c r="C6528" s="117">
        <v>45589</v>
      </c>
      <c r="D6528" s="116">
        <v>153.18</v>
      </c>
      <c r="E6528" s="117">
        <v>45641</v>
      </c>
      <c r="F6528" s="116">
        <f>COUNTIFS($A$3:A14778,A6528,$B$3:B14778,B6528)</f>
        <v>1</v>
      </c>
      <c r="G6528" s="116"/>
    </row>
    <row r="6529" spans="1:7" x14ac:dyDescent="0.2">
      <c r="A6529" s="116">
        <f>IF(ISNUMBER(Tabela2[[#This Row],[CT-e/NFS]])=TRUE,(IF(B6529&gt;30000,4,IF(B6529&lt;1000,"ND",0))),"-")</f>
        <v>0</v>
      </c>
      <c r="B6529" s="116">
        <v>22394</v>
      </c>
      <c r="C6529" s="117">
        <v>45589</v>
      </c>
      <c r="D6529" s="116">
        <v>111.16</v>
      </c>
      <c r="E6529" s="117">
        <v>45641</v>
      </c>
      <c r="F6529" s="116">
        <f>COUNTIFS($A$3:A14779,A6529,$B$3:B14779,B6529)</f>
        <v>1</v>
      </c>
      <c r="G6529" s="116"/>
    </row>
    <row r="6530" spans="1:7" x14ac:dyDescent="0.2">
      <c r="A6530" s="116">
        <f>IF(ISNUMBER(Tabela2[[#This Row],[CT-e/NFS]])=TRUE,(IF(B6530&gt;30000,4,IF(B6530&lt;1000,"ND",0))),"-")</f>
        <v>0</v>
      </c>
      <c r="B6530" s="116">
        <v>22392</v>
      </c>
      <c r="C6530" s="117">
        <v>45589</v>
      </c>
      <c r="D6530" s="116">
        <v>93.33</v>
      </c>
      <c r="E6530" s="117">
        <v>45641</v>
      </c>
      <c r="F6530" s="116">
        <f>COUNTIFS($A$3:A14780,A6530,$B$3:B14780,B6530)</f>
        <v>1</v>
      </c>
      <c r="G6530" s="116"/>
    </row>
    <row r="6531" spans="1:7" x14ac:dyDescent="0.2">
      <c r="A6531" s="116">
        <f>IF(ISNUMBER(Tabela2[[#This Row],[CT-e/NFS]])=TRUE,(IF(B6531&gt;30000,4,IF(B6531&lt;1000,"ND",0))),"-")</f>
        <v>4</v>
      </c>
      <c r="B6531" s="116">
        <v>50232</v>
      </c>
      <c r="C6531" s="117">
        <v>45589</v>
      </c>
      <c r="D6531" s="116">
        <v>606.23</v>
      </c>
      <c r="E6531" s="117">
        <v>45641</v>
      </c>
      <c r="F6531" s="116">
        <f>COUNTIFS($A$3:A14781,A6531,$B$3:B14781,B6531)</f>
        <v>1</v>
      </c>
      <c r="G6531" s="116"/>
    </row>
    <row r="6532" spans="1:7" x14ac:dyDescent="0.2">
      <c r="A6532" s="116">
        <f>IF(ISNUMBER(Tabela2[[#This Row],[CT-e/NFS]])=TRUE,(IF(B6532&gt;30000,4,IF(B6532&lt;1000,"ND",0))),"-")</f>
        <v>4</v>
      </c>
      <c r="B6532" s="116">
        <v>50233</v>
      </c>
      <c r="C6532" s="117">
        <v>45589</v>
      </c>
      <c r="D6532" s="116">
        <v>348.82</v>
      </c>
      <c r="E6532" s="117">
        <v>45641</v>
      </c>
      <c r="F6532" s="116">
        <f>COUNTIFS($A$3:A14782,A6532,$B$3:B14782,B6532)</f>
        <v>1</v>
      </c>
      <c r="G6532" s="116"/>
    </row>
    <row r="6533" spans="1:7" x14ac:dyDescent="0.2">
      <c r="A6533" s="116">
        <f>IF(ISNUMBER(Tabela2[[#This Row],[CT-e/NFS]])=TRUE,(IF(B6533&gt;30000,4,IF(B6533&lt;1000,"ND",0))),"-")</f>
        <v>4</v>
      </c>
      <c r="B6533" s="116">
        <v>50273</v>
      </c>
      <c r="C6533" s="117">
        <v>45589</v>
      </c>
      <c r="D6533" s="116">
        <v>549.25</v>
      </c>
      <c r="E6533" s="117">
        <v>45641</v>
      </c>
      <c r="F6533" s="116">
        <f>COUNTIFS($A$3:A14783,A6533,$B$3:B14783,B6533)</f>
        <v>1</v>
      </c>
      <c r="G6533" s="116"/>
    </row>
    <row r="6534" spans="1:7" x14ac:dyDescent="0.2">
      <c r="A6534" s="116">
        <f>IF(ISNUMBER(Tabela2[[#This Row],[CT-e/NFS]])=TRUE,(IF(B6534&gt;30000,4,IF(B6534&lt;1000,"ND",0))),"-")</f>
        <v>4</v>
      </c>
      <c r="B6534" s="116">
        <v>50274</v>
      </c>
      <c r="C6534" s="117">
        <v>45589</v>
      </c>
      <c r="D6534" s="116">
        <v>130.06</v>
      </c>
      <c r="E6534" s="117">
        <v>45641</v>
      </c>
      <c r="F6534" s="116">
        <f>COUNTIFS($A$3:A14784,A6534,$B$3:B14784,B6534)</f>
        <v>1</v>
      </c>
      <c r="G6534" s="116"/>
    </row>
    <row r="6535" spans="1:7" x14ac:dyDescent="0.2">
      <c r="A6535" s="116">
        <f>IF(ISNUMBER(Tabela2[[#This Row],[CT-e/NFS]])=TRUE,(IF(B6535&gt;30000,4,IF(B6535&lt;1000,"ND",0))),"-")</f>
        <v>4</v>
      </c>
      <c r="B6535" s="116">
        <v>50276</v>
      </c>
      <c r="C6535" s="117">
        <v>45589</v>
      </c>
      <c r="D6535" s="116">
        <v>112.23</v>
      </c>
      <c r="E6535" s="117">
        <v>45641</v>
      </c>
      <c r="F6535" s="116">
        <f>COUNTIFS($A$3:A14785,A6535,$B$3:B14785,B6535)</f>
        <v>1</v>
      </c>
      <c r="G6535" s="116"/>
    </row>
    <row r="6536" spans="1:7" x14ac:dyDescent="0.2">
      <c r="A6536" s="116">
        <f>IF(ISNUMBER(Tabela2[[#This Row],[CT-e/NFS]])=TRUE,(IF(B6536&gt;30000,4,IF(B6536&lt;1000,"ND",0))),"-")</f>
        <v>4</v>
      </c>
      <c r="B6536" s="116">
        <v>50313</v>
      </c>
      <c r="C6536" s="117">
        <v>45589</v>
      </c>
      <c r="D6536" s="116">
        <v>340.13</v>
      </c>
      <c r="E6536" s="117">
        <v>45641</v>
      </c>
      <c r="F6536" s="116">
        <f>COUNTIFS($A$3:A14786,A6536,$B$3:B14786,B6536)</f>
        <v>1</v>
      </c>
      <c r="G6536" s="116"/>
    </row>
    <row r="6537" spans="1:7" x14ac:dyDescent="0.2">
      <c r="A6537" s="116">
        <f>IF(ISNUMBER(Tabela2[[#This Row],[CT-e/NFS]])=TRUE,(IF(B6537&gt;30000,4,IF(B6537&lt;1000,"ND",0))),"-")</f>
        <v>4</v>
      </c>
      <c r="B6537" s="116">
        <v>50366</v>
      </c>
      <c r="C6537" s="117">
        <v>45589</v>
      </c>
      <c r="D6537" s="116">
        <v>141.49</v>
      </c>
      <c r="E6537" s="117">
        <v>45641</v>
      </c>
      <c r="F6537" s="116">
        <f>COUNTIFS($A$3:A14787,A6537,$B$3:B14787,B6537)</f>
        <v>1</v>
      </c>
      <c r="G6537" s="116"/>
    </row>
    <row r="6538" spans="1:7" x14ac:dyDescent="0.2">
      <c r="A6538" s="116">
        <f>IF(ISNUMBER(Tabela2[[#This Row],[CT-e/NFS]])=TRUE,(IF(B6538&gt;30000,4,IF(B6538&lt;1000,"ND",0))),"-")</f>
        <v>4</v>
      </c>
      <c r="B6538" s="116">
        <v>50367</v>
      </c>
      <c r="C6538" s="117">
        <v>45589</v>
      </c>
      <c r="D6538" s="116">
        <v>228.11</v>
      </c>
      <c r="E6538" s="117">
        <v>45641</v>
      </c>
      <c r="F6538" s="116">
        <f>COUNTIFS($A$3:A14788,A6538,$B$3:B14788,B6538)</f>
        <v>1</v>
      </c>
      <c r="G6538" s="116"/>
    </row>
    <row r="6539" spans="1:7" x14ac:dyDescent="0.2">
      <c r="A6539" s="116">
        <f>IF(ISNUMBER(Tabela2[[#This Row],[CT-e/NFS]])=TRUE,(IF(B6539&gt;30000,4,IF(B6539&lt;1000,"ND",0))),"-")</f>
        <v>4</v>
      </c>
      <c r="B6539" s="116">
        <v>50369</v>
      </c>
      <c r="C6539" s="117">
        <v>45589</v>
      </c>
      <c r="D6539" s="116">
        <v>134.24</v>
      </c>
      <c r="E6539" s="117">
        <v>45641</v>
      </c>
      <c r="F6539" s="116">
        <f>COUNTIFS($A$3:A14789,A6539,$B$3:B14789,B6539)</f>
        <v>1</v>
      </c>
      <c r="G6539" s="116"/>
    </row>
    <row r="6540" spans="1:7" x14ac:dyDescent="0.2">
      <c r="A6540" s="116">
        <f>IF(ISNUMBER(Tabela2[[#This Row],[CT-e/NFS]])=TRUE,(IF(B6540&gt;30000,4,IF(B6540&lt;1000,"ND",0))),"-")</f>
        <v>4</v>
      </c>
      <c r="B6540" s="116">
        <v>50393</v>
      </c>
      <c r="C6540" s="117">
        <v>45589</v>
      </c>
      <c r="D6540" s="116">
        <v>165.99</v>
      </c>
      <c r="E6540" s="117">
        <v>45641</v>
      </c>
      <c r="F6540" s="116">
        <f>COUNTIFS($A$3:A14790,A6540,$B$3:B14790,B6540)</f>
        <v>1</v>
      </c>
      <c r="G6540" s="116"/>
    </row>
    <row r="6541" spans="1:7" x14ac:dyDescent="0.2">
      <c r="A6541" s="116">
        <f>IF(ISNUMBER(Tabela2[[#This Row],[CT-e/NFS]])=TRUE,(IF(B6541&gt;30000,4,IF(B6541&lt;1000,"ND",0))),"-")</f>
        <v>4</v>
      </c>
      <c r="B6541" s="116">
        <v>50394</v>
      </c>
      <c r="C6541" s="117">
        <v>45589</v>
      </c>
      <c r="D6541" s="116">
        <v>228.11</v>
      </c>
      <c r="E6541" s="117">
        <v>45641</v>
      </c>
      <c r="F6541" s="116">
        <f>COUNTIFS($A$3:A14791,A6541,$B$3:B14791,B6541)</f>
        <v>1</v>
      </c>
      <c r="G6541" s="116"/>
    </row>
    <row r="6542" spans="1:7" x14ac:dyDescent="0.2">
      <c r="A6542" s="116">
        <f>IF(ISNUMBER(Tabela2[[#This Row],[CT-e/NFS]])=TRUE,(IF(B6542&gt;30000,4,IF(B6542&lt;1000,"ND",0))),"-")</f>
        <v>4</v>
      </c>
      <c r="B6542" s="116">
        <v>50398</v>
      </c>
      <c r="C6542" s="117">
        <v>45589</v>
      </c>
      <c r="D6542" s="116">
        <v>358.78</v>
      </c>
      <c r="E6542" s="117">
        <v>45641</v>
      </c>
      <c r="F6542" s="116">
        <f>COUNTIFS($A$3:A14792,A6542,$B$3:B14792,B6542)</f>
        <v>1</v>
      </c>
      <c r="G6542" s="116"/>
    </row>
    <row r="6543" spans="1:7" x14ac:dyDescent="0.2">
      <c r="A6543" s="116">
        <f>IF(ISNUMBER(Tabela2[[#This Row],[CT-e/NFS]])=TRUE,(IF(B6543&gt;30000,4,IF(B6543&lt;1000,"ND",0))),"-")</f>
        <v>0</v>
      </c>
      <c r="B6543" s="116">
        <v>22564</v>
      </c>
      <c r="C6543" s="117">
        <v>45589</v>
      </c>
      <c r="D6543" s="116">
        <v>109.37</v>
      </c>
      <c r="E6543" s="117">
        <v>45641</v>
      </c>
      <c r="F6543" s="116">
        <f>COUNTIFS($A$3:A14793,A6543,$B$3:B14793,B6543)</f>
        <v>1</v>
      </c>
      <c r="G6543" s="116"/>
    </row>
    <row r="6544" spans="1:7" x14ac:dyDescent="0.2">
      <c r="A6544" s="116">
        <f>IF(ISNUMBER(Tabela2[[#This Row],[CT-e/NFS]])=TRUE,(IF(B6544&gt;30000,4,IF(B6544&lt;1000,"ND",0))),"-")</f>
        <v>0</v>
      </c>
      <c r="B6544" s="116">
        <v>22558</v>
      </c>
      <c r="C6544" s="117">
        <v>45589</v>
      </c>
      <c r="D6544" s="116">
        <v>93.33</v>
      </c>
      <c r="E6544" s="117">
        <v>45641</v>
      </c>
      <c r="F6544" s="116">
        <f>COUNTIFS($A$3:A14794,A6544,$B$3:B14794,B6544)</f>
        <v>1</v>
      </c>
      <c r="G6544" s="116"/>
    </row>
    <row r="6545" spans="1:7" x14ac:dyDescent="0.2">
      <c r="A6545" s="116">
        <f>IF(ISNUMBER(Tabela2[[#This Row],[CT-e/NFS]])=TRUE,(IF(B6545&gt;30000,4,IF(B6545&lt;1000,"ND",0))),"-")</f>
        <v>0</v>
      </c>
      <c r="B6545" s="116">
        <v>22552</v>
      </c>
      <c r="C6545" s="117">
        <v>45589</v>
      </c>
      <c r="D6545" s="116">
        <v>134.61000000000001</v>
      </c>
      <c r="E6545" s="117">
        <v>45641</v>
      </c>
      <c r="F6545" s="116">
        <f>COUNTIFS($A$3:A14795,A6545,$B$3:B14795,B6545)</f>
        <v>1</v>
      </c>
      <c r="G6545" s="116"/>
    </row>
    <row r="6546" spans="1:7" x14ac:dyDescent="0.2">
      <c r="A6546" s="116">
        <f>IF(ISNUMBER(Tabela2[[#This Row],[CT-e/NFS]])=TRUE,(IF(B6546&gt;30000,4,IF(B6546&lt;1000,"ND",0))),"-")</f>
        <v>0</v>
      </c>
      <c r="B6546" s="116">
        <v>22531</v>
      </c>
      <c r="C6546" s="117">
        <v>45589</v>
      </c>
      <c r="D6546" s="116">
        <v>282.58999999999997</v>
      </c>
      <c r="E6546" s="117">
        <v>45641</v>
      </c>
      <c r="F6546" s="116">
        <f>COUNTIFS($A$3:A14796,A6546,$B$3:B14796,B6546)</f>
        <v>1</v>
      </c>
      <c r="G6546" s="116"/>
    </row>
    <row r="6547" spans="1:7" x14ac:dyDescent="0.2">
      <c r="A6547" s="116">
        <f>IF(ISNUMBER(Tabela2[[#This Row],[CT-e/NFS]])=TRUE,(IF(B6547&gt;30000,4,IF(B6547&lt;1000,"ND",0))),"-")</f>
        <v>0</v>
      </c>
      <c r="B6547" s="116">
        <v>22504</v>
      </c>
      <c r="C6547" s="117">
        <v>45589</v>
      </c>
      <c r="D6547" s="116">
        <v>288.72000000000003</v>
      </c>
      <c r="E6547" s="117">
        <v>45641</v>
      </c>
      <c r="F6547" s="116">
        <f>COUNTIFS($A$3:A14797,A6547,$B$3:B14797,B6547)</f>
        <v>1</v>
      </c>
      <c r="G6547" s="116"/>
    </row>
    <row r="6548" spans="1:7" x14ac:dyDescent="0.2">
      <c r="A6548" s="116">
        <f>IF(ISNUMBER(Tabela2[[#This Row],[CT-e/NFS]])=TRUE,(IF(B6548&gt;30000,4,IF(B6548&lt;1000,"ND",0))),"-")</f>
        <v>0</v>
      </c>
      <c r="B6548" s="116">
        <v>22503</v>
      </c>
      <c r="C6548" s="117">
        <v>45589</v>
      </c>
      <c r="D6548" s="116">
        <v>98.54</v>
      </c>
      <c r="E6548" s="117">
        <v>45641</v>
      </c>
      <c r="F6548" s="116">
        <f>COUNTIFS($A$3:A14798,A6548,$B$3:B14798,B6548)</f>
        <v>1</v>
      </c>
      <c r="G6548" s="116"/>
    </row>
    <row r="6549" spans="1:7" x14ac:dyDescent="0.2">
      <c r="A6549" s="116">
        <f>IF(ISNUMBER(Tabela2[[#This Row],[CT-e/NFS]])=TRUE,(IF(B6549&gt;30000,4,IF(B6549&lt;1000,"ND",0))),"-")</f>
        <v>0</v>
      </c>
      <c r="B6549" s="116">
        <v>22496</v>
      </c>
      <c r="C6549" s="117">
        <v>45589</v>
      </c>
      <c r="D6549" s="116">
        <v>103.51</v>
      </c>
      <c r="E6549" s="117">
        <v>45641</v>
      </c>
      <c r="F6549" s="116">
        <f>COUNTIFS($A$3:A14799,A6549,$B$3:B14799,B6549)</f>
        <v>1</v>
      </c>
      <c r="G6549" s="116"/>
    </row>
    <row r="6550" spans="1:7" x14ac:dyDescent="0.2">
      <c r="A6550" s="116">
        <f>IF(ISNUMBER(Tabela2[[#This Row],[CT-e/NFS]])=TRUE,(IF(B6550&gt;30000,4,IF(B6550&lt;1000,"ND",0))),"-")</f>
        <v>0</v>
      </c>
      <c r="B6550" s="116">
        <v>22489</v>
      </c>
      <c r="C6550" s="117">
        <v>45589</v>
      </c>
      <c r="D6550" s="116">
        <v>94.77</v>
      </c>
      <c r="E6550" s="117">
        <v>45641</v>
      </c>
      <c r="F6550" s="116">
        <f>COUNTIFS($A$3:A14800,A6550,$B$3:B14800,B6550)</f>
        <v>1</v>
      </c>
      <c r="G6550" s="116"/>
    </row>
    <row r="6551" spans="1:7" x14ac:dyDescent="0.2">
      <c r="A6551" s="116">
        <f>IF(ISNUMBER(Tabela2[[#This Row],[CT-e/NFS]])=TRUE,(IF(B6551&gt;30000,4,IF(B6551&lt;1000,"ND",0))),"-")</f>
        <v>0</v>
      </c>
      <c r="B6551" s="116">
        <v>22491</v>
      </c>
      <c r="C6551" s="117">
        <v>45589</v>
      </c>
      <c r="D6551" s="116">
        <v>112.25</v>
      </c>
      <c r="E6551" s="117">
        <v>45641</v>
      </c>
      <c r="F6551" s="116">
        <f>COUNTIFS($A$3:A14801,A6551,$B$3:B14801,B6551)</f>
        <v>1</v>
      </c>
      <c r="G6551" s="116"/>
    </row>
    <row r="6552" spans="1:7" x14ac:dyDescent="0.2">
      <c r="A6552" s="116">
        <f>IF(ISNUMBER(Tabela2[[#This Row],[CT-e/NFS]])=TRUE,(IF(B6552&gt;30000,4,IF(B6552&lt;1000,"ND",0))),"-")</f>
        <v>0</v>
      </c>
      <c r="B6552" s="116">
        <v>22480</v>
      </c>
      <c r="C6552" s="117">
        <v>45589</v>
      </c>
      <c r="D6552" s="116">
        <v>291.66000000000003</v>
      </c>
      <c r="E6552" s="117">
        <v>45641</v>
      </c>
      <c r="F6552" s="116">
        <f>COUNTIFS($A$3:A14802,A6552,$B$3:B14802,B6552)</f>
        <v>1</v>
      </c>
      <c r="G6552" s="116"/>
    </row>
    <row r="6553" spans="1:7" x14ac:dyDescent="0.2">
      <c r="A6553" s="116">
        <f>IF(ISNUMBER(Tabela2[[#This Row],[CT-e/NFS]])=TRUE,(IF(B6553&gt;30000,4,IF(B6553&lt;1000,"ND",0))),"-")</f>
        <v>0</v>
      </c>
      <c r="B6553" s="116">
        <v>22479</v>
      </c>
      <c r="C6553" s="117">
        <v>45589</v>
      </c>
      <c r="D6553" s="116">
        <v>115.31</v>
      </c>
      <c r="E6553" s="117">
        <v>45641</v>
      </c>
      <c r="F6553" s="116">
        <f>COUNTIFS($A$3:A14803,A6553,$B$3:B14803,B6553)</f>
        <v>1</v>
      </c>
      <c r="G6553" s="116"/>
    </row>
    <row r="6554" spans="1:7" x14ac:dyDescent="0.2">
      <c r="A6554" s="116">
        <f>IF(ISNUMBER(Tabela2[[#This Row],[CT-e/NFS]])=TRUE,(IF(B6554&gt;30000,4,IF(B6554&lt;1000,"ND",0))),"-")</f>
        <v>4</v>
      </c>
      <c r="B6554" s="116">
        <v>50482</v>
      </c>
      <c r="C6554" s="117">
        <v>45589</v>
      </c>
      <c r="D6554" s="116">
        <v>591.83000000000004</v>
      </c>
      <c r="E6554" s="117">
        <v>45641</v>
      </c>
      <c r="F6554" s="116">
        <f>COUNTIFS($A$3:A14804,A6554,$B$3:B14804,B6554)</f>
        <v>1</v>
      </c>
      <c r="G6554" s="116"/>
    </row>
    <row r="6555" spans="1:7" x14ac:dyDescent="0.2">
      <c r="A6555" s="116">
        <f>IF(ISNUMBER(Tabela2[[#This Row],[CT-e/NFS]])=TRUE,(IF(B6555&gt;30000,4,IF(B6555&lt;1000,"ND",0))),"-")</f>
        <v>4</v>
      </c>
      <c r="B6555" s="116">
        <v>50490</v>
      </c>
      <c r="C6555" s="117">
        <v>45589</v>
      </c>
      <c r="D6555" s="116">
        <v>104.17</v>
      </c>
      <c r="E6555" s="117">
        <v>45641</v>
      </c>
      <c r="F6555" s="116">
        <f>COUNTIFS($A$3:A14805,A6555,$B$3:B14805,B6555)</f>
        <v>1</v>
      </c>
      <c r="G6555" s="116"/>
    </row>
    <row r="6556" spans="1:7" x14ac:dyDescent="0.2">
      <c r="A6556" s="116">
        <f>IF(ISNUMBER(Tabela2[[#This Row],[CT-e/NFS]])=TRUE,(IF(B6556&gt;30000,4,IF(B6556&lt;1000,"ND",0))),"-")</f>
        <v>4</v>
      </c>
      <c r="B6556" s="116">
        <v>50493</v>
      </c>
      <c r="C6556" s="117">
        <v>45589</v>
      </c>
      <c r="D6556" s="116">
        <v>566.98</v>
      </c>
      <c r="E6556" s="117">
        <v>45641</v>
      </c>
      <c r="F6556" s="116">
        <f>COUNTIFS($A$3:A14806,A6556,$B$3:B14806,B6556)</f>
        <v>1</v>
      </c>
      <c r="G6556" s="116"/>
    </row>
    <row r="6557" spans="1:7" x14ac:dyDescent="0.2">
      <c r="A6557" s="116">
        <f>IF(ISNUMBER(Tabela2[[#This Row],[CT-e/NFS]])=TRUE,(IF(B6557&gt;30000,4,IF(B6557&lt;1000,"ND",0))),"-")</f>
        <v>4</v>
      </c>
      <c r="B6557" s="116">
        <v>50537</v>
      </c>
      <c r="C6557" s="117">
        <v>45589</v>
      </c>
      <c r="D6557" s="116">
        <v>114.05</v>
      </c>
      <c r="E6557" s="117">
        <v>45641</v>
      </c>
      <c r="F6557" s="116">
        <f>COUNTIFS($A$3:A14807,A6557,$B$3:B14807,B6557)</f>
        <v>1</v>
      </c>
      <c r="G6557" s="116"/>
    </row>
    <row r="6558" spans="1:7" x14ac:dyDescent="0.2">
      <c r="A6558" s="116">
        <f>IF(ISNUMBER(Tabela2[[#This Row],[CT-e/NFS]])=TRUE,(IF(B6558&gt;30000,4,IF(B6558&lt;1000,"ND",0))),"-")</f>
        <v>4</v>
      </c>
      <c r="B6558" s="116">
        <v>50556</v>
      </c>
      <c r="C6558" s="117">
        <v>45589</v>
      </c>
      <c r="D6558" s="116">
        <v>383.66</v>
      </c>
      <c r="E6558" s="117">
        <v>45641</v>
      </c>
      <c r="F6558" s="116">
        <f>COUNTIFS($A$3:A14808,A6558,$B$3:B14808,B6558)</f>
        <v>1</v>
      </c>
      <c r="G6558" s="116"/>
    </row>
    <row r="6559" spans="1:7" x14ac:dyDescent="0.2">
      <c r="A6559" s="116">
        <f>IF(ISNUMBER(Tabela2[[#This Row],[CT-e/NFS]])=TRUE,(IF(B6559&gt;30000,4,IF(B6559&lt;1000,"ND",0))),"-")</f>
        <v>4</v>
      </c>
      <c r="B6559" s="116">
        <v>50569</v>
      </c>
      <c r="C6559" s="117">
        <v>45589</v>
      </c>
      <c r="D6559" s="116">
        <v>118.15</v>
      </c>
      <c r="E6559" s="117">
        <v>45641</v>
      </c>
      <c r="F6559" s="116">
        <f>COUNTIFS($A$3:A14809,A6559,$B$3:B14809,B6559)</f>
        <v>1</v>
      </c>
      <c r="G6559" s="116"/>
    </row>
    <row r="6560" spans="1:7" x14ac:dyDescent="0.2">
      <c r="A6560" s="116">
        <f>IF(ISNUMBER(Tabela2[[#This Row],[CT-e/NFS]])=TRUE,(IF(B6560&gt;30000,4,IF(B6560&lt;1000,"ND",0))),"-")</f>
        <v>4</v>
      </c>
      <c r="B6560" s="116">
        <v>50624</v>
      </c>
      <c r="C6560" s="117">
        <v>45589</v>
      </c>
      <c r="D6560" s="116">
        <v>118.08</v>
      </c>
      <c r="E6560" s="117">
        <v>45641</v>
      </c>
      <c r="F6560" s="116">
        <f>COUNTIFS($A$3:A14810,A6560,$B$3:B14810,B6560)</f>
        <v>1</v>
      </c>
      <c r="G6560" s="116"/>
    </row>
    <row r="6561" spans="1:7" x14ac:dyDescent="0.2">
      <c r="A6561" s="116">
        <f>IF(ISNUMBER(Tabela2[[#This Row],[CT-e/NFS]])=TRUE,(IF(B6561&gt;30000,4,IF(B6561&lt;1000,"ND",0))),"-")</f>
        <v>4</v>
      </c>
      <c r="B6561" s="116">
        <v>50625</v>
      </c>
      <c r="C6561" s="117">
        <v>45589</v>
      </c>
      <c r="D6561" s="116">
        <v>112.7</v>
      </c>
      <c r="E6561" s="117">
        <v>45641</v>
      </c>
      <c r="F6561" s="116">
        <f>COUNTIFS($A$3:A14811,A6561,$B$3:B14811,B6561)</f>
        <v>1</v>
      </c>
      <c r="G6561" s="116"/>
    </row>
    <row r="6562" spans="1:7" x14ac:dyDescent="0.2">
      <c r="A6562" s="116">
        <f>IF(ISNUMBER(Tabela2[[#This Row],[CT-e/NFS]])=TRUE,(IF(B6562&gt;30000,4,IF(B6562&lt;1000,"ND",0))),"-")</f>
        <v>4</v>
      </c>
      <c r="B6562" s="116">
        <v>50681</v>
      </c>
      <c r="C6562" s="117">
        <v>45589</v>
      </c>
      <c r="D6562" s="116">
        <v>175.42</v>
      </c>
      <c r="E6562" s="117">
        <v>45641</v>
      </c>
      <c r="F6562" s="116">
        <f>COUNTIFS($A$3:A14812,A6562,$B$3:B14812,B6562)</f>
        <v>1</v>
      </c>
      <c r="G6562" s="116"/>
    </row>
    <row r="6563" spans="1:7" x14ac:dyDescent="0.2">
      <c r="A6563" s="116">
        <f>IF(ISNUMBER(Tabela2[[#This Row],[CT-e/NFS]])=TRUE,(IF(B6563&gt;30000,4,IF(B6563&lt;1000,"ND",0))),"-")</f>
        <v>4</v>
      </c>
      <c r="B6563" s="116">
        <v>50725</v>
      </c>
      <c r="C6563" s="117">
        <v>45589</v>
      </c>
      <c r="D6563" s="116">
        <v>404.23</v>
      </c>
      <c r="E6563" s="117">
        <v>45641</v>
      </c>
      <c r="F6563" s="116">
        <f>COUNTIFS($A$3:A14813,A6563,$B$3:B14813,B6563)</f>
        <v>1</v>
      </c>
      <c r="G6563" s="116"/>
    </row>
    <row r="6564" spans="1:7" x14ac:dyDescent="0.2">
      <c r="A6564" s="116">
        <f>IF(ISNUMBER(Tabela2[[#This Row],[CT-e/NFS]])=TRUE,(IF(B6564&gt;30000,4,IF(B6564&lt;1000,"ND",0))),"-")</f>
        <v>4</v>
      </c>
      <c r="B6564" s="116">
        <v>50726</v>
      </c>
      <c r="C6564" s="117">
        <v>45589</v>
      </c>
      <c r="D6564" s="116">
        <v>294.02</v>
      </c>
      <c r="E6564" s="117">
        <v>45641</v>
      </c>
      <c r="F6564" s="116">
        <f>COUNTIFS($A$3:A14814,A6564,$B$3:B14814,B6564)</f>
        <v>1</v>
      </c>
      <c r="G6564" s="116"/>
    </row>
    <row r="6565" spans="1:7" x14ac:dyDescent="0.2">
      <c r="A6565" s="116">
        <f>IF(ISNUMBER(Tabela2[[#This Row],[CT-e/NFS]])=TRUE,(IF(B6565&gt;30000,4,IF(B6565&lt;1000,"ND",0))),"-")</f>
        <v>4</v>
      </c>
      <c r="B6565" s="116">
        <v>50727</v>
      </c>
      <c r="C6565" s="117">
        <v>45589</v>
      </c>
      <c r="D6565" s="116">
        <v>404.23</v>
      </c>
      <c r="E6565" s="117">
        <v>45641</v>
      </c>
      <c r="F6565" s="116">
        <f>COUNTIFS($A$3:A14815,A6565,$B$3:B14815,B6565)</f>
        <v>1</v>
      </c>
      <c r="G6565" s="116"/>
    </row>
    <row r="6566" spans="1:7" x14ac:dyDescent="0.2">
      <c r="A6566" s="116">
        <f>IF(ISNUMBER(Tabela2[[#This Row],[CT-e/NFS]])=TRUE,(IF(B6566&gt;30000,4,IF(B6566&lt;1000,"ND",0))),"-")</f>
        <v>4</v>
      </c>
      <c r="B6566" s="116">
        <v>50730</v>
      </c>
      <c r="C6566" s="117">
        <v>45589</v>
      </c>
      <c r="D6566" s="116">
        <v>113.67</v>
      </c>
      <c r="E6566" s="117">
        <v>45641</v>
      </c>
      <c r="F6566" s="116">
        <f>COUNTIFS($A$3:A14816,A6566,$B$3:B14816,B6566)</f>
        <v>1</v>
      </c>
      <c r="G6566" s="116"/>
    </row>
    <row r="6567" spans="1:7" x14ac:dyDescent="0.2">
      <c r="A6567" s="116">
        <f>IF(ISNUMBER(Tabela2[[#This Row],[CT-e/NFS]])=TRUE,(IF(B6567&gt;30000,4,IF(B6567&lt;1000,"ND",0))),"-")</f>
        <v>4</v>
      </c>
      <c r="B6567" s="116">
        <v>50731</v>
      </c>
      <c r="C6567" s="117">
        <v>45589</v>
      </c>
      <c r="D6567" s="116">
        <v>175.42</v>
      </c>
      <c r="E6567" s="117">
        <v>45641</v>
      </c>
      <c r="F6567" s="116">
        <f>COUNTIFS($A$3:A14817,A6567,$B$3:B14817,B6567)</f>
        <v>1</v>
      </c>
      <c r="G6567" s="116"/>
    </row>
    <row r="6568" spans="1:7" x14ac:dyDescent="0.2">
      <c r="A6568" s="116">
        <f>IF(ISNUMBER(Tabela2[[#This Row],[CT-e/NFS]])=TRUE,(IF(B6568&gt;30000,4,IF(B6568&lt;1000,"ND",0))),"-")</f>
        <v>0</v>
      </c>
      <c r="B6568" s="116">
        <v>22741</v>
      </c>
      <c r="C6568" s="117">
        <v>45625</v>
      </c>
      <c r="D6568" s="116">
        <v>303.31</v>
      </c>
      <c r="E6568" s="117">
        <v>45641</v>
      </c>
      <c r="F6568" s="116">
        <f>COUNTIFS($A$3:A14818,A6568,$B$3:B14818,B6568)</f>
        <v>1</v>
      </c>
      <c r="G6568" s="116"/>
    </row>
    <row r="6569" spans="1:7" x14ac:dyDescent="0.2">
      <c r="A6569" s="116">
        <f>IF(ISNUMBER(Tabela2[[#This Row],[CT-e/NFS]])=TRUE,(IF(B6569&gt;30000,4,IF(B6569&lt;1000,"ND",0))),"-")</f>
        <v>0</v>
      </c>
      <c r="B6569" s="116">
        <v>22739</v>
      </c>
      <c r="C6569" s="117">
        <v>45625</v>
      </c>
      <c r="D6569" s="116">
        <v>113.82</v>
      </c>
      <c r="E6569" s="117">
        <v>45641</v>
      </c>
      <c r="F6569" s="116">
        <f>COUNTIFS($A$3:A14819,A6569,$B$3:B14819,B6569)</f>
        <v>1</v>
      </c>
      <c r="G6569" s="116"/>
    </row>
    <row r="6570" spans="1:7" x14ac:dyDescent="0.2">
      <c r="A6570" s="116">
        <f>IF(ISNUMBER(Tabela2[[#This Row],[CT-e/NFS]])=TRUE,(IF(B6570&gt;30000,4,IF(B6570&lt;1000,"ND",0))),"-")</f>
        <v>0</v>
      </c>
      <c r="B6570" s="116">
        <v>22740</v>
      </c>
      <c r="C6570" s="117">
        <v>45625</v>
      </c>
      <c r="D6570" s="116">
        <v>101.45</v>
      </c>
      <c r="E6570" s="117">
        <v>45641</v>
      </c>
      <c r="F6570" s="116">
        <f>COUNTIFS($A$3:A14820,A6570,$B$3:B14820,B6570)</f>
        <v>1</v>
      </c>
      <c r="G6570" s="116"/>
    </row>
    <row r="6571" spans="1:7" x14ac:dyDescent="0.2">
      <c r="A6571" s="116">
        <f>IF(ISNUMBER(Tabela2[[#This Row],[CT-e/NFS]])=TRUE,(IF(B6571&gt;30000,4,IF(B6571&lt;1000,"ND",0))),"-")</f>
        <v>0</v>
      </c>
      <c r="B6571" s="116">
        <v>22717</v>
      </c>
      <c r="C6571" s="117">
        <v>45625</v>
      </c>
      <c r="D6571" s="116">
        <v>309.01</v>
      </c>
      <c r="E6571" s="117">
        <v>45641</v>
      </c>
      <c r="F6571" s="116">
        <f>COUNTIFS($A$3:A14821,A6571,$B$3:B14821,B6571)</f>
        <v>1</v>
      </c>
      <c r="G6571" s="116"/>
    </row>
    <row r="6572" spans="1:7" x14ac:dyDescent="0.2">
      <c r="A6572" s="116">
        <f>IF(ISNUMBER(Tabela2[[#This Row],[CT-e/NFS]])=TRUE,(IF(B6572&gt;30000,4,IF(B6572&lt;1000,"ND",0))),"-")</f>
        <v>0</v>
      </c>
      <c r="B6572" s="116">
        <v>22697</v>
      </c>
      <c r="C6572" s="117">
        <v>45625</v>
      </c>
      <c r="D6572" s="116">
        <v>98.54</v>
      </c>
      <c r="E6572" s="117">
        <v>45641</v>
      </c>
      <c r="F6572" s="116">
        <f>COUNTIFS($A$3:A14822,A6572,$B$3:B14822,B6572)</f>
        <v>1</v>
      </c>
      <c r="G6572" s="116"/>
    </row>
    <row r="6573" spans="1:7" x14ac:dyDescent="0.2">
      <c r="A6573" s="116">
        <f>IF(ISNUMBER(Tabela2[[#This Row],[CT-e/NFS]])=TRUE,(IF(B6573&gt;30000,4,IF(B6573&lt;1000,"ND",0))),"-")</f>
        <v>0</v>
      </c>
      <c r="B6573" s="116">
        <v>22696</v>
      </c>
      <c r="C6573" s="117">
        <v>45625</v>
      </c>
      <c r="D6573" s="116">
        <v>99.26</v>
      </c>
      <c r="E6573" s="117">
        <v>45641</v>
      </c>
      <c r="F6573" s="116">
        <f>COUNTIFS($A$3:A14823,A6573,$B$3:B14823,B6573)</f>
        <v>1</v>
      </c>
      <c r="G6573" s="116"/>
    </row>
    <row r="6574" spans="1:7" x14ac:dyDescent="0.2">
      <c r="A6574" s="116">
        <f>IF(ISNUMBER(Tabela2[[#This Row],[CT-e/NFS]])=TRUE,(IF(B6574&gt;30000,4,IF(B6574&lt;1000,"ND",0))),"-")</f>
        <v>0</v>
      </c>
      <c r="B6574" s="116">
        <v>22695</v>
      </c>
      <c r="C6574" s="117">
        <v>45625</v>
      </c>
      <c r="D6574" s="116">
        <v>297.16000000000003</v>
      </c>
      <c r="E6574" s="117">
        <v>45641</v>
      </c>
      <c r="F6574" s="116">
        <f>COUNTIFS($A$3:A14824,A6574,$B$3:B14824,B6574)</f>
        <v>1</v>
      </c>
      <c r="G6574" s="116"/>
    </row>
    <row r="6575" spans="1:7" x14ac:dyDescent="0.2">
      <c r="A6575" s="116">
        <f>IF(ISNUMBER(Tabela2[[#This Row],[CT-e/NFS]])=TRUE,(IF(B6575&gt;30000,4,IF(B6575&lt;1000,"ND",0))),"-")</f>
        <v>4</v>
      </c>
      <c r="B6575" s="116">
        <v>50999</v>
      </c>
      <c r="C6575" s="117">
        <v>45625</v>
      </c>
      <c r="D6575" s="116">
        <v>619.82000000000005</v>
      </c>
      <c r="E6575" s="117">
        <v>45641</v>
      </c>
      <c r="F6575" s="116">
        <f>COUNTIFS($A$3:A14825,A6575,$B$3:B14825,B6575)</f>
        <v>1</v>
      </c>
      <c r="G6575" s="116"/>
    </row>
    <row r="6576" spans="1:7" x14ac:dyDescent="0.2">
      <c r="A6576" s="116">
        <f>IF(ISNUMBER(Tabela2[[#This Row],[CT-e/NFS]])=TRUE,(IF(B6576&gt;30000,4,IF(B6576&lt;1000,"ND",0))),"-")</f>
        <v>4</v>
      </c>
      <c r="B6576" s="116">
        <v>51022</v>
      </c>
      <c r="C6576" s="117">
        <v>45625</v>
      </c>
      <c r="D6576" s="116">
        <v>574.83000000000004</v>
      </c>
      <c r="E6576" s="117">
        <v>45641</v>
      </c>
      <c r="F6576" s="116">
        <f>COUNTIFS($A$3:A14826,A6576,$B$3:B14826,B6576)</f>
        <v>1</v>
      </c>
      <c r="G6576" s="116"/>
    </row>
    <row r="6577" spans="1:7" x14ac:dyDescent="0.2">
      <c r="A6577" s="116">
        <f>IF(ISNUMBER(Tabela2[[#This Row],[CT-e/NFS]])=TRUE,(IF(B6577&gt;30000,4,IF(B6577&lt;1000,"ND",0))),"-")</f>
        <v>4</v>
      </c>
      <c r="B6577" s="116">
        <v>51042</v>
      </c>
      <c r="C6577" s="117">
        <v>45625</v>
      </c>
      <c r="D6577" s="116">
        <v>400.78</v>
      </c>
      <c r="E6577" s="117">
        <v>45641</v>
      </c>
      <c r="F6577" s="116">
        <f>COUNTIFS($A$3:A14827,A6577,$B$3:B14827,B6577)</f>
        <v>1</v>
      </c>
      <c r="G6577" s="116"/>
    </row>
    <row r="6578" spans="1:7" x14ac:dyDescent="0.2">
      <c r="A6578" s="116">
        <f>IF(ISNUMBER(Tabela2[[#This Row],[CT-e/NFS]])=TRUE,(IF(B6578&gt;30000,4,IF(B6578&lt;1000,"ND",0))),"-")</f>
        <v>4</v>
      </c>
      <c r="B6578" s="116">
        <v>51071</v>
      </c>
      <c r="C6578" s="117">
        <v>45625</v>
      </c>
      <c r="D6578" s="116">
        <v>628.9</v>
      </c>
      <c r="E6578" s="117">
        <v>45641</v>
      </c>
      <c r="F6578" s="116">
        <f>COUNTIFS($A$3:A14828,A6578,$B$3:B14828,B6578)</f>
        <v>1</v>
      </c>
      <c r="G6578" s="116"/>
    </row>
    <row r="6579" spans="1:7" x14ac:dyDescent="0.2">
      <c r="A6579" s="116">
        <f>IF(ISNUMBER(Tabela2[[#This Row],[CT-e/NFS]])=TRUE,(IF(B6579&gt;30000,4,IF(B6579&lt;1000,"ND",0))),"-")</f>
        <v>4</v>
      </c>
      <c r="B6579" s="116">
        <v>51170</v>
      </c>
      <c r="C6579" s="117">
        <v>45625</v>
      </c>
      <c r="D6579" s="116">
        <v>112.63</v>
      </c>
      <c r="E6579" s="117">
        <v>45641</v>
      </c>
      <c r="F6579" s="116">
        <f>COUNTIFS($A$3:A14829,A6579,$B$3:B14829,B6579)</f>
        <v>1</v>
      </c>
      <c r="G6579" s="116"/>
    </row>
    <row r="6580" spans="1:7" x14ac:dyDescent="0.2">
      <c r="A6580" s="116">
        <f>IF(ISNUMBER(Tabela2[[#This Row],[CT-e/NFS]])=TRUE,(IF(B6580&gt;30000,4,IF(B6580&lt;1000,"ND",0))),"-")</f>
        <v>4</v>
      </c>
      <c r="B6580" s="116">
        <v>51171</v>
      </c>
      <c r="C6580" s="117">
        <v>45625</v>
      </c>
      <c r="D6580" s="116">
        <v>332.74</v>
      </c>
      <c r="E6580" s="117">
        <v>45641</v>
      </c>
      <c r="F6580" s="116">
        <f>COUNTIFS($A$3:A14830,A6580,$B$3:B14830,B6580)</f>
        <v>1</v>
      </c>
      <c r="G6580" s="116"/>
    </row>
    <row r="6581" spans="1:7" x14ac:dyDescent="0.2">
      <c r="A6581" s="116">
        <f>IF(ISNUMBER(Tabela2[[#This Row],[CT-e/NFS]])=TRUE,(IF(B6581&gt;30000,4,IF(B6581&lt;1000,"ND",0))),"-")</f>
        <v>4</v>
      </c>
      <c r="B6581" s="116">
        <v>51199</v>
      </c>
      <c r="C6581" s="117">
        <v>45625</v>
      </c>
      <c r="D6581" s="116">
        <v>549.57000000000005</v>
      </c>
      <c r="E6581" s="117">
        <v>45641</v>
      </c>
      <c r="F6581" s="116">
        <f>COUNTIFS($A$3:A14831,A6581,$B$3:B14831,B6581)</f>
        <v>1</v>
      </c>
      <c r="G6581" s="116"/>
    </row>
    <row r="6582" spans="1:7" x14ac:dyDescent="0.2">
      <c r="A6582" s="116">
        <f>IF(ISNUMBER(Tabela2[[#This Row],[CT-e/NFS]])=TRUE,(IF(B6582&gt;30000,4,IF(B6582&lt;1000,"ND",0))),"-")</f>
        <v>4</v>
      </c>
      <c r="B6582" s="116">
        <v>49019</v>
      </c>
      <c r="C6582" s="117">
        <v>45509</v>
      </c>
      <c r="D6582" s="116">
        <v>190.26</v>
      </c>
      <c r="E6582" s="117">
        <v>45641</v>
      </c>
      <c r="F6582" s="116">
        <f>COUNTIFS($A$3:A14832,A6582,$B$3:B14832,B6582)</f>
        <v>1</v>
      </c>
      <c r="G6582" s="116"/>
    </row>
    <row r="6583" spans="1:7" x14ac:dyDescent="0.2">
      <c r="A6583" s="116">
        <f>IF(ISNUMBER(Tabela2[[#This Row],[CT-e/NFS]])=TRUE,(IF(B6583&gt;30000,4,IF(B6583&lt;1000,"ND",0))),"-")</f>
        <v>4</v>
      </c>
      <c r="B6583" s="116">
        <v>49027</v>
      </c>
      <c r="C6583" s="117">
        <v>45509</v>
      </c>
      <c r="D6583" s="116">
        <v>375.45</v>
      </c>
      <c r="E6583" s="117">
        <v>45641</v>
      </c>
      <c r="F6583" s="116">
        <f>COUNTIFS($A$3:A14833,A6583,$B$3:B14833,B6583)</f>
        <v>1</v>
      </c>
      <c r="G6583" s="116"/>
    </row>
    <row r="6584" spans="1:7" x14ac:dyDescent="0.2">
      <c r="A6584" s="116">
        <f>IF(ISNUMBER(Tabela2[[#This Row],[CT-e/NFS]])=TRUE,(IF(B6584&gt;30000,4,IF(B6584&lt;1000,"ND",0))),"-")</f>
        <v>4</v>
      </c>
      <c r="B6584" s="116">
        <v>50086</v>
      </c>
      <c r="C6584" s="117">
        <v>45572</v>
      </c>
      <c r="D6584" s="116">
        <v>271.67</v>
      </c>
      <c r="E6584" s="117">
        <v>45641</v>
      </c>
      <c r="F6584" s="116">
        <f>COUNTIFS($A$3:A14834,A6584,$B$3:B14834,B6584)</f>
        <v>1</v>
      </c>
      <c r="G6584" s="116"/>
    </row>
    <row r="6585" spans="1:7" x14ac:dyDescent="0.2">
      <c r="A6585" s="116">
        <f>IF(ISNUMBER(Tabela2[[#This Row],[CT-e/NFS]])=TRUE,(IF(B6585&gt;30000,4,IF(B6585&lt;1000,"ND",0))),"-")</f>
        <v>4</v>
      </c>
      <c r="B6585" s="116">
        <v>50337</v>
      </c>
      <c r="C6585" s="117">
        <v>45586</v>
      </c>
      <c r="D6585" s="116">
        <v>280.77</v>
      </c>
      <c r="E6585" s="117">
        <v>45641</v>
      </c>
      <c r="F6585" s="116">
        <f>COUNTIFS($A$3:A14835,A6585,$B$3:B14835,B6585)</f>
        <v>1</v>
      </c>
      <c r="G6585" s="116"/>
    </row>
    <row r="6586" spans="1:7" x14ac:dyDescent="0.2">
      <c r="A6586" s="116">
        <f>IF(ISNUMBER(Tabela2[[#This Row],[CT-e/NFS]])=TRUE,(IF(B6586&gt;30000,4,IF(B6586&lt;1000,"ND",0))),"-")</f>
        <v>4</v>
      </c>
      <c r="B6586" s="116">
        <v>50456</v>
      </c>
      <c r="C6586" s="117">
        <v>45627</v>
      </c>
      <c r="D6586" s="116">
        <v>123.99</v>
      </c>
      <c r="E6586" s="117">
        <v>45641</v>
      </c>
      <c r="F6586" s="116">
        <f>COUNTIFS($A$3:A14836,A6586,$B$3:B14836,B6586)</f>
        <v>1</v>
      </c>
      <c r="G6586" s="116"/>
    </row>
    <row r="6587" spans="1:7" x14ac:dyDescent="0.2">
      <c r="A6587" s="116">
        <f>IF(ISNUMBER(Tabela2[[#This Row],[CT-e/NFS]])=TRUE,(IF(B6587&gt;30000,4,IF(B6587&lt;1000,"ND",0))),"-")</f>
        <v>4</v>
      </c>
      <c r="B6587" s="116">
        <v>50463</v>
      </c>
      <c r="C6587" s="117">
        <v>45627</v>
      </c>
      <c r="D6587" s="116">
        <v>124.05</v>
      </c>
      <c r="E6587" s="117">
        <v>45641</v>
      </c>
      <c r="F6587" s="116">
        <f>COUNTIFS($A$3:A14837,A6587,$B$3:B14837,B6587)</f>
        <v>1</v>
      </c>
      <c r="G6587" s="116"/>
    </row>
    <row r="6588" spans="1:7" x14ac:dyDescent="0.2">
      <c r="A6588" s="116">
        <f>IF(ISNUMBER(Tabela2[[#This Row],[CT-e/NFS]])=TRUE,(IF(B6588&gt;30000,4,IF(B6588&lt;1000,"ND",0))),"-")</f>
        <v>4</v>
      </c>
      <c r="B6588" s="116">
        <v>50459</v>
      </c>
      <c r="C6588" s="117">
        <v>45627</v>
      </c>
      <c r="D6588" s="116">
        <v>124.89</v>
      </c>
      <c r="E6588" s="117">
        <v>45641</v>
      </c>
      <c r="F6588" s="116">
        <f>COUNTIFS($A$3:A14838,A6588,$B$3:B14838,B6588)</f>
        <v>1</v>
      </c>
      <c r="G6588" s="116"/>
    </row>
    <row r="6589" spans="1:7" x14ac:dyDescent="0.2">
      <c r="A6589" s="116">
        <f>IF(ISNUMBER(Tabela2[[#This Row],[CT-e/NFS]])=TRUE,(IF(B6589&gt;30000,4,IF(B6589&lt;1000,"ND",0))),"-")</f>
        <v>4</v>
      </c>
      <c r="B6589" s="116">
        <v>50451</v>
      </c>
      <c r="C6589" s="117">
        <v>45627</v>
      </c>
      <c r="D6589" s="116">
        <v>123.13</v>
      </c>
      <c r="E6589" s="117">
        <v>45641</v>
      </c>
      <c r="F6589" s="116">
        <f>COUNTIFS($A$3:A14839,A6589,$B$3:B14839,B6589)</f>
        <v>1</v>
      </c>
      <c r="G6589" s="116"/>
    </row>
    <row r="6590" spans="1:7" x14ac:dyDescent="0.2">
      <c r="A6590" s="116">
        <f>IF(ISNUMBER(Tabela2[[#This Row],[CT-e/NFS]])=TRUE,(IF(B6590&gt;30000,4,IF(B6590&lt;1000,"ND",0))),"-")</f>
        <v>4</v>
      </c>
      <c r="B6590" s="116">
        <v>50452</v>
      </c>
      <c r="C6590" s="117">
        <v>45627</v>
      </c>
      <c r="D6590" s="116">
        <v>125.86</v>
      </c>
      <c r="E6590" s="117">
        <v>45641</v>
      </c>
      <c r="F6590" s="116">
        <f>COUNTIFS($A$3:A14840,A6590,$B$3:B14840,B6590)</f>
        <v>1</v>
      </c>
      <c r="G6590" s="116"/>
    </row>
    <row r="6591" spans="1:7" x14ac:dyDescent="0.2">
      <c r="A6591" s="116">
        <f>IF(ISNUMBER(Tabela2[[#This Row],[CT-e/NFS]])=TRUE,(IF(B6591&gt;30000,4,IF(B6591&lt;1000,"ND",0))),"-")</f>
        <v>4</v>
      </c>
      <c r="B6591" s="116">
        <v>50467</v>
      </c>
      <c r="C6591" s="117">
        <v>45627</v>
      </c>
      <c r="D6591" s="116">
        <v>123.13</v>
      </c>
      <c r="E6591" s="117">
        <v>45641</v>
      </c>
      <c r="F6591" s="116">
        <f>COUNTIFS($A$3:A14841,A6591,$B$3:B14841,B6591)</f>
        <v>1</v>
      </c>
      <c r="G6591" s="116"/>
    </row>
    <row r="6592" spans="1:7" x14ac:dyDescent="0.2">
      <c r="A6592" s="116">
        <f>IF(ISNUMBER(Tabela2[[#This Row],[CT-e/NFS]])=TRUE,(IF(B6592&gt;30000,4,IF(B6592&lt;1000,"ND",0))),"-")</f>
        <v>4</v>
      </c>
      <c r="B6592" s="116">
        <v>50469</v>
      </c>
      <c r="C6592" s="117">
        <v>45627</v>
      </c>
      <c r="D6592" s="116">
        <v>125.56</v>
      </c>
      <c r="E6592" s="117">
        <v>45641</v>
      </c>
      <c r="F6592" s="116">
        <f>COUNTIFS($A$3:A14842,A6592,$B$3:B14842,B6592)</f>
        <v>1</v>
      </c>
      <c r="G6592" s="116"/>
    </row>
    <row r="6593" spans="1:7" x14ac:dyDescent="0.2">
      <c r="A6593" s="116">
        <f>IF(ISNUMBER(Tabela2[[#This Row],[CT-e/NFS]])=TRUE,(IF(B6593&gt;30000,4,IF(B6593&lt;1000,"ND",0))),"-")</f>
        <v>4</v>
      </c>
      <c r="B6593" s="116">
        <v>50457</v>
      </c>
      <c r="C6593" s="117">
        <v>45627</v>
      </c>
      <c r="D6593" s="116">
        <v>125.08</v>
      </c>
      <c r="E6593" s="117">
        <v>45641</v>
      </c>
      <c r="F6593" s="116">
        <f>COUNTIFS($A$3:A14843,A6593,$B$3:B14843,B6593)</f>
        <v>1</v>
      </c>
      <c r="G6593" s="116"/>
    </row>
    <row r="6594" spans="1:7" x14ac:dyDescent="0.2">
      <c r="A6594" s="116">
        <f>IF(ISNUMBER(Tabela2[[#This Row],[CT-e/NFS]])=TRUE,(IF(B6594&gt;30000,4,IF(B6594&lt;1000,"ND",0))),"-")</f>
        <v>4</v>
      </c>
      <c r="B6594" s="116">
        <v>50460</v>
      </c>
      <c r="C6594" s="117">
        <v>45627</v>
      </c>
      <c r="D6594" s="116">
        <v>122.89</v>
      </c>
      <c r="E6594" s="117">
        <v>45641</v>
      </c>
      <c r="F6594" s="116">
        <f>COUNTIFS($A$3:A14844,A6594,$B$3:B14844,B6594)</f>
        <v>1</v>
      </c>
      <c r="G6594" s="116"/>
    </row>
    <row r="6595" spans="1:7" x14ac:dyDescent="0.2">
      <c r="A6595" s="116">
        <f>IF(ISNUMBER(Tabela2[[#This Row],[CT-e/NFS]])=TRUE,(IF(B6595&gt;30000,4,IF(B6595&lt;1000,"ND",0))),"-")</f>
        <v>4</v>
      </c>
      <c r="B6595" s="116">
        <v>50450</v>
      </c>
      <c r="C6595" s="117">
        <v>45627</v>
      </c>
      <c r="D6595" s="116">
        <v>123.89</v>
      </c>
      <c r="E6595" s="117">
        <v>45641</v>
      </c>
      <c r="F6595" s="116">
        <f>COUNTIFS($A$3:A14845,A6595,$B$3:B14845,B6595)</f>
        <v>1</v>
      </c>
      <c r="G6595" s="116"/>
    </row>
    <row r="6596" spans="1:7" x14ac:dyDescent="0.2">
      <c r="A6596" s="116">
        <f>IF(ISNUMBER(Tabela2[[#This Row],[CT-e/NFS]])=TRUE,(IF(B6596&gt;30000,4,IF(B6596&lt;1000,"ND",0))),"-")</f>
        <v>4</v>
      </c>
      <c r="B6596" s="116">
        <v>50461</v>
      </c>
      <c r="C6596" s="117">
        <v>45627</v>
      </c>
      <c r="D6596" s="116">
        <v>355.11</v>
      </c>
      <c r="E6596" s="117">
        <v>45641</v>
      </c>
      <c r="F6596" s="116">
        <f>COUNTIFS($A$3:A14846,A6596,$B$3:B14846,B6596)</f>
        <v>1</v>
      </c>
      <c r="G6596" s="116"/>
    </row>
    <row r="6597" spans="1:7" x14ac:dyDescent="0.2">
      <c r="A6597" s="116">
        <f>IF(ISNUMBER(Tabela2[[#This Row],[CT-e/NFS]])=TRUE,(IF(B6597&gt;30000,4,IF(B6597&lt;1000,"ND",0))),"-")</f>
        <v>4</v>
      </c>
      <c r="B6597" s="116">
        <v>50462</v>
      </c>
      <c r="C6597" s="117">
        <v>45627</v>
      </c>
      <c r="D6597" s="116">
        <v>263.8</v>
      </c>
      <c r="E6597" s="117">
        <v>45641</v>
      </c>
      <c r="F6597" s="116">
        <f>COUNTIFS($A$3:A14847,A6597,$B$3:B14847,B6597)</f>
        <v>1</v>
      </c>
      <c r="G6597" s="116"/>
    </row>
    <row r="6598" spans="1:7" x14ac:dyDescent="0.2">
      <c r="A6598" s="116">
        <f>IF(ISNUMBER(Tabela2[[#This Row],[CT-e/NFS]])=TRUE,(IF(B6598&gt;30000,4,IF(B6598&lt;1000,"ND",0))),"-")</f>
        <v>4</v>
      </c>
      <c r="B6598" s="116">
        <v>50453</v>
      </c>
      <c r="C6598" s="117">
        <v>45627</v>
      </c>
      <c r="D6598" s="116">
        <v>708.09</v>
      </c>
      <c r="E6598" s="117">
        <v>45641</v>
      </c>
      <c r="F6598" s="116">
        <f>COUNTIFS($A$3:A14848,A6598,$B$3:B14848,B6598)</f>
        <v>1</v>
      </c>
      <c r="G6598" s="116"/>
    </row>
    <row r="6599" spans="1:7" x14ac:dyDescent="0.2">
      <c r="A6599" s="116">
        <f>IF(ISNUMBER(Tabela2[[#This Row],[CT-e/NFS]])=TRUE,(IF(B6599&gt;30000,4,IF(B6599&lt;1000,"ND",0))),"-")</f>
        <v>4</v>
      </c>
      <c r="B6599" s="116">
        <v>50455</v>
      </c>
      <c r="C6599" s="117">
        <v>45627</v>
      </c>
      <c r="D6599" s="116">
        <v>129.32</v>
      </c>
      <c r="E6599" s="117">
        <v>45641</v>
      </c>
      <c r="F6599" s="116">
        <f>COUNTIFS($A$3:A14849,A6599,$B$3:B14849,B6599)</f>
        <v>1</v>
      </c>
      <c r="G6599" s="116"/>
    </row>
    <row r="6600" spans="1:7" x14ac:dyDescent="0.2">
      <c r="A6600" s="116">
        <f>IF(ISNUMBER(Tabela2[[#This Row],[CT-e/NFS]])=TRUE,(IF(B6600&gt;30000,4,IF(B6600&lt;1000,"ND",0))),"-")</f>
        <v>4</v>
      </c>
      <c r="B6600" s="116">
        <v>50471</v>
      </c>
      <c r="C6600" s="117">
        <v>45627</v>
      </c>
      <c r="D6600" s="116">
        <v>1758.3</v>
      </c>
      <c r="E6600" s="117">
        <v>45641</v>
      </c>
      <c r="F6600" s="116">
        <f>COUNTIFS($A$3:A14850,A6600,$B$3:B14850,B6600)</f>
        <v>1</v>
      </c>
      <c r="G6600" s="116"/>
    </row>
    <row r="6601" spans="1:7" x14ac:dyDescent="0.2">
      <c r="A6601" s="116">
        <f>IF(ISNUMBER(Tabela2[[#This Row],[CT-e/NFS]])=TRUE,(IF(B6601&gt;30000,4,IF(B6601&lt;1000,"ND",0))),"-")</f>
        <v>4</v>
      </c>
      <c r="B6601" s="116">
        <v>50466</v>
      </c>
      <c r="C6601" s="117">
        <v>45627</v>
      </c>
      <c r="D6601" s="116">
        <v>165.85</v>
      </c>
      <c r="E6601" s="117">
        <v>45641</v>
      </c>
      <c r="F6601" s="116">
        <f>COUNTIFS($A$3:A14851,A6601,$B$3:B14851,B6601)</f>
        <v>1</v>
      </c>
      <c r="G6601" s="116"/>
    </row>
    <row r="6602" spans="1:7" x14ac:dyDescent="0.2">
      <c r="A6602" s="116">
        <f>IF(ISNUMBER(Tabela2[[#This Row],[CT-e/NFS]])=TRUE,(IF(B6602&gt;30000,4,IF(B6602&lt;1000,"ND",0))),"-")</f>
        <v>4</v>
      </c>
      <c r="B6602" s="116">
        <v>50449</v>
      </c>
      <c r="C6602" s="117">
        <v>45627</v>
      </c>
      <c r="D6602" s="116">
        <v>702.11</v>
      </c>
      <c r="E6602" s="117">
        <v>45641</v>
      </c>
      <c r="F6602" s="116">
        <f>COUNTIFS($A$3:A14852,A6602,$B$3:B14852,B6602)</f>
        <v>1</v>
      </c>
      <c r="G6602" s="116"/>
    </row>
    <row r="6603" spans="1:7" x14ac:dyDescent="0.2">
      <c r="A6603" s="116">
        <f>IF(ISNUMBER(Tabela2[[#This Row],[CT-e/NFS]])=TRUE,(IF(B6603&gt;30000,4,IF(B6603&lt;1000,"ND",0))),"-")</f>
        <v>4</v>
      </c>
      <c r="B6603" s="116">
        <v>50454</v>
      </c>
      <c r="C6603" s="117">
        <v>45627</v>
      </c>
      <c r="D6603" s="116">
        <v>248.07</v>
      </c>
      <c r="E6603" s="117">
        <v>45641</v>
      </c>
      <c r="F6603" s="116">
        <f>COUNTIFS($A$3:A14853,A6603,$B$3:B14853,B6603)</f>
        <v>1</v>
      </c>
      <c r="G6603" s="116"/>
    </row>
    <row r="6604" spans="1:7" x14ac:dyDescent="0.2">
      <c r="A6604" s="116">
        <f>IF(ISNUMBER(Tabela2[[#This Row],[CT-e/NFS]])=TRUE,(IF(B6604&gt;30000,4,IF(B6604&lt;1000,"ND",0))),"-")</f>
        <v>4</v>
      </c>
      <c r="B6604" s="116">
        <v>50448</v>
      </c>
      <c r="C6604" s="117">
        <v>45627</v>
      </c>
      <c r="D6604" s="116">
        <v>1003.68</v>
      </c>
      <c r="E6604" s="117">
        <v>45641</v>
      </c>
      <c r="F6604" s="116">
        <f>COUNTIFS($A$3:A14854,A6604,$B$3:B14854,B6604)</f>
        <v>1</v>
      </c>
      <c r="G6604" s="116"/>
    </row>
    <row r="6605" spans="1:7" x14ac:dyDescent="0.2">
      <c r="A6605" s="116">
        <f>IF(ISNUMBER(Tabela2[[#This Row],[CT-e/NFS]])=TRUE,(IF(B6605&gt;30000,4,IF(B6605&lt;1000,"ND",0))),"-")</f>
        <v>4</v>
      </c>
      <c r="B6605" s="116">
        <v>50464</v>
      </c>
      <c r="C6605" s="117">
        <v>45627</v>
      </c>
      <c r="D6605" s="116">
        <v>357.93</v>
      </c>
      <c r="E6605" s="117">
        <v>45641</v>
      </c>
      <c r="F6605" s="116">
        <f>COUNTIFS($A$3:A14855,A6605,$B$3:B14855,B6605)</f>
        <v>1</v>
      </c>
      <c r="G6605" s="116"/>
    </row>
    <row r="6606" spans="1:7" x14ac:dyDescent="0.2">
      <c r="A6606" s="116">
        <f>IF(ISNUMBER(Tabela2[[#This Row],[CT-e/NFS]])=TRUE,(IF(B6606&gt;30000,4,IF(B6606&lt;1000,"ND",0))),"-")</f>
        <v>4</v>
      </c>
      <c r="B6606" s="116">
        <v>50465</v>
      </c>
      <c r="C6606" s="117">
        <v>45627</v>
      </c>
      <c r="D6606" s="116">
        <v>239.27</v>
      </c>
      <c r="E6606" s="117">
        <v>45641</v>
      </c>
      <c r="F6606" s="116">
        <f>COUNTIFS($A$3:A14856,A6606,$B$3:B14856,B6606)</f>
        <v>1</v>
      </c>
      <c r="G6606" s="116"/>
    </row>
    <row r="6607" spans="1:7" x14ac:dyDescent="0.2">
      <c r="A6607" s="116">
        <f>IF(ISNUMBER(Tabela2[[#This Row],[CT-e/NFS]])=TRUE,(IF(B6607&gt;30000,4,IF(B6607&lt;1000,"ND",0))),"-")</f>
        <v>4</v>
      </c>
      <c r="B6607" s="116">
        <v>50458</v>
      </c>
      <c r="C6607" s="117">
        <v>45627</v>
      </c>
      <c r="D6607" s="116">
        <v>138.86000000000001</v>
      </c>
      <c r="E6607" s="117">
        <v>45641</v>
      </c>
      <c r="F6607" s="116">
        <f>COUNTIFS($A$3:A14857,A6607,$B$3:B14857,B6607)</f>
        <v>1</v>
      </c>
      <c r="G6607" s="116"/>
    </row>
    <row r="6608" spans="1:7" x14ac:dyDescent="0.2">
      <c r="A6608" s="116">
        <f>IF(ISNUMBER(Tabela2[[#This Row],[CT-e/NFS]])=TRUE,(IF(B6608&gt;30000,4,IF(B6608&lt;1000,"ND",0))),"-")</f>
        <v>4</v>
      </c>
      <c r="B6608" s="116">
        <v>50470</v>
      </c>
      <c r="C6608" s="117">
        <v>45627</v>
      </c>
      <c r="D6608" s="116">
        <v>176.14</v>
      </c>
      <c r="E6608" s="117">
        <v>45641</v>
      </c>
      <c r="F6608" s="116">
        <f>COUNTIFS($A$3:A14858,A6608,$B$3:B14858,B6608)</f>
        <v>1</v>
      </c>
      <c r="G6608" s="116"/>
    </row>
    <row r="6609" spans="1:7" x14ac:dyDescent="0.2">
      <c r="A6609" s="116">
        <f>IF(ISNUMBER(Tabela2[[#This Row],[CT-e/NFS]])=TRUE,(IF(B6609&gt;30000,4,IF(B6609&lt;1000,"ND",0))),"-")</f>
        <v>4</v>
      </c>
      <c r="B6609" s="116">
        <v>50437</v>
      </c>
      <c r="C6609" s="117">
        <v>45627</v>
      </c>
      <c r="D6609" s="116">
        <v>123.89</v>
      </c>
      <c r="E6609" s="117">
        <v>45641</v>
      </c>
      <c r="F6609" s="116">
        <f>COUNTIFS($A$3:A14865,A6609,$B$3:B14865,B6609)</f>
        <v>1</v>
      </c>
      <c r="G6609" s="116"/>
    </row>
    <row r="6610" spans="1:7" x14ac:dyDescent="0.2">
      <c r="A6610" s="116">
        <f>IF(ISNUMBER(Tabela2[[#This Row],[CT-e/NFS]])=TRUE,(IF(B6610&gt;30000,4,IF(B6610&lt;1000,"ND",0))),"-")</f>
        <v>4</v>
      </c>
      <c r="B6610" s="116">
        <v>50435</v>
      </c>
      <c r="C6610" s="117">
        <v>45627</v>
      </c>
      <c r="D6610" s="116">
        <v>123.13</v>
      </c>
      <c r="E6610" s="117">
        <v>45641</v>
      </c>
      <c r="F6610" s="116">
        <f>COUNTIFS($A$3:A14866,A6610,$B$3:B14866,B6610)</f>
        <v>1</v>
      </c>
      <c r="G6610" s="116"/>
    </row>
    <row r="6611" spans="1:7" x14ac:dyDescent="0.2">
      <c r="A6611" s="116">
        <f>IF(ISNUMBER(Tabela2[[#This Row],[CT-e/NFS]])=TRUE,(IF(B6611&gt;30000,4,IF(B6611&lt;1000,"ND",0))),"-")</f>
        <v>4</v>
      </c>
      <c r="B6611" s="116">
        <v>50434</v>
      </c>
      <c r="C6611" s="117">
        <v>45627</v>
      </c>
      <c r="D6611" s="116">
        <v>124.05</v>
      </c>
      <c r="E6611" s="117">
        <v>45641</v>
      </c>
      <c r="F6611" s="116">
        <f>COUNTIFS($A$3:A14867,A6611,$B$3:B14867,B6611)</f>
        <v>1</v>
      </c>
      <c r="G6611" s="116"/>
    </row>
    <row r="6612" spans="1:7" x14ac:dyDescent="0.2">
      <c r="A6612" s="116">
        <f>IF(ISNUMBER(Tabela2[[#This Row],[CT-e/NFS]])=TRUE,(IF(B6612&gt;30000,4,IF(B6612&lt;1000,"ND",0))),"-")</f>
        <v>4</v>
      </c>
      <c r="B6612" s="116">
        <v>50439</v>
      </c>
      <c r="C6612" s="117">
        <v>45627</v>
      </c>
      <c r="D6612" s="116">
        <v>125.08</v>
      </c>
      <c r="E6612" s="117">
        <v>45641</v>
      </c>
      <c r="F6612" s="116">
        <f>COUNTIFS($A$3:A14868,A6612,$B$3:B14868,B6612)</f>
        <v>1</v>
      </c>
      <c r="G6612" s="116"/>
    </row>
    <row r="6613" spans="1:7" x14ac:dyDescent="0.2">
      <c r="A6613" s="116">
        <f>IF(ISNUMBER(Tabela2[[#This Row],[CT-e/NFS]])=TRUE,(IF(B6613&gt;30000,4,IF(B6613&lt;1000,"ND",0))),"-")</f>
        <v>4</v>
      </c>
      <c r="B6613" s="116">
        <v>50433</v>
      </c>
      <c r="C6613" s="117">
        <v>45627</v>
      </c>
      <c r="D6613" s="116">
        <v>125.61</v>
      </c>
      <c r="E6613" s="117">
        <v>45641</v>
      </c>
      <c r="F6613" s="116">
        <f>COUNTIFS($A$3:A14869,A6613,$B$3:B14869,B6613)</f>
        <v>1</v>
      </c>
      <c r="G6613" s="116"/>
    </row>
    <row r="6614" spans="1:7" x14ac:dyDescent="0.2">
      <c r="A6614" s="116">
        <f>IF(ISNUMBER(Tabela2[[#This Row],[CT-e/NFS]])=TRUE,(IF(B6614&gt;30000,4,IF(B6614&lt;1000,"ND",0))),"-")</f>
        <v>4</v>
      </c>
      <c r="B6614" s="116">
        <v>50440</v>
      </c>
      <c r="C6614" s="117">
        <v>45627</v>
      </c>
      <c r="D6614" s="116">
        <v>122.89</v>
      </c>
      <c r="E6614" s="117">
        <v>45641</v>
      </c>
      <c r="F6614" s="116">
        <f>COUNTIFS($A$3:A14870,A6614,$B$3:B14870,B6614)</f>
        <v>1</v>
      </c>
      <c r="G6614" s="116"/>
    </row>
    <row r="6615" spans="1:7" x14ac:dyDescent="0.2">
      <c r="A6615" s="116">
        <f>IF(ISNUMBER(Tabela2[[#This Row],[CT-e/NFS]])=TRUE,(IF(B6615&gt;30000,4,IF(B6615&lt;1000,"ND",0))),"-")</f>
        <v>4</v>
      </c>
      <c r="B6615" s="116">
        <v>50441</v>
      </c>
      <c r="C6615" s="117">
        <v>45627</v>
      </c>
      <c r="D6615" s="116">
        <v>502.51</v>
      </c>
      <c r="E6615" s="117">
        <v>45641</v>
      </c>
      <c r="F6615" s="116">
        <f>COUNTIFS($A$3:A14871,A6615,$B$3:B14871,B6615)</f>
        <v>1</v>
      </c>
      <c r="G6615" s="116"/>
    </row>
    <row r="6616" spans="1:7" x14ac:dyDescent="0.2">
      <c r="A6616" s="116">
        <f>IF(ISNUMBER(Tabela2[[#This Row],[CT-e/NFS]])=TRUE,(IF(B6616&gt;30000,4,IF(B6616&lt;1000,"ND",0))),"-")</f>
        <v>4</v>
      </c>
      <c r="B6616" s="116">
        <v>50442</v>
      </c>
      <c r="C6616" s="117">
        <v>45627</v>
      </c>
      <c r="D6616" s="116">
        <v>251.26</v>
      </c>
      <c r="E6616" s="117">
        <v>45641</v>
      </c>
      <c r="F6616" s="116">
        <f>COUNTIFS($A$3:A14872,A6616,$B$3:B14872,B6616)</f>
        <v>1</v>
      </c>
      <c r="G6616" s="116"/>
    </row>
    <row r="6617" spans="1:7" x14ac:dyDescent="0.2">
      <c r="A6617" s="116">
        <f>IF(ISNUMBER(Tabela2[[#This Row],[CT-e/NFS]])=TRUE,(IF(B6617&gt;30000,4,IF(B6617&lt;1000,"ND",0))),"-")</f>
        <v>4</v>
      </c>
      <c r="B6617" s="116">
        <v>50443</v>
      </c>
      <c r="C6617" s="117">
        <v>45627</v>
      </c>
      <c r="D6617" s="116">
        <v>452.26</v>
      </c>
      <c r="E6617" s="117">
        <v>45641</v>
      </c>
      <c r="F6617" s="116">
        <f>COUNTIFS($A$3:A14873,A6617,$B$3:B14873,B6617)</f>
        <v>1</v>
      </c>
      <c r="G6617" s="116"/>
    </row>
    <row r="6618" spans="1:7" x14ac:dyDescent="0.2">
      <c r="A6618" s="116">
        <f>IF(ISNUMBER(Tabela2[[#This Row],[CT-e/NFS]])=TRUE,(IF(B6618&gt;30000,4,IF(B6618&lt;1000,"ND",0))),"-")</f>
        <v>4</v>
      </c>
      <c r="B6618" s="116">
        <v>50447</v>
      </c>
      <c r="C6618" s="117">
        <v>45627</v>
      </c>
      <c r="D6618" s="116">
        <v>396.45</v>
      </c>
      <c r="E6618" s="117">
        <v>45641</v>
      </c>
      <c r="F6618" s="116">
        <f>COUNTIFS($A$3:A14874,A6618,$B$3:B14874,B6618)</f>
        <v>1</v>
      </c>
      <c r="G6618" s="116"/>
    </row>
    <row r="6619" spans="1:7" x14ac:dyDescent="0.2">
      <c r="A6619" s="116">
        <f>IF(ISNUMBER(Tabela2[[#This Row],[CT-e/NFS]])=TRUE,(IF(B6619&gt;30000,4,IF(B6619&lt;1000,"ND",0))),"-")</f>
        <v>4</v>
      </c>
      <c r="B6619" s="116">
        <v>50438</v>
      </c>
      <c r="C6619" s="117">
        <v>45627</v>
      </c>
      <c r="D6619" s="116">
        <v>98.53</v>
      </c>
      <c r="E6619" s="117">
        <v>45641</v>
      </c>
      <c r="F6619" s="116">
        <f>COUNTIFS($A$3:A14875,A6619,$B$3:B14875,B6619)</f>
        <v>1</v>
      </c>
      <c r="G6619" s="116"/>
    </row>
    <row r="6620" spans="1:7" x14ac:dyDescent="0.2">
      <c r="A6620" s="116">
        <f>IF(ISNUMBER(Tabela2[[#This Row],[CT-e/NFS]])=TRUE,(IF(B6620&gt;30000,4,IF(B6620&lt;1000,"ND",0))),"-")</f>
        <v>4</v>
      </c>
      <c r="B6620" s="116">
        <v>50436</v>
      </c>
      <c r="C6620" s="117">
        <v>45627</v>
      </c>
      <c r="D6620" s="116">
        <v>287.22000000000003</v>
      </c>
      <c r="E6620" s="117">
        <v>45641</v>
      </c>
      <c r="F6620" s="116">
        <f>COUNTIFS($A$3:A14876,A6620,$B$3:B14876,B6620)</f>
        <v>1</v>
      </c>
      <c r="G6620" s="116"/>
    </row>
    <row r="6621" spans="1:7" x14ac:dyDescent="0.2">
      <c r="A6621" s="116">
        <f>IF(ISNUMBER(Tabela2[[#This Row],[CT-e/NFS]])=TRUE,(IF(B6621&gt;30000,4,IF(B6621&lt;1000,"ND",0))),"-")</f>
        <v>4</v>
      </c>
      <c r="B6621" s="116">
        <v>50432</v>
      </c>
      <c r="C6621" s="117">
        <v>45627</v>
      </c>
      <c r="D6621" s="116">
        <v>223.42</v>
      </c>
      <c r="E6621" s="117">
        <v>45641</v>
      </c>
      <c r="F6621" s="116">
        <f>COUNTIFS($A$3:A14877,A6621,$B$3:B14877,B6621)</f>
        <v>1</v>
      </c>
      <c r="G6621" s="116"/>
    </row>
    <row r="6622" spans="1:7" x14ac:dyDescent="0.2">
      <c r="A6622" s="116">
        <f>IF(ISNUMBER(Tabela2[[#This Row],[CT-e/NFS]])=TRUE,(IF(B6622&gt;30000,4,IF(B6622&lt;1000,"ND",0))),"-")</f>
        <v>4</v>
      </c>
      <c r="B6622" s="116">
        <v>50430</v>
      </c>
      <c r="C6622" s="117">
        <v>45627</v>
      </c>
      <c r="D6622" s="116">
        <v>931.82</v>
      </c>
      <c r="E6622" s="117">
        <v>45641</v>
      </c>
      <c r="F6622" s="116">
        <f>COUNTIFS($A$3:A14878,A6622,$B$3:B14878,B6622)</f>
        <v>1</v>
      </c>
      <c r="G6622" s="116"/>
    </row>
    <row r="6623" spans="1:7" x14ac:dyDescent="0.2">
      <c r="A6623" s="116">
        <f>IF(ISNUMBER(Tabela2[[#This Row],[CT-e/NFS]])=TRUE,(IF(B6623&gt;30000,4,IF(B6623&lt;1000,"ND",0))),"-")</f>
        <v>4</v>
      </c>
      <c r="B6623" s="116">
        <v>50429</v>
      </c>
      <c r="C6623" s="117">
        <v>45627</v>
      </c>
      <c r="D6623" s="116">
        <v>2906.31</v>
      </c>
      <c r="E6623" s="117">
        <v>45641</v>
      </c>
      <c r="F6623" s="116">
        <f>COUNTIFS($A$3:A14879,A6623,$B$3:B14879,B6623)</f>
        <v>1</v>
      </c>
      <c r="G6623" s="116"/>
    </row>
    <row r="6624" spans="1:7" x14ac:dyDescent="0.2">
      <c r="A6624" s="116">
        <f>IF(ISNUMBER(Tabela2[[#This Row],[CT-e/NFS]])=TRUE,(IF(B6624&gt;30000,4,IF(B6624&lt;1000,"ND",0))),"-")</f>
        <v>4</v>
      </c>
      <c r="B6624" s="116">
        <v>50444</v>
      </c>
      <c r="C6624" s="117">
        <v>45627</v>
      </c>
      <c r="D6624" s="116">
        <v>61.95</v>
      </c>
      <c r="E6624" s="117">
        <v>45641</v>
      </c>
      <c r="F6624" s="116">
        <f>COUNTIFS($A$3:A14880,A6624,$B$3:B14880,B6624)</f>
        <v>1</v>
      </c>
      <c r="G6624" s="116"/>
    </row>
    <row r="6625" spans="1:7" x14ac:dyDescent="0.2">
      <c r="A6625" s="116">
        <f>IF(ISNUMBER(Tabela2[[#This Row],[CT-e/NFS]])=TRUE,(IF(B6625&gt;30000,4,IF(B6625&lt;1000,"ND",0))),"-")</f>
        <v>4</v>
      </c>
      <c r="B6625" s="116">
        <v>50445</v>
      </c>
      <c r="C6625" s="117">
        <v>45627</v>
      </c>
      <c r="D6625" s="116">
        <v>111.51</v>
      </c>
      <c r="E6625" s="117">
        <v>45641</v>
      </c>
      <c r="F6625" s="116">
        <f>COUNTIFS($A$3:A14881,A6625,$B$3:B14881,B6625)</f>
        <v>1</v>
      </c>
      <c r="G6625" s="116"/>
    </row>
    <row r="6626" spans="1:7" x14ac:dyDescent="0.2">
      <c r="A6626" s="116">
        <f>IF(ISNUMBER(Tabela2[[#This Row],[CT-e/NFS]])=TRUE,(IF(B6626&gt;30000,4,IF(B6626&lt;1000,"ND",0))),"-")</f>
        <v>4</v>
      </c>
      <c r="B6626" s="116">
        <v>50431</v>
      </c>
      <c r="C6626" s="117">
        <v>45627</v>
      </c>
      <c r="D6626" s="116">
        <v>681.82</v>
      </c>
      <c r="E6626" s="117">
        <v>45641</v>
      </c>
      <c r="F6626" s="116">
        <f>COUNTIFS($A$3:A14882,A6626,$B$3:B14882,B6626)</f>
        <v>1</v>
      </c>
      <c r="G6626" s="116"/>
    </row>
    <row r="6627" spans="1:7" x14ac:dyDescent="0.2">
      <c r="A6627" s="116">
        <f>IF(ISNUMBER(Tabela2[[#This Row],[CT-e/NFS]])=TRUE,(IF(B6627&gt;30000,4,IF(B6627&lt;1000,"ND",0))),"-")</f>
        <v>4</v>
      </c>
      <c r="B6627" s="116">
        <v>50423</v>
      </c>
      <c r="C6627" s="117">
        <v>45627</v>
      </c>
      <c r="D6627" s="116">
        <v>122.74</v>
      </c>
      <c r="E6627" s="117">
        <v>45641</v>
      </c>
      <c r="F6627" s="116">
        <f>COUNTIFS($A$3:A14883,A6627,$B$3:B14883,B6627)</f>
        <v>1</v>
      </c>
      <c r="G6627" s="116"/>
    </row>
    <row r="6628" spans="1:7" x14ac:dyDescent="0.2">
      <c r="A6628" s="116">
        <f>IF(ISNUMBER(Tabela2[[#This Row],[CT-e/NFS]])=TRUE,(IF(B6628&gt;30000,4,IF(B6628&lt;1000,"ND",0))),"-")</f>
        <v>4</v>
      </c>
      <c r="B6628" s="116">
        <v>50421</v>
      </c>
      <c r="C6628" s="117">
        <v>45627</v>
      </c>
      <c r="D6628" s="116">
        <v>124.66</v>
      </c>
      <c r="E6628" s="117">
        <v>45641</v>
      </c>
      <c r="F6628" s="116">
        <f>COUNTIFS($A$3:A14884,A6628,$B$3:B14884,B6628)</f>
        <v>1</v>
      </c>
      <c r="G6628" s="116"/>
    </row>
    <row r="6629" spans="1:7" x14ac:dyDescent="0.2">
      <c r="A6629" s="116">
        <f>IF(ISNUMBER(Tabela2[[#This Row],[CT-e/NFS]])=TRUE,(IF(B6629&gt;30000,4,IF(B6629&lt;1000,"ND",0))),"-")</f>
        <v>4</v>
      </c>
      <c r="B6629" s="116">
        <v>50418</v>
      </c>
      <c r="C6629" s="117">
        <v>45627</v>
      </c>
      <c r="D6629" s="116">
        <v>123.9</v>
      </c>
      <c r="E6629" s="117">
        <v>45641</v>
      </c>
      <c r="F6629" s="116">
        <f>COUNTIFS($A$3:A14885,A6629,$B$3:B14885,B6629)</f>
        <v>1</v>
      </c>
      <c r="G6629" s="116"/>
    </row>
    <row r="6630" spans="1:7" x14ac:dyDescent="0.2">
      <c r="A6630" s="116">
        <f>IF(ISNUMBER(Tabela2[[#This Row],[CT-e/NFS]])=TRUE,(IF(B6630&gt;30000,4,IF(B6630&lt;1000,"ND",0))),"-")</f>
        <v>4</v>
      </c>
      <c r="B6630" s="116">
        <v>50415</v>
      </c>
      <c r="C6630" s="117">
        <v>45627</v>
      </c>
      <c r="D6630" s="116">
        <v>126.26</v>
      </c>
      <c r="E6630" s="117">
        <v>45641</v>
      </c>
      <c r="F6630" s="116">
        <f>COUNTIFS($A$3:A14886,A6630,$B$3:B14886,B6630)</f>
        <v>1</v>
      </c>
      <c r="G6630" s="116"/>
    </row>
    <row r="6631" spans="1:7" x14ac:dyDescent="0.2">
      <c r="A6631" s="116">
        <f>IF(ISNUMBER(Tabela2[[#This Row],[CT-e/NFS]])=TRUE,(IF(B6631&gt;30000,4,IF(B6631&lt;1000,"ND",0))),"-")</f>
        <v>4</v>
      </c>
      <c r="B6631" s="116">
        <v>50428</v>
      </c>
      <c r="C6631" s="117">
        <v>45627</v>
      </c>
      <c r="D6631" s="116">
        <v>585.70000000000005</v>
      </c>
      <c r="E6631" s="117">
        <v>45641</v>
      </c>
      <c r="F6631" s="116">
        <f>COUNTIFS($A$3:A14887,A6631,$B$3:B14887,B6631)</f>
        <v>1</v>
      </c>
      <c r="G6631" s="116"/>
    </row>
    <row r="6632" spans="1:7" x14ac:dyDescent="0.2">
      <c r="A6632" s="116">
        <f>IF(ISNUMBER(Tabela2[[#This Row],[CT-e/NFS]])=TRUE,(IF(B6632&gt;30000,4,IF(B6632&lt;1000,"ND",0))),"-")</f>
        <v>4</v>
      </c>
      <c r="B6632" s="116">
        <v>50427</v>
      </c>
      <c r="C6632" s="117">
        <v>45627</v>
      </c>
      <c r="D6632" s="116">
        <v>1758.3</v>
      </c>
      <c r="E6632" s="117">
        <v>45641</v>
      </c>
      <c r="F6632" s="116">
        <f>COUNTIFS($A$3:A14888,A6632,$B$3:B14888,B6632)</f>
        <v>1</v>
      </c>
      <c r="G6632" s="116"/>
    </row>
    <row r="6633" spans="1:7" x14ac:dyDescent="0.2">
      <c r="A6633" s="116">
        <f>IF(ISNUMBER(Tabela2[[#This Row],[CT-e/NFS]])=TRUE,(IF(B6633&gt;30000,4,IF(B6633&lt;1000,"ND",0))),"-")</f>
        <v>4</v>
      </c>
      <c r="B6633" s="116">
        <v>50413</v>
      </c>
      <c r="C6633" s="117">
        <v>45627</v>
      </c>
      <c r="D6633" s="116">
        <v>884.58</v>
      </c>
      <c r="E6633" s="117">
        <v>45641</v>
      </c>
      <c r="F6633" s="116">
        <f>COUNTIFS($A$3:A14889,A6633,$B$3:B14889,B6633)</f>
        <v>1</v>
      </c>
      <c r="G6633" s="116"/>
    </row>
    <row r="6634" spans="1:7" x14ac:dyDescent="0.2">
      <c r="A6634" s="116">
        <f>IF(ISNUMBER(Tabela2[[#This Row],[CT-e/NFS]])=TRUE,(IF(B6634&gt;30000,4,IF(B6634&lt;1000,"ND",0))),"-")</f>
        <v>4</v>
      </c>
      <c r="B6634" s="116">
        <v>50426</v>
      </c>
      <c r="C6634" s="117">
        <v>45627</v>
      </c>
      <c r="D6634" s="116">
        <v>4561.03</v>
      </c>
      <c r="E6634" s="117">
        <v>45641</v>
      </c>
      <c r="F6634" s="116">
        <f>COUNTIFS($A$3:A14890,A6634,$B$3:B14890,B6634)</f>
        <v>1</v>
      </c>
      <c r="G6634" s="116"/>
    </row>
    <row r="6635" spans="1:7" x14ac:dyDescent="0.2">
      <c r="A6635" s="116">
        <f>IF(ISNUMBER(Tabela2[[#This Row],[CT-e/NFS]])=TRUE,(IF(B6635&gt;30000,4,IF(B6635&lt;1000,"ND",0))),"-")</f>
        <v>4</v>
      </c>
      <c r="B6635" s="116">
        <v>50411</v>
      </c>
      <c r="C6635" s="117">
        <v>45627</v>
      </c>
      <c r="D6635" s="116">
        <v>867.34</v>
      </c>
      <c r="E6635" s="117">
        <v>45641</v>
      </c>
      <c r="F6635" s="116">
        <f>COUNTIFS($A$3:A14891,A6635,$B$3:B14891,B6635)</f>
        <v>1</v>
      </c>
      <c r="G6635" s="116"/>
    </row>
    <row r="6636" spans="1:7" x14ac:dyDescent="0.2">
      <c r="A6636" s="116">
        <f>IF(ISNUMBER(Tabela2[[#This Row],[CT-e/NFS]])=TRUE,(IF(B6636&gt;30000,4,IF(B6636&lt;1000,"ND",0))),"-")</f>
        <v>4</v>
      </c>
      <c r="B6636" s="116">
        <v>50425</v>
      </c>
      <c r="C6636" s="117">
        <v>45627</v>
      </c>
      <c r="D6636" s="116">
        <v>9061.64</v>
      </c>
      <c r="E6636" s="117">
        <v>45641</v>
      </c>
      <c r="F6636" s="116">
        <f>COUNTIFS($A$3:A14892,A6636,$B$3:B14892,B6636)</f>
        <v>1</v>
      </c>
      <c r="G6636" s="116"/>
    </row>
    <row r="6637" spans="1:7" x14ac:dyDescent="0.2">
      <c r="A6637" s="116">
        <f>IF(ISNUMBER(Tabela2[[#This Row],[CT-e/NFS]])=TRUE,(IF(B6637&gt;30000,4,IF(B6637&lt;1000,"ND",0))),"-")</f>
        <v>4</v>
      </c>
      <c r="B6637" s="116">
        <v>50424</v>
      </c>
      <c r="C6637" s="117">
        <v>45627</v>
      </c>
      <c r="D6637" s="116">
        <v>756.43</v>
      </c>
      <c r="E6637" s="117">
        <v>45641</v>
      </c>
      <c r="F6637" s="116">
        <f>COUNTIFS($A$3:A14893,A6637,$B$3:B14893,B6637)</f>
        <v>1</v>
      </c>
      <c r="G6637" s="116"/>
    </row>
    <row r="6638" spans="1:7" x14ac:dyDescent="0.2">
      <c r="A6638" s="116">
        <f>IF(ISNUMBER(Tabela2[[#This Row],[CT-e/NFS]])=TRUE,(IF(B6638&gt;30000,4,IF(B6638&lt;1000,"ND",0))),"-")</f>
        <v>4</v>
      </c>
      <c r="B6638" s="116">
        <v>50420</v>
      </c>
      <c r="C6638" s="117">
        <v>45627</v>
      </c>
      <c r="D6638" s="116">
        <v>756.43</v>
      </c>
      <c r="E6638" s="117">
        <v>45641</v>
      </c>
      <c r="F6638" s="116">
        <f>COUNTIFS($A$3:A14894,A6638,$B$3:B14894,B6638)</f>
        <v>1</v>
      </c>
      <c r="G6638" s="116"/>
    </row>
    <row r="6639" spans="1:7" x14ac:dyDescent="0.2">
      <c r="A6639" s="116">
        <f>IF(ISNUMBER(Tabela2[[#This Row],[CT-e/NFS]])=TRUE,(IF(B6639&gt;30000,4,IF(B6639&lt;1000,"ND",0))),"-")</f>
        <v>4</v>
      </c>
      <c r="B6639" s="116">
        <v>50417</v>
      </c>
      <c r="C6639" s="117">
        <v>45627</v>
      </c>
      <c r="D6639" s="116">
        <v>343.06</v>
      </c>
      <c r="E6639" s="117">
        <v>45641</v>
      </c>
      <c r="F6639" s="116">
        <f>COUNTIFS($A$3:A14895,A6639,$B$3:B14895,B6639)</f>
        <v>1</v>
      </c>
      <c r="G6639" s="116"/>
    </row>
    <row r="6640" spans="1:7" x14ac:dyDescent="0.2">
      <c r="A6640" s="116">
        <f>IF(ISNUMBER(Tabela2[[#This Row],[CT-e/NFS]])=TRUE,(IF(B6640&gt;30000,4,IF(B6640&lt;1000,"ND",0))),"-")</f>
        <v>4</v>
      </c>
      <c r="B6640" s="116">
        <v>50416</v>
      </c>
      <c r="C6640" s="117">
        <v>45627</v>
      </c>
      <c r="D6640" s="116">
        <v>189.68</v>
      </c>
      <c r="E6640" s="117">
        <v>45641</v>
      </c>
      <c r="F6640" s="116">
        <f>COUNTIFS($A$3:A14896,A6640,$B$3:B14896,B6640)</f>
        <v>1</v>
      </c>
      <c r="G6640" s="116"/>
    </row>
    <row r="6641" spans="1:7" x14ac:dyDescent="0.2">
      <c r="A6641" s="116">
        <f>IF(ISNUMBER(Tabela2[[#This Row],[CT-e/NFS]])=TRUE,(IF(B6641&gt;30000,4,IF(B6641&lt;1000,"ND",0))),"-")</f>
        <v>4</v>
      </c>
      <c r="B6641" s="116">
        <v>50414</v>
      </c>
      <c r="C6641" s="117">
        <v>45627</v>
      </c>
      <c r="D6641" s="116">
        <v>873.72</v>
      </c>
      <c r="E6641" s="117">
        <v>45641</v>
      </c>
      <c r="F6641" s="116">
        <f>COUNTIFS($A$3:A14897,A6641,$B$3:B14897,B6641)</f>
        <v>1</v>
      </c>
      <c r="G6641" s="116"/>
    </row>
    <row r="6642" spans="1:7" x14ac:dyDescent="0.2">
      <c r="A6642" s="116">
        <f>IF(ISNUMBER(Tabela2[[#This Row],[CT-e/NFS]])=TRUE,(IF(B6642&gt;30000,4,IF(B6642&lt;1000,"ND",0))),"-")</f>
        <v>4</v>
      </c>
      <c r="B6642" s="116">
        <v>50412</v>
      </c>
      <c r="C6642" s="117">
        <v>45627</v>
      </c>
      <c r="D6642" s="116">
        <v>270.39</v>
      </c>
      <c r="E6642" s="117">
        <v>45641</v>
      </c>
      <c r="F6642" s="116">
        <f>COUNTIFS($A$3:A14898,A6642,$B$3:B14898,B6642)</f>
        <v>1</v>
      </c>
      <c r="G6642" s="116"/>
    </row>
    <row r="6643" spans="1:7" x14ac:dyDescent="0.2">
      <c r="A6643" s="116">
        <f>IF(ISNUMBER(Tabela2[[#This Row],[CT-e/NFS]])=TRUE,(IF(B6643&gt;30000,4,IF(B6643&lt;1000,"ND",0))),"-")</f>
        <v>4</v>
      </c>
      <c r="B6643" s="116">
        <v>50419</v>
      </c>
      <c r="C6643" s="117">
        <v>45627</v>
      </c>
      <c r="D6643" s="116">
        <v>260.13</v>
      </c>
      <c r="E6643" s="117">
        <v>45641</v>
      </c>
      <c r="F6643" s="116">
        <f>COUNTIFS($A$3:A14899,A6643,$B$3:B14899,B6643)</f>
        <v>1</v>
      </c>
      <c r="G6643" s="116"/>
    </row>
    <row r="6644" spans="1:7" x14ac:dyDescent="0.2">
      <c r="A6644" s="116" t="str">
        <f>IF(ISNUMBER(Tabela2[[#This Row],[CT-e/NFS]])=TRUE,(IF(B6644&gt;30000,4,IF(B6644&lt;1000,"ND",0))),"-")</f>
        <v>ND</v>
      </c>
      <c r="B6644" s="116">
        <v>240</v>
      </c>
      <c r="C6644" s="117">
        <v>45627</v>
      </c>
      <c r="D6644" s="116">
        <v>1125.9000000000001</v>
      </c>
      <c r="E6644" s="117">
        <v>45641</v>
      </c>
      <c r="F6644" s="116">
        <f>COUNTIFS($A$3:A14900,A6644,$B$3:B14900,B6644)</f>
        <v>1</v>
      </c>
      <c r="G6644" s="116"/>
    </row>
    <row r="6645" spans="1:7" x14ac:dyDescent="0.2">
      <c r="A6645" s="116">
        <f>IF(ISNUMBER(Tabela2[[#This Row],[CT-e/NFS]])=TRUE,(IF(B6645&gt;30000,4,IF(B6645&lt;1000,"ND",0))),"-")</f>
        <v>4</v>
      </c>
      <c r="B6645" s="116">
        <v>50406</v>
      </c>
      <c r="C6645" s="117">
        <v>45627</v>
      </c>
      <c r="D6645" s="116">
        <v>122.77</v>
      </c>
      <c r="E6645" s="117">
        <v>45641</v>
      </c>
      <c r="F6645" s="116">
        <f>COUNTIFS($A$3:A14901,A6645,$B$3:B14901,B6645)</f>
        <v>1</v>
      </c>
      <c r="G6645" s="116"/>
    </row>
    <row r="6646" spans="1:7" x14ac:dyDescent="0.2">
      <c r="A6646" s="116">
        <f>IF(ISNUMBER(Tabela2[[#This Row],[CT-e/NFS]])=TRUE,(IF(B6646&gt;30000,4,IF(B6646&lt;1000,"ND",0))),"-")</f>
        <v>4</v>
      </c>
      <c r="B6646" s="116">
        <v>50410</v>
      </c>
      <c r="C6646" s="117">
        <v>45627</v>
      </c>
      <c r="D6646" s="116">
        <v>124.3</v>
      </c>
      <c r="E6646" s="117">
        <v>45641</v>
      </c>
      <c r="F6646" s="116">
        <f>COUNTIFS($A$3:A14902,A6646,$B$3:B14902,B6646)</f>
        <v>1</v>
      </c>
      <c r="G6646" s="116"/>
    </row>
    <row r="6647" spans="1:7" x14ac:dyDescent="0.2">
      <c r="A6647" s="116">
        <f>IF(ISNUMBER(Tabela2[[#This Row],[CT-e/NFS]])=TRUE,(IF(B6647&gt;30000,4,IF(B6647&lt;1000,"ND",0))),"-")</f>
        <v>4</v>
      </c>
      <c r="B6647" s="116">
        <v>50402</v>
      </c>
      <c r="C6647" s="117">
        <v>45627</v>
      </c>
      <c r="D6647" s="116">
        <v>122.92</v>
      </c>
      <c r="E6647" s="117">
        <v>45641</v>
      </c>
      <c r="F6647" s="116">
        <f>COUNTIFS($A$3:A14903,A6647,$B$3:B14903,B6647)</f>
        <v>1</v>
      </c>
      <c r="G6647" s="116"/>
    </row>
    <row r="6648" spans="1:7" x14ac:dyDescent="0.2">
      <c r="A6648" s="116">
        <f>IF(ISNUMBER(Tabela2[[#This Row],[CT-e/NFS]])=TRUE,(IF(B6648&gt;30000,4,IF(B6648&lt;1000,"ND",0))),"-")</f>
        <v>4</v>
      </c>
      <c r="B6648" s="116">
        <v>50400</v>
      </c>
      <c r="C6648" s="117">
        <v>45627</v>
      </c>
      <c r="D6648" s="116">
        <v>122.9</v>
      </c>
      <c r="E6648" s="117">
        <v>45641</v>
      </c>
      <c r="F6648" s="116">
        <f>COUNTIFS($A$3:A14904,A6648,$B$3:B14904,B6648)</f>
        <v>1</v>
      </c>
      <c r="G6648" s="116"/>
    </row>
    <row r="6649" spans="1:7" x14ac:dyDescent="0.2">
      <c r="A6649" s="116">
        <f>IF(ISNUMBER(Tabela2[[#This Row],[CT-e/NFS]])=TRUE,(IF(B6649&gt;30000,4,IF(B6649&lt;1000,"ND",0))),"-")</f>
        <v>4</v>
      </c>
      <c r="B6649" s="116">
        <v>50401</v>
      </c>
      <c r="C6649" s="117">
        <v>45627</v>
      </c>
      <c r="D6649" s="116">
        <v>122.82</v>
      </c>
      <c r="E6649" s="117">
        <v>45641</v>
      </c>
      <c r="F6649" s="116">
        <f>COUNTIFS($A$3:A14905,A6649,$B$3:B14905,B6649)</f>
        <v>1</v>
      </c>
      <c r="G6649" s="116"/>
    </row>
    <row r="6650" spans="1:7" x14ac:dyDescent="0.2">
      <c r="A6650" s="116">
        <f>IF(ISNUMBER(Tabela2[[#This Row],[CT-e/NFS]])=TRUE,(IF(B6650&gt;30000,4,IF(B6650&lt;1000,"ND",0))),"-")</f>
        <v>4</v>
      </c>
      <c r="B6650" s="116">
        <v>50399</v>
      </c>
      <c r="C6650" s="117">
        <v>45627</v>
      </c>
      <c r="D6650" s="116">
        <v>2061.6799999999998</v>
      </c>
      <c r="E6650" s="117">
        <v>45641</v>
      </c>
      <c r="F6650" s="116">
        <f>COUNTIFS($A$3:A14906,A6650,$B$3:B14906,B6650)</f>
        <v>1</v>
      </c>
      <c r="G6650" s="116"/>
    </row>
    <row r="6651" spans="1:7" x14ac:dyDescent="0.2">
      <c r="A6651" s="116">
        <f>IF(ISNUMBER(Tabela2[[#This Row],[CT-e/NFS]])=TRUE,(IF(B6651&gt;30000,4,IF(B6651&lt;1000,"ND",0))),"-")</f>
        <v>4</v>
      </c>
      <c r="B6651" s="116">
        <v>50405</v>
      </c>
      <c r="C6651" s="117">
        <v>45627</v>
      </c>
      <c r="D6651" s="116">
        <v>753.77</v>
      </c>
      <c r="E6651" s="117">
        <v>45641</v>
      </c>
      <c r="F6651" s="116">
        <f>COUNTIFS($A$3:A14907,A6651,$B$3:B14907,B6651)</f>
        <v>1</v>
      </c>
      <c r="G6651" s="116"/>
    </row>
    <row r="6652" spans="1:7" x14ac:dyDescent="0.2">
      <c r="A6652" s="116">
        <f>IF(ISNUMBER(Tabela2[[#This Row],[CT-e/NFS]])=TRUE,(IF(B6652&gt;30000,4,IF(B6652&lt;1000,"ND",0))),"-")</f>
        <v>4</v>
      </c>
      <c r="B6652" s="116">
        <v>50403</v>
      </c>
      <c r="C6652" s="117">
        <v>45627</v>
      </c>
      <c r="D6652" s="116">
        <v>295.14999999999998</v>
      </c>
      <c r="E6652" s="117">
        <v>45641</v>
      </c>
      <c r="F6652" s="116">
        <f>COUNTIFS($A$3:A14908,A6652,$B$3:B14908,B6652)</f>
        <v>1</v>
      </c>
      <c r="G6652" s="116"/>
    </row>
    <row r="6653" spans="1:7" x14ac:dyDescent="0.2">
      <c r="A6653" s="116">
        <f>IF(ISNUMBER(Tabela2[[#This Row],[CT-e/NFS]])=TRUE,(IF(B6653&gt;30000,4,IF(B6653&lt;1000,"ND",0))),"-")</f>
        <v>4</v>
      </c>
      <c r="B6653" s="116">
        <v>50404</v>
      </c>
      <c r="C6653" s="117">
        <v>45627</v>
      </c>
      <c r="D6653" s="116">
        <v>241.76</v>
      </c>
      <c r="E6653" s="117">
        <v>45641</v>
      </c>
      <c r="F6653" s="116">
        <f>COUNTIFS($A$3:A14909,A6653,$B$3:B14909,B6653)</f>
        <v>1</v>
      </c>
      <c r="G6653" s="116"/>
    </row>
    <row r="6654" spans="1:7" x14ac:dyDescent="0.2">
      <c r="A6654" s="116">
        <f>IF(ISNUMBER(Tabela2[[#This Row],[CT-e/NFS]])=TRUE,(IF(B6654&gt;30000,4,IF(B6654&lt;1000,"ND",0))),"-")</f>
        <v>4</v>
      </c>
      <c r="B6654" s="116">
        <v>50408</v>
      </c>
      <c r="C6654" s="117">
        <v>45627</v>
      </c>
      <c r="D6654" s="116">
        <v>61.66</v>
      </c>
      <c r="E6654" s="117">
        <v>45641</v>
      </c>
      <c r="F6654" s="116">
        <f>COUNTIFS($A$3:A14910,A6654,$B$3:B14910,B6654)</f>
        <v>1</v>
      </c>
      <c r="G6654" s="116"/>
    </row>
    <row r="6655" spans="1:7" x14ac:dyDescent="0.2">
      <c r="A6655" s="116">
        <f>IF(ISNUMBER(Tabela2[[#This Row],[CT-e/NFS]])=TRUE,(IF(B6655&gt;30000,4,IF(B6655&lt;1000,"ND",0))),"-")</f>
        <v>4</v>
      </c>
      <c r="B6655" s="116">
        <v>50409</v>
      </c>
      <c r="C6655" s="117">
        <v>45627</v>
      </c>
      <c r="D6655" s="116">
        <v>110.99</v>
      </c>
      <c r="E6655" s="117">
        <v>45641</v>
      </c>
      <c r="F6655" s="116">
        <f>COUNTIFS($A$3:A14911,A6655,$B$3:B14911,B6655)</f>
        <v>1</v>
      </c>
      <c r="G6655" s="116"/>
    </row>
    <row r="6656" spans="1:7" x14ac:dyDescent="0.2">
      <c r="A6656" s="116">
        <f>IF(ISNUMBER(Tabela2[[#This Row],[CT-e/NFS]])=TRUE,(IF(B6656&gt;30000,4,IF(B6656&lt;1000,"ND",0))),"-")</f>
        <v>4</v>
      </c>
      <c r="B6656" s="116">
        <v>50407</v>
      </c>
      <c r="C6656" s="117">
        <v>45627</v>
      </c>
      <c r="D6656" s="116">
        <v>255.08</v>
      </c>
      <c r="E6656" s="117">
        <v>45641</v>
      </c>
      <c r="F6656" s="116">
        <f>COUNTIFS($A$3:A14912,A6656,$B$3:B14912,B6656)</f>
        <v>1</v>
      </c>
      <c r="G6656" s="116"/>
    </row>
    <row r="6657" spans="1:7" x14ac:dyDescent="0.2">
      <c r="A6657" s="116">
        <f>IF(ISNUMBER(Tabela2[[#This Row],[CT-e/NFS]])=TRUE,(IF(B6657&gt;30000,4,IF(B6657&lt;1000,"ND",0))),"-")</f>
        <v>0</v>
      </c>
      <c r="B6657" s="116">
        <v>22447</v>
      </c>
      <c r="C6657" s="117">
        <v>45627</v>
      </c>
      <c r="D6657" s="116">
        <v>255.17</v>
      </c>
      <c r="E6657" s="117">
        <v>45641</v>
      </c>
      <c r="F6657" s="116">
        <f>COUNTIFS($A$3:A14913,A6657,$B$3:B14913,B6657)</f>
        <v>1</v>
      </c>
      <c r="G6657" s="116"/>
    </row>
    <row r="6658" spans="1:7" x14ac:dyDescent="0.2">
      <c r="A6658" s="116">
        <f>IF(ISNUMBER(Tabela2[[#This Row],[CT-e/NFS]])=TRUE,(IF(B6658&gt;30000,4,IF(B6658&lt;1000,"ND",0))),"-")</f>
        <v>0</v>
      </c>
      <c r="B6658" s="116">
        <v>22446</v>
      </c>
      <c r="C6658" s="117">
        <v>45627</v>
      </c>
      <c r="D6658" s="116">
        <v>217.07</v>
      </c>
      <c r="E6658" s="117">
        <v>45641</v>
      </c>
      <c r="F6658" s="116">
        <f>COUNTIFS($A$3:A14914,A6658,$B$3:B14914,B6658)</f>
        <v>1</v>
      </c>
      <c r="G6658" s="116"/>
    </row>
    <row r="6659" spans="1:7" x14ac:dyDescent="0.2">
      <c r="A6659" s="116">
        <f>IF(ISNUMBER(Tabela2[[#This Row],[CT-e/NFS]])=TRUE,(IF(B6659&gt;30000,4,IF(B6659&lt;1000,"ND",0))),"-")</f>
        <v>0</v>
      </c>
      <c r="B6659" s="116">
        <v>22448</v>
      </c>
      <c r="C6659" s="117">
        <v>45627</v>
      </c>
      <c r="D6659" s="116">
        <v>76.2</v>
      </c>
      <c r="E6659" s="117">
        <v>45641</v>
      </c>
      <c r="F6659" s="116">
        <f>COUNTIFS($A$3:A14915,A6659,$B$3:B14915,B6659)</f>
        <v>1</v>
      </c>
      <c r="G6659" s="116"/>
    </row>
    <row r="6660" spans="1:7" x14ac:dyDescent="0.2">
      <c r="A6660" s="116">
        <f>IF(ISNUMBER(Tabela2[[#This Row],[CT-e/NFS]])=TRUE,(IF(B6660&gt;30000,4,IF(B6660&lt;1000,"ND",0))),"-")</f>
        <v>4</v>
      </c>
      <c r="B6660" s="116">
        <v>50385</v>
      </c>
      <c r="C6660" s="117">
        <v>45627</v>
      </c>
      <c r="D6660" s="116">
        <v>124.2</v>
      </c>
      <c r="E6660" s="117">
        <v>45641</v>
      </c>
      <c r="F6660" s="116">
        <f>COUNTIFS($A$3:A14916,A6660,$B$3:B14916,B6660)</f>
        <v>1</v>
      </c>
      <c r="G6660" s="116"/>
    </row>
    <row r="6661" spans="1:7" x14ac:dyDescent="0.2">
      <c r="A6661" s="116">
        <f>IF(ISNUMBER(Tabela2[[#This Row],[CT-e/NFS]])=TRUE,(IF(B6661&gt;30000,4,IF(B6661&lt;1000,"ND",0))),"-")</f>
        <v>4</v>
      </c>
      <c r="B6661" s="116">
        <v>50383</v>
      </c>
      <c r="C6661" s="117">
        <v>45627</v>
      </c>
      <c r="D6661" s="116">
        <v>122.77</v>
      </c>
      <c r="E6661" s="117">
        <v>45641</v>
      </c>
      <c r="F6661" s="116">
        <f>COUNTIFS($A$3:A14917,A6661,$B$3:B14917,B6661)</f>
        <v>1</v>
      </c>
      <c r="G6661" s="116"/>
    </row>
    <row r="6662" spans="1:7" x14ac:dyDescent="0.2">
      <c r="A6662" s="116">
        <f>IF(ISNUMBER(Tabela2[[#This Row],[CT-e/NFS]])=TRUE,(IF(B6662&gt;30000,4,IF(B6662&lt;1000,"ND",0))),"-")</f>
        <v>4</v>
      </c>
      <c r="B6662" s="116">
        <v>50382</v>
      </c>
      <c r="C6662" s="117">
        <v>45627</v>
      </c>
      <c r="D6662" s="116">
        <v>122.89</v>
      </c>
      <c r="E6662" s="117">
        <v>45641</v>
      </c>
      <c r="F6662" s="116">
        <f>COUNTIFS($A$3:A14918,A6662,$B$3:B14918,B6662)</f>
        <v>1</v>
      </c>
      <c r="G6662" s="116"/>
    </row>
    <row r="6663" spans="1:7" x14ac:dyDescent="0.2">
      <c r="A6663" s="116">
        <f>IF(ISNUMBER(Tabela2[[#This Row],[CT-e/NFS]])=TRUE,(IF(B6663&gt;30000,4,IF(B6663&lt;1000,"ND",0))),"-")</f>
        <v>4</v>
      </c>
      <c r="B6663" s="116">
        <v>50388</v>
      </c>
      <c r="C6663" s="117">
        <v>45627</v>
      </c>
      <c r="D6663" s="116">
        <v>123.32</v>
      </c>
      <c r="E6663" s="117">
        <v>45641</v>
      </c>
      <c r="F6663" s="116">
        <f>COUNTIFS($A$3:A14919,A6663,$B$3:B14919,B6663)</f>
        <v>1</v>
      </c>
      <c r="G6663" s="116"/>
    </row>
    <row r="6664" spans="1:7" x14ac:dyDescent="0.2">
      <c r="A6664" s="116">
        <f>IF(ISNUMBER(Tabela2[[#This Row],[CT-e/NFS]])=TRUE,(IF(B6664&gt;30000,4,IF(B6664&lt;1000,"ND",0))),"-")</f>
        <v>4</v>
      </c>
      <c r="B6664" s="116">
        <v>50389</v>
      </c>
      <c r="C6664" s="117">
        <v>45627</v>
      </c>
      <c r="D6664" s="116">
        <v>126.24</v>
      </c>
      <c r="E6664" s="117">
        <v>45641</v>
      </c>
      <c r="F6664" s="116">
        <f>COUNTIFS($A$3:A14920,A6664,$B$3:B14920,B6664)</f>
        <v>1</v>
      </c>
      <c r="G6664" s="116"/>
    </row>
    <row r="6665" spans="1:7" x14ac:dyDescent="0.2">
      <c r="A6665" s="116">
        <f>IF(ISNUMBER(Tabela2[[#This Row],[CT-e/NFS]])=TRUE,(IF(B6665&gt;30000,4,IF(B6665&lt;1000,"ND",0))),"-")</f>
        <v>4</v>
      </c>
      <c r="B6665" s="116">
        <v>50381</v>
      </c>
      <c r="C6665" s="117">
        <v>45627</v>
      </c>
      <c r="D6665" s="116">
        <v>281.52999999999997</v>
      </c>
      <c r="E6665" s="117">
        <v>45641</v>
      </c>
      <c r="F6665" s="116">
        <f>COUNTIFS($A$3:A14921,A6665,$B$3:B14921,B6665)</f>
        <v>1</v>
      </c>
      <c r="G6665" s="116"/>
    </row>
    <row r="6666" spans="1:7" x14ac:dyDescent="0.2">
      <c r="A6666" s="116">
        <f>IF(ISNUMBER(Tabela2[[#This Row],[CT-e/NFS]])=TRUE,(IF(B6666&gt;30000,4,IF(B6666&lt;1000,"ND",0))),"-")</f>
        <v>4</v>
      </c>
      <c r="B6666" s="116">
        <v>50380</v>
      </c>
      <c r="C6666" s="117">
        <v>45627</v>
      </c>
      <c r="D6666" s="116">
        <v>1284.6099999999999</v>
      </c>
      <c r="E6666" s="117">
        <v>45641</v>
      </c>
      <c r="F6666" s="116">
        <f>COUNTIFS($A$3:A14922,A6666,$B$3:B14922,B6666)</f>
        <v>1</v>
      </c>
      <c r="G6666" s="116"/>
    </row>
    <row r="6667" spans="1:7" x14ac:dyDescent="0.2">
      <c r="A6667" s="116">
        <f>IF(ISNUMBER(Tabela2[[#This Row],[CT-e/NFS]])=TRUE,(IF(B6667&gt;30000,4,IF(B6667&lt;1000,"ND",0))),"-")</f>
        <v>4</v>
      </c>
      <c r="B6667" s="116">
        <v>50397</v>
      </c>
      <c r="C6667" s="117">
        <v>45627</v>
      </c>
      <c r="D6667" s="116">
        <v>1758.3</v>
      </c>
      <c r="E6667" s="117">
        <v>45641</v>
      </c>
      <c r="F6667" s="116">
        <f>COUNTIFS($A$3:A14923,A6667,$B$3:B14923,B6667)</f>
        <v>1</v>
      </c>
      <c r="G6667" s="116"/>
    </row>
    <row r="6668" spans="1:7" x14ac:dyDescent="0.2">
      <c r="A6668" s="116">
        <f>IF(ISNUMBER(Tabela2[[#This Row],[CT-e/NFS]])=TRUE,(IF(B6668&gt;30000,4,IF(B6668&lt;1000,"ND",0))),"-")</f>
        <v>4</v>
      </c>
      <c r="B6668" s="116">
        <v>50391</v>
      </c>
      <c r="C6668" s="117">
        <v>45627</v>
      </c>
      <c r="D6668" s="116">
        <v>347.05</v>
      </c>
      <c r="E6668" s="117">
        <v>45641</v>
      </c>
      <c r="F6668" s="116">
        <f>COUNTIFS($A$3:A14924,A6668,$B$3:B14924,B6668)</f>
        <v>1</v>
      </c>
      <c r="G6668" s="116"/>
    </row>
    <row r="6669" spans="1:7" x14ac:dyDescent="0.2">
      <c r="A6669" s="116">
        <f>IF(ISNUMBER(Tabela2[[#This Row],[CT-e/NFS]])=TRUE,(IF(B6669&gt;30000,4,IF(B6669&lt;1000,"ND",0))),"-")</f>
        <v>4</v>
      </c>
      <c r="B6669" s="116">
        <v>50390</v>
      </c>
      <c r="C6669" s="117">
        <v>45627</v>
      </c>
      <c r="D6669" s="116">
        <v>493.73</v>
      </c>
      <c r="E6669" s="117">
        <v>45641</v>
      </c>
      <c r="F6669" s="116">
        <f>COUNTIFS($A$3:A14925,A6669,$B$3:B14925,B6669)</f>
        <v>1</v>
      </c>
      <c r="G6669" s="116"/>
    </row>
    <row r="6670" spans="1:7" x14ac:dyDescent="0.2">
      <c r="A6670" s="116">
        <f>IF(ISNUMBER(Tabela2[[#This Row],[CT-e/NFS]])=TRUE,(IF(B6670&gt;30000,4,IF(B6670&lt;1000,"ND",0))),"-")</f>
        <v>4</v>
      </c>
      <c r="B6670" s="116">
        <v>50372</v>
      </c>
      <c r="C6670" s="117">
        <v>45627</v>
      </c>
      <c r="D6670" s="116">
        <v>120.51</v>
      </c>
      <c r="E6670" s="117">
        <v>45641</v>
      </c>
      <c r="F6670" s="116">
        <f>COUNTIFS($A$3:A14926,A6670,$B$3:B14926,B6670)</f>
        <v>1</v>
      </c>
      <c r="G6670" s="116"/>
    </row>
    <row r="6671" spans="1:7" x14ac:dyDescent="0.2">
      <c r="A6671" s="116">
        <f>IF(ISNUMBER(Tabela2[[#This Row],[CT-e/NFS]])=TRUE,(IF(B6671&gt;30000,4,IF(B6671&lt;1000,"ND",0))),"-")</f>
        <v>4</v>
      </c>
      <c r="B6671" s="116">
        <v>50392</v>
      </c>
      <c r="C6671" s="117">
        <v>45627</v>
      </c>
      <c r="D6671" s="116">
        <v>296.95</v>
      </c>
      <c r="E6671" s="117">
        <v>45641</v>
      </c>
      <c r="F6671" s="116">
        <f>COUNTIFS($A$3:A14927,A6671,$B$3:B14927,B6671)</f>
        <v>1</v>
      </c>
      <c r="G6671" s="116"/>
    </row>
    <row r="6672" spans="1:7" x14ac:dyDescent="0.2">
      <c r="A6672" s="116">
        <f>IF(ISNUMBER(Tabela2[[#This Row],[CT-e/NFS]])=TRUE,(IF(B6672&gt;30000,4,IF(B6672&lt;1000,"ND",0))),"-")</f>
        <v>4</v>
      </c>
      <c r="B6672" s="116">
        <v>50371</v>
      </c>
      <c r="C6672" s="117">
        <v>45627</v>
      </c>
      <c r="D6672" s="116">
        <v>112.85</v>
      </c>
      <c r="E6672" s="117">
        <v>45641</v>
      </c>
      <c r="F6672" s="116">
        <f>COUNTIFS($A$3:A14928,A6672,$B$3:B14928,B6672)</f>
        <v>1</v>
      </c>
      <c r="G6672" s="116"/>
    </row>
    <row r="6673" spans="1:7" x14ac:dyDescent="0.2">
      <c r="A6673" s="116">
        <f>IF(ISNUMBER(Tabela2[[#This Row],[CT-e/NFS]])=TRUE,(IF(B6673&gt;30000,4,IF(B6673&lt;1000,"ND",0))),"-")</f>
        <v>4</v>
      </c>
      <c r="B6673" s="116">
        <v>50395</v>
      </c>
      <c r="C6673" s="117">
        <v>45627</v>
      </c>
      <c r="D6673" s="116">
        <v>61.45</v>
      </c>
      <c r="E6673" s="117">
        <v>45641</v>
      </c>
      <c r="F6673" s="116">
        <f>COUNTIFS($A$3:A14929,A6673,$B$3:B14929,B6673)</f>
        <v>1</v>
      </c>
      <c r="G6673" s="116"/>
    </row>
    <row r="6674" spans="1:7" x14ac:dyDescent="0.2">
      <c r="A6674" s="116">
        <f>IF(ISNUMBER(Tabela2[[#This Row],[CT-e/NFS]])=TRUE,(IF(B6674&gt;30000,4,IF(B6674&lt;1000,"ND",0))),"-")</f>
        <v>4</v>
      </c>
      <c r="B6674" s="116">
        <v>50396</v>
      </c>
      <c r="C6674" s="117">
        <v>45627</v>
      </c>
      <c r="D6674" s="116">
        <v>110.65</v>
      </c>
      <c r="E6674" s="117">
        <v>45641</v>
      </c>
      <c r="F6674" s="116">
        <f>COUNTIFS($A$3:A14930,A6674,$B$3:B14930,B6674)</f>
        <v>1</v>
      </c>
      <c r="G6674" s="116"/>
    </row>
    <row r="6675" spans="1:7" x14ac:dyDescent="0.2">
      <c r="A6675" s="116">
        <f>IF(ISNUMBER(Tabela2[[#This Row],[CT-e/NFS]])=TRUE,(IF(B6675&gt;30000,4,IF(B6675&lt;1000,"ND",0))),"-")</f>
        <v>4</v>
      </c>
      <c r="B6675" s="116">
        <v>50370</v>
      </c>
      <c r="C6675" s="117">
        <v>45627</v>
      </c>
      <c r="D6675" s="116">
        <v>62.56</v>
      </c>
      <c r="E6675" s="117">
        <v>45641</v>
      </c>
      <c r="F6675" s="116">
        <f>COUNTIFS($A$3:A14931,A6675,$B$3:B14931,B6675)</f>
        <v>1</v>
      </c>
      <c r="G6675" s="116"/>
    </row>
    <row r="6676" spans="1:7" x14ac:dyDescent="0.2">
      <c r="A6676" s="116">
        <f>IF(ISNUMBER(Tabela2[[#This Row],[CT-e/NFS]])=TRUE,(IF(B6676&gt;30000,4,IF(B6676&lt;1000,"ND",0))),"-")</f>
        <v>4</v>
      </c>
      <c r="B6676" s="116">
        <v>50384</v>
      </c>
      <c r="C6676" s="117">
        <v>45627</v>
      </c>
      <c r="D6676" s="116">
        <v>254.22</v>
      </c>
      <c r="E6676" s="117">
        <v>45641</v>
      </c>
      <c r="F6676" s="116">
        <f>COUNTIFS($A$3:A14932,A6676,$B$3:B14932,B6676)</f>
        <v>1</v>
      </c>
      <c r="G6676" s="116"/>
    </row>
    <row r="6677" spans="1:7" x14ac:dyDescent="0.2">
      <c r="A6677" s="116">
        <f>IF(ISNUMBER(Tabela2[[#This Row],[CT-e/NFS]])=TRUE,(IF(B6677&gt;30000,4,IF(B6677&lt;1000,"ND",0))),"-")</f>
        <v>4</v>
      </c>
      <c r="B6677" s="116">
        <v>50387</v>
      </c>
      <c r="C6677" s="117">
        <v>45627</v>
      </c>
      <c r="D6677" s="116">
        <v>180.64</v>
      </c>
      <c r="E6677" s="117">
        <v>45641</v>
      </c>
      <c r="F6677" s="116">
        <f>COUNTIFS($A$3:A14933,A6677,$B$3:B14933,B6677)</f>
        <v>1</v>
      </c>
      <c r="G6677" s="116"/>
    </row>
    <row r="6678" spans="1:7" x14ac:dyDescent="0.2">
      <c r="A6678" s="116">
        <f>IF(ISNUMBER(Tabela2[[#This Row],[CT-e/NFS]])=TRUE,(IF(B6678&gt;30000,4,IF(B6678&lt;1000,"ND",0))),"-")</f>
        <v>4</v>
      </c>
      <c r="B6678" s="116">
        <v>50373</v>
      </c>
      <c r="C6678" s="117">
        <v>45627</v>
      </c>
      <c r="D6678" s="116">
        <v>217.68</v>
      </c>
      <c r="E6678" s="117">
        <v>45641</v>
      </c>
      <c r="F6678" s="116">
        <f>COUNTIFS($A$3:A14934,A6678,$B$3:B14934,B6678)</f>
        <v>1</v>
      </c>
      <c r="G6678" s="116"/>
    </row>
    <row r="6679" spans="1:7" x14ac:dyDescent="0.2">
      <c r="A6679" s="116">
        <f>IF(ISNUMBER(Tabela2[[#This Row],[CT-e/NFS]])=TRUE,(IF(B6679&gt;30000,4,IF(B6679&lt;1000,"ND",0))),"-")</f>
        <v>4</v>
      </c>
      <c r="B6679" s="116">
        <v>50374</v>
      </c>
      <c r="C6679" s="117">
        <v>45627</v>
      </c>
      <c r="D6679" s="116">
        <v>1245.6099999999999</v>
      </c>
      <c r="E6679" s="117">
        <v>45641</v>
      </c>
      <c r="F6679" s="116">
        <f>COUNTIFS($A$3:A14935,A6679,$B$3:B14935,B6679)</f>
        <v>1</v>
      </c>
      <c r="G6679" s="116"/>
    </row>
    <row r="6680" spans="1:7" x14ac:dyDescent="0.2">
      <c r="A6680" s="116">
        <f>IF(ISNUMBER(Tabela2[[#This Row],[CT-e/NFS]])=TRUE,(IF(B6680&gt;30000,4,IF(B6680&lt;1000,"ND",0))),"-")</f>
        <v>4</v>
      </c>
      <c r="B6680" s="116">
        <v>50375</v>
      </c>
      <c r="C6680" s="117">
        <v>45627</v>
      </c>
      <c r="D6680" s="116">
        <v>389.75</v>
      </c>
      <c r="E6680" s="117">
        <v>45641</v>
      </c>
      <c r="F6680" s="116">
        <f>COUNTIFS($A$3:A14936,A6680,$B$3:B14936,B6680)</f>
        <v>1</v>
      </c>
      <c r="G6680" s="116"/>
    </row>
    <row r="6681" spans="1:7" x14ac:dyDescent="0.2">
      <c r="A6681" s="116">
        <f>IF(ISNUMBER(Tabela2[[#This Row],[CT-e/NFS]])=TRUE,(IF(B6681&gt;30000,4,IF(B6681&lt;1000,"ND",0))),"-")</f>
        <v>4</v>
      </c>
      <c r="B6681" s="116">
        <v>50376</v>
      </c>
      <c r="C6681" s="117">
        <v>45627</v>
      </c>
      <c r="D6681" s="116">
        <v>747.98</v>
      </c>
      <c r="E6681" s="117">
        <v>45641</v>
      </c>
      <c r="F6681" s="116">
        <f>COUNTIFS($A$3:A14937,A6681,$B$3:B14937,B6681)</f>
        <v>1</v>
      </c>
      <c r="G6681" s="116"/>
    </row>
    <row r="6682" spans="1:7" x14ac:dyDescent="0.2">
      <c r="A6682" s="116">
        <f>IF(ISNUMBER(Tabela2[[#This Row],[CT-e/NFS]])=TRUE,(IF(B6682&gt;30000,4,IF(B6682&lt;1000,"ND",0))),"-")</f>
        <v>4</v>
      </c>
      <c r="B6682" s="116">
        <v>50377</v>
      </c>
      <c r="C6682" s="117">
        <v>45627</v>
      </c>
      <c r="D6682" s="116">
        <v>588.66999999999996</v>
      </c>
      <c r="E6682" s="117">
        <v>45641</v>
      </c>
      <c r="F6682" s="116">
        <f>COUNTIFS($A$3:A14938,A6682,$B$3:B14938,B6682)</f>
        <v>1</v>
      </c>
      <c r="G6682" s="116"/>
    </row>
    <row r="6683" spans="1:7" x14ac:dyDescent="0.2">
      <c r="A6683" s="116">
        <f>IF(ISNUMBER(Tabela2[[#This Row],[CT-e/NFS]])=TRUE,(IF(B6683&gt;30000,4,IF(B6683&lt;1000,"ND",0))),"-")</f>
        <v>4</v>
      </c>
      <c r="B6683" s="116">
        <v>50378</v>
      </c>
      <c r="C6683" s="117">
        <v>45627</v>
      </c>
      <c r="D6683" s="116">
        <v>240.18</v>
      </c>
      <c r="E6683" s="117">
        <v>45641</v>
      </c>
      <c r="F6683" s="116">
        <f>COUNTIFS($A$3:A14939,A6683,$B$3:B14939,B6683)</f>
        <v>1</v>
      </c>
      <c r="G6683" s="116"/>
    </row>
    <row r="6684" spans="1:7" x14ac:dyDescent="0.2">
      <c r="A6684" s="116">
        <f>IF(ISNUMBER(Tabela2[[#This Row],[CT-e/NFS]])=TRUE,(IF(B6684&gt;30000,4,IF(B6684&lt;1000,"ND",0))),"-")</f>
        <v>4</v>
      </c>
      <c r="B6684" s="116">
        <v>50379</v>
      </c>
      <c r="C6684" s="117">
        <v>45627</v>
      </c>
      <c r="D6684" s="116">
        <v>240.2</v>
      </c>
      <c r="E6684" s="117">
        <v>45641</v>
      </c>
      <c r="F6684" s="116">
        <f>COUNTIFS($A$3:A14940,A6684,$B$3:B14940,B6684)</f>
        <v>1</v>
      </c>
      <c r="G6684" s="116"/>
    </row>
    <row r="6685" spans="1:7" x14ac:dyDescent="0.2">
      <c r="A6685" s="116">
        <f>IF(ISNUMBER(Tabela2[[#This Row],[CT-e/NFS]])=TRUE,(IF(B6685&gt;30000,4,IF(B6685&lt;1000,"ND",0))),"-")</f>
        <v>4</v>
      </c>
      <c r="B6685" s="116">
        <v>50386</v>
      </c>
      <c r="C6685" s="117">
        <v>45627</v>
      </c>
      <c r="D6685" s="116">
        <v>133.4</v>
      </c>
      <c r="E6685" s="117">
        <v>45641</v>
      </c>
      <c r="F6685" s="116">
        <f>COUNTIFS($A$3:A14941,A6685,$B$3:B14941,B6685)</f>
        <v>1</v>
      </c>
      <c r="G6685" s="116"/>
    </row>
    <row r="6686" spans="1:7" x14ac:dyDescent="0.2">
      <c r="A6686" s="116">
        <f>IF(ISNUMBER(Tabela2[[#This Row],[CT-e/NFS]])=TRUE,(IF(B6686&gt;30000,4,IF(B6686&lt;1000,"ND",0))),"-")</f>
        <v>0</v>
      </c>
      <c r="B6686" s="116">
        <v>22445</v>
      </c>
      <c r="C6686" s="117">
        <v>45627</v>
      </c>
      <c r="D6686" s="116">
        <v>132.19</v>
      </c>
      <c r="E6686" s="117">
        <v>45641</v>
      </c>
      <c r="F6686" s="116">
        <f>COUNTIFS($A$3:A14942,A6686,$B$3:B14942,B6686)</f>
        <v>1</v>
      </c>
      <c r="G6686" s="116"/>
    </row>
    <row r="6687" spans="1:7" x14ac:dyDescent="0.2">
      <c r="A6687" s="116">
        <f>IF(ISNUMBER(Tabela2[[#This Row],[CT-e/NFS]])=TRUE,(IF(B6687&gt;30000,4,IF(B6687&lt;1000,"ND",0))),"-")</f>
        <v>0</v>
      </c>
      <c r="B6687" s="116">
        <v>22444</v>
      </c>
      <c r="C6687" s="117">
        <v>45627</v>
      </c>
      <c r="D6687" s="116">
        <v>73.209999999999994</v>
      </c>
      <c r="E6687" s="117">
        <v>45641</v>
      </c>
      <c r="F6687" s="116">
        <f>COUNTIFS($A$3:A14943,A6687,$B$3:B14943,B6687)</f>
        <v>1</v>
      </c>
      <c r="G6687" s="116"/>
    </row>
    <row r="6688" spans="1:7" x14ac:dyDescent="0.2">
      <c r="A6688" s="116">
        <f>IF(ISNUMBER(Tabela2[[#This Row],[CT-e/NFS]])=TRUE,(IF(B6688&gt;30000,4,IF(B6688&lt;1000,"ND",0))),"-")</f>
        <v>0</v>
      </c>
      <c r="B6688" s="116">
        <v>22443</v>
      </c>
      <c r="C6688" s="117">
        <v>45627</v>
      </c>
      <c r="D6688" s="116">
        <v>76.58</v>
      </c>
      <c r="E6688" s="117">
        <v>45641</v>
      </c>
      <c r="F6688" s="116">
        <f>COUNTIFS($A$3:A14944,A6688,$B$3:B14944,B6688)</f>
        <v>1</v>
      </c>
      <c r="G6688" s="116"/>
    </row>
    <row r="6689" spans="1:7" x14ac:dyDescent="0.2">
      <c r="A6689" s="116">
        <f>IF(ISNUMBER(Tabela2[[#This Row],[CT-e/NFS]])=TRUE,(IF(B6689&gt;30000,4,IF(B6689&lt;1000,"ND",0))),"-")</f>
        <v>0</v>
      </c>
      <c r="B6689" s="116">
        <v>22440</v>
      </c>
      <c r="C6689" s="117">
        <v>45627</v>
      </c>
      <c r="D6689" s="116">
        <v>76.55</v>
      </c>
      <c r="E6689" s="117">
        <v>45641</v>
      </c>
      <c r="F6689" s="116">
        <f>COUNTIFS($A$3:A14945,A6689,$B$3:B14945,B6689)</f>
        <v>1</v>
      </c>
      <c r="G6689" s="116"/>
    </row>
    <row r="6690" spans="1:7" x14ac:dyDescent="0.2">
      <c r="A6690" s="116">
        <f>IF(ISNUMBER(Tabela2[[#This Row],[CT-e/NFS]])=TRUE,(IF(B6690&gt;30000,4,IF(B6690&lt;1000,"ND",0))),"-")</f>
        <v>0</v>
      </c>
      <c r="B6690" s="116">
        <v>22441</v>
      </c>
      <c r="C6690" s="117">
        <v>45627</v>
      </c>
      <c r="D6690" s="116">
        <v>77.25</v>
      </c>
      <c r="E6690" s="117">
        <v>45641</v>
      </c>
      <c r="F6690" s="116">
        <f>COUNTIFS($A$3:A14946,A6690,$B$3:B14946,B6690)</f>
        <v>1</v>
      </c>
      <c r="G6690" s="116"/>
    </row>
    <row r="6691" spans="1:7" x14ac:dyDescent="0.2">
      <c r="A6691" s="116">
        <f>IF(ISNUMBER(Tabela2[[#This Row],[CT-e/NFS]])=TRUE,(IF(B6691&gt;30000,4,IF(B6691&lt;1000,"ND",0))),"-")</f>
        <v>0</v>
      </c>
      <c r="B6691" s="116">
        <v>22442</v>
      </c>
      <c r="C6691" s="117">
        <v>45627</v>
      </c>
      <c r="D6691" s="116">
        <v>76.2</v>
      </c>
      <c r="E6691" s="117">
        <v>45641</v>
      </c>
      <c r="F6691" s="116">
        <f>COUNTIFS($A$3:A14947,A6691,$B$3:B14947,B6691)</f>
        <v>1</v>
      </c>
      <c r="G6691" s="116"/>
    </row>
    <row r="6692" spans="1:7" x14ac:dyDescent="0.2">
      <c r="A6692" s="116">
        <f>IF(ISNUMBER(Tabela2[[#This Row],[CT-e/NFS]])=TRUE,(IF(B6692&gt;30000,4,IF(B6692&lt;1000,"ND",0))),"-")</f>
        <v>4</v>
      </c>
      <c r="B6692" s="116">
        <v>50360</v>
      </c>
      <c r="C6692" s="117">
        <v>45627</v>
      </c>
      <c r="D6692" s="116">
        <v>122.92</v>
      </c>
      <c r="E6692" s="117">
        <v>45641</v>
      </c>
      <c r="F6692" s="116">
        <f>COUNTIFS($A$3:A14948,A6692,$B$3:B14948,B6692)</f>
        <v>1</v>
      </c>
      <c r="G6692" s="116"/>
    </row>
    <row r="6693" spans="1:7" x14ac:dyDescent="0.2">
      <c r="A6693" s="116">
        <f>IF(ISNUMBER(Tabela2[[#This Row],[CT-e/NFS]])=TRUE,(IF(B6693&gt;30000,4,IF(B6693&lt;1000,"ND",0))),"-")</f>
        <v>4</v>
      </c>
      <c r="B6693" s="116">
        <v>50357</v>
      </c>
      <c r="C6693" s="117">
        <v>45627</v>
      </c>
      <c r="D6693" s="116">
        <v>122.93</v>
      </c>
      <c r="E6693" s="117">
        <v>45641</v>
      </c>
      <c r="F6693" s="116">
        <f>COUNTIFS($A$3:A14949,A6693,$B$3:B14949,B6693)</f>
        <v>1</v>
      </c>
      <c r="G6693" s="116"/>
    </row>
    <row r="6694" spans="1:7" x14ac:dyDescent="0.2">
      <c r="A6694" s="116">
        <f>IF(ISNUMBER(Tabela2[[#This Row],[CT-e/NFS]])=TRUE,(IF(B6694&gt;30000,4,IF(B6694&lt;1000,"ND",0))),"-")</f>
        <v>4</v>
      </c>
      <c r="B6694" s="116">
        <v>50355</v>
      </c>
      <c r="C6694" s="117">
        <v>45627</v>
      </c>
      <c r="D6694" s="116">
        <v>124.03</v>
      </c>
      <c r="E6694" s="117">
        <v>45641</v>
      </c>
      <c r="F6694" s="116">
        <f>COUNTIFS($A$3:A14950,A6694,$B$3:B14950,B6694)</f>
        <v>1</v>
      </c>
      <c r="G6694" s="116"/>
    </row>
    <row r="6695" spans="1:7" x14ac:dyDescent="0.2">
      <c r="A6695" s="116">
        <f>IF(ISNUMBER(Tabela2[[#This Row],[CT-e/NFS]])=TRUE,(IF(B6695&gt;30000,4,IF(B6695&lt;1000,"ND",0))),"-")</f>
        <v>4</v>
      </c>
      <c r="B6695" s="116">
        <v>50346</v>
      </c>
      <c r="C6695" s="117">
        <v>45627</v>
      </c>
      <c r="D6695" s="116">
        <v>123.13</v>
      </c>
      <c r="E6695" s="117">
        <v>45641</v>
      </c>
      <c r="F6695" s="116">
        <f>COUNTIFS($A$3:A14951,A6695,$B$3:B14951,B6695)</f>
        <v>1</v>
      </c>
      <c r="G6695" s="116"/>
    </row>
    <row r="6696" spans="1:7" x14ac:dyDescent="0.2">
      <c r="A6696" s="116">
        <f>IF(ISNUMBER(Tabela2[[#This Row],[CT-e/NFS]])=TRUE,(IF(B6696&gt;30000,4,IF(B6696&lt;1000,"ND",0))),"-")</f>
        <v>4</v>
      </c>
      <c r="B6696" s="116">
        <v>50354</v>
      </c>
      <c r="C6696" s="117">
        <v>45627</v>
      </c>
      <c r="D6696" s="116">
        <v>123.95</v>
      </c>
      <c r="E6696" s="117">
        <v>45641</v>
      </c>
      <c r="F6696" s="116">
        <f>COUNTIFS($A$3:A14952,A6696,$B$3:B14952,B6696)</f>
        <v>1</v>
      </c>
      <c r="G6696" s="116"/>
    </row>
    <row r="6697" spans="1:7" x14ac:dyDescent="0.2">
      <c r="A6697" s="116">
        <f>IF(ISNUMBER(Tabela2[[#This Row],[CT-e/NFS]])=TRUE,(IF(B6697&gt;30000,4,IF(B6697&lt;1000,"ND",0))),"-")</f>
        <v>4</v>
      </c>
      <c r="B6697" s="116">
        <v>50349</v>
      </c>
      <c r="C6697" s="117">
        <v>45627</v>
      </c>
      <c r="D6697" s="116">
        <v>124.05</v>
      </c>
      <c r="E6697" s="117">
        <v>45641</v>
      </c>
      <c r="F6697" s="116">
        <f>COUNTIFS($A$3:A14953,A6697,$B$3:B14953,B6697)</f>
        <v>1</v>
      </c>
      <c r="G6697" s="116"/>
    </row>
    <row r="6698" spans="1:7" x14ac:dyDescent="0.2">
      <c r="A6698" s="116">
        <f>IF(ISNUMBER(Tabela2[[#This Row],[CT-e/NFS]])=TRUE,(IF(B6698&gt;30000,4,IF(B6698&lt;1000,"ND",0))),"-")</f>
        <v>4</v>
      </c>
      <c r="B6698" s="116">
        <v>50347</v>
      </c>
      <c r="C6698" s="117">
        <v>45627</v>
      </c>
      <c r="D6698" s="116">
        <v>125.13</v>
      </c>
      <c r="E6698" s="117">
        <v>45641</v>
      </c>
      <c r="F6698" s="116">
        <f>COUNTIFS($A$3:A14954,A6698,$B$3:B14954,B6698)</f>
        <v>1</v>
      </c>
      <c r="G6698" s="116"/>
    </row>
    <row r="6699" spans="1:7" x14ac:dyDescent="0.2">
      <c r="A6699" s="116">
        <f>IF(ISNUMBER(Tabela2[[#This Row],[CT-e/NFS]])=TRUE,(IF(B6699&gt;30000,4,IF(B6699&lt;1000,"ND",0))),"-")</f>
        <v>4</v>
      </c>
      <c r="B6699" s="116">
        <v>50356</v>
      </c>
      <c r="C6699" s="117">
        <v>45627</v>
      </c>
      <c r="D6699" s="116">
        <v>126.35</v>
      </c>
      <c r="E6699" s="117">
        <v>45641</v>
      </c>
      <c r="F6699" s="116">
        <f>COUNTIFS($A$3:A14955,A6699,$B$3:B14955,B6699)</f>
        <v>1</v>
      </c>
      <c r="G6699" s="116"/>
    </row>
    <row r="6700" spans="1:7" x14ac:dyDescent="0.2">
      <c r="A6700" s="116">
        <f>IF(ISNUMBER(Tabela2[[#This Row],[CT-e/NFS]])=TRUE,(IF(B6700&gt;30000,4,IF(B6700&lt;1000,"ND",0))),"-")</f>
        <v>4</v>
      </c>
      <c r="B6700" s="116">
        <v>50353</v>
      </c>
      <c r="C6700" s="117">
        <v>45627</v>
      </c>
      <c r="D6700" s="116">
        <v>369.5</v>
      </c>
      <c r="E6700" s="117">
        <v>45641</v>
      </c>
      <c r="F6700" s="116">
        <f>COUNTIFS($A$3:A14956,A6700,$B$3:B14956,B6700)</f>
        <v>1</v>
      </c>
      <c r="G6700" s="116"/>
    </row>
    <row r="6701" spans="1:7" x14ac:dyDescent="0.2">
      <c r="A6701" s="116">
        <f>IF(ISNUMBER(Tabela2[[#This Row],[CT-e/NFS]])=TRUE,(IF(B6701&gt;30000,4,IF(B6701&lt;1000,"ND",0))),"-")</f>
        <v>4</v>
      </c>
      <c r="B6701" s="116">
        <v>50368</v>
      </c>
      <c r="C6701" s="117">
        <v>45627</v>
      </c>
      <c r="D6701" s="116">
        <v>62.16</v>
      </c>
      <c r="E6701" s="117">
        <v>45641</v>
      </c>
      <c r="F6701" s="116">
        <f>COUNTIFS($A$3:A14957,A6701,$B$3:B14957,B6701)</f>
        <v>1</v>
      </c>
      <c r="G6701" s="116"/>
    </row>
    <row r="6702" spans="1:7" x14ac:dyDescent="0.2">
      <c r="A6702" s="116">
        <f>IF(ISNUMBER(Tabela2[[#This Row],[CT-e/NFS]])=TRUE,(IF(B6702&gt;30000,4,IF(B6702&lt;1000,"ND",0))),"-")</f>
        <v>4</v>
      </c>
      <c r="B6702" s="116">
        <v>50365</v>
      </c>
      <c r="C6702" s="117">
        <v>45627</v>
      </c>
      <c r="D6702" s="116">
        <v>110.93</v>
      </c>
      <c r="E6702" s="117">
        <v>45641</v>
      </c>
      <c r="F6702" s="116">
        <f>COUNTIFS($A$3:A14958,A6702,$B$3:B14958,B6702)</f>
        <v>1</v>
      </c>
      <c r="G6702" s="116"/>
    </row>
    <row r="6703" spans="1:7" x14ac:dyDescent="0.2">
      <c r="A6703" s="116">
        <f>IF(ISNUMBER(Tabela2[[#This Row],[CT-e/NFS]])=TRUE,(IF(B6703&gt;30000,4,IF(B6703&lt;1000,"ND",0))),"-")</f>
        <v>4</v>
      </c>
      <c r="B6703" s="116">
        <v>50364</v>
      </c>
      <c r="C6703" s="117">
        <v>45627</v>
      </c>
      <c r="D6703" s="116">
        <v>61.6</v>
      </c>
      <c r="E6703" s="117">
        <v>45641</v>
      </c>
      <c r="F6703" s="116">
        <f>COUNTIFS($A$3:A14959,A6703,$B$3:B14959,B6703)</f>
        <v>1</v>
      </c>
      <c r="G6703" s="116"/>
    </row>
    <row r="6704" spans="1:7" x14ac:dyDescent="0.2">
      <c r="A6704" s="116">
        <f>IF(ISNUMBER(Tabela2[[#This Row],[CT-e/NFS]])=TRUE,(IF(B6704&gt;30000,4,IF(B6704&lt;1000,"ND",0))),"-")</f>
        <v>4</v>
      </c>
      <c r="B6704" s="116">
        <v>50363</v>
      </c>
      <c r="C6704" s="117">
        <v>45627</v>
      </c>
      <c r="D6704" s="116">
        <v>111.61</v>
      </c>
      <c r="E6704" s="117">
        <v>45641</v>
      </c>
      <c r="F6704" s="116">
        <f>COUNTIFS($A$3:A14960,A6704,$B$3:B14960,B6704)</f>
        <v>1</v>
      </c>
      <c r="G6704" s="116"/>
    </row>
    <row r="6705" spans="1:7" x14ac:dyDescent="0.2">
      <c r="A6705" s="116">
        <f>IF(ISNUMBER(Tabela2[[#This Row],[CT-e/NFS]])=TRUE,(IF(B6705&gt;30000,4,IF(B6705&lt;1000,"ND",0))),"-")</f>
        <v>4</v>
      </c>
      <c r="B6705" s="116">
        <v>50362</v>
      </c>
      <c r="C6705" s="117">
        <v>45627</v>
      </c>
      <c r="D6705" s="116">
        <v>61.94</v>
      </c>
      <c r="E6705" s="117">
        <v>45641</v>
      </c>
      <c r="F6705" s="116">
        <f>COUNTIFS($A$3:A14961,A6705,$B$3:B14961,B6705)</f>
        <v>1</v>
      </c>
      <c r="G6705" s="116"/>
    </row>
    <row r="6706" spans="1:7" x14ac:dyDescent="0.2">
      <c r="A6706" s="116">
        <f>IF(ISNUMBER(Tabela2[[#This Row],[CT-e/NFS]])=TRUE,(IF(B6706&gt;30000,4,IF(B6706&lt;1000,"ND",0))),"-")</f>
        <v>4</v>
      </c>
      <c r="B6706" s="116">
        <v>50361</v>
      </c>
      <c r="C6706" s="117">
        <v>45627</v>
      </c>
      <c r="D6706" s="116">
        <v>784.81</v>
      </c>
      <c r="E6706" s="117">
        <v>45641</v>
      </c>
      <c r="F6706" s="116">
        <f>COUNTIFS($A$3:A14962,A6706,$B$3:B14962,B6706)</f>
        <v>1</v>
      </c>
      <c r="G6706" s="116"/>
    </row>
    <row r="6707" spans="1:7" x14ac:dyDescent="0.2">
      <c r="A6707" s="116">
        <f>IF(ISNUMBER(Tabela2[[#This Row],[CT-e/NFS]])=TRUE,(IF(B6707&gt;30000,4,IF(B6707&lt;1000,"ND",0))),"-")</f>
        <v>4</v>
      </c>
      <c r="B6707" s="116">
        <v>50358</v>
      </c>
      <c r="C6707" s="117">
        <v>45627</v>
      </c>
      <c r="D6707" s="116">
        <v>238.81</v>
      </c>
      <c r="E6707" s="117">
        <v>45641</v>
      </c>
      <c r="F6707" s="116">
        <f>COUNTIFS($A$3:A14963,A6707,$B$3:B14963,B6707)</f>
        <v>1</v>
      </c>
      <c r="G6707" s="116"/>
    </row>
    <row r="6708" spans="1:7" x14ac:dyDescent="0.2">
      <c r="A6708" s="116">
        <f>IF(ISNUMBER(Tabela2[[#This Row],[CT-e/NFS]])=TRUE,(IF(B6708&gt;30000,4,IF(B6708&lt;1000,"ND",0))),"-")</f>
        <v>4</v>
      </c>
      <c r="B6708" s="116">
        <v>50352</v>
      </c>
      <c r="C6708" s="117">
        <v>45627</v>
      </c>
      <c r="D6708" s="116">
        <v>784.81</v>
      </c>
      <c r="E6708" s="117">
        <v>45641</v>
      </c>
      <c r="F6708" s="116">
        <f>COUNTIFS($A$3:A14964,A6708,$B$3:B14964,B6708)</f>
        <v>1</v>
      </c>
      <c r="G6708" s="116"/>
    </row>
    <row r="6709" spans="1:7" x14ac:dyDescent="0.2">
      <c r="A6709" s="116">
        <f>IF(ISNUMBER(Tabela2[[#This Row],[CT-e/NFS]])=TRUE,(IF(B6709&gt;30000,4,IF(B6709&lt;1000,"ND",0))),"-")</f>
        <v>4</v>
      </c>
      <c r="B6709" s="116">
        <v>50351</v>
      </c>
      <c r="C6709" s="117">
        <v>45627</v>
      </c>
      <c r="D6709" s="116">
        <v>931.13</v>
      </c>
      <c r="E6709" s="117">
        <v>45641</v>
      </c>
      <c r="F6709" s="116">
        <f>COUNTIFS($A$3:A14965,A6709,$B$3:B14965,B6709)</f>
        <v>1</v>
      </c>
      <c r="G6709" s="116"/>
    </row>
    <row r="6710" spans="1:7" x14ac:dyDescent="0.2">
      <c r="A6710" s="116">
        <f>IF(ISNUMBER(Tabela2[[#This Row],[CT-e/NFS]])=TRUE,(IF(B6710&gt;30000,4,IF(B6710&lt;1000,"ND",0))),"-")</f>
        <v>4</v>
      </c>
      <c r="B6710" s="116">
        <v>50350</v>
      </c>
      <c r="C6710" s="117">
        <v>45627</v>
      </c>
      <c r="D6710" s="116">
        <v>238.82</v>
      </c>
      <c r="E6710" s="117">
        <v>45641</v>
      </c>
      <c r="F6710" s="116">
        <f>COUNTIFS($A$3:A14966,A6710,$B$3:B14966,B6710)</f>
        <v>1</v>
      </c>
      <c r="G6710" s="116"/>
    </row>
    <row r="6711" spans="1:7" x14ac:dyDescent="0.2">
      <c r="A6711" s="134">
        <f>IF(ISNUMBER(Tabela2[[#This Row],[CT-e/NFS]])=TRUE,(IF(B6711&gt;30000,4,IF(B6711&lt;1000,"ND",0))),"-")</f>
        <v>4</v>
      </c>
      <c r="B6711" s="134">
        <v>50348</v>
      </c>
      <c r="C6711" s="135">
        <v>45627</v>
      </c>
      <c r="D6711" s="134">
        <v>241.03</v>
      </c>
      <c r="E6711" s="135">
        <v>45641</v>
      </c>
      <c r="F6711" s="134">
        <f>COUNTIFS($A$3:A14967,A6711,$B$3:B14967,B6711)</f>
        <v>1</v>
      </c>
      <c r="G6711" s="136" t="s">
        <v>151</v>
      </c>
    </row>
    <row r="6712" spans="1:7" x14ac:dyDescent="0.2">
      <c r="A6712" s="116">
        <f>IF(ISNUMBER(Tabela2[[#This Row],[CT-e/NFS]])=TRUE,(IF(B6712&gt;30000,4,IF(B6712&lt;1000,"ND",0))),"-")</f>
        <v>0</v>
      </c>
      <c r="B6712" s="116">
        <v>22439</v>
      </c>
      <c r="C6712" s="117">
        <v>45627</v>
      </c>
      <c r="D6712" s="116">
        <v>515.41</v>
      </c>
      <c r="E6712" s="117">
        <v>45641</v>
      </c>
      <c r="F6712" s="116">
        <f>COUNTIFS($A$3:A14968,A6712,$B$3:B14968,B6712)</f>
        <v>1</v>
      </c>
      <c r="G6712" s="116"/>
    </row>
    <row r="6713" spans="1:7" x14ac:dyDescent="0.2">
      <c r="A6713" s="116">
        <f>IF(ISNUMBER(Tabela2[[#This Row],[CT-e/NFS]])=TRUE,(IF(B6713&gt;30000,4,IF(B6713&lt;1000,"ND",0))),"-")</f>
        <v>0</v>
      </c>
      <c r="B6713" s="116">
        <v>22437</v>
      </c>
      <c r="C6713" s="117">
        <v>45627</v>
      </c>
      <c r="D6713" s="116">
        <v>146.43</v>
      </c>
      <c r="E6713" s="117">
        <v>45641</v>
      </c>
      <c r="F6713" s="116">
        <f>COUNTIFS($A$3:A14969,A6713,$B$3:B14969,B6713)</f>
        <v>1</v>
      </c>
      <c r="G6713" s="116"/>
    </row>
    <row r="6714" spans="1:7" x14ac:dyDescent="0.2">
      <c r="A6714" s="116">
        <f>IF(ISNUMBER(Tabela2[[#This Row],[CT-e/NFS]])=TRUE,(IF(B6714&gt;30000,4,IF(B6714&lt;1000,"ND",0))),"-")</f>
        <v>0</v>
      </c>
      <c r="B6714" s="116">
        <v>22438</v>
      </c>
      <c r="C6714" s="117">
        <v>45627</v>
      </c>
      <c r="D6714" s="116">
        <v>162.80000000000001</v>
      </c>
      <c r="E6714" s="117">
        <v>45641</v>
      </c>
      <c r="F6714" s="116">
        <f>COUNTIFS($A$3:A14970,A6714,$B$3:B14970,B6714)</f>
        <v>1</v>
      </c>
      <c r="G6714" s="116"/>
    </row>
    <row r="6715" spans="1:7" x14ac:dyDescent="0.2">
      <c r="A6715" s="116">
        <f>IF(ISNUMBER(Tabela2[[#This Row],[CT-e/NFS]])=TRUE,(IF(B6715&gt;30000,4,IF(B6715&lt;1000,"ND",0))),"-")</f>
        <v>0</v>
      </c>
      <c r="B6715" s="116">
        <v>22435</v>
      </c>
      <c r="C6715" s="117">
        <v>45627</v>
      </c>
      <c r="D6715" s="116">
        <v>77.58</v>
      </c>
      <c r="E6715" s="117">
        <v>45641</v>
      </c>
      <c r="F6715" s="116">
        <f>COUNTIFS($A$3:A14971,A6715,$B$3:B14971,B6715)</f>
        <v>1</v>
      </c>
      <c r="G6715" s="116"/>
    </row>
    <row r="6716" spans="1:7" x14ac:dyDescent="0.2">
      <c r="A6716" s="116">
        <f>IF(ISNUMBER(Tabela2[[#This Row],[CT-e/NFS]])=TRUE,(IF(B6716&gt;30000,4,IF(B6716&lt;1000,"ND",0))),"-")</f>
        <v>0</v>
      </c>
      <c r="B6716" s="116">
        <v>22434</v>
      </c>
      <c r="C6716" s="117">
        <v>45627</v>
      </c>
      <c r="D6716" s="116">
        <v>76.28</v>
      </c>
      <c r="E6716" s="117">
        <v>45641</v>
      </c>
      <c r="F6716" s="116">
        <f>COUNTIFS($A$3:A14972,A6716,$B$3:B14972,B6716)</f>
        <v>1</v>
      </c>
      <c r="G6716" s="116"/>
    </row>
    <row r="6717" spans="1:7" x14ac:dyDescent="0.2">
      <c r="A6717" s="116">
        <f>IF(ISNUMBER(Tabela2[[#This Row],[CT-e/NFS]])=TRUE,(IF(B6717&gt;30000,4,IF(B6717&lt;1000,"ND",0))),"-")</f>
        <v>0</v>
      </c>
      <c r="B6717" s="116">
        <v>22436</v>
      </c>
      <c r="C6717" s="117">
        <v>45627</v>
      </c>
      <c r="D6717" s="116">
        <v>76.28</v>
      </c>
      <c r="E6717" s="117">
        <v>45641</v>
      </c>
      <c r="F6717" s="116">
        <f>COUNTIFS($A$3:A14973,A6717,$B$3:B14973,B6717)</f>
        <v>1</v>
      </c>
      <c r="G6717" s="116"/>
    </row>
    <row r="6718" spans="1:7" x14ac:dyDescent="0.2">
      <c r="A6718" s="116">
        <f>IF(ISNUMBER(Tabela2[[#This Row],[CT-e/NFS]])=TRUE,(IF(B6718&gt;30000,4,IF(B6718&lt;1000,"ND",0))),"-")</f>
        <v>0</v>
      </c>
      <c r="B6718" s="116">
        <v>22407</v>
      </c>
      <c r="C6718" s="117">
        <v>45627</v>
      </c>
      <c r="D6718" s="116">
        <v>72.48</v>
      </c>
      <c r="E6718" s="117">
        <v>45656</v>
      </c>
      <c r="F6718" s="116">
        <f>COUNTIFS($A$3:A14974,A6718,$B$3:B14974,B6718)</f>
        <v>1</v>
      </c>
      <c r="G6718" s="137" t="s">
        <v>152</v>
      </c>
    </row>
    <row r="6719" spans="1:7" x14ac:dyDescent="0.2">
      <c r="A6719" s="116">
        <f>IF(ISNUMBER(Tabela2[[#This Row],[CT-e/NFS]])=TRUE,(IF(B6719&gt;30000,4,IF(B6719&lt;1000,"ND",0))),"-")</f>
        <v>0</v>
      </c>
      <c r="B6719" s="116">
        <v>22419</v>
      </c>
      <c r="C6719" s="117">
        <v>45627</v>
      </c>
      <c r="D6719" s="116">
        <v>324.11</v>
      </c>
      <c r="E6719" s="117">
        <v>45656</v>
      </c>
      <c r="F6719" s="116">
        <f>COUNTIFS($A$3:A14975,A6719,$B$3:B14975,B6719)</f>
        <v>1</v>
      </c>
      <c r="G6719" s="137" t="s">
        <v>152</v>
      </c>
    </row>
    <row r="6720" spans="1:7" x14ac:dyDescent="0.2">
      <c r="A6720" s="116">
        <f>IF(ISNUMBER(Tabela2[[#This Row],[CT-e/NFS]])=TRUE,(IF(B6720&gt;30000,4,IF(B6720&lt;1000,"ND",0))),"-")</f>
        <v>4</v>
      </c>
      <c r="B6720" s="116">
        <v>50497</v>
      </c>
      <c r="C6720" s="117">
        <v>45627</v>
      </c>
      <c r="D6720" s="116">
        <v>563.4</v>
      </c>
      <c r="E6720" s="117">
        <v>45656</v>
      </c>
      <c r="F6720" s="116">
        <f>COUNTIFS($A$3:A14976,A6720,$B$3:B14976,B6720)</f>
        <v>1</v>
      </c>
      <c r="G6720" s="137" t="s">
        <v>152</v>
      </c>
    </row>
    <row r="6721" spans="1:7" x14ac:dyDescent="0.2">
      <c r="A6721" s="116">
        <f>IF(ISNUMBER(Tabela2[[#This Row],[CT-e/NFS]])=TRUE,(IF(B6721&gt;30000,4,IF(B6721&lt;1000,"ND",0))),"-")</f>
        <v>4</v>
      </c>
      <c r="B6721" s="116">
        <v>50515</v>
      </c>
      <c r="C6721" s="117">
        <v>45627</v>
      </c>
      <c r="D6721" s="116">
        <v>408.02</v>
      </c>
      <c r="E6721" s="117">
        <v>45656</v>
      </c>
      <c r="F6721" s="116">
        <f>COUNTIFS($A$3:A14977,A6721,$B$3:B14977,B6721)</f>
        <v>1</v>
      </c>
      <c r="G6721" s="137" t="s">
        <v>152</v>
      </c>
    </row>
    <row r="6722" spans="1:7" x14ac:dyDescent="0.2">
      <c r="A6722" s="116">
        <f>IF(ISNUMBER(Tabela2[[#This Row],[CT-e/NFS]])=TRUE,(IF(B6722&gt;30000,4,IF(B6722&lt;1000,"ND",0))),"-")</f>
        <v>0</v>
      </c>
      <c r="B6722" s="116">
        <v>22452</v>
      </c>
      <c r="C6722" s="117">
        <v>45627</v>
      </c>
      <c r="D6722" s="116">
        <v>324.67</v>
      </c>
      <c r="E6722" s="117">
        <v>45656</v>
      </c>
      <c r="F6722" s="116">
        <f>COUNTIFS($A$3:A14978,A6722,$B$3:B14978,B6722)</f>
        <v>1</v>
      </c>
      <c r="G6722" s="137" t="s">
        <v>152</v>
      </c>
    </row>
    <row r="6723" spans="1:7" x14ac:dyDescent="0.2">
      <c r="A6723" s="116">
        <f>IF(ISNUMBER(Tabela2[[#This Row],[CT-e/NFS]])=TRUE,(IF(B6723&gt;30000,4,IF(B6723&lt;1000,"ND",0))),"-")</f>
        <v>0</v>
      </c>
      <c r="B6723" s="116">
        <v>22458</v>
      </c>
      <c r="C6723" s="117">
        <v>45627</v>
      </c>
      <c r="D6723" s="116">
        <v>75.61</v>
      </c>
      <c r="E6723" s="117">
        <v>45656</v>
      </c>
      <c r="F6723" s="116">
        <f>COUNTIFS($A$3:A14979,A6723,$B$3:B14979,B6723)</f>
        <v>1</v>
      </c>
      <c r="G6723" s="137" t="s">
        <v>152</v>
      </c>
    </row>
    <row r="6724" spans="1:7" x14ac:dyDescent="0.2">
      <c r="A6724" s="116" t="str">
        <f>IF(ISNUMBER(Tabela2[[#This Row],[CT-e/NFS]])=TRUE,(IF(B6724&gt;30000,4,IF(B6724&lt;1000,"ND",0))),"-")</f>
        <v>-</v>
      </c>
      <c r="B6724" s="116" t="s">
        <v>153</v>
      </c>
      <c r="C6724" s="117">
        <v>45658</v>
      </c>
      <c r="D6724" s="116">
        <v>122.93</v>
      </c>
      <c r="E6724" s="117">
        <v>45656</v>
      </c>
      <c r="F6724" s="116">
        <f>COUNTIFS($A$3:A14980,A6724,$B$3:B14980,B6724)</f>
        <v>1</v>
      </c>
      <c r="G6724" s="116"/>
    </row>
    <row r="6725" spans="1:7" x14ac:dyDescent="0.2">
      <c r="A6725" s="116" t="str">
        <f>IF(ISNUMBER(Tabela2[[#This Row],[CT-e/NFS]])=TRUE,(IF(B6725&gt;30000,4,IF(B6725&lt;1000,"ND",0))),"-")</f>
        <v>-</v>
      </c>
      <c r="B6725" s="116" t="s">
        <v>154</v>
      </c>
      <c r="C6725" s="117">
        <v>45658</v>
      </c>
      <c r="D6725" s="116">
        <v>122.91</v>
      </c>
      <c r="E6725" s="117">
        <v>45656</v>
      </c>
      <c r="F6725" s="116">
        <f>COUNTIFS($A$3:A14981,A6725,$B$3:B14981,B6725)</f>
        <v>1</v>
      </c>
      <c r="G6725" s="116"/>
    </row>
    <row r="6726" spans="1:7" x14ac:dyDescent="0.2">
      <c r="A6726" s="116" t="str">
        <f>IF(ISNUMBER(Tabela2[[#This Row],[CT-e/NFS]])=TRUE,(IF(B6726&gt;30000,4,IF(B6726&lt;1000,"ND",0))),"-")</f>
        <v>-</v>
      </c>
      <c r="B6726" s="116" t="s">
        <v>155</v>
      </c>
      <c r="C6726" s="117">
        <v>45658</v>
      </c>
      <c r="D6726" s="116">
        <v>125.78</v>
      </c>
      <c r="E6726" s="117">
        <v>45656</v>
      </c>
      <c r="F6726" s="116">
        <f>COUNTIFS($A$3:A14982,A6726,$B$3:B14982,B6726)</f>
        <v>1</v>
      </c>
      <c r="G6726" s="116"/>
    </row>
    <row r="6727" spans="1:7" x14ac:dyDescent="0.2">
      <c r="A6727" s="116" t="str">
        <f>IF(ISNUMBER(Tabela2[[#This Row],[CT-e/NFS]])=TRUE,(IF(B6727&gt;30000,4,IF(B6727&lt;1000,"ND",0))),"-")</f>
        <v>-</v>
      </c>
      <c r="B6727" s="116" t="s">
        <v>156</v>
      </c>
      <c r="C6727" s="117">
        <v>45658</v>
      </c>
      <c r="D6727" s="116">
        <v>124.31</v>
      </c>
      <c r="E6727" s="117">
        <v>45656</v>
      </c>
      <c r="F6727" s="116">
        <f>COUNTIFS($A$3:A14983,A6727,$B$3:B14983,B6727)</f>
        <v>1</v>
      </c>
      <c r="G6727" s="116"/>
    </row>
    <row r="6728" spans="1:7" x14ac:dyDescent="0.2">
      <c r="A6728" s="116" t="str">
        <f>IF(ISNUMBER(Tabela2[[#This Row],[CT-e/NFS]])=TRUE,(IF(B6728&gt;30000,4,IF(B6728&lt;1000,"ND",0))),"-")</f>
        <v>-</v>
      </c>
      <c r="B6728" s="116" t="s">
        <v>157</v>
      </c>
      <c r="C6728" s="117">
        <v>45658</v>
      </c>
      <c r="D6728" s="116">
        <v>62.44</v>
      </c>
      <c r="E6728" s="117">
        <v>45656</v>
      </c>
      <c r="F6728" s="116">
        <f>COUNTIFS($A$3:A14984,A6728,$B$3:B14984,B6728)</f>
        <v>1</v>
      </c>
      <c r="G6728" s="116"/>
    </row>
    <row r="6729" spans="1:7" x14ac:dyDescent="0.2">
      <c r="A6729" s="116" t="str">
        <f>IF(ISNUMBER(Tabela2[[#This Row],[CT-e/NFS]])=TRUE,(IF(B6729&gt;30000,4,IF(B6729&lt;1000,"ND",0))),"-")</f>
        <v>-</v>
      </c>
      <c r="B6729" s="116" t="s">
        <v>158</v>
      </c>
      <c r="C6729" s="117">
        <v>45658</v>
      </c>
      <c r="D6729" s="116">
        <v>112.4</v>
      </c>
      <c r="E6729" s="117">
        <v>45656</v>
      </c>
      <c r="F6729" s="116">
        <f>COUNTIFS($A$3:A14985,A6729,$B$3:B14985,B6729)</f>
        <v>1</v>
      </c>
      <c r="G6729" s="116"/>
    </row>
    <row r="6730" spans="1:7" x14ac:dyDescent="0.2">
      <c r="A6730" s="116" t="str">
        <f>IF(ISNUMBER(Tabela2[[#This Row],[CT-e/NFS]])=TRUE,(IF(B6730&gt;30000,4,IF(B6730&lt;1000,"ND",0))),"-")</f>
        <v>-</v>
      </c>
      <c r="B6730" s="116" t="s">
        <v>159</v>
      </c>
      <c r="C6730" s="117">
        <v>45658</v>
      </c>
      <c r="D6730" s="116">
        <v>177.57</v>
      </c>
      <c r="E6730" s="117">
        <v>45656</v>
      </c>
      <c r="F6730" s="116">
        <f>COUNTIFS($A$3:A14986,A6730,$B$3:B14986,B6730)</f>
        <v>1</v>
      </c>
      <c r="G6730" s="116"/>
    </row>
    <row r="6731" spans="1:7" x14ac:dyDescent="0.2">
      <c r="A6731" s="116" t="str">
        <f>IF(ISNUMBER(Tabela2[[#This Row],[CT-e/NFS]])=TRUE,(IF(B6731&gt;30000,4,IF(B6731&lt;1000,"ND",0))),"-")</f>
        <v>-</v>
      </c>
      <c r="B6731" s="116" t="s">
        <v>160</v>
      </c>
      <c r="C6731" s="117">
        <v>45658</v>
      </c>
      <c r="D6731" s="116">
        <v>319.60000000000002</v>
      </c>
      <c r="E6731" s="117">
        <v>45656</v>
      </c>
      <c r="F6731" s="116">
        <f>COUNTIFS($A$3:A14987,A6731,$B$3:B14987,B6731)</f>
        <v>1</v>
      </c>
      <c r="G6731" s="116"/>
    </row>
    <row r="6732" spans="1:7" x14ac:dyDescent="0.2">
      <c r="A6732" s="116" t="str">
        <f>IF(ISNUMBER(Tabela2[[#This Row],[CT-e/NFS]])=TRUE,(IF(B6732&gt;30000,4,IF(B6732&lt;1000,"ND",0))),"-")</f>
        <v>-</v>
      </c>
      <c r="B6732" s="116" t="s">
        <v>161</v>
      </c>
      <c r="C6732" s="117">
        <v>45658</v>
      </c>
      <c r="D6732" s="116">
        <v>1568.55</v>
      </c>
      <c r="E6732" s="117">
        <v>45656</v>
      </c>
      <c r="F6732" s="116">
        <f>COUNTIFS($A$3:A14988,A6732,$B$3:B14988,B6732)</f>
        <v>1</v>
      </c>
      <c r="G6732" s="116"/>
    </row>
    <row r="6733" spans="1:7" x14ac:dyDescent="0.2">
      <c r="A6733" s="116">
        <f>IF(ISNUMBER(Tabela2[[#This Row],[CT-e/NFS]])=TRUE,(IF(B6733&gt;30000,4,IF(B6733&lt;1000,"ND",0))),"-")</f>
        <v>4</v>
      </c>
      <c r="B6733" s="116">
        <v>50498</v>
      </c>
      <c r="C6733" s="117">
        <v>45658</v>
      </c>
      <c r="D6733" s="116">
        <v>8129.94</v>
      </c>
      <c r="E6733" s="117">
        <v>45656</v>
      </c>
      <c r="F6733" s="116">
        <f>COUNTIFS($A$3:A14989,A6733,$B$3:B14989,B6733)</f>
        <v>1</v>
      </c>
      <c r="G6733" s="116"/>
    </row>
    <row r="6734" spans="1:7" x14ac:dyDescent="0.2">
      <c r="A6734" s="116">
        <f>IF(ISNUMBER(Tabela2[[#This Row],[CT-e/NFS]])=TRUE,(IF(B6734&gt;30000,4,IF(B6734&lt;1000,"ND",0))),"-")</f>
        <v>4</v>
      </c>
      <c r="B6734" s="116">
        <v>50499</v>
      </c>
      <c r="C6734" s="117">
        <v>45658</v>
      </c>
      <c r="D6734" s="116">
        <v>11582.37</v>
      </c>
      <c r="E6734" s="117">
        <v>45656</v>
      </c>
      <c r="F6734" s="116">
        <f>COUNTIFS($A$3:A14990,A6734,$B$3:B14990,B6734)</f>
        <v>1</v>
      </c>
      <c r="G6734" s="116"/>
    </row>
    <row r="6735" spans="1:7" x14ac:dyDescent="0.2">
      <c r="A6735" s="116">
        <f>IF(ISNUMBER(Tabela2[[#This Row],[CT-e/NFS]])=TRUE,(IF(B6735&gt;30000,4,IF(B6735&lt;1000,"ND",0))),"-")</f>
        <v>4</v>
      </c>
      <c r="B6735" s="116">
        <v>50481</v>
      </c>
      <c r="C6735" s="117">
        <v>45658</v>
      </c>
      <c r="D6735" s="116">
        <v>240.85</v>
      </c>
      <c r="E6735" s="117">
        <v>45656</v>
      </c>
      <c r="F6735" s="116">
        <f>COUNTIFS($A$3:A14991,A6735,$B$3:B14991,B6735)</f>
        <v>1</v>
      </c>
      <c r="G6735" s="116"/>
    </row>
    <row r="6736" spans="1:7" x14ac:dyDescent="0.2">
      <c r="A6736" s="116">
        <f>IF(ISNUMBER(Tabela2[[#This Row],[CT-e/NFS]])=TRUE,(IF(B6736&gt;30000,4,IF(B6736&lt;1000,"ND",0))),"-")</f>
        <v>4</v>
      </c>
      <c r="B6736" s="116">
        <v>50480</v>
      </c>
      <c r="C6736" s="117">
        <v>45658</v>
      </c>
      <c r="D6736" s="116">
        <v>274.77999999999997</v>
      </c>
      <c r="E6736" s="117">
        <v>45656</v>
      </c>
      <c r="F6736" s="116">
        <f>COUNTIFS($A$3:A14992,A6736,$B$3:B14992,B6736)</f>
        <v>1</v>
      </c>
      <c r="G6736" s="116"/>
    </row>
    <row r="6737" spans="1:7" x14ac:dyDescent="0.2">
      <c r="A6737" s="116">
        <f>IF(ISNUMBER(Tabela2[[#This Row],[CT-e/NFS]])=TRUE,(IF(B6737&gt;30000,4,IF(B6737&lt;1000,"ND",0))),"-")</f>
        <v>4</v>
      </c>
      <c r="B6737" s="116">
        <v>50479</v>
      </c>
      <c r="C6737" s="117">
        <v>45658</v>
      </c>
      <c r="D6737" s="116">
        <v>615.09</v>
      </c>
      <c r="E6737" s="117">
        <v>45656</v>
      </c>
      <c r="F6737" s="116">
        <f>COUNTIFS($A$3:A14993,A6737,$B$3:B14993,B6737)</f>
        <v>1</v>
      </c>
      <c r="G6737" s="116"/>
    </row>
    <row r="6738" spans="1:7" x14ac:dyDescent="0.2">
      <c r="A6738" s="116">
        <f>IF(ISNUMBER(Tabela2[[#This Row],[CT-e/NFS]])=TRUE,(IF(B6738&gt;30000,4,IF(B6738&lt;1000,"ND",0))),"-")</f>
        <v>4</v>
      </c>
      <c r="B6738" s="116">
        <v>50478</v>
      </c>
      <c r="C6738" s="117">
        <v>45658</v>
      </c>
      <c r="D6738" s="116">
        <v>536.30999999999995</v>
      </c>
      <c r="E6738" s="117">
        <v>45656</v>
      </c>
      <c r="F6738" s="116">
        <f>COUNTIFS($A$3:A14994,A6738,$B$3:B14994,B6738)</f>
        <v>1</v>
      </c>
      <c r="G6738" s="116"/>
    </row>
    <row r="6739" spans="1:7" x14ac:dyDescent="0.2">
      <c r="A6739" s="116">
        <f>IF(ISNUMBER(Tabela2[[#This Row],[CT-e/NFS]])=TRUE,(IF(B6739&gt;30000,4,IF(B6739&lt;1000,"ND",0))),"-")</f>
        <v>4</v>
      </c>
      <c r="B6739" s="116">
        <v>50495</v>
      </c>
      <c r="C6739" s="117">
        <v>45658</v>
      </c>
      <c r="D6739" s="116">
        <v>246.3</v>
      </c>
      <c r="E6739" s="117">
        <v>45656</v>
      </c>
      <c r="F6739" s="116">
        <f>COUNTIFS($A$3:A14995,A6739,$B$3:B14995,B6739)</f>
        <v>1</v>
      </c>
      <c r="G6739" s="116"/>
    </row>
    <row r="6740" spans="1:7" x14ac:dyDescent="0.2">
      <c r="A6740" s="116">
        <f>IF(ISNUMBER(Tabela2[[#This Row],[CT-e/NFS]])=TRUE,(IF(B6740&gt;30000,4,IF(B6740&lt;1000,"ND",0))),"-")</f>
        <v>4</v>
      </c>
      <c r="B6740" s="116">
        <v>50476</v>
      </c>
      <c r="C6740" s="117">
        <v>45658</v>
      </c>
      <c r="D6740" s="116">
        <v>454.19</v>
      </c>
      <c r="E6740" s="117">
        <v>45656</v>
      </c>
      <c r="F6740" s="116">
        <f>COUNTIFS($A$3:A14996,A6740,$B$3:B14996,B6740)</f>
        <v>1</v>
      </c>
      <c r="G6740" s="116"/>
    </row>
    <row r="6741" spans="1:7" x14ac:dyDescent="0.2">
      <c r="A6741" s="116">
        <f>IF(ISNUMBER(Tabela2[[#This Row],[CT-e/NFS]])=TRUE,(IF(B6741&gt;30000,4,IF(B6741&lt;1000,"ND",0))),"-")</f>
        <v>4</v>
      </c>
      <c r="B6741" s="116">
        <v>50477</v>
      </c>
      <c r="C6741" s="117">
        <v>45658</v>
      </c>
      <c r="D6741" s="116">
        <v>606.9</v>
      </c>
      <c r="E6741" s="117">
        <v>45656</v>
      </c>
      <c r="F6741" s="116">
        <f>COUNTIFS($A$3:A14997,A6741,$B$3:B14997,B6741)</f>
        <v>1</v>
      </c>
      <c r="G6741" s="116"/>
    </row>
    <row r="6742" spans="1:7" x14ac:dyDescent="0.2">
      <c r="A6742" s="116">
        <f>IF(ISNUMBER(Tabela2[[#This Row],[CT-e/NFS]])=TRUE,(IF(B6742&gt;30000,4,IF(B6742&lt;1000,"ND",0))),"-")</f>
        <v>4</v>
      </c>
      <c r="B6742" s="116">
        <v>50474</v>
      </c>
      <c r="C6742" s="117">
        <v>45658</v>
      </c>
      <c r="D6742" s="116">
        <v>391.58</v>
      </c>
      <c r="E6742" s="117">
        <v>45656</v>
      </c>
      <c r="F6742" s="116">
        <f>COUNTIFS($A$3:A14998,A6742,$B$3:B14998,B6742)</f>
        <v>1</v>
      </c>
      <c r="G6742" s="116"/>
    </row>
    <row r="6743" spans="1:7" x14ac:dyDescent="0.2">
      <c r="A6743" s="116">
        <f>IF(ISNUMBER(Tabela2[[#This Row],[CT-e/NFS]])=TRUE,(IF(B6743&gt;30000,4,IF(B6743&lt;1000,"ND",0))),"-")</f>
        <v>4</v>
      </c>
      <c r="B6743" s="116">
        <v>50475</v>
      </c>
      <c r="C6743" s="117">
        <v>45658</v>
      </c>
      <c r="D6743" s="116">
        <v>2393.64</v>
      </c>
      <c r="E6743" s="117">
        <v>45656</v>
      </c>
      <c r="F6743" s="116">
        <f>COUNTIFS($A$3:A14999,A6743,$B$3:B14999,B6743)</f>
        <v>1</v>
      </c>
      <c r="G6743" s="116"/>
    </row>
    <row r="6744" spans="1:7" x14ac:dyDescent="0.2">
      <c r="A6744" s="116">
        <f>IF(ISNUMBER(Tabela2[[#This Row],[CT-e/NFS]])=TRUE,(IF(B6744&gt;30000,4,IF(B6744&lt;1000,"ND",0))),"-")</f>
        <v>4</v>
      </c>
      <c r="B6744" s="116">
        <v>50472</v>
      </c>
      <c r="C6744" s="117">
        <v>45658</v>
      </c>
      <c r="D6744" s="116">
        <v>388.32</v>
      </c>
      <c r="E6744" s="117">
        <v>45656</v>
      </c>
      <c r="F6744" s="116">
        <f>COUNTIFS($A$3:A15000,A6744,$B$3:B15000,B6744)</f>
        <v>1</v>
      </c>
      <c r="G6744" s="116"/>
    </row>
    <row r="6745" spans="1:7" x14ac:dyDescent="0.2">
      <c r="A6745" s="116">
        <f>IF(ISNUMBER(Tabela2[[#This Row],[CT-e/NFS]])=TRUE,(IF(B6745&gt;30000,4,IF(B6745&lt;1000,"ND",0))),"-")</f>
        <v>4</v>
      </c>
      <c r="B6745" s="116">
        <v>50473</v>
      </c>
      <c r="C6745" s="117">
        <v>45658</v>
      </c>
      <c r="D6745" s="116">
        <v>357.83</v>
      </c>
      <c r="E6745" s="117">
        <v>45656</v>
      </c>
      <c r="F6745" s="116">
        <f>COUNTIFS($A$3:A15001,A6745,$B$3:B15001,B6745)</f>
        <v>1</v>
      </c>
      <c r="G6745" s="116"/>
    </row>
    <row r="6746" spans="1:7" x14ac:dyDescent="0.2">
      <c r="A6746" s="116">
        <f>IF(ISNUMBER(Tabela2[[#This Row],[CT-e/NFS]])=TRUE,(IF(B6746&gt;30000,4,IF(B6746&lt;1000,"ND",0))),"-")</f>
        <v>0</v>
      </c>
      <c r="B6746" s="116">
        <v>22455</v>
      </c>
      <c r="C6746" s="117">
        <v>45658</v>
      </c>
      <c r="D6746" s="116">
        <v>338.2</v>
      </c>
      <c r="E6746" s="117">
        <v>45656</v>
      </c>
      <c r="F6746" s="116">
        <f>COUNTIFS($A$3:A15002,A6746,$B$3:B15002,B6746)</f>
        <v>1</v>
      </c>
      <c r="G6746" s="116"/>
    </row>
    <row r="6747" spans="1:7" x14ac:dyDescent="0.2">
      <c r="A6747" s="116">
        <f>IF(ISNUMBER(Tabela2[[#This Row],[CT-e/NFS]])=TRUE,(IF(B6747&gt;30000,4,IF(B6747&lt;1000,"ND",0))),"-")</f>
        <v>0</v>
      </c>
      <c r="B6747" s="116">
        <v>22453</v>
      </c>
      <c r="C6747" s="117">
        <v>45658</v>
      </c>
      <c r="D6747" s="116">
        <v>338.2</v>
      </c>
      <c r="E6747" s="117">
        <v>45656</v>
      </c>
      <c r="F6747" s="116">
        <f>COUNTIFS($A$3:A15003,A6747,$B$3:B15003,B6747)</f>
        <v>1</v>
      </c>
      <c r="G6747" s="116"/>
    </row>
    <row r="6748" spans="1:7" x14ac:dyDescent="0.2">
      <c r="A6748" s="116">
        <f>IF(ISNUMBER(Tabela2[[#This Row],[CT-e/NFS]])=TRUE,(IF(B6748&gt;30000,4,IF(B6748&lt;1000,"ND",0))),"-")</f>
        <v>0</v>
      </c>
      <c r="B6748" s="116">
        <v>22473</v>
      </c>
      <c r="C6748" s="117">
        <v>45658</v>
      </c>
      <c r="D6748" s="116">
        <v>165.65</v>
      </c>
      <c r="E6748" s="117">
        <v>45656</v>
      </c>
      <c r="F6748" s="116">
        <f>COUNTIFS($A$3:A15004,A6748,$B$3:B15004,B6748)</f>
        <v>1</v>
      </c>
      <c r="G6748" s="116"/>
    </row>
    <row r="6749" spans="1:7" x14ac:dyDescent="0.2">
      <c r="A6749" s="116">
        <f>IF(ISNUMBER(Tabela2[[#This Row],[CT-e/NFS]])=TRUE,(IF(B6749&gt;30000,4,IF(B6749&lt;1000,"ND",0))),"-")</f>
        <v>0</v>
      </c>
      <c r="B6749" s="116">
        <v>22469</v>
      </c>
      <c r="C6749" s="117">
        <v>45658</v>
      </c>
      <c r="D6749" s="116">
        <v>585.72</v>
      </c>
      <c r="E6749" s="117">
        <v>45656</v>
      </c>
      <c r="F6749" s="116">
        <f>COUNTIFS($A$3:A15005,A6749,$B$3:B15005,B6749)</f>
        <v>1</v>
      </c>
      <c r="G6749" s="116"/>
    </row>
    <row r="6750" spans="1:7" x14ac:dyDescent="0.2">
      <c r="A6750" s="116">
        <f>IF(ISNUMBER(Tabela2[[#This Row],[CT-e/NFS]])=TRUE,(IF(B6750&gt;30000,4,IF(B6750&lt;1000,"ND",0))),"-")</f>
        <v>0</v>
      </c>
      <c r="B6750" s="116">
        <v>22472</v>
      </c>
      <c r="C6750" s="117">
        <v>45658</v>
      </c>
      <c r="D6750" s="116">
        <v>515.41</v>
      </c>
      <c r="E6750" s="117">
        <v>45656</v>
      </c>
      <c r="F6750" s="116">
        <f>COUNTIFS($A$3:A15006,A6750,$B$3:B15006,B6750)</f>
        <v>1</v>
      </c>
      <c r="G6750" s="116"/>
    </row>
    <row r="6751" spans="1:7" x14ac:dyDescent="0.2">
      <c r="A6751" s="116">
        <f>IF(ISNUMBER(Tabela2[[#This Row],[CT-e/NFS]])=TRUE,(IF(B6751&gt;30000,4,IF(B6751&lt;1000,"ND",0))),"-")</f>
        <v>0</v>
      </c>
      <c r="B6751" s="116">
        <v>22468</v>
      </c>
      <c r="C6751" s="117">
        <v>45658</v>
      </c>
      <c r="D6751" s="116">
        <v>338.2</v>
      </c>
      <c r="E6751" s="117">
        <v>45656</v>
      </c>
      <c r="F6751" s="116">
        <f>COUNTIFS($A$3:A15007,A6751,$B$3:B15007,B6751)</f>
        <v>1</v>
      </c>
      <c r="G6751" s="116"/>
    </row>
    <row r="6752" spans="1:7" x14ac:dyDescent="0.2">
      <c r="A6752" s="116">
        <f>IF(ISNUMBER(Tabela2[[#This Row],[CT-e/NFS]])=TRUE,(IF(B6752&gt;30000,4,IF(B6752&lt;1000,"ND",0))),"-")</f>
        <v>0</v>
      </c>
      <c r="B6752" s="116">
        <v>22464</v>
      </c>
      <c r="C6752" s="117">
        <v>45658</v>
      </c>
      <c r="D6752" s="116">
        <v>347.91</v>
      </c>
      <c r="E6752" s="117">
        <v>45656</v>
      </c>
      <c r="F6752" s="116">
        <f>COUNTIFS($A$3:A15008,A6752,$B$3:B15008,B6752)</f>
        <v>1</v>
      </c>
      <c r="G6752" s="116"/>
    </row>
    <row r="6753" spans="1:7" x14ac:dyDescent="0.2">
      <c r="A6753" s="116">
        <f>IF(ISNUMBER(Tabela2[[#This Row],[CT-e/NFS]])=TRUE,(IF(B6753&gt;30000,4,IF(B6753&lt;1000,"ND",0))),"-")</f>
        <v>0</v>
      </c>
      <c r="B6753" s="116">
        <v>22463</v>
      </c>
      <c r="C6753" s="117">
        <v>45658</v>
      </c>
      <c r="D6753" s="116">
        <v>366.08</v>
      </c>
      <c r="E6753" s="117">
        <v>45656</v>
      </c>
      <c r="F6753" s="116">
        <f>COUNTIFS($A$3:A15009,A6753,$B$3:B15009,B6753)</f>
        <v>1</v>
      </c>
      <c r="G6753" s="116"/>
    </row>
    <row r="6754" spans="1:7" x14ac:dyDescent="0.2">
      <c r="A6754" s="116">
        <f>IF(ISNUMBER(Tabela2[[#This Row],[CT-e/NFS]])=TRUE,(IF(B6754&gt;30000,4,IF(B6754&lt;1000,"ND",0))),"-")</f>
        <v>0</v>
      </c>
      <c r="B6754" s="116">
        <v>22461</v>
      </c>
      <c r="C6754" s="117">
        <v>45658</v>
      </c>
      <c r="D6754" s="116">
        <v>152.72999999999999</v>
      </c>
      <c r="E6754" s="117">
        <v>45656</v>
      </c>
      <c r="F6754" s="116">
        <f>COUNTIFS($A$3:A15010,A6754,$B$3:B15010,B6754)</f>
        <v>1</v>
      </c>
      <c r="G6754" s="116"/>
    </row>
    <row r="6755" spans="1:7" x14ac:dyDescent="0.2">
      <c r="A6755" s="116">
        <f>IF(ISNUMBER(Tabela2[[#This Row],[CT-e/NFS]])=TRUE,(IF(B6755&gt;30000,4,IF(B6755&lt;1000,"ND",0))),"-")</f>
        <v>0</v>
      </c>
      <c r="B6755" s="116">
        <v>22457</v>
      </c>
      <c r="C6755" s="117">
        <v>45658</v>
      </c>
      <c r="D6755" s="116">
        <v>119.59</v>
      </c>
      <c r="E6755" s="117">
        <v>45656</v>
      </c>
      <c r="F6755" s="116">
        <f>COUNTIFS($A$3:A15011,A6755,$B$3:B15011,B6755)</f>
        <v>1</v>
      </c>
      <c r="G6755" s="116"/>
    </row>
    <row r="6756" spans="1:7" x14ac:dyDescent="0.2">
      <c r="A6756" s="116">
        <f>IF(ISNUMBER(Tabela2[[#This Row],[CT-e/NFS]])=TRUE,(IF(B6756&gt;30000,4,IF(B6756&lt;1000,"ND",0))),"-")</f>
        <v>0</v>
      </c>
      <c r="B6756" s="116">
        <v>22459</v>
      </c>
      <c r="C6756" s="117">
        <v>45658</v>
      </c>
      <c r="D6756" s="116">
        <v>348.37</v>
      </c>
      <c r="E6756" s="117">
        <v>45656</v>
      </c>
      <c r="F6756" s="116">
        <f>COUNTIFS($A$3:A15012,A6756,$B$3:B15012,B6756)</f>
        <v>1</v>
      </c>
      <c r="G6756" s="116"/>
    </row>
    <row r="6757" spans="1:7" x14ac:dyDescent="0.2">
      <c r="A6757" s="116">
        <f>IF(ISNUMBER(Tabela2[[#This Row],[CT-e/NFS]])=TRUE,(IF(B6757&gt;30000,4,IF(B6757&lt;1000,"ND",0))),"-")</f>
        <v>0</v>
      </c>
      <c r="B6757" s="116">
        <v>22465</v>
      </c>
      <c r="C6757" s="117">
        <v>45658</v>
      </c>
      <c r="D6757" s="116">
        <v>122.75</v>
      </c>
      <c r="E6757" s="117">
        <v>45656</v>
      </c>
      <c r="F6757" s="116">
        <f>COUNTIFS($A$3:A15013,A6757,$B$3:B15013,B6757)</f>
        <v>1</v>
      </c>
      <c r="G6757" s="116"/>
    </row>
    <row r="6758" spans="1:7" x14ac:dyDescent="0.2">
      <c r="A6758" s="116">
        <f>IF(ISNUMBER(Tabela2[[#This Row],[CT-e/NFS]])=TRUE,(IF(B6758&gt;30000,4,IF(B6758&lt;1000,"ND",0))),"-")</f>
        <v>0</v>
      </c>
      <c r="B6758" s="116">
        <v>22456</v>
      </c>
      <c r="C6758" s="117">
        <v>45658</v>
      </c>
      <c r="D6758" s="116">
        <v>77.67</v>
      </c>
      <c r="E6758" s="117">
        <v>45656</v>
      </c>
      <c r="F6758" s="116">
        <f>COUNTIFS($A$3:A15014,A6758,$B$3:B15014,B6758)</f>
        <v>1</v>
      </c>
      <c r="G6758" s="116"/>
    </row>
    <row r="6759" spans="1:7" x14ac:dyDescent="0.2">
      <c r="A6759" s="116">
        <f>IF(ISNUMBER(Tabela2[[#This Row],[CT-e/NFS]])=TRUE,(IF(B6759&gt;30000,4,IF(B6759&lt;1000,"ND",0))),"-")</f>
        <v>0</v>
      </c>
      <c r="B6759" s="116">
        <v>22471</v>
      </c>
      <c r="C6759" s="117">
        <v>45658</v>
      </c>
      <c r="D6759" s="116">
        <v>77.08</v>
      </c>
      <c r="E6759" s="117">
        <v>45656</v>
      </c>
      <c r="F6759" s="116">
        <f>COUNTIFS($A$3:A15015,A6759,$B$3:B15015,B6759)</f>
        <v>1</v>
      </c>
      <c r="G6759" s="116"/>
    </row>
    <row r="6760" spans="1:7" x14ac:dyDescent="0.2">
      <c r="A6760" s="116">
        <f>IF(ISNUMBER(Tabela2[[#This Row],[CT-e/NFS]])=TRUE,(IF(B6760&gt;30000,4,IF(B6760&lt;1000,"ND",0))),"-")</f>
        <v>0</v>
      </c>
      <c r="B6760" s="116">
        <v>22462</v>
      </c>
      <c r="C6760" s="117">
        <v>45658</v>
      </c>
      <c r="D6760" s="116">
        <v>77.09</v>
      </c>
      <c r="E6760" s="117">
        <v>45656</v>
      </c>
      <c r="F6760" s="116">
        <f>COUNTIFS($A$3:A15016,A6760,$B$3:B15016,B6760)</f>
        <v>1</v>
      </c>
      <c r="G6760" s="116"/>
    </row>
    <row r="6761" spans="1:7" x14ac:dyDescent="0.2">
      <c r="A6761" s="116">
        <f>IF(ISNUMBER(Tabela2[[#This Row],[CT-e/NFS]])=TRUE,(IF(B6761&gt;30000,4,IF(B6761&lt;1000,"ND",0))),"-")</f>
        <v>0</v>
      </c>
      <c r="B6761" s="116">
        <v>22466</v>
      </c>
      <c r="C6761" s="117">
        <v>45658</v>
      </c>
      <c r="D6761" s="116">
        <v>77.040000000000006</v>
      </c>
      <c r="E6761" s="117">
        <v>45656</v>
      </c>
      <c r="F6761" s="116">
        <f>COUNTIFS($A$3:A15017,A6761,$B$3:B15017,B6761)</f>
        <v>1</v>
      </c>
      <c r="G6761" s="116"/>
    </row>
    <row r="6762" spans="1:7" x14ac:dyDescent="0.2">
      <c r="A6762" s="116">
        <f>IF(ISNUMBER(Tabela2[[#This Row],[CT-e/NFS]])=TRUE,(IF(B6762&gt;30000,4,IF(B6762&lt;1000,"ND",0))),"-")</f>
        <v>0</v>
      </c>
      <c r="B6762" s="116">
        <v>22467</v>
      </c>
      <c r="C6762" s="117">
        <v>45658</v>
      </c>
      <c r="D6762" s="116">
        <v>76.2</v>
      </c>
      <c r="E6762" s="117">
        <v>45656</v>
      </c>
      <c r="F6762" s="116">
        <f>COUNTIFS($A$3:A15018,A6762,$B$3:B15018,B6762)</f>
        <v>1</v>
      </c>
      <c r="G6762" s="116"/>
    </row>
    <row r="6763" spans="1:7" x14ac:dyDescent="0.2">
      <c r="A6763" s="116">
        <f>IF(ISNUMBER(Tabela2[[#This Row],[CT-e/NFS]])=TRUE,(IF(B6763&gt;30000,4,IF(B6763&lt;1000,"ND",0))),"-")</f>
        <v>0</v>
      </c>
      <c r="B6763" s="116">
        <v>22454</v>
      </c>
      <c r="C6763" s="117">
        <v>45658</v>
      </c>
      <c r="D6763" s="116">
        <v>75.7</v>
      </c>
      <c r="E6763" s="117">
        <v>45656</v>
      </c>
      <c r="F6763" s="116">
        <f>COUNTIFS($A$3:A15019,A6763,$B$3:B15019,B6763)</f>
        <v>1</v>
      </c>
      <c r="G6763" s="116"/>
    </row>
    <row r="6764" spans="1:7" x14ac:dyDescent="0.2">
      <c r="A6764" s="116">
        <f>IF(ISNUMBER(Tabela2[[#This Row],[CT-e/NFS]])=TRUE,(IF(B6764&gt;30000,4,IF(B6764&lt;1000,"ND",0))),"-")</f>
        <v>0</v>
      </c>
      <c r="B6764" s="116">
        <v>22470</v>
      </c>
      <c r="C6764" s="117">
        <v>45658</v>
      </c>
      <c r="D6764" s="116">
        <v>76.44</v>
      </c>
      <c r="E6764" s="117">
        <v>45656</v>
      </c>
      <c r="F6764" s="116">
        <f>COUNTIFS($A$3:A15020,A6764,$B$3:B15020,B6764)</f>
        <v>1</v>
      </c>
      <c r="G6764" s="116"/>
    </row>
    <row r="6765" spans="1:7" x14ac:dyDescent="0.2">
      <c r="A6765" s="116">
        <f>IF(ISNUMBER(Tabela2[[#This Row],[CT-e/NFS]])=TRUE,(IF(B6765&gt;30000,4,IF(B6765&lt;1000,"ND",0))),"-")</f>
        <v>0</v>
      </c>
      <c r="B6765" s="116">
        <v>22460</v>
      </c>
      <c r="C6765" s="117">
        <v>45658</v>
      </c>
      <c r="D6765" s="116">
        <v>76.33</v>
      </c>
      <c r="E6765" s="117">
        <v>45656</v>
      </c>
      <c r="F6765" s="116">
        <f>COUNTIFS($A$3:A15021,A6765,$B$3:B15021,B6765)</f>
        <v>1</v>
      </c>
      <c r="G6765" s="116"/>
    </row>
    <row r="6766" spans="1:7" x14ac:dyDescent="0.2">
      <c r="A6766" s="116">
        <f>IF(ISNUMBER(Tabela2[[#This Row],[CT-e/NFS]])=TRUE,(IF(B6766&gt;30000,4,IF(B6766&lt;1000,"ND",0))),"-")</f>
        <v>4</v>
      </c>
      <c r="B6766" s="116">
        <v>50509</v>
      </c>
      <c r="C6766" s="117">
        <v>45658</v>
      </c>
      <c r="D6766" s="116">
        <v>122.89</v>
      </c>
      <c r="E6766" s="117">
        <v>45656</v>
      </c>
      <c r="F6766" s="116">
        <f>COUNTIFS($A$3:A15030,A6766,$B$3:B15030,B6766)</f>
        <v>1</v>
      </c>
      <c r="G6766" s="116"/>
    </row>
    <row r="6767" spans="1:7" x14ac:dyDescent="0.2">
      <c r="A6767" s="116">
        <f>IF(ISNUMBER(Tabela2[[#This Row],[CT-e/NFS]])=TRUE,(IF(B6767&gt;30000,4,IF(B6767&lt;1000,"ND",0))),"-")</f>
        <v>4</v>
      </c>
      <c r="B6767" s="116">
        <v>50508</v>
      </c>
      <c r="C6767" s="117">
        <v>45658</v>
      </c>
      <c r="D6767" s="116">
        <v>122.92</v>
      </c>
      <c r="E6767" s="117">
        <v>45656</v>
      </c>
      <c r="F6767" s="116">
        <f>COUNTIFS($A$3:A15031,A6767,$B$3:B15031,B6767)</f>
        <v>1</v>
      </c>
      <c r="G6767" s="116"/>
    </row>
    <row r="6768" spans="1:7" x14ac:dyDescent="0.2">
      <c r="A6768" s="116">
        <f>IF(ISNUMBER(Tabela2[[#This Row],[CT-e/NFS]])=TRUE,(IF(B6768&gt;30000,4,IF(B6768&lt;1000,"ND",0))),"-")</f>
        <v>4</v>
      </c>
      <c r="B6768" s="116">
        <v>50502</v>
      </c>
      <c r="C6768" s="117">
        <v>45658</v>
      </c>
      <c r="D6768" s="116">
        <v>122.91</v>
      </c>
      <c r="E6768" s="117">
        <v>45656</v>
      </c>
      <c r="F6768" s="116">
        <f>COUNTIFS($A$3:A15032,A6768,$B$3:B15032,B6768)</f>
        <v>1</v>
      </c>
      <c r="G6768" s="116"/>
    </row>
    <row r="6769" spans="1:7" x14ac:dyDescent="0.2">
      <c r="A6769" s="116">
        <f>IF(ISNUMBER(Tabela2[[#This Row],[CT-e/NFS]])=TRUE,(IF(B6769&gt;30000,4,IF(B6769&lt;1000,"ND",0))),"-")</f>
        <v>4</v>
      </c>
      <c r="B6769" s="116">
        <v>50503</v>
      </c>
      <c r="C6769" s="117">
        <v>45658</v>
      </c>
      <c r="D6769" s="116">
        <v>124.34</v>
      </c>
      <c r="E6769" s="117">
        <v>45656</v>
      </c>
      <c r="F6769" s="116">
        <f>COUNTIFS($A$3:A15033,A6769,$B$3:B15033,B6769)</f>
        <v>1</v>
      </c>
      <c r="G6769" s="116"/>
    </row>
    <row r="6770" spans="1:7" x14ac:dyDescent="0.2">
      <c r="A6770" s="116">
        <f>IF(ISNUMBER(Tabela2[[#This Row],[CT-e/NFS]])=TRUE,(IF(B6770&gt;30000,4,IF(B6770&lt;1000,"ND",0))),"-")</f>
        <v>4</v>
      </c>
      <c r="B6770" s="116">
        <v>50504</v>
      </c>
      <c r="C6770" s="117">
        <v>45658</v>
      </c>
      <c r="D6770" s="116">
        <v>231.08</v>
      </c>
      <c r="E6770" s="117">
        <v>45656</v>
      </c>
      <c r="F6770" s="116">
        <f>COUNTIFS($A$3:A15034,A6770,$B$3:B15034,B6770)</f>
        <v>1</v>
      </c>
      <c r="G6770" s="116"/>
    </row>
    <row r="6771" spans="1:7" x14ac:dyDescent="0.2">
      <c r="A6771" s="116">
        <f>IF(ISNUMBER(Tabela2[[#This Row],[CT-e/NFS]])=TRUE,(IF(B6771&gt;30000,4,IF(B6771&lt;1000,"ND",0))),"-")</f>
        <v>4</v>
      </c>
      <c r="B6771" s="116">
        <v>50516</v>
      </c>
      <c r="C6771" s="117">
        <v>45658</v>
      </c>
      <c r="D6771" s="116">
        <v>3977.27</v>
      </c>
      <c r="E6771" s="117">
        <v>45656</v>
      </c>
      <c r="F6771" s="116">
        <f>COUNTIFS($A$3:A15035,A6771,$B$3:B15035,B6771)</f>
        <v>1</v>
      </c>
      <c r="G6771" s="116"/>
    </row>
    <row r="6772" spans="1:7" x14ac:dyDescent="0.2">
      <c r="A6772" s="116">
        <f>IF(ISNUMBER(Tabela2[[#This Row],[CT-e/NFS]])=TRUE,(IF(B6772&gt;30000,4,IF(B6772&lt;1000,"ND",0))),"-")</f>
        <v>4</v>
      </c>
      <c r="B6772" s="116">
        <v>50505</v>
      </c>
      <c r="C6772" s="117">
        <v>45658</v>
      </c>
      <c r="D6772" s="116">
        <v>242.3</v>
      </c>
      <c r="E6772" s="117">
        <v>45656</v>
      </c>
      <c r="F6772" s="116">
        <f>COUNTIFS($A$3:A15036,A6772,$B$3:B15036,B6772)</f>
        <v>1</v>
      </c>
      <c r="G6772" s="116"/>
    </row>
    <row r="6773" spans="1:7" x14ac:dyDescent="0.2">
      <c r="A6773" s="116">
        <f>IF(ISNUMBER(Tabela2[[#This Row],[CT-e/NFS]])=TRUE,(IF(B6773&gt;30000,4,IF(B6773&lt;1000,"ND",0))),"-")</f>
        <v>4</v>
      </c>
      <c r="B6773" s="116">
        <v>50517</v>
      </c>
      <c r="C6773" s="117">
        <v>45658</v>
      </c>
      <c r="D6773" s="116">
        <v>4902</v>
      </c>
      <c r="E6773" s="117">
        <v>45656</v>
      </c>
      <c r="F6773" s="116">
        <f>COUNTIFS($A$3:A15037,A6773,$B$3:B15037,B6773)</f>
        <v>1</v>
      </c>
      <c r="G6773" s="116"/>
    </row>
    <row r="6774" spans="1:7" x14ac:dyDescent="0.2">
      <c r="A6774" s="116">
        <f>IF(ISNUMBER(Tabela2[[#This Row],[CT-e/NFS]])=TRUE,(IF(B6774&gt;30000,4,IF(B6774&lt;1000,"ND",0))),"-")</f>
        <v>4</v>
      </c>
      <c r="B6774" s="116">
        <v>50500</v>
      </c>
      <c r="C6774" s="117">
        <v>45658</v>
      </c>
      <c r="D6774" s="116">
        <v>1245.6099999999999</v>
      </c>
      <c r="E6774" s="117">
        <v>45656</v>
      </c>
      <c r="F6774" s="116">
        <f>COUNTIFS($A$3:A15038,A6774,$B$3:B15038,B6774)</f>
        <v>1</v>
      </c>
      <c r="G6774" s="116"/>
    </row>
    <row r="6775" spans="1:7" x14ac:dyDescent="0.2">
      <c r="A6775" s="116">
        <f>IF(ISNUMBER(Tabela2[[#This Row],[CT-e/NFS]])=TRUE,(IF(B6775&gt;30000,4,IF(B6775&lt;1000,"ND",0))),"-")</f>
        <v>4</v>
      </c>
      <c r="B6775" s="116">
        <v>50514</v>
      </c>
      <c r="C6775" s="117">
        <v>45658</v>
      </c>
      <c r="D6775" s="116">
        <v>702.74</v>
      </c>
      <c r="E6775" s="117">
        <v>45656</v>
      </c>
      <c r="F6775" s="116">
        <f>COUNTIFS($A$3:A15039,A6775,$B$3:B15039,B6775)</f>
        <v>1</v>
      </c>
      <c r="G6775" s="116"/>
    </row>
    <row r="6776" spans="1:7" x14ac:dyDescent="0.2">
      <c r="A6776" s="116">
        <f>IF(ISNUMBER(Tabela2[[#This Row],[CT-e/NFS]])=TRUE,(IF(B6776&gt;30000,4,IF(B6776&lt;1000,"ND",0))),"-")</f>
        <v>4</v>
      </c>
      <c r="B6776" s="116">
        <v>50511</v>
      </c>
      <c r="C6776" s="117">
        <v>45658</v>
      </c>
      <c r="D6776" s="116">
        <v>110.64</v>
      </c>
      <c r="E6776" s="117">
        <v>45656</v>
      </c>
      <c r="F6776" s="116">
        <f>COUNTIFS($A$3:A15040,A6776,$B$3:B15040,B6776)</f>
        <v>1</v>
      </c>
      <c r="G6776" s="116"/>
    </row>
    <row r="6777" spans="1:7" x14ac:dyDescent="0.2">
      <c r="A6777" s="116">
        <f>IF(ISNUMBER(Tabela2[[#This Row],[CT-e/NFS]])=TRUE,(IF(B6777&gt;30000,4,IF(B6777&lt;1000,"ND",0))),"-")</f>
        <v>4</v>
      </c>
      <c r="B6777" s="116">
        <v>50510</v>
      </c>
      <c r="C6777" s="117">
        <v>45658</v>
      </c>
      <c r="D6777" s="116">
        <v>61.47</v>
      </c>
      <c r="E6777" s="117">
        <v>45656</v>
      </c>
      <c r="F6777" s="116">
        <f>COUNTIFS($A$3:A15041,A6777,$B$3:B15041,B6777)</f>
        <v>1</v>
      </c>
      <c r="G6777" s="116"/>
    </row>
    <row r="6778" spans="1:7" x14ac:dyDescent="0.2">
      <c r="A6778" s="116">
        <f>IF(ISNUMBER(Tabela2[[#This Row],[CT-e/NFS]])=TRUE,(IF(B6778&gt;30000,4,IF(B6778&lt;1000,"ND",0))),"-")</f>
        <v>4</v>
      </c>
      <c r="B6778" s="116">
        <v>50507</v>
      </c>
      <c r="C6778" s="117">
        <v>45658</v>
      </c>
      <c r="D6778" s="116">
        <v>238.68</v>
      </c>
      <c r="E6778" s="117">
        <v>45656</v>
      </c>
      <c r="F6778" s="116">
        <f>COUNTIFS($A$3:A15042,A6778,$B$3:B15042,B6778)</f>
        <v>1</v>
      </c>
      <c r="G6778" s="116"/>
    </row>
    <row r="6779" spans="1:7" x14ac:dyDescent="0.2">
      <c r="A6779" s="116">
        <f>IF(ISNUMBER(Tabela2[[#This Row],[CT-e/NFS]])=TRUE,(IF(B6779&gt;30000,4,IF(B6779&lt;1000,"ND",0))),"-")</f>
        <v>4</v>
      </c>
      <c r="B6779" s="116">
        <v>50506</v>
      </c>
      <c r="C6779" s="117">
        <v>45658</v>
      </c>
      <c r="D6779" s="116">
        <v>164.78</v>
      </c>
      <c r="E6779" s="117">
        <v>45656</v>
      </c>
      <c r="F6779" s="116">
        <f>COUNTIFS($A$3:A15043,A6779,$B$3:B15043,B6779)</f>
        <v>1</v>
      </c>
      <c r="G6779" s="116"/>
    </row>
    <row r="6780" spans="1:7" x14ac:dyDescent="0.2">
      <c r="A6780" s="116">
        <f>IF(ISNUMBER(Tabela2[[#This Row],[CT-e/NFS]])=TRUE,(IF(B6780&gt;30000,4,IF(B6780&lt;1000,"ND",0))),"-")</f>
        <v>4</v>
      </c>
      <c r="B6780" s="116">
        <v>50501</v>
      </c>
      <c r="C6780" s="117">
        <v>45658</v>
      </c>
      <c r="D6780" s="116">
        <v>369.27</v>
      </c>
      <c r="E6780" s="117">
        <v>45656</v>
      </c>
      <c r="F6780" s="116">
        <f>COUNTIFS($A$3:A15044,A6780,$B$3:B15044,B6780)</f>
        <v>1</v>
      </c>
      <c r="G6780" s="116"/>
    </row>
    <row r="6781" spans="1:7" x14ac:dyDescent="0.2">
      <c r="A6781" s="116" t="str">
        <f>IF(ISNUMBER(Tabela2[[#This Row],[CT-e/NFS]])=TRUE,(IF(B6781&gt;30000,4,IF(B6781&lt;1000,"ND",0))),"-")</f>
        <v>ND</v>
      </c>
      <c r="B6781" s="116">
        <v>241</v>
      </c>
      <c r="C6781" s="117">
        <v>45658</v>
      </c>
      <c r="D6781" s="116">
        <v>868.93</v>
      </c>
      <c r="E6781" s="117">
        <v>45656</v>
      </c>
      <c r="F6781" s="116">
        <f>COUNTIFS($A$3:A15045,A6781,$B$3:B15045,B6781)</f>
        <v>1</v>
      </c>
      <c r="G6781" s="116"/>
    </row>
    <row r="6782" spans="1:7" x14ac:dyDescent="0.2">
      <c r="A6782" s="116">
        <f>IF(ISNUMBER(Tabela2[[#This Row],[CT-e/NFS]])=TRUE,(IF(B6782&gt;30000,4,IF(B6782&lt;1000,"ND",0))),"-")</f>
        <v>4</v>
      </c>
      <c r="B6782" s="116">
        <v>50527</v>
      </c>
      <c r="C6782" s="117">
        <v>45658</v>
      </c>
      <c r="D6782" s="116">
        <v>124.35</v>
      </c>
      <c r="E6782" s="117">
        <v>45656</v>
      </c>
      <c r="F6782" s="116">
        <f>COUNTIFS($A$3:A15049,A6782,$B$3:B15049,B6782)</f>
        <v>1</v>
      </c>
      <c r="G6782" s="116"/>
    </row>
    <row r="6783" spans="1:7" x14ac:dyDescent="0.2">
      <c r="A6783" s="116">
        <f>IF(ISNUMBER(Tabela2[[#This Row],[CT-e/NFS]])=TRUE,(IF(B6783&gt;30000,4,IF(B6783&lt;1000,"ND",0))),"-")</f>
        <v>4</v>
      </c>
      <c r="B6783" s="116">
        <v>50525</v>
      </c>
      <c r="C6783" s="117">
        <v>45658</v>
      </c>
      <c r="D6783" s="116">
        <v>124.5</v>
      </c>
      <c r="E6783" s="117">
        <v>45656</v>
      </c>
      <c r="F6783" s="116">
        <f>COUNTIFS($A$3:A15050,A6783,$B$3:B15050,B6783)</f>
        <v>1</v>
      </c>
      <c r="G6783" s="116"/>
    </row>
    <row r="6784" spans="1:7" x14ac:dyDescent="0.2">
      <c r="A6784" s="116">
        <f>IF(ISNUMBER(Tabela2[[#This Row],[CT-e/NFS]])=TRUE,(IF(B6784&gt;30000,4,IF(B6784&lt;1000,"ND",0))),"-")</f>
        <v>4</v>
      </c>
      <c r="B6784" s="116">
        <v>50523</v>
      </c>
      <c r="C6784" s="117">
        <v>45658</v>
      </c>
      <c r="D6784" s="116">
        <v>126.6</v>
      </c>
      <c r="E6784" s="117">
        <v>45656</v>
      </c>
      <c r="F6784" s="116">
        <f>COUNTIFS($A$3:A15051,A6784,$B$3:B15051,B6784)</f>
        <v>1</v>
      </c>
      <c r="G6784" s="116"/>
    </row>
    <row r="6785" spans="1:7" x14ac:dyDescent="0.2">
      <c r="A6785" s="116">
        <f>IF(ISNUMBER(Tabela2[[#This Row],[CT-e/NFS]])=TRUE,(IF(B6785&gt;30000,4,IF(B6785&lt;1000,"ND",0))),"-")</f>
        <v>4</v>
      </c>
      <c r="B6785" s="116">
        <v>50526</v>
      </c>
      <c r="C6785" s="117">
        <v>45658</v>
      </c>
      <c r="D6785" s="116">
        <v>124.15</v>
      </c>
      <c r="E6785" s="117">
        <v>45656</v>
      </c>
      <c r="F6785" s="116">
        <f>COUNTIFS($A$3:A15052,A6785,$B$3:B15052,B6785)</f>
        <v>1</v>
      </c>
      <c r="G6785" s="116"/>
    </row>
    <row r="6786" spans="1:7" x14ac:dyDescent="0.2">
      <c r="A6786" s="116">
        <f>IF(ISNUMBER(Tabela2[[#This Row],[CT-e/NFS]])=TRUE,(IF(B6786&gt;30000,4,IF(B6786&lt;1000,"ND",0))),"-")</f>
        <v>4</v>
      </c>
      <c r="B6786" s="116">
        <v>50524</v>
      </c>
      <c r="C6786" s="117">
        <v>45658</v>
      </c>
      <c r="D6786" s="116">
        <v>125.08</v>
      </c>
      <c r="E6786" s="117">
        <v>45656</v>
      </c>
      <c r="F6786" s="116">
        <f>COUNTIFS($A$3:A15053,A6786,$B$3:B15053,B6786)</f>
        <v>1</v>
      </c>
      <c r="G6786" s="116"/>
    </row>
    <row r="6787" spans="1:7" x14ac:dyDescent="0.2">
      <c r="A6787" s="116">
        <f>IF(ISNUMBER(Tabela2[[#This Row],[CT-e/NFS]])=TRUE,(IF(B6787&gt;30000,4,IF(B6787&lt;1000,"ND",0))),"-")</f>
        <v>4</v>
      </c>
      <c r="B6787" s="116">
        <v>50536</v>
      </c>
      <c r="C6787" s="117">
        <v>45658</v>
      </c>
      <c r="D6787" s="116">
        <v>123.52</v>
      </c>
      <c r="E6787" s="117">
        <v>45656</v>
      </c>
      <c r="F6787" s="116">
        <f>COUNTIFS($A$3:A15054,A6787,$B$3:B15054,B6787)</f>
        <v>1</v>
      </c>
      <c r="G6787" s="116"/>
    </row>
    <row r="6788" spans="1:7" x14ac:dyDescent="0.2">
      <c r="A6788" s="116">
        <f>IF(ISNUMBER(Tabela2[[#This Row],[CT-e/NFS]])=TRUE,(IF(B6788&gt;30000,4,IF(B6788&lt;1000,"ND",0))),"-")</f>
        <v>4</v>
      </c>
      <c r="B6788" s="116">
        <v>50535</v>
      </c>
      <c r="C6788" s="117">
        <v>45658</v>
      </c>
      <c r="D6788" s="116">
        <v>123.11</v>
      </c>
      <c r="E6788" s="117">
        <v>45656</v>
      </c>
      <c r="F6788" s="116">
        <f>COUNTIFS($A$3:A15055,A6788,$B$3:B15055,B6788)</f>
        <v>1</v>
      </c>
      <c r="G6788" s="116"/>
    </row>
    <row r="6789" spans="1:7" x14ac:dyDescent="0.2">
      <c r="A6789" s="116">
        <f>IF(ISNUMBER(Tabela2[[#This Row],[CT-e/NFS]])=TRUE,(IF(B6789&gt;30000,4,IF(B6789&lt;1000,"ND",0))),"-")</f>
        <v>4</v>
      </c>
      <c r="B6789" s="116">
        <v>50540</v>
      </c>
      <c r="C6789" s="117">
        <v>45658</v>
      </c>
      <c r="D6789" s="116">
        <v>122.74</v>
      </c>
      <c r="E6789" s="117">
        <v>45656</v>
      </c>
      <c r="F6789" s="116">
        <f>COUNTIFS($A$3:A15056,A6789,$B$3:B15056,B6789)</f>
        <v>1</v>
      </c>
      <c r="G6789" s="116"/>
    </row>
    <row r="6790" spans="1:7" x14ac:dyDescent="0.2">
      <c r="A6790" s="116">
        <f>IF(ISNUMBER(Tabela2[[#This Row],[CT-e/NFS]])=TRUE,(IF(B6790&gt;30000,4,IF(B6790&lt;1000,"ND",0))),"-")</f>
        <v>4</v>
      </c>
      <c r="B6790" s="116">
        <v>50532</v>
      </c>
      <c r="C6790" s="117">
        <v>45658</v>
      </c>
      <c r="D6790" s="116">
        <v>207.98</v>
      </c>
      <c r="E6790" s="117">
        <v>45656</v>
      </c>
      <c r="F6790" s="116">
        <f>COUNTIFS($A$3:A15057,A6790,$B$3:B15057,B6790)</f>
        <v>1</v>
      </c>
      <c r="G6790" s="116"/>
    </row>
    <row r="6791" spans="1:7" x14ac:dyDescent="0.2">
      <c r="A6791" s="116">
        <f>IF(ISNUMBER(Tabela2[[#This Row],[CT-e/NFS]])=TRUE,(IF(B6791&gt;30000,4,IF(B6791&lt;1000,"ND",0))),"-")</f>
        <v>4</v>
      </c>
      <c r="B6791" s="116">
        <v>50531</v>
      </c>
      <c r="C6791" s="117">
        <v>45658</v>
      </c>
      <c r="D6791" s="116">
        <v>115.55</v>
      </c>
      <c r="E6791" s="117">
        <v>45656</v>
      </c>
      <c r="F6791" s="116">
        <f>COUNTIFS($A$3:A15058,A6791,$B$3:B15058,B6791)</f>
        <v>1</v>
      </c>
      <c r="G6791" s="116"/>
    </row>
    <row r="6792" spans="1:7" x14ac:dyDescent="0.2">
      <c r="A6792" s="116">
        <f>IF(ISNUMBER(Tabela2[[#This Row],[CT-e/NFS]])=TRUE,(IF(B6792&gt;30000,4,IF(B6792&lt;1000,"ND",0))),"-")</f>
        <v>4</v>
      </c>
      <c r="B6792" s="116">
        <v>50522</v>
      </c>
      <c r="C6792" s="117">
        <v>45658</v>
      </c>
      <c r="D6792" s="116">
        <v>448.32</v>
      </c>
      <c r="E6792" s="117">
        <v>45656</v>
      </c>
      <c r="F6792" s="116">
        <f>COUNTIFS($A$3:A15059,A6792,$B$3:B15059,B6792)</f>
        <v>1</v>
      </c>
      <c r="G6792" s="116"/>
    </row>
    <row r="6793" spans="1:7" x14ac:dyDescent="0.2">
      <c r="A6793" s="116">
        <f>IF(ISNUMBER(Tabela2[[#This Row],[CT-e/NFS]])=TRUE,(IF(B6793&gt;30000,4,IF(B6793&lt;1000,"ND",0))),"-")</f>
        <v>4</v>
      </c>
      <c r="B6793" s="116">
        <v>50518</v>
      </c>
      <c r="C6793" s="117">
        <v>45658</v>
      </c>
      <c r="D6793" s="116">
        <v>216.39</v>
      </c>
      <c r="E6793" s="117">
        <v>45656</v>
      </c>
      <c r="F6793" s="116">
        <f>COUNTIFS($A$3:A15060,A6793,$B$3:B15060,B6793)</f>
        <v>1</v>
      </c>
      <c r="G6793" s="116"/>
    </row>
    <row r="6794" spans="1:7" x14ac:dyDescent="0.2">
      <c r="A6794" s="116">
        <f>IF(ISNUMBER(Tabela2[[#This Row],[CT-e/NFS]])=TRUE,(IF(B6794&gt;30000,4,IF(B6794&lt;1000,"ND",0))),"-")</f>
        <v>4</v>
      </c>
      <c r="B6794" s="116">
        <v>50520</v>
      </c>
      <c r="C6794" s="117">
        <v>45658</v>
      </c>
      <c r="D6794" s="116">
        <v>171.77</v>
      </c>
      <c r="E6794" s="117">
        <v>45656</v>
      </c>
      <c r="F6794" s="116">
        <f>COUNTIFS($A$3:A15061,A6794,$B$3:B15061,B6794)</f>
        <v>1</v>
      </c>
      <c r="G6794" s="116"/>
    </row>
    <row r="6795" spans="1:7" x14ac:dyDescent="0.2">
      <c r="A6795" s="116">
        <f>IF(ISNUMBER(Tabela2[[#This Row],[CT-e/NFS]])=TRUE,(IF(B6795&gt;30000,4,IF(B6795&lt;1000,"ND",0))),"-")</f>
        <v>4</v>
      </c>
      <c r="B6795" s="116">
        <v>50534</v>
      </c>
      <c r="C6795" s="117">
        <v>45658</v>
      </c>
      <c r="D6795" s="116">
        <v>214.82</v>
      </c>
      <c r="E6795" s="117">
        <v>45656</v>
      </c>
      <c r="F6795" s="116">
        <f>COUNTIFS($A$3:A15062,A6795,$B$3:B15062,B6795)</f>
        <v>1</v>
      </c>
      <c r="G6795" s="116"/>
    </row>
    <row r="6796" spans="1:7" x14ac:dyDescent="0.2">
      <c r="A6796" s="116">
        <f>IF(ISNUMBER(Tabela2[[#This Row],[CT-e/NFS]])=TRUE,(IF(B6796&gt;30000,4,IF(B6796&lt;1000,"ND",0))),"-")</f>
        <v>4</v>
      </c>
      <c r="B6796" s="116">
        <v>50533</v>
      </c>
      <c r="C6796" s="117">
        <v>45658</v>
      </c>
      <c r="D6796" s="116">
        <v>119.34</v>
      </c>
      <c r="E6796" s="117">
        <v>45656</v>
      </c>
      <c r="F6796" s="116">
        <f>COUNTIFS($A$3:A15063,A6796,$B$3:B15063,B6796)</f>
        <v>1</v>
      </c>
      <c r="G6796" s="116"/>
    </row>
    <row r="6797" spans="1:7" x14ac:dyDescent="0.2">
      <c r="A6797" s="116">
        <f>IF(ISNUMBER(Tabela2[[#This Row],[CT-e/NFS]])=TRUE,(IF(B6797&gt;30000,4,IF(B6797&lt;1000,"ND",0))),"-")</f>
        <v>4</v>
      </c>
      <c r="B6797" s="116">
        <v>50530</v>
      </c>
      <c r="C6797" s="117">
        <v>45658</v>
      </c>
      <c r="D6797" s="116">
        <v>347.81</v>
      </c>
      <c r="E6797" s="117">
        <v>45656</v>
      </c>
      <c r="F6797" s="116">
        <f>COUNTIFS($A$3:A15064,A6797,$B$3:B15064,B6797)</f>
        <v>1</v>
      </c>
      <c r="G6797" s="116"/>
    </row>
    <row r="6798" spans="1:7" x14ac:dyDescent="0.2">
      <c r="A6798" s="116">
        <f>IF(ISNUMBER(Tabela2[[#This Row],[CT-e/NFS]])=TRUE,(IF(B6798&gt;30000,4,IF(B6798&lt;1000,"ND",0))),"-")</f>
        <v>4</v>
      </c>
      <c r="B6798" s="116">
        <v>50519</v>
      </c>
      <c r="C6798" s="117">
        <v>45658</v>
      </c>
      <c r="D6798" s="116">
        <v>182.93</v>
      </c>
      <c r="E6798" s="117">
        <v>45656</v>
      </c>
      <c r="F6798" s="116">
        <f>COUNTIFS($A$3:A15065,A6798,$B$3:B15065,B6798)</f>
        <v>1</v>
      </c>
      <c r="G6798" s="116"/>
    </row>
    <row r="6799" spans="1:7" x14ac:dyDescent="0.2">
      <c r="A6799" s="116">
        <f>IF(ISNUMBER(Tabela2[[#This Row],[CT-e/NFS]])=TRUE,(IF(B6799&gt;30000,4,IF(B6799&lt;1000,"ND",0))),"-")</f>
        <v>4</v>
      </c>
      <c r="B6799" s="116">
        <v>50529</v>
      </c>
      <c r="C6799" s="117">
        <v>45658</v>
      </c>
      <c r="D6799" s="116">
        <v>246.33</v>
      </c>
      <c r="E6799" s="117">
        <v>45656</v>
      </c>
      <c r="F6799" s="116">
        <f>COUNTIFS($A$3:A15066,A6799,$B$3:B15066,B6799)</f>
        <v>1</v>
      </c>
      <c r="G6799" s="116"/>
    </row>
    <row r="6800" spans="1:7" x14ac:dyDescent="0.2">
      <c r="A6800" s="116">
        <f>IF(ISNUMBER(Tabela2[[#This Row],[CT-e/NFS]])=TRUE,(IF(B6800&gt;30000,4,IF(B6800&lt;1000,"ND",0))),"-")</f>
        <v>4</v>
      </c>
      <c r="B6800" s="116">
        <v>50528</v>
      </c>
      <c r="C6800" s="117">
        <v>45658</v>
      </c>
      <c r="D6800" s="116">
        <v>139.66999999999999</v>
      </c>
      <c r="E6800" s="117">
        <v>45656</v>
      </c>
      <c r="F6800" s="116">
        <f>COUNTIFS($A$3:A15067,A6800,$B$3:B15067,B6800)</f>
        <v>1</v>
      </c>
      <c r="G6800" s="116"/>
    </row>
    <row r="6801" spans="1:7" x14ac:dyDescent="0.2">
      <c r="A6801" s="116">
        <f>IF(ISNUMBER(Tabela2[[#This Row],[CT-e/NFS]])=TRUE,(IF(B6801&gt;30000,4,IF(B6801&lt;1000,"ND",0))),"-")</f>
        <v>4</v>
      </c>
      <c r="B6801" s="116">
        <v>50521</v>
      </c>
      <c r="C6801" s="117">
        <v>45658</v>
      </c>
      <c r="D6801" s="116">
        <v>566.64</v>
      </c>
      <c r="E6801" s="117">
        <v>45656</v>
      </c>
      <c r="F6801" s="116">
        <f>COUNTIFS($A$3:A15068,A6801,$B$3:B15068,B6801)</f>
        <v>1</v>
      </c>
      <c r="G6801" s="116"/>
    </row>
    <row r="6802" spans="1:7" x14ac:dyDescent="0.2">
      <c r="A6802" s="116">
        <f>IF(ISNUMBER(Tabela2[[#This Row],[CT-e/NFS]])=TRUE,(IF(B6802&gt;30000,4,IF(B6802&lt;1000,"ND",0))),"-")</f>
        <v>4</v>
      </c>
      <c r="B6802" s="116">
        <v>50539</v>
      </c>
      <c r="C6802" s="117">
        <v>45658</v>
      </c>
      <c r="D6802" s="116">
        <v>396.45</v>
      </c>
      <c r="E6802" s="117">
        <v>45656</v>
      </c>
      <c r="F6802" s="116">
        <f>COUNTIFS($A$3:A15069,A6802,$B$3:B15069,B6802)</f>
        <v>1</v>
      </c>
      <c r="G6802" s="116"/>
    </row>
    <row r="6803" spans="1:7" x14ac:dyDescent="0.2">
      <c r="A6803" s="116">
        <f>IF(ISNUMBER(Tabela2[[#This Row],[CT-e/NFS]])=TRUE,(IF(B6803&gt;30000,4,IF(B6803&lt;1000,"ND",0))),"-")</f>
        <v>0</v>
      </c>
      <c r="B6803" s="116">
        <v>22485</v>
      </c>
      <c r="C6803" s="117">
        <v>45658</v>
      </c>
      <c r="D6803" s="116">
        <v>192.36</v>
      </c>
      <c r="E6803" s="117">
        <v>45656</v>
      </c>
      <c r="F6803" s="116">
        <f>COUNTIFS($A$3:A15070,A6803,$B$3:B15070,B6803)</f>
        <v>1</v>
      </c>
      <c r="G6803" s="116"/>
    </row>
    <row r="6804" spans="1:7" x14ac:dyDescent="0.2">
      <c r="A6804" s="116">
        <f>IF(ISNUMBER(Tabela2[[#This Row],[CT-e/NFS]])=TRUE,(IF(B6804&gt;30000,4,IF(B6804&lt;1000,"ND",0))),"-")</f>
        <v>0</v>
      </c>
      <c r="B6804" s="116">
        <v>22486</v>
      </c>
      <c r="C6804" s="117">
        <v>45658</v>
      </c>
      <c r="D6804" s="116">
        <v>134.94</v>
      </c>
      <c r="E6804" s="117">
        <v>45656</v>
      </c>
      <c r="F6804" s="116">
        <f>COUNTIFS($A$3:A15071,A6804,$B$3:B15071,B6804)</f>
        <v>1</v>
      </c>
      <c r="G6804" s="116"/>
    </row>
    <row r="6805" spans="1:7" x14ac:dyDescent="0.2">
      <c r="A6805" s="116">
        <f>IF(ISNUMBER(Tabela2[[#This Row],[CT-e/NFS]])=TRUE,(IF(B6805&gt;30000,4,IF(B6805&lt;1000,"ND",0))),"-")</f>
        <v>0</v>
      </c>
      <c r="B6805" s="116">
        <v>22478</v>
      </c>
      <c r="C6805" s="117">
        <v>45658</v>
      </c>
      <c r="D6805" s="116">
        <v>338.2</v>
      </c>
      <c r="E6805" s="117">
        <v>45656</v>
      </c>
      <c r="F6805" s="116">
        <f>COUNTIFS($A$3:A15072,A6805,$B$3:B15072,B6805)</f>
        <v>1</v>
      </c>
      <c r="G6805" s="116"/>
    </row>
    <row r="6806" spans="1:7" x14ac:dyDescent="0.2">
      <c r="A6806" s="116">
        <f>IF(ISNUMBER(Tabela2[[#This Row],[CT-e/NFS]])=TRUE,(IF(B6806&gt;30000,4,IF(B6806&lt;1000,"ND",0))),"-")</f>
        <v>0</v>
      </c>
      <c r="B6806" s="116">
        <v>22483</v>
      </c>
      <c r="C6806" s="117">
        <v>45658</v>
      </c>
      <c r="D6806" s="116">
        <v>146.94</v>
      </c>
      <c r="E6806" s="117">
        <v>45656</v>
      </c>
      <c r="F6806" s="116">
        <f>COUNTIFS($A$3:A15073,A6806,$B$3:B15073,B6806)</f>
        <v>1</v>
      </c>
      <c r="G6806" s="116"/>
    </row>
    <row r="6807" spans="1:7" x14ac:dyDescent="0.2">
      <c r="A6807" s="116">
        <f>IF(ISNUMBER(Tabela2[[#This Row],[CT-e/NFS]])=TRUE,(IF(B6807&gt;30000,4,IF(B6807&lt;1000,"ND",0))),"-")</f>
        <v>0</v>
      </c>
      <c r="B6807" s="116">
        <v>22477</v>
      </c>
      <c r="C6807" s="117">
        <v>45658</v>
      </c>
      <c r="D6807" s="116">
        <v>676.23</v>
      </c>
      <c r="E6807" s="117">
        <v>45656</v>
      </c>
      <c r="F6807" s="116">
        <f>COUNTIFS($A$3:A15074,A6807,$B$3:B15074,B6807)</f>
        <v>1</v>
      </c>
      <c r="G6807" s="116"/>
    </row>
    <row r="6808" spans="1:7" x14ac:dyDescent="0.2">
      <c r="A6808" s="116">
        <f>IF(ISNUMBER(Tabela2[[#This Row],[CT-e/NFS]])=TRUE,(IF(B6808&gt;30000,4,IF(B6808&lt;1000,"ND",0))),"-")</f>
        <v>0</v>
      </c>
      <c r="B6808" s="116">
        <v>22476</v>
      </c>
      <c r="C6808" s="117">
        <v>45658</v>
      </c>
      <c r="D6808" s="116">
        <v>98.42</v>
      </c>
      <c r="E6808" s="117">
        <v>45656</v>
      </c>
      <c r="F6808" s="116">
        <f>COUNTIFS($A$3:A15075,A6808,$B$3:B15075,B6808)</f>
        <v>1</v>
      </c>
      <c r="G6808" s="116"/>
    </row>
    <row r="6809" spans="1:7" x14ac:dyDescent="0.2">
      <c r="A6809" s="116">
        <f>IF(ISNUMBER(Tabela2[[#This Row],[CT-e/NFS]])=TRUE,(IF(B6809&gt;30000,4,IF(B6809&lt;1000,"ND",0))),"-")</f>
        <v>0</v>
      </c>
      <c r="B6809" s="116">
        <v>22475</v>
      </c>
      <c r="C6809" s="117">
        <v>45658</v>
      </c>
      <c r="D6809" s="116">
        <v>106.92</v>
      </c>
      <c r="E6809" s="117">
        <v>45656</v>
      </c>
      <c r="F6809" s="116">
        <f>COUNTIFS($A$3:A15076,A6809,$B$3:B15076,B6809)</f>
        <v>1</v>
      </c>
      <c r="G6809" s="116"/>
    </row>
    <row r="6810" spans="1:7" x14ac:dyDescent="0.2">
      <c r="A6810" s="116">
        <f>IF(ISNUMBER(Tabela2[[#This Row],[CT-e/NFS]])=TRUE,(IF(B6810&gt;30000,4,IF(B6810&lt;1000,"ND",0))),"-")</f>
        <v>0</v>
      </c>
      <c r="B6810" s="116">
        <v>22474</v>
      </c>
      <c r="C6810" s="117">
        <v>45658</v>
      </c>
      <c r="D6810" s="116">
        <v>122.49</v>
      </c>
      <c r="E6810" s="117">
        <v>45656</v>
      </c>
      <c r="F6810" s="116">
        <f>COUNTIFS($A$3:A15077,A6810,$B$3:B15077,B6810)</f>
        <v>1</v>
      </c>
      <c r="G6810" s="116"/>
    </row>
    <row r="6811" spans="1:7" x14ac:dyDescent="0.2">
      <c r="A6811" s="116">
        <f>IF(ISNUMBER(Tabela2[[#This Row],[CT-e/NFS]])=TRUE,(IF(B6811&gt;30000,4,IF(B6811&lt;1000,"ND",0))),"-")</f>
        <v>0</v>
      </c>
      <c r="B6811" s="116">
        <v>22484</v>
      </c>
      <c r="C6811" s="117">
        <v>45658</v>
      </c>
      <c r="D6811" s="116">
        <v>162.80000000000001</v>
      </c>
      <c r="E6811" s="117">
        <v>45656</v>
      </c>
      <c r="F6811" s="116">
        <f>COUNTIFS($A$3:A15078,A6811,$B$3:B15078,B6811)</f>
        <v>1</v>
      </c>
      <c r="G6811" s="116"/>
    </row>
    <row r="6812" spans="1:7" x14ac:dyDescent="0.2">
      <c r="A6812" s="116">
        <f>IF(ISNUMBER(Tabela2[[#This Row],[CT-e/NFS]])=TRUE,(IF(B6812&gt;30000,4,IF(B6812&lt;1000,"ND",0))),"-")</f>
        <v>0</v>
      </c>
      <c r="B6812" s="116">
        <v>22482</v>
      </c>
      <c r="C6812" s="117">
        <v>45658</v>
      </c>
      <c r="D6812" s="116">
        <v>76.47</v>
      </c>
      <c r="E6812" s="117">
        <v>45656</v>
      </c>
      <c r="F6812" s="116">
        <f>COUNTIFS($A$3:A15079,A6812,$B$3:B15079,B6812)</f>
        <v>1</v>
      </c>
      <c r="G6812" s="116"/>
    </row>
    <row r="6813" spans="1:7" x14ac:dyDescent="0.2">
      <c r="A6813" s="116">
        <f>IF(ISNUMBER(Tabela2[[#This Row],[CT-e/NFS]])=TRUE,(IF(B6813&gt;30000,4,IF(B6813&lt;1000,"ND",0))),"-")</f>
        <v>0</v>
      </c>
      <c r="B6813" s="116">
        <v>22487</v>
      </c>
      <c r="C6813" s="117">
        <v>45658</v>
      </c>
      <c r="D6813" s="116">
        <v>75.790000000000006</v>
      </c>
      <c r="E6813" s="117">
        <v>45656</v>
      </c>
      <c r="F6813" s="116">
        <f>COUNTIFS($A$3:A15080,A6813,$B$3:B15080,B6813)</f>
        <v>1</v>
      </c>
      <c r="G6813" s="116"/>
    </row>
    <row r="6814" spans="1:7" x14ac:dyDescent="0.2">
      <c r="A6814" s="116">
        <f>IF(ISNUMBER(Tabela2[[#This Row],[CT-e/NFS]])=TRUE,(IF(B6814&gt;30000,4,IF(B6814&lt;1000,"ND",0))),"-")</f>
        <v>4</v>
      </c>
      <c r="B6814" s="116">
        <v>50558</v>
      </c>
      <c r="C6814" s="117">
        <v>45658</v>
      </c>
      <c r="D6814" s="116">
        <v>122.93</v>
      </c>
      <c r="E6814" s="117">
        <v>45656</v>
      </c>
      <c r="F6814" s="116">
        <f>COUNTIFS($A$3:A15086,A6814,$B$3:B15086,B6814)</f>
        <v>1</v>
      </c>
      <c r="G6814" s="116"/>
    </row>
    <row r="6815" spans="1:7" x14ac:dyDescent="0.2">
      <c r="A6815" s="116">
        <f>IF(ISNUMBER(Tabela2[[#This Row],[CT-e/NFS]])=TRUE,(IF(B6815&gt;30000,4,IF(B6815&lt;1000,"ND",0))),"-")</f>
        <v>4</v>
      </c>
      <c r="B6815" s="116">
        <v>50549</v>
      </c>
      <c r="C6815" s="117">
        <v>45658</v>
      </c>
      <c r="D6815" s="116">
        <v>122.77</v>
      </c>
      <c r="E6815" s="117">
        <v>45656</v>
      </c>
      <c r="F6815" s="116">
        <f>COUNTIFS($A$3:A15087,A6815,$B$3:B15087,B6815)</f>
        <v>1</v>
      </c>
      <c r="G6815" s="116"/>
    </row>
    <row r="6816" spans="1:7" x14ac:dyDescent="0.2">
      <c r="A6816" s="116">
        <f>IF(ISNUMBER(Tabela2[[#This Row],[CT-e/NFS]])=TRUE,(IF(B6816&gt;30000,4,IF(B6816&lt;1000,"ND",0))),"-")</f>
        <v>4</v>
      </c>
      <c r="B6816" s="116">
        <v>50547</v>
      </c>
      <c r="C6816" s="117">
        <v>45658</v>
      </c>
      <c r="D6816" s="116">
        <v>124.63</v>
      </c>
      <c r="E6816" s="117">
        <v>45656</v>
      </c>
      <c r="F6816" s="116">
        <f>COUNTIFS($A$3:A15088,A6816,$B$3:B15088,B6816)</f>
        <v>1</v>
      </c>
      <c r="G6816" s="116"/>
    </row>
    <row r="6817" spans="1:7" x14ac:dyDescent="0.2">
      <c r="A6817" s="116">
        <f>IF(ISNUMBER(Tabela2[[#This Row],[CT-e/NFS]])=TRUE,(IF(B6817&gt;30000,4,IF(B6817&lt;1000,"ND",0))),"-")</f>
        <v>4</v>
      </c>
      <c r="B6817" s="116">
        <v>50548</v>
      </c>
      <c r="C6817" s="117">
        <v>45658</v>
      </c>
      <c r="D6817" s="116">
        <v>122.77</v>
      </c>
      <c r="E6817" s="117">
        <v>45656</v>
      </c>
      <c r="F6817" s="116">
        <f>COUNTIFS($A$3:A15089,A6817,$B$3:B15089,B6817)</f>
        <v>1</v>
      </c>
      <c r="G6817" s="116"/>
    </row>
    <row r="6818" spans="1:7" x14ac:dyDescent="0.2">
      <c r="A6818" s="116">
        <f>IF(ISNUMBER(Tabela2[[#This Row],[CT-e/NFS]])=TRUE,(IF(B6818&gt;30000,4,IF(B6818&lt;1000,"ND",0))),"-")</f>
        <v>4</v>
      </c>
      <c r="B6818" s="116">
        <v>50555</v>
      </c>
      <c r="C6818" s="117">
        <v>45658</v>
      </c>
      <c r="D6818" s="116">
        <v>124.38</v>
      </c>
      <c r="E6818" s="117">
        <v>45656</v>
      </c>
      <c r="F6818" s="116">
        <f>COUNTIFS($A$3:A15090,A6818,$B$3:B15090,B6818)</f>
        <v>1</v>
      </c>
      <c r="G6818" s="116"/>
    </row>
    <row r="6819" spans="1:7" x14ac:dyDescent="0.2">
      <c r="A6819" s="116">
        <f>IF(ISNUMBER(Tabela2[[#This Row],[CT-e/NFS]])=TRUE,(IF(B6819&gt;30000,4,IF(B6819&lt;1000,"ND",0))),"-")</f>
        <v>4</v>
      </c>
      <c r="B6819" s="116">
        <v>50551</v>
      </c>
      <c r="C6819" s="117">
        <v>45658</v>
      </c>
      <c r="D6819" s="116">
        <v>124.89</v>
      </c>
      <c r="E6819" s="117">
        <v>45656</v>
      </c>
      <c r="F6819" s="116">
        <f>COUNTIFS($A$3:A15091,A6819,$B$3:B15091,B6819)</f>
        <v>1</v>
      </c>
      <c r="G6819" s="116"/>
    </row>
    <row r="6820" spans="1:7" x14ac:dyDescent="0.2">
      <c r="A6820" s="116">
        <f>IF(ISNUMBER(Tabela2[[#This Row],[CT-e/NFS]])=TRUE,(IF(B6820&gt;30000,4,IF(B6820&lt;1000,"ND",0))),"-")</f>
        <v>4</v>
      </c>
      <c r="B6820" s="116">
        <v>50545</v>
      </c>
      <c r="C6820" s="117">
        <v>45658</v>
      </c>
      <c r="D6820" s="116">
        <v>125.48</v>
      </c>
      <c r="E6820" s="117">
        <v>45656</v>
      </c>
      <c r="F6820" s="116">
        <f>COUNTIFS($A$3:A15092,A6820,$B$3:B15092,B6820)</f>
        <v>1</v>
      </c>
      <c r="G6820" s="116"/>
    </row>
    <row r="6821" spans="1:7" x14ac:dyDescent="0.2">
      <c r="A6821" s="116">
        <f>IF(ISNUMBER(Tabela2[[#This Row],[CT-e/NFS]])=TRUE,(IF(B6821&gt;30000,4,IF(B6821&lt;1000,"ND",0))),"-")</f>
        <v>4</v>
      </c>
      <c r="B6821" s="116">
        <v>50552</v>
      </c>
      <c r="C6821" s="117">
        <v>45658</v>
      </c>
      <c r="D6821" s="116">
        <v>125.52</v>
      </c>
      <c r="E6821" s="117">
        <v>45656</v>
      </c>
      <c r="F6821" s="116">
        <f>COUNTIFS($A$3:A15093,A6821,$B$3:B15093,B6821)</f>
        <v>1</v>
      </c>
      <c r="G6821" s="116"/>
    </row>
    <row r="6822" spans="1:7" x14ac:dyDescent="0.2">
      <c r="A6822" s="116">
        <f>IF(ISNUMBER(Tabela2[[#This Row],[CT-e/NFS]])=TRUE,(IF(B6822&gt;30000,4,IF(B6822&lt;1000,"ND",0))),"-")</f>
        <v>4</v>
      </c>
      <c r="B6822" s="116">
        <v>50546</v>
      </c>
      <c r="C6822" s="117">
        <v>45658</v>
      </c>
      <c r="D6822" s="116">
        <v>126.53</v>
      </c>
      <c r="E6822" s="117">
        <v>45656</v>
      </c>
      <c r="F6822" s="116">
        <f>COUNTIFS($A$3:A15094,A6822,$B$3:B15094,B6822)</f>
        <v>1</v>
      </c>
      <c r="G6822" s="116"/>
    </row>
    <row r="6823" spans="1:7" x14ac:dyDescent="0.2">
      <c r="A6823" s="116">
        <f>IF(ISNUMBER(Tabela2[[#This Row],[CT-e/NFS]])=TRUE,(IF(B6823&gt;30000,4,IF(B6823&lt;1000,"ND",0))),"-")</f>
        <v>4</v>
      </c>
      <c r="B6823" s="116">
        <v>50542</v>
      </c>
      <c r="C6823" s="117">
        <v>45658</v>
      </c>
      <c r="D6823" s="116">
        <v>272.13</v>
      </c>
      <c r="E6823" s="117">
        <v>45656</v>
      </c>
      <c r="F6823" s="116">
        <f>COUNTIFS($A$3:A15095,A6823,$B$3:B15095,B6823)</f>
        <v>1</v>
      </c>
      <c r="G6823" s="116"/>
    </row>
    <row r="6824" spans="1:7" x14ac:dyDescent="0.2">
      <c r="A6824" s="116">
        <f>IF(ISNUMBER(Tabela2[[#This Row],[CT-e/NFS]])=TRUE,(IF(B6824&gt;30000,4,IF(B6824&lt;1000,"ND",0))),"-")</f>
        <v>4</v>
      </c>
      <c r="B6824" s="116">
        <v>50544</v>
      </c>
      <c r="C6824" s="117">
        <v>45658</v>
      </c>
      <c r="D6824" s="116">
        <v>487.15</v>
      </c>
      <c r="E6824" s="117">
        <v>45656</v>
      </c>
      <c r="F6824" s="116">
        <f>COUNTIFS($A$3:A15096,A6824,$B$3:B15096,B6824)</f>
        <v>1</v>
      </c>
      <c r="G6824" s="116"/>
    </row>
    <row r="6825" spans="1:7" x14ac:dyDescent="0.2">
      <c r="A6825" s="116">
        <f>IF(ISNUMBER(Tabela2[[#This Row],[CT-e/NFS]])=TRUE,(IF(B6825&gt;30000,4,IF(B6825&lt;1000,"ND",0))),"-")</f>
        <v>4</v>
      </c>
      <c r="B6825" s="116">
        <v>50560</v>
      </c>
      <c r="C6825" s="117">
        <v>45658</v>
      </c>
      <c r="D6825" s="116">
        <v>672.04</v>
      </c>
      <c r="E6825" s="117">
        <v>45656</v>
      </c>
      <c r="F6825" s="116">
        <f>COUNTIFS($A$3:A15097,A6825,$B$3:B15097,B6825)</f>
        <v>1</v>
      </c>
      <c r="G6825" s="116"/>
    </row>
    <row r="6826" spans="1:7" x14ac:dyDescent="0.2">
      <c r="A6826" s="116">
        <f>IF(ISNUMBER(Tabela2[[#This Row],[CT-e/NFS]])=TRUE,(IF(B6826&gt;30000,4,IF(B6826&lt;1000,"ND",0))),"-")</f>
        <v>4</v>
      </c>
      <c r="B6826" s="116">
        <v>50550</v>
      </c>
      <c r="C6826" s="117">
        <v>45658</v>
      </c>
      <c r="D6826" s="116">
        <v>243.45</v>
      </c>
      <c r="E6826" s="117">
        <v>45656</v>
      </c>
      <c r="F6826" s="116">
        <f>COUNTIFS($A$3:A15098,A6826,$B$3:B15098,B6826)</f>
        <v>1</v>
      </c>
      <c r="G6826" s="116"/>
    </row>
    <row r="6827" spans="1:7" x14ac:dyDescent="0.2">
      <c r="A6827" s="116">
        <f>IF(ISNUMBER(Tabela2[[#This Row],[CT-e/NFS]])=TRUE,(IF(B6827&gt;30000,4,IF(B6827&lt;1000,"ND",0))),"-")</f>
        <v>4</v>
      </c>
      <c r="B6827" s="116">
        <v>50559</v>
      </c>
      <c r="C6827" s="117">
        <v>45658</v>
      </c>
      <c r="D6827" s="116">
        <v>1758.3</v>
      </c>
      <c r="E6827" s="117">
        <v>45656</v>
      </c>
      <c r="F6827" s="116">
        <f>COUNTIFS($A$3:A15099,A6827,$B$3:B15099,B6827)</f>
        <v>1</v>
      </c>
      <c r="G6827" s="116"/>
    </row>
    <row r="6828" spans="1:7" x14ac:dyDescent="0.2">
      <c r="A6828" s="116">
        <f>IF(ISNUMBER(Tabela2[[#This Row],[CT-e/NFS]])=TRUE,(IF(B6828&gt;30000,4,IF(B6828&lt;1000,"ND",0))),"-")</f>
        <v>4</v>
      </c>
      <c r="B6828" s="116">
        <v>50554</v>
      </c>
      <c r="C6828" s="117">
        <v>45658</v>
      </c>
      <c r="D6828" s="116">
        <v>240.26</v>
      </c>
      <c r="E6828" s="117">
        <v>45656</v>
      </c>
      <c r="F6828" s="116">
        <f>COUNTIFS($A$3:A15100,A6828,$B$3:B15100,B6828)</f>
        <v>1</v>
      </c>
      <c r="G6828" s="116"/>
    </row>
    <row r="6829" spans="1:7" x14ac:dyDescent="0.2">
      <c r="A6829" s="116">
        <f>IF(ISNUMBER(Tabela2[[#This Row],[CT-e/NFS]])=TRUE,(IF(B6829&gt;30000,4,IF(B6829&lt;1000,"ND",0))),"-")</f>
        <v>4</v>
      </c>
      <c r="B6829" s="116">
        <v>50543</v>
      </c>
      <c r="C6829" s="117">
        <v>45658</v>
      </c>
      <c r="D6829" s="116">
        <v>133.47</v>
      </c>
      <c r="E6829" s="117">
        <v>45656</v>
      </c>
      <c r="F6829" s="116">
        <f>COUNTIFS($A$3:A15101,A6829,$B$3:B15101,B6829)</f>
        <v>1</v>
      </c>
      <c r="G6829" s="116"/>
    </row>
    <row r="6830" spans="1:7" x14ac:dyDescent="0.2">
      <c r="A6830" s="116">
        <f>IF(ISNUMBER(Tabela2[[#This Row],[CT-e/NFS]])=TRUE,(IF(B6830&gt;30000,4,IF(B6830&lt;1000,"ND",0))),"-")</f>
        <v>4</v>
      </c>
      <c r="B6830" s="116">
        <v>50553</v>
      </c>
      <c r="C6830" s="117">
        <v>45658</v>
      </c>
      <c r="D6830" s="116">
        <v>240.47</v>
      </c>
      <c r="E6830" s="117">
        <v>45656</v>
      </c>
      <c r="F6830" s="116">
        <f>COUNTIFS($A$3:A15102,A6830,$B$3:B15102,B6830)</f>
        <v>1</v>
      </c>
      <c r="G6830" s="116"/>
    </row>
    <row r="6831" spans="1:7" x14ac:dyDescent="0.2">
      <c r="A6831" s="116">
        <f>IF(ISNUMBER(Tabela2[[#This Row],[CT-e/NFS]])=TRUE,(IF(B6831&gt;30000,4,IF(B6831&lt;1000,"ND",0))),"-")</f>
        <v>0</v>
      </c>
      <c r="B6831" s="116">
        <v>22493</v>
      </c>
      <c r="C6831" s="117">
        <v>45658</v>
      </c>
      <c r="D6831" s="116">
        <v>515.41</v>
      </c>
      <c r="E6831" s="117">
        <v>45656</v>
      </c>
      <c r="F6831" s="116">
        <f>COUNTIFS($A$3:A15103,A6831,$B$3:B15103,B6831)</f>
        <v>1</v>
      </c>
      <c r="G6831" s="116"/>
    </row>
    <row r="6832" spans="1:7" x14ac:dyDescent="0.2">
      <c r="A6832" s="116">
        <f>IF(ISNUMBER(Tabela2[[#This Row],[CT-e/NFS]])=TRUE,(IF(B6832&gt;30000,4,IF(B6832&lt;1000,"ND",0))),"-")</f>
        <v>0</v>
      </c>
      <c r="B6832" s="116">
        <v>22488</v>
      </c>
      <c r="C6832" s="117">
        <v>45658</v>
      </c>
      <c r="D6832" s="116">
        <v>74.17</v>
      </c>
      <c r="E6832" s="117">
        <v>45656</v>
      </c>
      <c r="F6832" s="116">
        <f>COUNTIFS($A$3:A15104,A6832,$B$3:B15104,B6832)</f>
        <v>1</v>
      </c>
      <c r="G6832" s="116"/>
    </row>
    <row r="6833" spans="1:7" x14ac:dyDescent="0.2">
      <c r="A6833" s="116">
        <f>IF(ISNUMBER(Tabela2[[#This Row],[CT-e/NFS]])=TRUE,(IF(B6833&gt;30000,4,IF(B6833&lt;1000,"ND",0))),"-")</f>
        <v>0</v>
      </c>
      <c r="B6833" s="116">
        <v>22494</v>
      </c>
      <c r="C6833" s="117">
        <v>45658</v>
      </c>
      <c r="D6833" s="116">
        <v>75.64</v>
      </c>
      <c r="E6833" s="117">
        <v>45656</v>
      </c>
      <c r="F6833" s="116">
        <f>COUNTIFS($A$3:A15105,A6833,$B$3:B15105,B6833)</f>
        <v>1</v>
      </c>
      <c r="G6833" s="116"/>
    </row>
    <row r="6834" spans="1:7" x14ac:dyDescent="0.2">
      <c r="A6834" s="116">
        <f>IF(ISNUMBER(Tabela2[[#This Row],[CT-e/NFS]])=TRUE,(IF(B6834&gt;30000,4,IF(B6834&lt;1000,"ND",0))),"-")</f>
        <v>0</v>
      </c>
      <c r="B6834" s="116">
        <v>22490</v>
      </c>
      <c r="C6834" s="117">
        <v>45658</v>
      </c>
      <c r="D6834" s="116">
        <v>76.52</v>
      </c>
      <c r="E6834" s="117">
        <v>45656</v>
      </c>
      <c r="F6834" s="116">
        <f>COUNTIFS($A$3:A15106,A6834,$B$3:B15106,B6834)</f>
        <v>1</v>
      </c>
      <c r="G6834" s="116"/>
    </row>
    <row r="6835" spans="1:7" x14ac:dyDescent="0.2">
      <c r="A6835" s="116">
        <f>IF(ISNUMBER(Tabela2[[#This Row],[CT-e/NFS]])=TRUE,(IF(B6835&gt;30000,4,IF(B6835&lt;1000,"ND",0))),"-")</f>
        <v>0</v>
      </c>
      <c r="B6835" s="116">
        <v>22495</v>
      </c>
      <c r="C6835" s="117">
        <v>45658</v>
      </c>
      <c r="D6835" s="116">
        <v>76.19</v>
      </c>
      <c r="E6835" s="117">
        <v>45656</v>
      </c>
      <c r="F6835" s="116">
        <f>COUNTIFS($A$3:A15107,A6835,$B$3:B15107,B6835)</f>
        <v>1</v>
      </c>
      <c r="G6835" s="116"/>
    </row>
    <row r="6836" spans="1:7" x14ac:dyDescent="0.2">
      <c r="A6836" s="116">
        <f>IF(ISNUMBER(Tabela2[[#This Row],[CT-e/NFS]])=TRUE,(IF(B6836&gt;30000,4,IF(B6836&lt;1000,"ND",0))),"-")</f>
        <v>4</v>
      </c>
      <c r="B6836" s="116">
        <v>50576</v>
      </c>
      <c r="C6836" s="117">
        <v>45658</v>
      </c>
      <c r="D6836" s="116">
        <v>122.92</v>
      </c>
      <c r="E6836" s="117">
        <v>45656</v>
      </c>
      <c r="F6836" s="116">
        <f>COUNTIFS($A$3:A15113,A6836,$B$3:B15113,B6836)</f>
        <v>1</v>
      </c>
      <c r="G6836" s="116"/>
    </row>
    <row r="6837" spans="1:7" x14ac:dyDescent="0.2">
      <c r="A6837" s="116">
        <f>IF(ISNUMBER(Tabela2[[#This Row],[CT-e/NFS]])=TRUE,(IF(B6837&gt;30000,4,IF(B6837&lt;1000,"ND",0))),"-")</f>
        <v>4</v>
      </c>
      <c r="B6837" s="116">
        <v>50575</v>
      </c>
      <c r="C6837" s="117">
        <v>45658</v>
      </c>
      <c r="D6837" s="116">
        <v>123.9</v>
      </c>
      <c r="E6837" s="117">
        <v>45656</v>
      </c>
      <c r="F6837" s="116">
        <f>COUNTIFS($A$3:A15114,A6837,$B$3:B15114,B6837)</f>
        <v>1</v>
      </c>
      <c r="G6837" s="116"/>
    </row>
    <row r="6838" spans="1:7" x14ac:dyDescent="0.2">
      <c r="A6838" s="116">
        <f>IF(ISNUMBER(Tabela2[[#This Row],[CT-e/NFS]])=TRUE,(IF(B6838&gt;30000,4,IF(B6838&lt;1000,"ND",0))),"-")</f>
        <v>4</v>
      </c>
      <c r="B6838" s="116">
        <v>50570</v>
      </c>
      <c r="C6838" s="117">
        <v>45658</v>
      </c>
      <c r="D6838" s="116">
        <v>122.92</v>
      </c>
      <c r="E6838" s="117">
        <v>45656</v>
      </c>
      <c r="F6838" s="116">
        <f>COUNTIFS($A$3:A15115,A6838,$B$3:B15115,B6838)</f>
        <v>1</v>
      </c>
      <c r="G6838" s="116"/>
    </row>
    <row r="6839" spans="1:7" x14ac:dyDescent="0.2">
      <c r="A6839" s="116">
        <f>IF(ISNUMBER(Tabela2[[#This Row],[CT-e/NFS]])=TRUE,(IF(B6839&gt;30000,4,IF(B6839&lt;1000,"ND",0))),"-")</f>
        <v>4</v>
      </c>
      <c r="B6839" s="116">
        <v>50572</v>
      </c>
      <c r="C6839" s="117">
        <v>45658</v>
      </c>
      <c r="D6839" s="116">
        <v>122.93</v>
      </c>
      <c r="E6839" s="117">
        <v>45656</v>
      </c>
      <c r="F6839" s="116">
        <f>COUNTIFS($A$3:A15116,A6839,$B$3:B15116,B6839)</f>
        <v>1</v>
      </c>
      <c r="G6839" s="116"/>
    </row>
    <row r="6840" spans="1:7" x14ac:dyDescent="0.2">
      <c r="A6840" s="116">
        <f>IF(ISNUMBER(Tabela2[[#This Row],[CT-e/NFS]])=TRUE,(IF(B6840&gt;30000,4,IF(B6840&lt;1000,"ND",0))),"-")</f>
        <v>4</v>
      </c>
      <c r="B6840" s="116">
        <v>50567</v>
      </c>
      <c r="C6840" s="117">
        <v>45658</v>
      </c>
      <c r="D6840" s="116">
        <v>123.11</v>
      </c>
      <c r="E6840" s="117">
        <v>45656</v>
      </c>
      <c r="F6840" s="116">
        <f>COUNTIFS($A$3:A15117,A6840,$B$3:B15117,B6840)</f>
        <v>1</v>
      </c>
      <c r="G6840" s="116"/>
    </row>
    <row r="6841" spans="1:7" x14ac:dyDescent="0.2">
      <c r="A6841" s="116">
        <f>IF(ISNUMBER(Tabela2[[#This Row],[CT-e/NFS]])=TRUE,(IF(B6841&gt;30000,4,IF(B6841&lt;1000,"ND",0))),"-")</f>
        <v>4</v>
      </c>
      <c r="B6841" s="116">
        <v>50565</v>
      </c>
      <c r="C6841" s="117">
        <v>45658</v>
      </c>
      <c r="D6841" s="116">
        <v>126.65</v>
      </c>
      <c r="E6841" s="117">
        <v>45656</v>
      </c>
      <c r="F6841" s="116">
        <f>COUNTIFS($A$3:A15118,A6841,$B$3:B15118,B6841)</f>
        <v>1</v>
      </c>
      <c r="G6841" s="116"/>
    </row>
    <row r="6842" spans="1:7" x14ac:dyDescent="0.2">
      <c r="A6842" s="116">
        <f>IF(ISNUMBER(Tabela2[[#This Row],[CT-e/NFS]])=TRUE,(IF(B6842&gt;30000,4,IF(B6842&lt;1000,"ND",0))),"-")</f>
        <v>4</v>
      </c>
      <c r="B6842" s="116">
        <v>50574</v>
      </c>
      <c r="C6842" s="117">
        <v>45658</v>
      </c>
      <c r="D6842" s="116">
        <v>123.51</v>
      </c>
      <c r="E6842" s="117">
        <v>45656</v>
      </c>
      <c r="F6842" s="116">
        <f>COUNTIFS($A$3:A15119,A6842,$B$3:B15119,B6842)</f>
        <v>1</v>
      </c>
      <c r="G6842" s="116"/>
    </row>
    <row r="6843" spans="1:7" x14ac:dyDescent="0.2">
      <c r="A6843" s="116">
        <f>IF(ISNUMBER(Tabela2[[#This Row],[CT-e/NFS]])=TRUE,(IF(B6843&gt;30000,4,IF(B6843&lt;1000,"ND",0))),"-")</f>
        <v>4</v>
      </c>
      <c r="B6843" s="116">
        <v>50568</v>
      </c>
      <c r="C6843" s="117">
        <v>45658</v>
      </c>
      <c r="D6843" s="116">
        <v>1649.35</v>
      </c>
      <c r="E6843" s="117">
        <v>45656</v>
      </c>
      <c r="F6843" s="116">
        <f>COUNTIFS($A$3:A15120,A6843,$B$3:B15120,B6843)</f>
        <v>1</v>
      </c>
      <c r="G6843" s="116"/>
    </row>
    <row r="6844" spans="1:7" x14ac:dyDescent="0.2">
      <c r="A6844" s="116">
        <f>IF(ISNUMBER(Tabela2[[#This Row],[CT-e/NFS]])=TRUE,(IF(B6844&gt;30000,4,IF(B6844&lt;1000,"ND",0))),"-")</f>
        <v>4</v>
      </c>
      <c r="B6844" s="116">
        <v>50577</v>
      </c>
      <c r="C6844" s="117">
        <v>45658</v>
      </c>
      <c r="D6844" s="116">
        <v>1832.61</v>
      </c>
      <c r="E6844" s="117">
        <v>45656</v>
      </c>
      <c r="F6844" s="116">
        <f>COUNTIFS($A$3:A15121,A6844,$B$3:B15121,B6844)</f>
        <v>1</v>
      </c>
      <c r="G6844" s="116"/>
    </row>
    <row r="6845" spans="1:7" x14ac:dyDescent="0.2">
      <c r="A6845" s="116">
        <f>IF(ISNUMBER(Tabela2[[#This Row],[CT-e/NFS]])=TRUE,(IF(B6845&gt;30000,4,IF(B6845&lt;1000,"ND",0))),"-")</f>
        <v>4</v>
      </c>
      <c r="B6845" s="116">
        <v>50566</v>
      </c>
      <c r="C6845" s="117">
        <v>45658</v>
      </c>
      <c r="D6845" s="116">
        <v>1832.61</v>
      </c>
      <c r="E6845" s="117">
        <v>45656</v>
      </c>
      <c r="F6845" s="116">
        <f>COUNTIFS($A$3:A15122,A6845,$B$3:B15122,B6845)</f>
        <v>1</v>
      </c>
      <c r="G6845" s="116"/>
    </row>
    <row r="6846" spans="1:7" x14ac:dyDescent="0.2">
      <c r="A6846" s="116">
        <f>IF(ISNUMBER(Tabela2[[#This Row],[CT-e/NFS]])=TRUE,(IF(B6846&gt;30000,4,IF(B6846&lt;1000,"ND",0))),"-")</f>
        <v>4</v>
      </c>
      <c r="B6846" s="116">
        <v>50561</v>
      </c>
      <c r="C6846" s="117">
        <v>45658</v>
      </c>
      <c r="D6846" s="116">
        <v>1758.3</v>
      </c>
      <c r="E6846" s="117">
        <v>45656</v>
      </c>
      <c r="F6846" s="116">
        <f>COUNTIFS($A$3:A15123,A6846,$B$3:B15123,B6846)</f>
        <v>1</v>
      </c>
      <c r="G6846" s="116"/>
    </row>
    <row r="6847" spans="1:7" x14ac:dyDescent="0.2">
      <c r="A6847" s="116">
        <f>IF(ISNUMBER(Tabela2[[#This Row],[CT-e/NFS]])=TRUE,(IF(B6847&gt;30000,4,IF(B6847&lt;1000,"ND",0))),"-")</f>
        <v>4</v>
      </c>
      <c r="B6847" s="116">
        <v>50563</v>
      </c>
      <c r="C6847" s="117">
        <v>45658</v>
      </c>
      <c r="D6847" s="116">
        <v>396.45</v>
      </c>
      <c r="E6847" s="117">
        <v>45656</v>
      </c>
      <c r="F6847" s="116">
        <f>COUNTIFS($A$3:A15124,A6847,$B$3:B15124,B6847)</f>
        <v>1</v>
      </c>
      <c r="G6847" s="116"/>
    </row>
    <row r="6848" spans="1:7" x14ac:dyDescent="0.2">
      <c r="A6848" s="116">
        <f>IF(ISNUMBER(Tabela2[[#This Row],[CT-e/NFS]])=TRUE,(IF(B6848&gt;30000,4,IF(B6848&lt;1000,"ND",0))),"-")</f>
        <v>4</v>
      </c>
      <c r="B6848" s="116">
        <v>50580</v>
      </c>
      <c r="C6848" s="117">
        <v>45658</v>
      </c>
      <c r="D6848" s="116">
        <v>609.98</v>
      </c>
      <c r="E6848" s="117">
        <v>45656</v>
      </c>
      <c r="F6848" s="116">
        <f>COUNTIFS($A$3:A15125,A6848,$B$3:B15125,B6848)</f>
        <v>1</v>
      </c>
      <c r="G6848" s="116"/>
    </row>
    <row r="6849" spans="1:7" x14ac:dyDescent="0.2">
      <c r="A6849" s="116">
        <f>IF(ISNUMBER(Tabela2[[#This Row],[CT-e/NFS]])=TRUE,(IF(B6849&gt;30000,4,IF(B6849&lt;1000,"ND",0))),"-")</f>
        <v>4</v>
      </c>
      <c r="B6849" s="116">
        <v>50579</v>
      </c>
      <c r="C6849" s="117">
        <v>45658</v>
      </c>
      <c r="D6849" s="116">
        <v>792.34</v>
      </c>
      <c r="E6849" s="117">
        <v>45656</v>
      </c>
      <c r="F6849" s="116">
        <f>COUNTIFS($A$3:A15126,A6849,$B$3:B15126,B6849)</f>
        <v>1</v>
      </c>
      <c r="G6849" s="116"/>
    </row>
    <row r="6850" spans="1:7" x14ac:dyDescent="0.2">
      <c r="A6850" s="116">
        <f>IF(ISNUMBER(Tabela2[[#This Row],[CT-e/NFS]])=TRUE,(IF(B6850&gt;30000,4,IF(B6850&lt;1000,"ND",0))),"-")</f>
        <v>4</v>
      </c>
      <c r="B6850" s="116">
        <v>50578</v>
      </c>
      <c r="C6850" s="117">
        <v>45658</v>
      </c>
      <c r="D6850" s="116">
        <v>959.44</v>
      </c>
      <c r="E6850" s="117">
        <v>45656</v>
      </c>
      <c r="F6850" s="116">
        <f>COUNTIFS($A$3:A15127,A6850,$B$3:B15127,B6850)</f>
        <v>1</v>
      </c>
      <c r="G6850" s="116"/>
    </row>
    <row r="6851" spans="1:7" x14ac:dyDescent="0.2">
      <c r="A6851" s="116">
        <f>IF(ISNUMBER(Tabela2[[#This Row],[CT-e/NFS]])=TRUE,(IF(B6851&gt;30000,4,IF(B6851&lt;1000,"ND",0))),"-")</f>
        <v>4</v>
      </c>
      <c r="B6851" s="116">
        <v>50573</v>
      </c>
      <c r="C6851" s="117">
        <v>45658</v>
      </c>
      <c r="D6851" s="116">
        <v>239.28</v>
      </c>
      <c r="E6851" s="117">
        <v>45656</v>
      </c>
      <c r="F6851" s="116">
        <f>COUNTIFS($A$3:A15128,A6851,$B$3:B15128,B6851)</f>
        <v>1</v>
      </c>
      <c r="G6851" s="116"/>
    </row>
    <row r="6852" spans="1:7" x14ac:dyDescent="0.2">
      <c r="A6852" s="116">
        <f>IF(ISNUMBER(Tabela2[[#This Row],[CT-e/NFS]])=TRUE,(IF(B6852&gt;30000,4,IF(B6852&lt;1000,"ND",0))),"-")</f>
        <v>4</v>
      </c>
      <c r="B6852" s="116">
        <v>50571</v>
      </c>
      <c r="C6852" s="117">
        <v>45658</v>
      </c>
      <c r="D6852" s="116">
        <v>959.44</v>
      </c>
      <c r="E6852" s="117">
        <v>45656</v>
      </c>
      <c r="F6852" s="116">
        <f>COUNTIFS($A$3:A15129,A6852,$B$3:B15129,B6852)</f>
        <v>1</v>
      </c>
      <c r="G6852" s="116"/>
    </row>
    <row r="6853" spans="1:7" x14ac:dyDescent="0.2">
      <c r="A6853" s="116">
        <f>IF(ISNUMBER(Tabela2[[#This Row],[CT-e/NFS]])=TRUE,(IF(B6853&gt;30000,4,IF(B6853&lt;1000,"ND",0))),"-")</f>
        <v>4</v>
      </c>
      <c r="B6853" s="116">
        <v>50564</v>
      </c>
      <c r="C6853" s="117">
        <v>45658</v>
      </c>
      <c r="D6853" s="116">
        <v>1086.24</v>
      </c>
      <c r="E6853" s="117">
        <v>45656</v>
      </c>
      <c r="F6853" s="116">
        <f>COUNTIFS($A$3:A15130,A6853,$B$3:B15130,B6853)</f>
        <v>1</v>
      </c>
      <c r="G6853" s="116"/>
    </row>
    <row r="6854" spans="1:7" x14ac:dyDescent="0.2">
      <c r="A6854" s="116">
        <f>IF(ISNUMBER(Tabela2[[#This Row],[CT-e/NFS]])=TRUE,(IF(B6854&gt;30000,4,IF(B6854&lt;1000,"ND",0))),"-")</f>
        <v>4</v>
      </c>
      <c r="B6854" s="116">
        <v>50586</v>
      </c>
      <c r="C6854" s="117">
        <v>45658</v>
      </c>
      <c r="D6854" s="116">
        <v>123.99</v>
      </c>
      <c r="E6854" s="117">
        <v>45656</v>
      </c>
      <c r="F6854" s="116">
        <f>COUNTIFS($A$3:A15132,A6854,$B$3:B15132,B6854)</f>
        <v>1</v>
      </c>
      <c r="G6854" s="116"/>
    </row>
    <row r="6855" spans="1:7" x14ac:dyDescent="0.2">
      <c r="A6855" s="116">
        <f>IF(ISNUMBER(Tabela2[[#This Row],[CT-e/NFS]])=TRUE,(IF(B6855&gt;30000,4,IF(B6855&lt;1000,"ND",0))),"-")</f>
        <v>4</v>
      </c>
      <c r="B6855" s="116">
        <v>50593</v>
      </c>
      <c r="C6855" s="117">
        <v>45658</v>
      </c>
      <c r="D6855" s="116">
        <v>123.9</v>
      </c>
      <c r="E6855" s="117">
        <v>45656</v>
      </c>
      <c r="F6855" s="116">
        <f>COUNTIFS($A$3:A15133,A6855,$B$3:B15133,B6855)</f>
        <v>1</v>
      </c>
      <c r="G6855" s="116"/>
    </row>
    <row r="6856" spans="1:7" x14ac:dyDescent="0.2">
      <c r="A6856" s="116">
        <f>IF(ISNUMBER(Tabela2[[#This Row],[CT-e/NFS]])=TRUE,(IF(B6856&gt;30000,4,IF(B6856&lt;1000,"ND",0))),"-")</f>
        <v>4</v>
      </c>
      <c r="B6856" s="116">
        <v>50589</v>
      </c>
      <c r="C6856" s="117">
        <v>45658</v>
      </c>
      <c r="D6856" s="116">
        <v>124.18</v>
      </c>
      <c r="E6856" s="117">
        <v>45656</v>
      </c>
      <c r="F6856" s="116">
        <f>COUNTIFS($A$3:A15134,A6856,$B$3:B15134,B6856)</f>
        <v>1</v>
      </c>
      <c r="G6856" s="116"/>
    </row>
    <row r="6857" spans="1:7" x14ac:dyDescent="0.2">
      <c r="A6857" s="116">
        <f>IF(ISNUMBER(Tabela2[[#This Row],[CT-e/NFS]])=TRUE,(IF(B6857&gt;30000,4,IF(B6857&lt;1000,"ND",0))),"-")</f>
        <v>4</v>
      </c>
      <c r="B6857" s="116">
        <v>50587</v>
      </c>
      <c r="C6857" s="117">
        <v>45658</v>
      </c>
      <c r="D6857" s="116">
        <v>124.03</v>
      </c>
      <c r="E6857" s="117">
        <v>45656</v>
      </c>
      <c r="F6857" s="116">
        <f>COUNTIFS($A$3:A15135,A6857,$B$3:B15135,B6857)</f>
        <v>1</v>
      </c>
      <c r="G6857" s="116"/>
    </row>
    <row r="6858" spans="1:7" x14ac:dyDescent="0.2">
      <c r="A6858" s="116">
        <f>IF(ISNUMBER(Tabela2[[#This Row],[CT-e/NFS]])=TRUE,(IF(B6858&gt;30000,4,IF(B6858&lt;1000,"ND",0))),"-")</f>
        <v>4</v>
      </c>
      <c r="B6858" s="116">
        <v>50588</v>
      </c>
      <c r="C6858" s="117">
        <v>45658</v>
      </c>
      <c r="D6858" s="116">
        <v>124.2</v>
      </c>
      <c r="E6858" s="117">
        <v>45656</v>
      </c>
      <c r="F6858" s="116">
        <f>COUNTIFS($A$3:A15136,A6858,$B$3:B15136,B6858)</f>
        <v>1</v>
      </c>
      <c r="G6858" s="116"/>
    </row>
    <row r="6859" spans="1:7" x14ac:dyDescent="0.2">
      <c r="A6859" s="116">
        <f>IF(ISNUMBER(Tabela2[[#This Row],[CT-e/NFS]])=TRUE,(IF(B6859&gt;30000,4,IF(B6859&lt;1000,"ND",0))),"-")</f>
        <v>4</v>
      </c>
      <c r="B6859" s="116">
        <v>50584</v>
      </c>
      <c r="C6859" s="117">
        <v>45658</v>
      </c>
      <c r="D6859" s="116">
        <v>123.86</v>
      </c>
      <c r="E6859" s="117">
        <v>45656</v>
      </c>
      <c r="F6859" s="116">
        <f>COUNTIFS($A$3:A15137,A6859,$B$3:B15137,B6859)</f>
        <v>1</v>
      </c>
      <c r="G6859" s="116"/>
    </row>
    <row r="6860" spans="1:7" x14ac:dyDescent="0.2">
      <c r="A6860" s="116">
        <f>IF(ISNUMBER(Tabela2[[#This Row],[CT-e/NFS]])=TRUE,(IF(B6860&gt;30000,4,IF(B6860&lt;1000,"ND",0))),"-")</f>
        <v>4</v>
      </c>
      <c r="B6860" s="116">
        <v>50596</v>
      </c>
      <c r="C6860" s="117">
        <v>45658</v>
      </c>
      <c r="D6860" s="116">
        <v>125.28</v>
      </c>
      <c r="E6860" s="117">
        <v>45656</v>
      </c>
      <c r="F6860" s="116">
        <f>COUNTIFS($A$3:A15138,A6860,$B$3:B15138,B6860)</f>
        <v>1</v>
      </c>
      <c r="G6860" s="116"/>
    </row>
    <row r="6861" spans="1:7" x14ac:dyDescent="0.2">
      <c r="A6861" s="116">
        <f>IF(ISNUMBER(Tabela2[[#This Row],[CT-e/NFS]])=TRUE,(IF(B6861&gt;30000,4,IF(B6861&lt;1000,"ND",0))),"-")</f>
        <v>4</v>
      </c>
      <c r="B6861" s="116">
        <v>50585</v>
      </c>
      <c r="C6861" s="117">
        <v>45658</v>
      </c>
      <c r="D6861" s="116">
        <v>126.66</v>
      </c>
      <c r="E6861" s="117">
        <v>45656</v>
      </c>
      <c r="F6861" s="116">
        <f>COUNTIFS($A$3:A15139,A6861,$B$3:B15139,B6861)</f>
        <v>1</v>
      </c>
      <c r="G6861" s="116"/>
    </row>
    <row r="6862" spans="1:7" x14ac:dyDescent="0.2">
      <c r="A6862" s="116">
        <f>IF(ISNUMBER(Tabela2[[#This Row],[CT-e/NFS]])=TRUE,(IF(B6862&gt;30000,4,IF(B6862&lt;1000,"ND",0))),"-")</f>
        <v>4</v>
      </c>
      <c r="B6862" s="116">
        <v>50591</v>
      </c>
      <c r="C6862" s="117">
        <v>45658</v>
      </c>
      <c r="D6862" s="116">
        <v>124.45</v>
      </c>
      <c r="E6862" s="117">
        <v>45656</v>
      </c>
      <c r="F6862" s="116">
        <f>COUNTIFS($A$3:A15140,A6862,$B$3:B15140,B6862)</f>
        <v>1</v>
      </c>
      <c r="G6862" s="116"/>
    </row>
    <row r="6863" spans="1:7" x14ac:dyDescent="0.2">
      <c r="A6863" s="116">
        <f>IF(ISNUMBER(Tabela2[[#This Row],[CT-e/NFS]])=TRUE,(IF(B6863&gt;30000,4,IF(B6863&lt;1000,"ND",0))),"-")</f>
        <v>4</v>
      </c>
      <c r="B6863" s="116">
        <v>50595</v>
      </c>
      <c r="C6863" s="117">
        <v>45658</v>
      </c>
      <c r="D6863" s="116">
        <v>125.56</v>
      </c>
      <c r="E6863" s="117">
        <v>45656</v>
      </c>
      <c r="F6863" s="116">
        <f>COUNTIFS($A$3:A15141,A6863,$B$3:B15141,B6863)</f>
        <v>1</v>
      </c>
      <c r="G6863" s="116"/>
    </row>
    <row r="6864" spans="1:7" x14ac:dyDescent="0.2">
      <c r="A6864" s="116">
        <f>IF(ISNUMBER(Tabela2[[#This Row],[CT-e/NFS]])=TRUE,(IF(B6864&gt;30000,4,IF(B6864&lt;1000,"ND",0))),"-")</f>
        <v>4</v>
      </c>
      <c r="B6864" s="116">
        <v>50601</v>
      </c>
      <c r="C6864" s="117">
        <v>45658</v>
      </c>
      <c r="D6864" s="116">
        <v>113.99</v>
      </c>
      <c r="E6864" s="117">
        <v>45656</v>
      </c>
      <c r="F6864" s="116">
        <f>COUNTIFS($A$3:A15142,A6864,$B$3:B15142,B6864)</f>
        <v>1</v>
      </c>
      <c r="G6864" s="116"/>
    </row>
    <row r="6865" spans="1:7" x14ac:dyDescent="0.2">
      <c r="A6865" s="116">
        <f>IF(ISNUMBER(Tabela2[[#This Row],[CT-e/NFS]])=TRUE,(IF(B6865&gt;30000,4,IF(B6865&lt;1000,"ND",0))),"-")</f>
        <v>4</v>
      </c>
      <c r="B6865" s="116">
        <v>50600</v>
      </c>
      <c r="C6865" s="117">
        <v>45658</v>
      </c>
      <c r="D6865" s="116">
        <v>63.33</v>
      </c>
      <c r="E6865" s="117">
        <v>45656</v>
      </c>
      <c r="F6865" s="116">
        <f>COUNTIFS($A$3:A15143,A6865,$B$3:B15143,B6865)</f>
        <v>1</v>
      </c>
      <c r="G6865" s="116"/>
    </row>
    <row r="6866" spans="1:7" x14ac:dyDescent="0.2">
      <c r="A6866" s="116">
        <f>IF(ISNUMBER(Tabela2[[#This Row],[CT-e/NFS]])=TRUE,(IF(B6866&gt;30000,4,IF(B6866&lt;1000,"ND",0))),"-")</f>
        <v>4</v>
      </c>
      <c r="B6866" s="116">
        <v>50581</v>
      </c>
      <c r="C6866" s="117">
        <v>45658</v>
      </c>
      <c r="D6866" s="116">
        <v>1137.73</v>
      </c>
      <c r="E6866" s="117">
        <v>45656</v>
      </c>
      <c r="F6866" s="116">
        <f>COUNTIFS($A$3:A15144,A6866,$B$3:B15144,B6866)</f>
        <v>1</v>
      </c>
      <c r="G6866" s="116"/>
    </row>
    <row r="6867" spans="1:7" x14ac:dyDescent="0.2">
      <c r="A6867" s="116">
        <f>IF(ISNUMBER(Tabela2[[#This Row],[CT-e/NFS]])=TRUE,(IF(B6867&gt;30000,4,IF(B6867&lt;1000,"ND",0))),"-")</f>
        <v>4</v>
      </c>
      <c r="B6867" s="116">
        <v>50582</v>
      </c>
      <c r="C6867" s="117">
        <v>45658</v>
      </c>
      <c r="D6867" s="116">
        <v>609.72</v>
      </c>
      <c r="E6867" s="117">
        <v>45656</v>
      </c>
      <c r="F6867" s="116">
        <f>COUNTIFS($A$3:A15145,A6867,$B$3:B15145,B6867)</f>
        <v>1</v>
      </c>
      <c r="G6867" s="116"/>
    </row>
    <row r="6868" spans="1:7" x14ac:dyDescent="0.2">
      <c r="A6868" s="116">
        <f>IF(ISNUMBER(Tabela2[[#This Row],[CT-e/NFS]])=TRUE,(IF(B6868&gt;30000,4,IF(B6868&lt;1000,"ND",0))),"-")</f>
        <v>4</v>
      </c>
      <c r="B6868" s="116">
        <v>50598</v>
      </c>
      <c r="C6868" s="117">
        <v>45658</v>
      </c>
      <c r="D6868" s="116">
        <v>396.45</v>
      </c>
      <c r="E6868" s="117">
        <v>45656</v>
      </c>
      <c r="F6868" s="116">
        <f>COUNTIFS($A$3:A15146,A6868,$B$3:B15146,B6868)</f>
        <v>1</v>
      </c>
      <c r="G6868" s="116"/>
    </row>
    <row r="6869" spans="1:7" x14ac:dyDescent="0.2">
      <c r="A6869" s="116">
        <f>IF(ISNUMBER(Tabela2[[#This Row],[CT-e/NFS]])=TRUE,(IF(B6869&gt;30000,4,IF(B6869&lt;1000,"ND",0))),"-")</f>
        <v>4</v>
      </c>
      <c r="B6869" s="116">
        <v>50597</v>
      </c>
      <c r="C6869" s="117">
        <v>45658</v>
      </c>
      <c r="D6869" s="116">
        <v>347.81</v>
      </c>
      <c r="E6869" s="117">
        <v>45656</v>
      </c>
      <c r="F6869" s="116">
        <f>COUNTIFS($A$3:A15147,A6869,$B$3:B15147,B6869)</f>
        <v>1</v>
      </c>
      <c r="G6869" s="116"/>
    </row>
    <row r="6870" spans="1:7" x14ac:dyDescent="0.2">
      <c r="A6870" s="116">
        <f>IF(ISNUMBER(Tabela2[[#This Row],[CT-e/NFS]])=TRUE,(IF(B6870&gt;30000,4,IF(B6870&lt;1000,"ND",0))),"-")</f>
        <v>4</v>
      </c>
      <c r="B6870" s="116">
        <v>50594</v>
      </c>
      <c r="C6870" s="117">
        <v>45658</v>
      </c>
      <c r="D6870" s="116">
        <v>165.85</v>
      </c>
      <c r="E6870" s="117">
        <v>45656</v>
      </c>
      <c r="F6870" s="116">
        <f>COUNTIFS($A$3:A15148,A6870,$B$3:B15148,B6870)</f>
        <v>1</v>
      </c>
      <c r="G6870" s="116"/>
    </row>
    <row r="6871" spans="1:7" x14ac:dyDescent="0.2">
      <c r="A6871" s="116">
        <f>IF(ISNUMBER(Tabela2[[#This Row],[CT-e/NFS]])=TRUE,(IF(B6871&gt;30000,4,IF(B6871&lt;1000,"ND",0))),"-")</f>
        <v>4</v>
      </c>
      <c r="B6871" s="116">
        <v>50583</v>
      </c>
      <c r="C6871" s="117">
        <v>45658</v>
      </c>
      <c r="D6871" s="116">
        <v>528.01</v>
      </c>
      <c r="E6871" s="117">
        <v>45656</v>
      </c>
      <c r="F6871" s="116">
        <f>COUNTIFS($A$3:A15149,A6871,$B$3:B15149,B6871)</f>
        <v>1</v>
      </c>
      <c r="G6871" s="116"/>
    </row>
    <row r="6872" spans="1:7" x14ac:dyDescent="0.2">
      <c r="A6872" s="116">
        <f>IF(ISNUMBER(Tabela2[[#This Row],[CT-e/NFS]])=TRUE,(IF(B6872&gt;30000,4,IF(B6872&lt;1000,"ND",0))),"-")</f>
        <v>4</v>
      </c>
      <c r="B6872" s="116">
        <v>50590</v>
      </c>
      <c r="C6872" s="117">
        <v>45658</v>
      </c>
      <c r="D6872" s="116">
        <v>3199.32</v>
      </c>
      <c r="E6872" s="117">
        <v>45656</v>
      </c>
      <c r="F6872" s="116">
        <f>COUNTIFS($A$3:A15150,A6872,$B$3:B15150,B6872)</f>
        <v>1</v>
      </c>
      <c r="G6872" s="116"/>
    </row>
    <row r="6873" spans="1:7" x14ac:dyDescent="0.2">
      <c r="A6873" s="116">
        <f>IF(ISNUMBER(Tabela2[[#This Row],[CT-e/NFS]])=TRUE,(IF(B6873&gt;30000,4,IF(B6873&lt;1000,"ND",0))),"-")</f>
        <v>4</v>
      </c>
      <c r="B6873" s="116">
        <v>50592</v>
      </c>
      <c r="C6873" s="117">
        <v>45658</v>
      </c>
      <c r="D6873" s="116">
        <v>131.9</v>
      </c>
      <c r="E6873" s="117">
        <v>45656</v>
      </c>
      <c r="F6873" s="116">
        <f>COUNTIFS($A$3:A15151,A6873,$B$3:B15151,B6873)</f>
        <v>1</v>
      </c>
      <c r="G6873" s="116"/>
    </row>
    <row r="6874" spans="1:7" x14ac:dyDescent="0.2">
      <c r="A6874" s="116">
        <f>IF(ISNUMBER(Tabela2[[#This Row],[CT-e/NFS]])=TRUE,(IF(B6874&gt;30000,4,IF(B6874&lt;1000,"ND",0))),"-")</f>
        <v>0</v>
      </c>
      <c r="B6874" s="116">
        <v>22514</v>
      </c>
      <c r="C6874" s="117">
        <v>45658</v>
      </c>
      <c r="D6874" s="116">
        <v>68.709999999999994</v>
      </c>
      <c r="E6874" s="117">
        <v>45656</v>
      </c>
      <c r="F6874" s="116">
        <f>COUNTIFS($A$3:A15152,A6874,$B$3:B15152,B6874)</f>
        <v>1</v>
      </c>
      <c r="G6874" s="116"/>
    </row>
    <row r="6875" spans="1:7" x14ac:dyDescent="0.2">
      <c r="A6875" s="116">
        <f>IF(ISNUMBER(Tabela2[[#This Row],[CT-e/NFS]])=TRUE,(IF(B6875&gt;30000,4,IF(B6875&lt;1000,"ND",0))),"-")</f>
        <v>0</v>
      </c>
      <c r="B6875" s="116">
        <v>22515</v>
      </c>
      <c r="C6875" s="117">
        <v>45658</v>
      </c>
      <c r="D6875" s="116">
        <v>38.130000000000003</v>
      </c>
      <c r="E6875" s="117">
        <v>45656</v>
      </c>
      <c r="F6875" s="116">
        <f>COUNTIFS($A$3:A15153,A6875,$B$3:B15153,B6875)</f>
        <v>1</v>
      </c>
      <c r="G6875" s="116"/>
    </row>
    <row r="6876" spans="1:7" x14ac:dyDescent="0.2">
      <c r="A6876" s="116">
        <f>IF(ISNUMBER(Tabela2[[#This Row],[CT-e/NFS]])=TRUE,(IF(B6876&gt;30000,4,IF(B6876&lt;1000,"ND",0))),"-")</f>
        <v>0</v>
      </c>
      <c r="B6876" s="116">
        <v>22513</v>
      </c>
      <c r="C6876" s="117">
        <v>45658</v>
      </c>
      <c r="D6876" s="116">
        <v>68.25</v>
      </c>
      <c r="E6876" s="117">
        <v>45656</v>
      </c>
      <c r="F6876" s="116">
        <f>COUNTIFS($A$3:A15154,A6876,$B$3:B15154,B6876)</f>
        <v>1</v>
      </c>
      <c r="G6876" s="116"/>
    </row>
    <row r="6877" spans="1:7" x14ac:dyDescent="0.2">
      <c r="A6877" s="116">
        <f>IF(ISNUMBER(Tabela2[[#This Row],[CT-e/NFS]])=TRUE,(IF(B6877&gt;30000,4,IF(B6877&lt;1000,"ND",0))),"-")</f>
        <v>0</v>
      </c>
      <c r="B6877" s="116">
        <v>22500</v>
      </c>
      <c r="C6877" s="117">
        <v>45658</v>
      </c>
      <c r="D6877" s="116">
        <v>303.94</v>
      </c>
      <c r="E6877" s="117">
        <v>45656</v>
      </c>
      <c r="F6877" s="116">
        <f>COUNTIFS($A$3:A15155,A6877,$B$3:B15155,B6877)</f>
        <v>1</v>
      </c>
      <c r="G6877" s="116"/>
    </row>
    <row r="6878" spans="1:7" x14ac:dyDescent="0.2">
      <c r="A6878" s="116">
        <f>IF(ISNUMBER(Tabela2[[#This Row],[CT-e/NFS]])=TRUE,(IF(B6878&gt;30000,4,IF(B6878&lt;1000,"ND",0))),"-")</f>
        <v>0</v>
      </c>
      <c r="B6878" s="116">
        <v>22512</v>
      </c>
      <c r="C6878" s="117">
        <v>45658</v>
      </c>
      <c r="D6878" s="116">
        <v>37.9</v>
      </c>
      <c r="E6878" s="117">
        <v>45656</v>
      </c>
      <c r="F6878" s="116">
        <f>COUNTIFS($A$3:A15156,A6878,$B$3:B15156,B6878)</f>
        <v>1</v>
      </c>
      <c r="G6878" s="116"/>
    </row>
    <row r="6879" spans="1:7" x14ac:dyDescent="0.2">
      <c r="A6879" s="116">
        <f>IF(ISNUMBER(Tabela2[[#This Row],[CT-e/NFS]])=TRUE,(IF(B6879&gt;30000,4,IF(B6879&lt;1000,"ND",0))),"-")</f>
        <v>0</v>
      </c>
      <c r="B6879" s="116">
        <v>22510</v>
      </c>
      <c r="C6879" s="117">
        <v>45658</v>
      </c>
      <c r="D6879" s="116">
        <v>69.52</v>
      </c>
      <c r="E6879" s="117">
        <v>45656</v>
      </c>
      <c r="F6879" s="116">
        <f>COUNTIFS($A$3:A15157,A6879,$B$3:B15157,B6879)</f>
        <v>1</v>
      </c>
      <c r="G6879" s="116"/>
    </row>
    <row r="6880" spans="1:7" x14ac:dyDescent="0.2">
      <c r="A6880" s="116">
        <f>IF(ISNUMBER(Tabela2[[#This Row],[CT-e/NFS]])=TRUE,(IF(B6880&gt;30000,4,IF(B6880&lt;1000,"ND",0))),"-")</f>
        <v>0</v>
      </c>
      <c r="B6880" s="116">
        <v>22511</v>
      </c>
      <c r="C6880" s="117">
        <v>45658</v>
      </c>
      <c r="D6880" s="116">
        <v>38.54</v>
      </c>
      <c r="E6880" s="117">
        <v>45656</v>
      </c>
      <c r="F6880" s="116">
        <f>COUNTIFS($A$3:A15158,A6880,$B$3:B15158,B6880)</f>
        <v>1</v>
      </c>
      <c r="G6880" s="116"/>
    </row>
    <row r="6881" spans="1:7" x14ac:dyDescent="0.2">
      <c r="A6881" s="116">
        <f>IF(ISNUMBER(Tabela2[[#This Row],[CT-e/NFS]])=TRUE,(IF(B6881&gt;30000,4,IF(B6881&lt;1000,"ND",0))),"-")</f>
        <v>0</v>
      </c>
      <c r="B6881" s="116">
        <v>22506</v>
      </c>
      <c r="C6881" s="117">
        <v>45658</v>
      </c>
      <c r="D6881" s="116">
        <v>949.64</v>
      </c>
      <c r="E6881" s="117">
        <v>45656</v>
      </c>
      <c r="F6881" s="116">
        <f>COUNTIFS($A$3:A15159,A6881,$B$3:B15159,B6881)</f>
        <v>1</v>
      </c>
      <c r="G6881" s="116"/>
    </row>
    <row r="6882" spans="1:7" x14ac:dyDescent="0.2">
      <c r="A6882" s="116">
        <f>IF(ISNUMBER(Tabela2[[#This Row],[CT-e/NFS]])=TRUE,(IF(B6882&gt;30000,4,IF(B6882&lt;1000,"ND",0))),"-")</f>
        <v>0</v>
      </c>
      <c r="B6882" s="116">
        <v>22501</v>
      </c>
      <c r="C6882" s="117">
        <v>45658</v>
      </c>
      <c r="D6882" s="116">
        <v>75.81</v>
      </c>
      <c r="E6882" s="117">
        <v>45656</v>
      </c>
      <c r="F6882" s="116">
        <f>COUNTIFS($A$3:A15160,A6882,$B$3:B15160,B6882)</f>
        <v>1</v>
      </c>
      <c r="G6882" s="116"/>
    </row>
    <row r="6883" spans="1:7" x14ac:dyDescent="0.2">
      <c r="A6883" s="116">
        <f>IF(ISNUMBER(Tabela2[[#This Row],[CT-e/NFS]])=TRUE,(IF(B6883&gt;30000,4,IF(B6883&lt;1000,"ND",0))),"-")</f>
        <v>0</v>
      </c>
      <c r="B6883" s="116">
        <v>22498</v>
      </c>
      <c r="C6883" s="117">
        <v>45658</v>
      </c>
      <c r="D6883" s="116">
        <v>77.08</v>
      </c>
      <c r="E6883" s="117">
        <v>45656</v>
      </c>
      <c r="F6883" s="116">
        <f>COUNTIFS($A$3:A15161,A6883,$B$3:B15161,B6883)</f>
        <v>1</v>
      </c>
      <c r="G6883" s="116"/>
    </row>
    <row r="6884" spans="1:7" x14ac:dyDescent="0.2">
      <c r="A6884" s="116">
        <f>IF(ISNUMBER(Tabela2[[#This Row],[CT-e/NFS]])=TRUE,(IF(B6884&gt;30000,4,IF(B6884&lt;1000,"ND",0))),"-")</f>
        <v>0</v>
      </c>
      <c r="B6884" s="116">
        <v>22499</v>
      </c>
      <c r="C6884" s="117">
        <v>45658</v>
      </c>
      <c r="D6884" s="116">
        <v>75.72</v>
      </c>
      <c r="E6884" s="117">
        <v>45656</v>
      </c>
      <c r="F6884" s="116">
        <f>COUNTIFS($A$3:A15162,A6884,$B$3:B15162,B6884)</f>
        <v>1</v>
      </c>
      <c r="G6884" s="116"/>
    </row>
    <row r="6885" spans="1:7" x14ac:dyDescent="0.2">
      <c r="A6885" s="116">
        <f>IF(ISNUMBER(Tabela2[[#This Row],[CT-e/NFS]])=TRUE,(IF(B6885&gt;30000,4,IF(B6885&lt;1000,"ND",0))),"-")</f>
        <v>0</v>
      </c>
      <c r="B6885" s="116">
        <v>22507</v>
      </c>
      <c r="C6885" s="117">
        <v>45658</v>
      </c>
      <c r="D6885" s="116">
        <v>75.760000000000005</v>
      </c>
      <c r="E6885" s="117">
        <v>45656</v>
      </c>
      <c r="F6885" s="116">
        <f>COUNTIFS($A$3:A15163,A6885,$B$3:B15163,B6885)</f>
        <v>1</v>
      </c>
      <c r="G6885" s="116"/>
    </row>
    <row r="6886" spans="1:7" x14ac:dyDescent="0.2">
      <c r="A6886" s="116">
        <f>IF(ISNUMBER(Tabela2[[#This Row],[CT-e/NFS]])=TRUE,(IF(B6886&gt;30000,4,IF(B6886&lt;1000,"ND",0))),"-")</f>
        <v>0</v>
      </c>
      <c r="B6886" s="116">
        <v>22497</v>
      </c>
      <c r="C6886" s="117">
        <v>45658</v>
      </c>
      <c r="D6886" s="116">
        <v>76.27</v>
      </c>
      <c r="E6886" s="117">
        <v>45656</v>
      </c>
      <c r="F6886" s="116">
        <f>COUNTIFS($A$3:A15164,A6886,$B$3:B15164,B6886)</f>
        <v>1</v>
      </c>
      <c r="G6886" s="116"/>
    </row>
    <row r="6887" spans="1:7" x14ac:dyDescent="0.2">
      <c r="A6887" s="116">
        <f>IF(ISNUMBER(Tabela2[[#This Row],[CT-e/NFS]])=TRUE,(IF(B6887&gt;30000,4,IF(B6887&lt;1000,"ND",0))),"-")</f>
        <v>0</v>
      </c>
      <c r="B6887" s="116">
        <v>22508</v>
      </c>
      <c r="C6887" s="117">
        <v>45658</v>
      </c>
      <c r="D6887" s="116">
        <v>76.28</v>
      </c>
      <c r="E6887" s="117">
        <v>45656</v>
      </c>
      <c r="F6887" s="116">
        <f>COUNTIFS($A$3:A15165,A6887,$B$3:B15165,B6887)</f>
        <v>1</v>
      </c>
      <c r="G6887" s="116"/>
    </row>
    <row r="6888" spans="1:7" x14ac:dyDescent="0.2">
      <c r="A6888" s="116">
        <f>IF(ISNUMBER(Tabela2[[#This Row],[CT-e/NFS]])=TRUE,(IF(B6888&gt;30000,4,IF(B6888&lt;1000,"ND",0))),"-")</f>
        <v>0</v>
      </c>
      <c r="B6888" s="116">
        <v>12508</v>
      </c>
      <c r="C6888" s="117">
        <v>45658</v>
      </c>
      <c r="D6888" s="116">
        <v>76.23</v>
      </c>
      <c r="E6888" s="117">
        <v>45656</v>
      </c>
      <c r="F6888" s="116">
        <f>COUNTIFS($A$3:A15172,A6888,$B$3:B15172,B6888)</f>
        <v>1</v>
      </c>
      <c r="G6888" s="116"/>
    </row>
    <row r="6889" spans="1:7" x14ac:dyDescent="0.2">
      <c r="A6889" s="116">
        <f>IF(ISNUMBER(Tabela2[[#This Row],[CT-e/NFS]])=TRUE,(IF(B6889&gt;30000,4,IF(B6889&lt;1000,"ND",0))),"-")</f>
        <v>4</v>
      </c>
      <c r="B6889" s="116">
        <v>50611</v>
      </c>
      <c r="C6889" s="117">
        <v>45658</v>
      </c>
      <c r="D6889" s="116">
        <v>124.52</v>
      </c>
      <c r="E6889" s="117">
        <v>45656</v>
      </c>
      <c r="F6889" s="116">
        <f>COUNTIFS($A$3:A15173,A6889,$B$3:B15173,B6889)</f>
        <v>1</v>
      </c>
      <c r="G6889" s="116"/>
    </row>
    <row r="6890" spans="1:7" x14ac:dyDescent="0.2">
      <c r="A6890" s="116">
        <f>IF(ISNUMBER(Tabela2[[#This Row],[CT-e/NFS]])=TRUE,(IF(B6890&gt;30000,4,IF(B6890&lt;1000,"ND",0))),"-")</f>
        <v>4</v>
      </c>
      <c r="B6890" s="116">
        <v>50635</v>
      </c>
      <c r="C6890" s="117">
        <v>45658</v>
      </c>
      <c r="D6890" s="116">
        <v>122.74</v>
      </c>
      <c r="E6890" s="117">
        <v>45656</v>
      </c>
      <c r="F6890" s="116">
        <f>COUNTIFS($A$3:A15174,A6890,$B$3:B15174,B6890)</f>
        <v>1</v>
      </c>
      <c r="G6890" s="116"/>
    </row>
    <row r="6891" spans="1:7" x14ac:dyDescent="0.2">
      <c r="A6891" s="116">
        <f>IF(ISNUMBER(Tabela2[[#This Row],[CT-e/NFS]])=TRUE,(IF(B6891&gt;30000,4,IF(B6891&lt;1000,"ND",0))),"-")</f>
        <v>4</v>
      </c>
      <c r="B6891" s="116">
        <v>50617</v>
      </c>
      <c r="C6891" s="117">
        <v>45658</v>
      </c>
      <c r="D6891" s="116">
        <v>124.22</v>
      </c>
      <c r="E6891" s="117">
        <v>45656</v>
      </c>
      <c r="F6891" s="116">
        <f>COUNTIFS($A$3:A15175,A6891,$B$3:B15175,B6891)</f>
        <v>1</v>
      </c>
      <c r="G6891" s="116"/>
    </row>
    <row r="6892" spans="1:7" x14ac:dyDescent="0.2">
      <c r="A6892" s="116">
        <f>IF(ISNUMBER(Tabela2[[#This Row],[CT-e/NFS]])=TRUE,(IF(B6892&gt;30000,4,IF(B6892&lt;1000,"ND",0))),"-")</f>
        <v>4</v>
      </c>
      <c r="B6892" s="116">
        <v>50614</v>
      </c>
      <c r="C6892" s="117">
        <v>45658</v>
      </c>
      <c r="D6892" s="116">
        <v>122.92</v>
      </c>
      <c r="E6892" s="117">
        <v>45656</v>
      </c>
      <c r="F6892" s="116">
        <f>COUNTIFS($A$3:A15176,A6892,$B$3:B15176,B6892)</f>
        <v>1</v>
      </c>
      <c r="G6892" s="116"/>
    </row>
    <row r="6893" spans="1:7" x14ac:dyDescent="0.2">
      <c r="A6893" s="116">
        <f>IF(ISNUMBER(Tabela2[[#This Row],[CT-e/NFS]])=TRUE,(IF(B6893&gt;30000,4,IF(B6893&lt;1000,"ND",0))),"-")</f>
        <v>4</v>
      </c>
      <c r="B6893" s="116">
        <v>50612</v>
      </c>
      <c r="C6893" s="117">
        <v>45658</v>
      </c>
      <c r="D6893" s="116">
        <v>122.93</v>
      </c>
      <c r="E6893" s="117">
        <v>45656</v>
      </c>
      <c r="F6893" s="116">
        <f>COUNTIFS($A$3:A15177,A6893,$B$3:B15177,B6893)</f>
        <v>1</v>
      </c>
      <c r="G6893" s="116"/>
    </row>
    <row r="6894" spans="1:7" x14ac:dyDescent="0.2">
      <c r="A6894" s="116">
        <f>IF(ISNUMBER(Tabela2[[#This Row],[CT-e/NFS]])=TRUE,(IF(B6894&gt;30000,4,IF(B6894&lt;1000,"ND",0))),"-")</f>
        <v>4</v>
      </c>
      <c r="B6894" s="116">
        <v>50613</v>
      </c>
      <c r="C6894" s="117">
        <v>45658</v>
      </c>
      <c r="D6894" s="116">
        <v>125.39</v>
      </c>
      <c r="E6894" s="117">
        <v>45656</v>
      </c>
      <c r="F6894" s="116">
        <f>COUNTIFS($A$3:A15178,A6894,$B$3:B15178,B6894)</f>
        <v>1</v>
      </c>
      <c r="G6894" s="116"/>
    </row>
    <row r="6895" spans="1:7" x14ac:dyDescent="0.2">
      <c r="A6895" s="116">
        <f>IF(ISNUMBER(Tabela2[[#This Row],[CT-e/NFS]])=TRUE,(IF(B6895&gt;30000,4,IF(B6895&lt;1000,"ND",0))),"-")</f>
        <v>4</v>
      </c>
      <c r="B6895" s="116">
        <v>50609</v>
      </c>
      <c r="C6895" s="117">
        <v>45658</v>
      </c>
      <c r="D6895" s="116">
        <v>126.66</v>
      </c>
      <c r="E6895" s="117">
        <v>45656</v>
      </c>
      <c r="F6895" s="116">
        <f>COUNTIFS($A$3:A15179,A6895,$B$3:B15179,B6895)</f>
        <v>1</v>
      </c>
      <c r="G6895" s="116"/>
    </row>
    <row r="6896" spans="1:7" x14ac:dyDescent="0.2">
      <c r="A6896" s="116">
        <f>IF(ISNUMBER(Tabela2[[#This Row],[CT-e/NFS]])=TRUE,(IF(B6896&gt;30000,4,IF(B6896&lt;1000,"ND",0))),"-")</f>
        <v>4</v>
      </c>
      <c r="B6896" s="116">
        <v>50630</v>
      </c>
      <c r="C6896" s="117">
        <v>45658</v>
      </c>
      <c r="D6896" s="116">
        <v>123.13</v>
      </c>
      <c r="E6896" s="117">
        <v>45656</v>
      </c>
      <c r="F6896" s="116">
        <f>COUNTIFS($A$3:A15180,A6896,$B$3:B15180,B6896)</f>
        <v>1</v>
      </c>
      <c r="G6896" s="116"/>
    </row>
    <row r="6897" spans="1:7" x14ac:dyDescent="0.2">
      <c r="A6897" s="116">
        <f>IF(ISNUMBER(Tabela2[[#This Row],[CT-e/NFS]])=TRUE,(IF(B6897&gt;30000,4,IF(B6897&lt;1000,"ND",0))),"-")</f>
        <v>4</v>
      </c>
      <c r="B6897" s="116">
        <v>50610</v>
      </c>
      <c r="C6897" s="117">
        <v>45658</v>
      </c>
      <c r="D6897" s="116">
        <v>123.18</v>
      </c>
      <c r="E6897" s="117">
        <v>45656</v>
      </c>
      <c r="F6897" s="116">
        <f>COUNTIFS($A$3:A15181,A6897,$B$3:B15181,B6897)</f>
        <v>1</v>
      </c>
      <c r="G6897" s="116"/>
    </row>
    <row r="6898" spans="1:7" x14ac:dyDescent="0.2">
      <c r="A6898" s="116">
        <f>IF(ISNUMBER(Tabela2[[#This Row],[CT-e/NFS]])=TRUE,(IF(B6898&gt;30000,4,IF(B6898&lt;1000,"ND",0))),"-")</f>
        <v>4</v>
      </c>
      <c r="B6898" s="116">
        <v>50621</v>
      </c>
      <c r="C6898" s="117">
        <v>45658</v>
      </c>
      <c r="D6898" s="116">
        <v>124.02</v>
      </c>
      <c r="E6898" s="117">
        <v>45656</v>
      </c>
      <c r="F6898" s="116">
        <f>COUNTIFS($A$3:A15182,A6898,$B$3:B15182,B6898)</f>
        <v>1</v>
      </c>
      <c r="G6898" s="116"/>
    </row>
    <row r="6899" spans="1:7" x14ac:dyDescent="0.2">
      <c r="A6899" s="116">
        <f>IF(ISNUMBER(Tabela2[[#This Row],[CT-e/NFS]])=TRUE,(IF(B6899&gt;30000,4,IF(B6899&lt;1000,"ND",0))),"-")</f>
        <v>4</v>
      </c>
      <c r="B6899" s="116">
        <v>50622</v>
      </c>
      <c r="C6899" s="117">
        <v>45658</v>
      </c>
      <c r="D6899" s="116">
        <v>125.5</v>
      </c>
      <c r="E6899" s="117">
        <v>45656</v>
      </c>
      <c r="F6899" s="116">
        <f>COUNTIFS($A$3:A15183,A6899,$B$3:B15183,B6899)</f>
        <v>1</v>
      </c>
      <c r="G6899" s="116"/>
    </row>
    <row r="6900" spans="1:7" x14ac:dyDescent="0.2">
      <c r="A6900" s="116">
        <f>IF(ISNUMBER(Tabela2[[#This Row],[CT-e/NFS]])=TRUE,(IF(B6900&gt;30000,4,IF(B6900&lt;1000,"ND",0))),"-")</f>
        <v>4</v>
      </c>
      <c r="B6900" s="116">
        <v>50620</v>
      </c>
      <c r="C6900" s="117">
        <v>45658</v>
      </c>
      <c r="D6900" s="116">
        <v>125.93</v>
      </c>
      <c r="E6900" s="117">
        <v>45656</v>
      </c>
      <c r="F6900" s="116">
        <f>COUNTIFS($A$3:A15184,A6900,$B$3:B15184,B6900)</f>
        <v>1</v>
      </c>
      <c r="G6900" s="116"/>
    </row>
    <row r="6901" spans="1:7" x14ac:dyDescent="0.2">
      <c r="A6901" s="116">
        <f>IF(ISNUMBER(Tabela2[[#This Row],[CT-e/NFS]])=TRUE,(IF(B6901&gt;30000,4,IF(B6901&lt;1000,"ND",0))),"-")</f>
        <v>4</v>
      </c>
      <c r="B6901" s="116">
        <v>50634</v>
      </c>
      <c r="C6901" s="117">
        <v>45658</v>
      </c>
      <c r="D6901" s="116">
        <v>122.74</v>
      </c>
      <c r="E6901" s="117">
        <v>45656</v>
      </c>
      <c r="F6901" s="116">
        <f>COUNTIFS($A$3:A15185,A6901,$B$3:B15185,B6901)</f>
        <v>1</v>
      </c>
      <c r="G6901" s="116"/>
    </row>
    <row r="6902" spans="1:7" x14ac:dyDescent="0.2">
      <c r="A6902" s="116">
        <f>IF(ISNUMBER(Tabela2[[#This Row],[CT-e/NFS]])=TRUE,(IF(B6902&gt;30000,4,IF(B6902&lt;1000,"ND",0))),"-")</f>
        <v>4</v>
      </c>
      <c r="B6902" s="116">
        <v>50616</v>
      </c>
      <c r="C6902" s="117">
        <v>45658</v>
      </c>
      <c r="D6902" s="116">
        <v>123.05</v>
      </c>
      <c r="E6902" s="117">
        <v>45656</v>
      </c>
      <c r="F6902" s="116">
        <f>COUNTIFS($A$3:A15186,A6902,$B$3:B15186,B6902)</f>
        <v>1</v>
      </c>
      <c r="G6902" s="116"/>
    </row>
    <row r="6903" spans="1:7" x14ac:dyDescent="0.2">
      <c r="A6903" s="116">
        <f>IF(ISNUMBER(Tabela2[[#This Row],[CT-e/NFS]])=TRUE,(IF(B6903&gt;30000,4,IF(B6903&lt;1000,"ND",0))),"-")</f>
        <v>4</v>
      </c>
      <c r="B6903" s="116">
        <v>50615</v>
      </c>
      <c r="C6903" s="117">
        <v>45658</v>
      </c>
      <c r="D6903" s="116">
        <v>369.5</v>
      </c>
      <c r="E6903" s="117">
        <v>45656</v>
      </c>
      <c r="F6903" s="116">
        <f>COUNTIFS($A$3:A15187,A6903,$B$3:B15187,B6903)</f>
        <v>1</v>
      </c>
      <c r="G6903" s="116"/>
    </row>
    <row r="6904" spans="1:7" x14ac:dyDescent="0.2">
      <c r="A6904" s="116">
        <f>IF(ISNUMBER(Tabela2[[#This Row],[CT-e/NFS]])=TRUE,(IF(B6904&gt;30000,4,IF(B6904&lt;1000,"ND",0))),"-")</f>
        <v>4</v>
      </c>
      <c r="B6904" s="116">
        <v>50608</v>
      </c>
      <c r="C6904" s="117">
        <v>45658</v>
      </c>
      <c r="D6904" s="116">
        <v>224.65</v>
      </c>
      <c r="E6904" s="117">
        <v>45656</v>
      </c>
      <c r="F6904" s="116">
        <f>COUNTIFS($A$3:A15188,A6904,$B$3:B15188,B6904)</f>
        <v>1</v>
      </c>
      <c r="G6904" s="116"/>
    </row>
    <row r="6905" spans="1:7" x14ac:dyDescent="0.2">
      <c r="A6905" s="116">
        <f>IF(ISNUMBER(Tabela2[[#This Row],[CT-e/NFS]])=TRUE,(IF(B6905&gt;30000,4,IF(B6905&lt;1000,"ND",0))),"-")</f>
        <v>4</v>
      </c>
      <c r="B6905" s="116">
        <v>50603</v>
      </c>
      <c r="C6905" s="117">
        <v>45658</v>
      </c>
      <c r="D6905" s="116">
        <v>396.45</v>
      </c>
      <c r="E6905" s="117">
        <v>45656</v>
      </c>
      <c r="F6905" s="116">
        <f>COUNTIFS($A$3:A15189,A6905,$B$3:B15189,B6905)</f>
        <v>1</v>
      </c>
      <c r="G6905" s="116"/>
    </row>
    <row r="6906" spans="1:7" x14ac:dyDescent="0.2">
      <c r="A6906" s="116">
        <f>IF(ISNUMBER(Tabela2[[#This Row],[CT-e/NFS]])=TRUE,(IF(B6906&gt;30000,4,IF(B6906&lt;1000,"ND",0))),"-")</f>
        <v>4</v>
      </c>
      <c r="B6906" s="116">
        <v>50604</v>
      </c>
      <c r="C6906" s="117">
        <v>45658</v>
      </c>
      <c r="D6906" s="116">
        <v>454.19</v>
      </c>
      <c r="E6906" s="117">
        <v>45656</v>
      </c>
      <c r="F6906" s="116">
        <f>COUNTIFS($A$3:A15190,A6906,$B$3:B15190,B6906)</f>
        <v>1</v>
      </c>
      <c r="G6906" s="116"/>
    </row>
    <row r="6907" spans="1:7" x14ac:dyDescent="0.2">
      <c r="A6907" s="116">
        <f>IF(ISNUMBER(Tabela2[[#This Row],[CT-e/NFS]])=TRUE,(IF(B6907&gt;30000,4,IF(B6907&lt;1000,"ND",0))),"-")</f>
        <v>4</v>
      </c>
      <c r="B6907" s="116">
        <v>50605</v>
      </c>
      <c r="C6907" s="117">
        <v>45658</v>
      </c>
      <c r="D6907" s="116">
        <v>591.72</v>
      </c>
      <c r="E6907" s="117">
        <v>45656</v>
      </c>
      <c r="F6907" s="116">
        <f>COUNTIFS($A$3:A15191,A6907,$B$3:B15191,B6907)</f>
        <v>1</v>
      </c>
      <c r="G6907" s="116"/>
    </row>
    <row r="6908" spans="1:7" x14ac:dyDescent="0.2">
      <c r="A6908" s="116">
        <f>IF(ISNUMBER(Tabela2[[#This Row],[CT-e/NFS]])=TRUE,(IF(B6908&gt;30000,4,IF(B6908&lt;1000,"ND",0))),"-")</f>
        <v>4</v>
      </c>
      <c r="B6908" s="116">
        <v>50606</v>
      </c>
      <c r="C6908" s="117">
        <v>45658</v>
      </c>
      <c r="D6908" s="116">
        <v>424.32</v>
      </c>
      <c r="E6908" s="117">
        <v>45656</v>
      </c>
      <c r="F6908" s="116">
        <f>COUNTIFS($A$3:A15192,A6908,$B$3:B15192,B6908)</f>
        <v>1</v>
      </c>
      <c r="G6908" s="116"/>
    </row>
    <row r="6909" spans="1:7" x14ac:dyDescent="0.2">
      <c r="A6909" s="116">
        <f>IF(ISNUMBER(Tabela2[[#This Row],[CT-e/NFS]])=TRUE,(IF(B6909&gt;30000,4,IF(B6909&lt;1000,"ND",0))),"-")</f>
        <v>4</v>
      </c>
      <c r="B6909" s="116">
        <v>50607</v>
      </c>
      <c r="C6909" s="117">
        <v>45658</v>
      </c>
      <c r="D6909" s="116">
        <v>1439.59</v>
      </c>
      <c r="E6909" s="117">
        <v>45656</v>
      </c>
      <c r="F6909" s="116">
        <f>COUNTIFS($A$3:A15193,A6909,$B$3:B15193,B6909)</f>
        <v>1</v>
      </c>
      <c r="G6909" s="116"/>
    </row>
    <row r="6910" spans="1:7" x14ac:dyDescent="0.2">
      <c r="A6910" s="116">
        <f>IF(ISNUMBER(Tabela2[[#This Row],[CT-e/NFS]])=TRUE,(IF(B6910&gt;30000,4,IF(B6910&lt;1000,"ND",0))),"-")</f>
        <v>4</v>
      </c>
      <c r="B6910" s="116">
        <v>50602</v>
      </c>
      <c r="C6910" s="117">
        <v>45658</v>
      </c>
      <c r="D6910" s="116">
        <v>241.03</v>
      </c>
      <c r="E6910" s="117">
        <v>45656</v>
      </c>
      <c r="F6910" s="116">
        <f>COUNTIFS($A$3:A15194,A6910,$B$3:B15194,B6910)</f>
        <v>1</v>
      </c>
      <c r="G6910" s="116"/>
    </row>
    <row r="6911" spans="1:7" x14ac:dyDescent="0.2">
      <c r="A6911" s="116">
        <f>IF(ISNUMBER(Tabela2[[#This Row],[CT-e/NFS]])=TRUE,(IF(B6911&gt;30000,4,IF(B6911&lt;1000,"ND",0))),"-")</f>
        <v>4</v>
      </c>
      <c r="B6911" s="116">
        <v>50623</v>
      </c>
      <c r="C6911" s="117">
        <v>45658</v>
      </c>
      <c r="D6911" s="116">
        <v>147.80000000000001</v>
      </c>
      <c r="E6911" s="117">
        <v>45656</v>
      </c>
      <c r="F6911" s="116">
        <f>COUNTIFS($A$3:A15195,A6911,$B$3:B15195,B6911)</f>
        <v>1</v>
      </c>
      <c r="G6911" s="116"/>
    </row>
    <row r="6912" spans="1:7" x14ac:dyDescent="0.2">
      <c r="A6912" s="116">
        <f>IF(ISNUMBER(Tabela2[[#This Row],[CT-e/NFS]])=TRUE,(IF(B6912&gt;30000,4,IF(B6912&lt;1000,"ND",0))),"-")</f>
        <v>4</v>
      </c>
      <c r="B6912" s="116">
        <v>50626</v>
      </c>
      <c r="C6912" s="117">
        <v>45658</v>
      </c>
      <c r="D6912" s="116">
        <v>61.94</v>
      </c>
      <c r="E6912" s="117">
        <v>45656</v>
      </c>
      <c r="F6912" s="116">
        <f>COUNTIFS($A$3:A15196,A6912,$B$3:B15196,B6912)</f>
        <v>1</v>
      </c>
      <c r="G6912" s="116"/>
    </row>
    <row r="6913" spans="1:7" x14ac:dyDescent="0.2">
      <c r="A6913" s="116">
        <f>IF(ISNUMBER(Tabela2[[#This Row],[CT-e/NFS]])=TRUE,(IF(B6913&gt;30000,4,IF(B6913&lt;1000,"ND",0))),"-")</f>
        <v>4</v>
      </c>
      <c r="B6913" s="116">
        <v>50627</v>
      </c>
      <c r="C6913" s="117">
        <v>45658</v>
      </c>
      <c r="D6913" s="116">
        <v>111.63</v>
      </c>
      <c r="E6913" s="117">
        <v>45656</v>
      </c>
      <c r="F6913" s="116">
        <f>COUNTIFS($A$3:A15197,A6913,$B$3:B15197,B6913)</f>
        <v>1</v>
      </c>
      <c r="G6913" s="116"/>
    </row>
    <row r="6914" spans="1:7" x14ac:dyDescent="0.2">
      <c r="A6914" s="116">
        <f>IF(ISNUMBER(Tabela2[[#This Row],[CT-e/NFS]])=TRUE,(IF(B6914&gt;30000,4,IF(B6914&lt;1000,"ND",0))),"-")</f>
        <v>4</v>
      </c>
      <c r="B6914" s="116">
        <v>50628</v>
      </c>
      <c r="C6914" s="117">
        <v>45658</v>
      </c>
      <c r="D6914" s="116">
        <v>62.09</v>
      </c>
      <c r="E6914" s="117">
        <v>45656</v>
      </c>
      <c r="F6914" s="116">
        <f>COUNTIFS($A$3:A15198,A6914,$B$3:B15198,B6914)</f>
        <v>1</v>
      </c>
      <c r="G6914" s="116"/>
    </row>
    <row r="6915" spans="1:7" x14ac:dyDescent="0.2">
      <c r="A6915" s="116">
        <f>IF(ISNUMBER(Tabela2[[#This Row],[CT-e/NFS]])=TRUE,(IF(B6915&gt;30000,4,IF(B6915&lt;1000,"ND",0))),"-")</f>
        <v>4</v>
      </c>
      <c r="B6915" s="116">
        <v>50629</v>
      </c>
      <c r="C6915" s="117">
        <v>45658</v>
      </c>
      <c r="D6915" s="116">
        <v>111.91</v>
      </c>
      <c r="E6915" s="117">
        <v>45656</v>
      </c>
      <c r="F6915" s="116">
        <f>COUNTIFS($A$3:A15199,A6915,$B$3:B15199,B6915)</f>
        <v>1</v>
      </c>
      <c r="G6915" s="116"/>
    </row>
    <row r="6916" spans="1:7" x14ac:dyDescent="0.2">
      <c r="A6916" s="116">
        <f>IF(ISNUMBER(Tabela2[[#This Row],[CT-e/NFS]])=TRUE,(IF(B6916&gt;30000,4,IF(B6916&lt;1000,"ND",0))),"-")</f>
        <v>4</v>
      </c>
      <c r="B6916" s="116">
        <v>50631</v>
      </c>
      <c r="C6916" s="117">
        <v>45658</v>
      </c>
      <c r="D6916" s="116">
        <v>221.69</v>
      </c>
      <c r="E6916" s="117">
        <v>45656</v>
      </c>
      <c r="F6916" s="116">
        <f>COUNTIFS($A$3:A15200,A6916,$B$3:B15200,B6916)</f>
        <v>1</v>
      </c>
      <c r="G6916" s="116"/>
    </row>
    <row r="6917" spans="1:7" x14ac:dyDescent="0.2">
      <c r="A6917" s="116">
        <f>IF(ISNUMBER(Tabela2[[#This Row],[CT-e/NFS]])=TRUE,(IF(B6917&gt;30000,4,IF(B6917&lt;1000,"ND",0))),"-")</f>
        <v>4</v>
      </c>
      <c r="B6917" s="116">
        <v>50632</v>
      </c>
      <c r="C6917" s="117">
        <v>45658</v>
      </c>
      <c r="D6917" s="116">
        <v>120.51</v>
      </c>
      <c r="E6917" s="117">
        <v>45656</v>
      </c>
      <c r="F6917" s="116">
        <f>COUNTIFS($A$3:A15201,A6917,$B$3:B15201,B6917)</f>
        <v>1</v>
      </c>
      <c r="G6917" s="116"/>
    </row>
    <row r="6918" spans="1:7" x14ac:dyDescent="0.2">
      <c r="A6918" s="116">
        <f>IF(ISNUMBER(Tabela2[[#This Row],[CT-e/NFS]])=TRUE,(IF(B6918&gt;30000,4,IF(B6918&lt;1000,"ND",0))),"-")</f>
        <v>4</v>
      </c>
      <c r="B6918" s="116">
        <v>50619</v>
      </c>
      <c r="C6918" s="117">
        <v>45658</v>
      </c>
      <c r="D6918" s="116">
        <v>476.64</v>
      </c>
      <c r="E6918" s="117">
        <v>45656</v>
      </c>
      <c r="F6918" s="116">
        <f>COUNTIFS($A$3:A15202,A6918,$B$3:B15202,B6918)</f>
        <v>1</v>
      </c>
      <c r="G6918" s="116"/>
    </row>
    <row r="6919" spans="1:7" x14ac:dyDescent="0.2">
      <c r="A6919" s="116">
        <f>IF(ISNUMBER(Tabela2[[#This Row],[CT-e/NFS]])=TRUE,(IF(B6919&gt;30000,4,IF(B6919&lt;1000,"ND",0))),"-")</f>
        <v>4</v>
      </c>
      <c r="B6919" s="116">
        <v>50618</v>
      </c>
      <c r="C6919" s="117">
        <v>45658</v>
      </c>
      <c r="D6919" s="116">
        <v>698.34</v>
      </c>
      <c r="E6919" s="117">
        <v>45656</v>
      </c>
      <c r="F6919" s="116">
        <f>COUNTIFS($A$3:A15203,A6919,$B$3:B15203,B6919)</f>
        <v>1</v>
      </c>
      <c r="G6919" s="116"/>
    </row>
    <row r="6920" spans="1:7" x14ac:dyDescent="0.2">
      <c r="A6920" s="116">
        <f>IF(ISNUMBER(Tabela2[[#This Row],[CT-e/NFS]])=TRUE,(IF(B6920&gt;30000,4,IF(B6920&lt;1000,"ND",0))),"-")</f>
        <v>4</v>
      </c>
      <c r="B6920" s="116">
        <v>50633</v>
      </c>
      <c r="C6920" s="117">
        <v>45658</v>
      </c>
      <c r="D6920" s="116">
        <v>217.68</v>
      </c>
      <c r="E6920" s="117">
        <v>45656</v>
      </c>
      <c r="F6920" s="116">
        <f>COUNTIFS($A$3:A15204,A6920,$B$3:B15204,B6920)</f>
        <v>1</v>
      </c>
      <c r="G6920" s="116"/>
    </row>
    <row r="6921" spans="1:7" x14ac:dyDescent="0.2">
      <c r="A6921" s="116">
        <f>IF(ISNUMBER(Tabela2[[#This Row],[CT-e/NFS]])=TRUE,(IF(B6921&gt;30000,4,IF(B6921&lt;1000,"ND",0))),"-")</f>
        <v>0</v>
      </c>
      <c r="B6921" s="116">
        <v>22517</v>
      </c>
      <c r="C6921" s="117">
        <v>45658</v>
      </c>
      <c r="D6921" s="116">
        <v>123.03</v>
      </c>
      <c r="E6921" s="117">
        <v>45656</v>
      </c>
      <c r="F6921" s="116">
        <f>COUNTIFS($A$3:A15205,A6921,$B$3:B15205,B6921)</f>
        <v>1</v>
      </c>
      <c r="G6921" s="116"/>
    </row>
    <row r="6922" spans="1:7" x14ac:dyDescent="0.2">
      <c r="A6922" s="116">
        <f>IF(ISNUMBER(Tabela2[[#This Row],[CT-e/NFS]])=TRUE,(IF(B6922&gt;30000,4,IF(B6922&lt;1000,"ND",0))),"-")</f>
        <v>0</v>
      </c>
      <c r="B6922" s="116">
        <v>22521</v>
      </c>
      <c r="C6922" s="117">
        <v>45658</v>
      </c>
      <c r="D6922" s="116">
        <v>80.400000000000006</v>
      </c>
      <c r="E6922" s="117">
        <v>45656</v>
      </c>
      <c r="F6922" s="116">
        <f>COUNTIFS($A$3:A15206,A6922,$B$3:B15206,B6922)</f>
        <v>1</v>
      </c>
      <c r="G6922" s="116"/>
    </row>
    <row r="6923" spans="1:7" x14ac:dyDescent="0.2">
      <c r="A6923" s="116">
        <f>IF(ISNUMBER(Tabela2[[#This Row],[CT-e/NFS]])=TRUE,(IF(B6923&gt;30000,4,IF(B6923&lt;1000,"ND",0))),"-")</f>
        <v>0</v>
      </c>
      <c r="B6923" s="116">
        <v>22516</v>
      </c>
      <c r="C6923" s="117">
        <v>45658</v>
      </c>
      <c r="D6923" s="116">
        <v>106.92</v>
      </c>
      <c r="E6923" s="117">
        <v>45656</v>
      </c>
      <c r="F6923" s="116">
        <f>COUNTIFS($A$3:A15207,A6923,$B$3:B15207,B6923)</f>
        <v>1</v>
      </c>
      <c r="G6923" s="116"/>
    </row>
    <row r="6924" spans="1:7" x14ac:dyDescent="0.2">
      <c r="A6924" s="116">
        <f>IF(ISNUMBER(Tabela2[[#This Row],[CT-e/NFS]])=TRUE,(IF(B6924&gt;30000,4,IF(B6924&lt;1000,"ND",0))),"-")</f>
        <v>0</v>
      </c>
      <c r="B6924" s="116">
        <v>22518</v>
      </c>
      <c r="C6924" s="117">
        <v>45658</v>
      </c>
      <c r="D6924" s="116">
        <v>77.62</v>
      </c>
      <c r="E6924" s="117">
        <v>45656</v>
      </c>
      <c r="F6924" s="116">
        <f>COUNTIFS($A$3:A15208,A6924,$B$3:B15208,B6924)</f>
        <v>1</v>
      </c>
      <c r="G6924" s="116"/>
    </row>
    <row r="6925" spans="1:7" x14ac:dyDescent="0.2">
      <c r="A6925" s="116">
        <f>IF(ISNUMBER(Tabela2[[#This Row],[CT-e/NFS]])=TRUE,(IF(B6925&gt;30000,4,IF(B6925&lt;1000,"ND",0))),"-")</f>
        <v>0</v>
      </c>
      <c r="B6925" s="116">
        <v>22520</v>
      </c>
      <c r="C6925" s="117">
        <v>45658</v>
      </c>
      <c r="D6925" s="116">
        <v>76.23</v>
      </c>
      <c r="E6925" s="117">
        <v>45656</v>
      </c>
      <c r="F6925" s="116">
        <f>COUNTIFS($A$3:A15209,A6925,$B$3:B15209,B6925)</f>
        <v>1</v>
      </c>
      <c r="G6925" s="116"/>
    </row>
    <row r="6926" spans="1:7" x14ac:dyDescent="0.2">
      <c r="A6926" s="116">
        <f>IF(ISNUMBER(Tabela2[[#This Row],[CT-e/NFS]])=TRUE,(IF(B6926&gt;30000,4,IF(B6926&lt;1000,"ND",0))),"-")</f>
        <v>0</v>
      </c>
      <c r="B6926" s="116">
        <v>22523</v>
      </c>
      <c r="C6926" s="117">
        <v>45658</v>
      </c>
      <c r="D6926" s="116">
        <v>75.64</v>
      </c>
      <c r="E6926" s="117">
        <v>45656</v>
      </c>
      <c r="F6926" s="116">
        <f>COUNTIFS($A$3:A15210,A6926,$B$3:B15210,B6926)</f>
        <v>1</v>
      </c>
      <c r="G6926" s="116"/>
    </row>
    <row r="6927" spans="1:7" x14ac:dyDescent="0.2">
      <c r="A6927" s="116">
        <f>IF(ISNUMBER(Tabela2[[#This Row],[CT-e/NFS]])=TRUE,(IF(B6927&gt;30000,4,IF(B6927&lt;1000,"ND",0))),"-")</f>
        <v>0</v>
      </c>
      <c r="B6927" s="116">
        <v>22519</v>
      </c>
      <c r="C6927" s="117">
        <v>45658</v>
      </c>
      <c r="D6927" s="116">
        <v>76.8</v>
      </c>
      <c r="E6927" s="117">
        <v>45656</v>
      </c>
      <c r="F6927" s="116">
        <f>COUNTIFS($A$3:A15211,A6927,$B$3:B15211,B6927)</f>
        <v>1</v>
      </c>
      <c r="G6927" s="116"/>
    </row>
    <row r="6928" spans="1:7" x14ac:dyDescent="0.2">
      <c r="A6928" s="116">
        <f>IF(ISNUMBER(Tabela2[[#This Row],[CT-e/NFS]])=TRUE,(IF(B6928&gt;30000,4,IF(B6928&lt;1000,"ND",0))),"-")</f>
        <v>0</v>
      </c>
      <c r="B6928" s="116">
        <v>22524</v>
      </c>
      <c r="C6928" s="117">
        <v>45658</v>
      </c>
      <c r="D6928" s="116">
        <v>76.349999999999994</v>
      </c>
      <c r="E6928" s="117">
        <v>45656</v>
      </c>
      <c r="F6928" s="116">
        <f>COUNTIFS($A$3:A15212,A6928,$B$3:B15212,B6928)</f>
        <v>1</v>
      </c>
      <c r="G6928" s="116"/>
    </row>
    <row r="6929" spans="1:7" x14ac:dyDescent="0.2">
      <c r="A6929" s="116">
        <f>IF(ISNUMBER(Tabela2[[#This Row],[CT-e/NFS]])=TRUE,(IF(B6929&gt;30000,4,IF(B6929&lt;1000,"ND",0))),"-")</f>
        <v>0</v>
      </c>
      <c r="B6929" s="116">
        <v>22522</v>
      </c>
      <c r="C6929" s="117">
        <v>45658</v>
      </c>
      <c r="D6929" s="116">
        <v>76.349999999999994</v>
      </c>
      <c r="E6929" s="117">
        <v>45656</v>
      </c>
      <c r="F6929" s="116">
        <f>COUNTIFS($A$3:A15213,A6929,$B$3:B15213,B6929)</f>
        <v>1</v>
      </c>
      <c r="G6929" s="116"/>
    </row>
    <row r="6930" spans="1:7" x14ac:dyDescent="0.2">
      <c r="A6930" s="116">
        <f>IF(ISNUMBER(Tabela2[[#This Row],[CT-e/NFS]])=TRUE,(IF(B6930&gt;30000,4,IF(B6930&lt;1000,"ND",0))),"-")</f>
        <v>4</v>
      </c>
      <c r="B6930" s="116">
        <v>50660</v>
      </c>
      <c r="C6930" s="117">
        <v>45658</v>
      </c>
      <c r="D6930" s="116">
        <v>124.15</v>
      </c>
      <c r="E6930" s="117">
        <v>45656</v>
      </c>
      <c r="F6930" s="116">
        <f>COUNTIFS($A$3:A15218,A6930,$B$3:B15218,B6930)</f>
        <v>1</v>
      </c>
      <c r="G6930" s="116"/>
    </row>
    <row r="6931" spans="1:7" x14ac:dyDescent="0.2">
      <c r="A6931" s="116">
        <f>IF(ISNUMBER(Tabela2[[#This Row],[CT-e/NFS]])=TRUE,(IF(B6931&gt;30000,4,IF(B6931&lt;1000,"ND",0))),"-")</f>
        <v>4</v>
      </c>
      <c r="B6931" s="116">
        <v>50661</v>
      </c>
      <c r="C6931" s="117">
        <v>45658</v>
      </c>
      <c r="D6931" s="116">
        <v>124.38</v>
      </c>
      <c r="E6931" s="117">
        <v>45656</v>
      </c>
      <c r="F6931" s="116">
        <f>COUNTIFS($A$3:A15219,A6931,$B$3:B15219,B6931)</f>
        <v>1</v>
      </c>
      <c r="G6931" s="116"/>
    </row>
    <row r="6932" spans="1:7" x14ac:dyDescent="0.2">
      <c r="A6932" s="116">
        <f>IF(ISNUMBER(Tabela2[[#This Row],[CT-e/NFS]])=TRUE,(IF(B6932&gt;30000,4,IF(B6932&lt;1000,"ND",0))),"-")</f>
        <v>4</v>
      </c>
      <c r="B6932" s="116">
        <v>50664</v>
      </c>
      <c r="C6932" s="117">
        <v>45658</v>
      </c>
      <c r="D6932" s="116">
        <v>122.74</v>
      </c>
      <c r="E6932" s="117">
        <v>45656</v>
      </c>
      <c r="F6932" s="116">
        <f>COUNTIFS($A$3:A15220,A6932,$B$3:B15220,B6932)</f>
        <v>1</v>
      </c>
      <c r="G6932" s="116"/>
    </row>
    <row r="6933" spans="1:7" x14ac:dyDescent="0.2">
      <c r="A6933" s="116">
        <f>IF(ISNUMBER(Tabela2[[#This Row],[CT-e/NFS]])=TRUE,(IF(B6933&gt;30000,4,IF(B6933&lt;1000,"ND",0))),"-")</f>
        <v>4</v>
      </c>
      <c r="B6933" s="116">
        <v>50659</v>
      </c>
      <c r="C6933" s="117">
        <v>45658</v>
      </c>
      <c r="D6933" s="116">
        <v>123.89</v>
      </c>
      <c r="E6933" s="117">
        <v>45656</v>
      </c>
      <c r="F6933" s="116">
        <f>COUNTIFS($A$3:A15221,A6933,$B$3:B15221,B6933)</f>
        <v>1</v>
      </c>
      <c r="G6933" s="116"/>
    </row>
    <row r="6934" spans="1:7" x14ac:dyDescent="0.2">
      <c r="A6934" s="116">
        <f>IF(ISNUMBER(Tabela2[[#This Row],[CT-e/NFS]])=TRUE,(IF(B6934&gt;30000,4,IF(B6934&lt;1000,"ND",0))),"-")</f>
        <v>4</v>
      </c>
      <c r="B6934" s="116">
        <v>50651</v>
      </c>
      <c r="C6934" s="117">
        <v>45658</v>
      </c>
      <c r="D6934" s="116">
        <v>122.77</v>
      </c>
      <c r="E6934" s="117">
        <v>45656</v>
      </c>
      <c r="F6934" s="116">
        <f>COUNTIFS($A$3:A15222,A6934,$B$3:B15222,B6934)</f>
        <v>1</v>
      </c>
      <c r="G6934" s="116"/>
    </row>
    <row r="6935" spans="1:7" x14ac:dyDescent="0.2">
      <c r="A6935" s="116">
        <f>IF(ISNUMBER(Tabela2[[#This Row],[CT-e/NFS]])=TRUE,(IF(B6935&gt;30000,4,IF(B6935&lt;1000,"ND",0))),"-")</f>
        <v>4</v>
      </c>
      <c r="B6935" s="116">
        <v>50646</v>
      </c>
      <c r="C6935" s="117">
        <v>45658</v>
      </c>
      <c r="D6935" s="116">
        <v>123.99</v>
      </c>
      <c r="E6935" s="117">
        <v>45656</v>
      </c>
      <c r="F6935" s="116">
        <f>COUNTIFS($A$3:A15223,A6935,$B$3:B15223,B6935)</f>
        <v>1</v>
      </c>
      <c r="G6935" s="116"/>
    </row>
    <row r="6936" spans="1:7" x14ac:dyDescent="0.2">
      <c r="A6936" s="116">
        <f>IF(ISNUMBER(Tabela2[[#This Row],[CT-e/NFS]])=TRUE,(IF(B6936&gt;30000,4,IF(B6936&lt;1000,"ND",0))),"-")</f>
        <v>4</v>
      </c>
      <c r="B6936" s="116">
        <v>50642</v>
      </c>
      <c r="C6936" s="117">
        <v>45658</v>
      </c>
      <c r="D6936" s="116">
        <v>126.65</v>
      </c>
      <c r="E6936" s="117">
        <v>45656</v>
      </c>
      <c r="F6936" s="116">
        <f>COUNTIFS($A$3:A15224,A6936,$B$3:B15224,B6936)</f>
        <v>1</v>
      </c>
      <c r="G6936" s="116"/>
    </row>
    <row r="6937" spans="1:7" x14ac:dyDescent="0.2">
      <c r="A6937" s="116">
        <f>IF(ISNUMBER(Tabela2[[#This Row],[CT-e/NFS]])=TRUE,(IF(B6937&gt;30000,4,IF(B6937&lt;1000,"ND",0))),"-")</f>
        <v>4</v>
      </c>
      <c r="B6937" s="116">
        <v>50667</v>
      </c>
      <c r="C6937" s="117">
        <v>45658</v>
      </c>
      <c r="D6937" s="116">
        <v>124.61</v>
      </c>
      <c r="E6937" s="117">
        <v>45656</v>
      </c>
      <c r="F6937" s="116">
        <f>COUNTIFS($A$3:A15225,A6937,$B$3:B15225,B6937)</f>
        <v>1</v>
      </c>
      <c r="G6937" s="116"/>
    </row>
    <row r="6938" spans="1:7" x14ac:dyDescent="0.2">
      <c r="A6938" s="116">
        <f>IF(ISNUMBER(Tabela2[[#This Row],[CT-e/NFS]])=TRUE,(IF(B6938&gt;30000,4,IF(B6938&lt;1000,"ND",0))),"-")</f>
        <v>4</v>
      </c>
      <c r="B6938" s="116">
        <v>50643</v>
      </c>
      <c r="C6938" s="117">
        <v>45658</v>
      </c>
      <c r="D6938" s="116">
        <v>123.52</v>
      </c>
      <c r="E6938" s="117">
        <v>45656</v>
      </c>
      <c r="F6938" s="116">
        <f>COUNTIFS($A$3:A15226,A6938,$B$3:B15226,B6938)</f>
        <v>1</v>
      </c>
      <c r="G6938" s="116"/>
    </row>
    <row r="6939" spans="1:7" x14ac:dyDescent="0.2">
      <c r="A6939" s="116">
        <f>IF(ISNUMBER(Tabela2[[#This Row],[CT-e/NFS]])=TRUE,(IF(B6939&gt;30000,4,IF(B6939&lt;1000,"ND",0))),"-")</f>
        <v>4</v>
      </c>
      <c r="B6939" s="116">
        <v>50652</v>
      </c>
      <c r="C6939" s="117">
        <v>45658</v>
      </c>
      <c r="D6939" s="116">
        <v>124.02</v>
      </c>
      <c r="E6939" s="117">
        <v>45656</v>
      </c>
      <c r="F6939" s="116">
        <f>COUNTIFS($A$3:A15227,A6939,$B$3:B15227,B6939)</f>
        <v>1</v>
      </c>
      <c r="G6939" s="116"/>
    </row>
    <row r="6940" spans="1:7" x14ac:dyDescent="0.2">
      <c r="A6940" s="116">
        <f>IF(ISNUMBER(Tabela2[[#This Row],[CT-e/NFS]])=TRUE,(IF(B6940&gt;30000,4,IF(B6940&lt;1000,"ND",0))),"-")</f>
        <v>4</v>
      </c>
      <c r="B6940" s="116">
        <v>50657</v>
      </c>
      <c r="C6940" s="117">
        <v>45658</v>
      </c>
      <c r="D6940" s="116">
        <v>123.67</v>
      </c>
      <c r="E6940" s="117">
        <v>45656</v>
      </c>
      <c r="F6940" s="116">
        <f>COUNTIFS($A$3:A15228,A6940,$B$3:B15228,B6940)</f>
        <v>1</v>
      </c>
      <c r="G6940" s="116"/>
    </row>
    <row r="6941" spans="1:7" x14ac:dyDescent="0.2">
      <c r="A6941" s="116">
        <f>IF(ISNUMBER(Tabela2[[#This Row],[CT-e/NFS]])=TRUE,(IF(B6941&gt;30000,4,IF(B6941&lt;1000,"ND",0))),"-")</f>
        <v>4</v>
      </c>
      <c r="B6941" s="116">
        <v>50644</v>
      </c>
      <c r="C6941" s="117">
        <v>45658</v>
      </c>
      <c r="D6941" s="116">
        <v>123.34</v>
      </c>
      <c r="E6941" s="117">
        <v>45656</v>
      </c>
      <c r="F6941" s="116">
        <f>COUNTIFS($A$3:A15229,A6941,$B$3:B15229,B6941)</f>
        <v>1</v>
      </c>
      <c r="G6941" s="116"/>
    </row>
    <row r="6942" spans="1:7" x14ac:dyDescent="0.2">
      <c r="A6942" s="116">
        <f>IF(ISNUMBER(Tabela2[[#This Row],[CT-e/NFS]])=TRUE,(IF(B6942&gt;30000,4,IF(B6942&lt;1000,"ND",0))),"-")</f>
        <v>4</v>
      </c>
      <c r="B6942" s="116">
        <v>50647</v>
      </c>
      <c r="C6942" s="117">
        <v>45658</v>
      </c>
      <c r="D6942" s="116">
        <v>124.35</v>
      </c>
      <c r="E6942" s="117">
        <v>45656</v>
      </c>
      <c r="F6942" s="116">
        <f>COUNTIFS($A$3:A15230,A6942,$B$3:B15230,B6942)</f>
        <v>1</v>
      </c>
      <c r="G6942" s="116"/>
    </row>
    <row r="6943" spans="1:7" x14ac:dyDescent="0.2">
      <c r="A6943" s="116">
        <f>IF(ISNUMBER(Tabela2[[#This Row],[CT-e/NFS]])=TRUE,(IF(B6943&gt;30000,4,IF(B6943&lt;1000,"ND",0))),"-")</f>
        <v>4</v>
      </c>
      <c r="B6943" s="116">
        <v>50648</v>
      </c>
      <c r="C6943" s="117">
        <v>45658</v>
      </c>
      <c r="D6943" s="116">
        <v>125.08</v>
      </c>
      <c r="E6943" s="117">
        <v>45656</v>
      </c>
      <c r="F6943" s="116">
        <f>COUNTIFS($A$3:A15231,A6943,$B$3:B15231,B6943)</f>
        <v>1</v>
      </c>
      <c r="G6943" s="116"/>
    </row>
    <row r="6944" spans="1:7" x14ac:dyDescent="0.2">
      <c r="A6944" s="116">
        <f>IF(ISNUMBER(Tabela2[[#This Row],[CT-e/NFS]])=TRUE,(IF(B6944&gt;30000,4,IF(B6944&lt;1000,"ND",0))),"-")</f>
        <v>4</v>
      </c>
      <c r="B6944" s="116">
        <v>50650</v>
      </c>
      <c r="C6944" s="117">
        <v>45658</v>
      </c>
      <c r="D6944" s="116">
        <v>125.69</v>
      </c>
      <c r="E6944" s="117">
        <v>45656</v>
      </c>
      <c r="F6944" s="116">
        <f>COUNTIFS($A$3:A15232,A6944,$B$3:B15232,B6944)</f>
        <v>1</v>
      </c>
      <c r="G6944" s="116"/>
    </row>
    <row r="6945" spans="1:7" x14ac:dyDescent="0.2">
      <c r="A6945" s="116">
        <f>IF(ISNUMBER(Tabela2[[#This Row],[CT-e/NFS]])=TRUE,(IF(B6945&gt;30000,4,IF(B6945&lt;1000,"ND",0))),"-")</f>
        <v>4</v>
      </c>
      <c r="B6945" s="116">
        <v>50668</v>
      </c>
      <c r="C6945" s="117">
        <v>45658</v>
      </c>
      <c r="D6945" s="116">
        <v>62.64</v>
      </c>
      <c r="E6945" s="117">
        <v>45656</v>
      </c>
      <c r="F6945" s="116">
        <f>COUNTIFS($A$3:A15233,A6945,$B$3:B15233,B6945)</f>
        <v>1</v>
      </c>
      <c r="G6945" s="116"/>
    </row>
    <row r="6946" spans="1:7" x14ac:dyDescent="0.2">
      <c r="A6946" s="116">
        <f>IF(ISNUMBER(Tabela2[[#This Row],[CT-e/NFS]])=TRUE,(IF(B6946&gt;30000,4,IF(B6946&lt;1000,"ND",0))),"-")</f>
        <v>4</v>
      </c>
      <c r="B6946" s="116">
        <v>50669</v>
      </c>
      <c r="C6946" s="117">
        <v>45658</v>
      </c>
      <c r="D6946" s="116">
        <v>113.01</v>
      </c>
      <c r="E6946" s="117">
        <v>45656</v>
      </c>
      <c r="F6946" s="116">
        <f>COUNTIFS($A$3:A15234,A6946,$B$3:B15234,B6946)</f>
        <v>1</v>
      </c>
      <c r="G6946" s="116"/>
    </row>
    <row r="6947" spans="1:7" x14ac:dyDescent="0.2">
      <c r="A6947" s="116">
        <f>IF(ISNUMBER(Tabela2[[#This Row],[CT-e/NFS]])=TRUE,(IF(B6947&gt;30000,4,IF(B6947&lt;1000,"ND",0))),"-")</f>
        <v>4</v>
      </c>
      <c r="B6947" s="116">
        <v>50653</v>
      </c>
      <c r="C6947" s="117">
        <v>45658</v>
      </c>
      <c r="D6947" s="116">
        <v>266.77999999999997</v>
      </c>
      <c r="E6947" s="117">
        <v>45656</v>
      </c>
      <c r="F6947" s="116">
        <f>COUNTIFS($A$3:A15235,A6947,$B$3:B15235,B6947)</f>
        <v>1</v>
      </c>
      <c r="G6947" s="116"/>
    </row>
    <row r="6948" spans="1:7" x14ac:dyDescent="0.2">
      <c r="A6948" s="116">
        <f>IF(ISNUMBER(Tabela2[[#This Row],[CT-e/NFS]])=TRUE,(IF(B6948&gt;30000,4,IF(B6948&lt;1000,"ND",0))),"-")</f>
        <v>4</v>
      </c>
      <c r="B6948" s="116">
        <v>50645</v>
      </c>
      <c r="C6948" s="117">
        <v>45658</v>
      </c>
      <c r="D6948" s="116">
        <v>161.05000000000001</v>
      </c>
      <c r="E6948" s="117">
        <v>45656</v>
      </c>
      <c r="F6948" s="116">
        <f>COUNTIFS($A$3:A15236,A6948,$B$3:B15236,B6948)</f>
        <v>1</v>
      </c>
      <c r="G6948" s="116"/>
    </row>
    <row r="6949" spans="1:7" x14ac:dyDescent="0.2">
      <c r="A6949" s="116">
        <f>IF(ISNUMBER(Tabela2[[#This Row],[CT-e/NFS]])=TRUE,(IF(B6949&gt;30000,4,IF(B6949&lt;1000,"ND",0))),"-")</f>
        <v>4</v>
      </c>
      <c r="B6949" s="116">
        <v>50639</v>
      </c>
      <c r="C6949" s="117">
        <v>45658</v>
      </c>
      <c r="D6949" s="116">
        <v>484.77</v>
      </c>
      <c r="E6949" s="117">
        <v>45656</v>
      </c>
      <c r="F6949" s="116">
        <f>COUNTIFS($A$3:A15237,A6949,$B$3:B15237,B6949)</f>
        <v>1</v>
      </c>
      <c r="G6949" s="116"/>
    </row>
    <row r="6950" spans="1:7" x14ac:dyDescent="0.2">
      <c r="A6950" s="116">
        <f>IF(ISNUMBER(Tabela2[[#This Row],[CT-e/NFS]])=TRUE,(IF(B6950&gt;30000,4,IF(B6950&lt;1000,"ND",0))),"-")</f>
        <v>4</v>
      </c>
      <c r="B6950" s="116">
        <v>50638</v>
      </c>
      <c r="C6950" s="117">
        <v>45658</v>
      </c>
      <c r="D6950" s="116">
        <v>239.17</v>
      </c>
      <c r="E6950" s="117">
        <v>45656</v>
      </c>
      <c r="F6950" s="116">
        <f>COUNTIFS($A$3:A15238,A6950,$B$3:B15238,B6950)</f>
        <v>1</v>
      </c>
      <c r="G6950" s="116"/>
    </row>
    <row r="6951" spans="1:7" x14ac:dyDescent="0.2">
      <c r="A6951" s="116">
        <f>IF(ISNUMBER(Tabela2[[#This Row],[CT-e/NFS]])=TRUE,(IF(B6951&gt;30000,4,IF(B6951&lt;1000,"ND",0))),"-")</f>
        <v>4</v>
      </c>
      <c r="B6951" s="116">
        <v>50637</v>
      </c>
      <c r="C6951" s="117">
        <v>45658</v>
      </c>
      <c r="D6951" s="116">
        <v>238.65</v>
      </c>
      <c r="E6951" s="117">
        <v>45656</v>
      </c>
      <c r="F6951" s="116">
        <f>COUNTIFS($A$3:A15239,A6951,$B$3:B15239,B6951)</f>
        <v>1</v>
      </c>
      <c r="G6951" s="116"/>
    </row>
    <row r="6952" spans="1:7" x14ac:dyDescent="0.2">
      <c r="A6952" s="116">
        <f>IF(ISNUMBER(Tabela2[[#This Row],[CT-e/NFS]])=TRUE,(IF(B6952&gt;30000,4,IF(B6952&lt;1000,"ND",0))),"-")</f>
        <v>4</v>
      </c>
      <c r="B6952" s="116">
        <v>50663</v>
      </c>
      <c r="C6952" s="117">
        <v>45658</v>
      </c>
      <c r="D6952" s="116">
        <v>238.66</v>
      </c>
      <c r="E6952" s="117">
        <v>45656</v>
      </c>
      <c r="F6952" s="116">
        <f>COUNTIFS($A$3:A15240,A6952,$B$3:B15240,B6952)</f>
        <v>1</v>
      </c>
      <c r="G6952" s="116"/>
    </row>
    <row r="6953" spans="1:7" x14ac:dyDescent="0.2">
      <c r="A6953" s="116">
        <f>IF(ISNUMBER(Tabela2[[#This Row],[CT-e/NFS]])=TRUE,(IF(B6953&gt;30000,4,IF(B6953&lt;1000,"ND",0))),"-")</f>
        <v>4</v>
      </c>
      <c r="B6953" s="116">
        <v>50640</v>
      </c>
      <c r="C6953" s="117">
        <v>45658</v>
      </c>
      <c r="D6953" s="116">
        <v>239.67</v>
      </c>
      <c r="E6953" s="117">
        <v>45656</v>
      </c>
      <c r="F6953" s="116">
        <f>COUNTIFS($A$3:A15241,A6953,$B$3:B15241,B6953)</f>
        <v>1</v>
      </c>
      <c r="G6953" s="116"/>
    </row>
    <row r="6954" spans="1:7" x14ac:dyDescent="0.2">
      <c r="A6954" s="116">
        <f>IF(ISNUMBER(Tabela2[[#This Row],[CT-e/NFS]])=TRUE,(IF(B6954&gt;30000,4,IF(B6954&lt;1000,"ND",0))),"-")</f>
        <v>4</v>
      </c>
      <c r="B6954" s="116">
        <v>50666</v>
      </c>
      <c r="C6954" s="117">
        <v>45658</v>
      </c>
      <c r="D6954" s="116">
        <v>430.06</v>
      </c>
      <c r="E6954" s="117">
        <v>45656</v>
      </c>
      <c r="F6954" s="116">
        <f>COUNTIFS($A$3:A15242,A6954,$B$3:B15242,B6954)</f>
        <v>1</v>
      </c>
      <c r="G6954" s="116"/>
    </row>
    <row r="6955" spans="1:7" x14ac:dyDescent="0.2">
      <c r="A6955" s="116">
        <f>IF(ISNUMBER(Tabela2[[#This Row],[CT-e/NFS]])=TRUE,(IF(B6955&gt;30000,4,IF(B6955&lt;1000,"ND",0))),"-")</f>
        <v>4</v>
      </c>
      <c r="B6955" s="116">
        <v>50670</v>
      </c>
      <c r="C6955" s="117">
        <v>45658</v>
      </c>
      <c r="D6955" s="116">
        <v>62.97</v>
      </c>
      <c r="E6955" s="117">
        <v>45656</v>
      </c>
      <c r="F6955" s="116">
        <f>COUNTIFS($A$3:A15243,A6955,$B$3:B15243,B6955)</f>
        <v>1</v>
      </c>
      <c r="G6955" s="116"/>
    </row>
    <row r="6956" spans="1:7" x14ac:dyDescent="0.2">
      <c r="A6956" s="116">
        <f>IF(ISNUMBER(Tabela2[[#This Row],[CT-e/NFS]])=TRUE,(IF(B6956&gt;30000,4,IF(B6956&lt;1000,"ND",0))),"-")</f>
        <v>4</v>
      </c>
      <c r="B6956" s="116">
        <v>50671</v>
      </c>
      <c r="C6956" s="117">
        <v>45658</v>
      </c>
      <c r="D6956" s="116">
        <v>113.66</v>
      </c>
      <c r="E6956" s="117">
        <v>45656</v>
      </c>
      <c r="F6956" s="116">
        <f>COUNTIFS($A$3:A15244,A6956,$B$3:B15244,B6956)</f>
        <v>1</v>
      </c>
      <c r="G6956" s="116"/>
    </row>
    <row r="6957" spans="1:7" x14ac:dyDescent="0.2">
      <c r="A6957" s="116">
        <f>IF(ISNUMBER(Tabela2[[#This Row],[CT-e/NFS]])=TRUE,(IF(B6957&gt;30000,4,IF(B6957&lt;1000,"ND",0))),"-")</f>
        <v>4</v>
      </c>
      <c r="B6957" s="116">
        <v>50665</v>
      </c>
      <c r="C6957" s="117">
        <v>45658</v>
      </c>
      <c r="D6957" s="116">
        <v>238.32</v>
      </c>
      <c r="E6957" s="117">
        <v>45656</v>
      </c>
      <c r="F6957" s="116">
        <f>COUNTIFS($A$3:A15245,A6957,$B$3:B15245,B6957)</f>
        <v>1</v>
      </c>
      <c r="G6957" s="116"/>
    </row>
    <row r="6958" spans="1:7" x14ac:dyDescent="0.2">
      <c r="A6958" s="116">
        <f>IF(ISNUMBER(Tabela2[[#This Row],[CT-e/NFS]])=TRUE,(IF(B6958&gt;30000,4,IF(B6958&lt;1000,"ND",0))),"-")</f>
        <v>4</v>
      </c>
      <c r="B6958" s="116">
        <v>50641</v>
      </c>
      <c r="C6958" s="117">
        <v>45658</v>
      </c>
      <c r="D6958" s="116">
        <v>242.39</v>
      </c>
      <c r="E6958" s="117">
        <v>45656</v>
      </c>
      <c r="F6958" s="116">
        <f>COUNTIFS($A$3:A15246,A6958,$B$3:B15246,B6958)</f>
        <v>1</v>
      </c>
      <c r="G6958" s="116"/>
    </row>
    <row r="6959" spans="1:7" x14ac:dyDescent="0.2">
      <c r="A6959" s="116">
        <f>IF(ISNUMBER(Tabela2[[#This Row],[CT-e/NFS]])=TRUE,(IF(B6959&gt;30000,4,IF(B6959&lt;1000,"ND",0))),"-")</f>
        <v>4</v>
      </c>
      <c r="B6959" s="116">
        <v>50636</v>
      </c>
      <c r="C6959" s="117">
        <v>45658</v>
      </c>
      <c r="D6959" s="116">
        <v>1245.6099999999999</v>
      </c>
      <c r="E6959" s="117">
        <v>45656</v>
      </c>
      <c r="F6959" s="116">
        <f>COUNTIFS($A$3:A15247,A6959,$B$3:B15247,B6959)</f>
        <v>1</v>
      </c>
      <c r="G6959" s="116"/>
    </row>
    <row r="6960" spans="1:7" x14ac:dyDescent="0.2">
      <c r="A6960" s="116">
        <f>IF(ISNUMBER(Tabela2[[#This Row],[CT-e/NFS]])=TRUE,(IF(B6960&gt;30000,4,IF(B6960&lt;1000,"ND",0))),"-")</f>
        <v>4</v>
      </c>
      <c r="B6960" s="116">
        <v>50658</v>
      </c>
      <c r="C6960" s="117">
        <v>45658</v>
      </c>
      <c r="D6960" s="116">
        <v>561.13</v>
      </c>
      <c r="E6960" s="117">
        <v>45656</v>
      </c>
      <c r="F6960" s="116">
        <f>COUNTIFS($A$3:A15248,A6960,$B$3:B15248,B6960)</f>
        <v>1</v>
      </c>
      <c r="G6960" s="116"/>
    </row>
    <row r="6961" spans="1:7" x14ac:dyDescent="0.2">
      <c r="A6961" s="116">
        <f>IF(ISNUMBER(Tabela2[[#This Row],[CT-e/NFS]])=TRUE,(IF(B6961&gt;30000,4,IF(B6961&lt;1000,"ND",0))),"-")</f>
        <v>4</v>
      </c>
      <c r="B6961" s="116">
        <v>50656</v>
      </c>
      <c r="C6961" s="117">
        <v>45658</v>
      </c>
      <c r="D6961" s="116">
        <v>202</v>
      </c>
      <c r="E6961" s="117">
        <v>45656</v>
      </c>
      <c r="F6961" s="116">
        <f>COUNTIFS($A$3:A15249,A6961,$B$3:B15249,B6961)</f>
        <v>1</v>
      </c>
      <c r="G6961" s="116"/>
    </row>
    <row r="6962" spans="1:7" x14ac:dyDescent="0.2">
      <c r="A6962" s="116">
        <f>IF(ISNUMBER(Tabela2[[#This Row],[CT-e/NFS]])=TRUE,(IF(B6962&gt;30000,4,IF(B6962&lt;1000,"ND",0))),"-")</f>
        <v>4</v>
      </c>
      <c r="B6962" s="116">
        <v>50655</v>
      </c>
      <c r="C6962" s="117">
        <v>45658</v>
      </c>
      <c r="D6962" s="116">
        <v>242.61</v>
      </c>
      <c r="E6962" s="117">
        <v>45656</v>
      </c>
      <c r="F6962" s="116">
        <f>COUNTIFS($A$3:A15250,A6962,$B$3:B15250,B6962)</f>
        <v>1</v>
      </c>
      <c r="G6962" s="116"/>
    </row>
    <row r="6963" spans="1:7" x14ac:dyDescent="0.2">
      <c r="A6963" s="116">
        <f>IF(ISNUMBER(Tabela2[[#This Row],[CT-e/NFS]])=TRUE,(IF(B6963&gt;30000,4,IF(B6963&lt;1000,"ND",0))),"-")</f>
        <v>4</v>
      </c>
      <c r="B6963" s="116">
        <v>50654</v>
      </c>
      <c r="C6963" s="117">
        <v>45658</v>
      </c>
      <c r="D6963" s="116">
        <v>306.41000000000003</v>
      </c>
      <c r="E6963" s="117">
        <v>45656</v>
      </c>
      <c r="F6963" s="116">
        <f>COUNTIFS($A$3:A15251,A6963,$B$3:B15251,B6963)</f>
        <v>1</v>
      </c>
      <c r="G6963" s="116"/>
    </row>
    <row r="6964" spans="1:7" x14ac:dyDescent="0.2">
      <c r="A6964" s="116">
        <f>IF(ISNUMBER(Tabela2[[#This Row],[CT-e/NFS]])=TRUE,(IF(B6964&gt;30000,4,IF(B6964&lt;1000,"ND",0))),"-")</f>
        <v>4</v>
      </c>
      <c r="B6964" s="116">
        <v>50662</v>
      </c>
      <c r="C6964" s="117">
        <v>45658</v>
      </c>
      <c r="D6964" s="116">
        <v>62.01</v>
      </c>
      <c r="E6964" s="117">
        <v>45656</v>
      </c>
      <c r="F6964" s="116">
        <f>COUNTIFS($A$3:A15252,A6964,$B$3:B15252,B6964)</f>
        <v>1</v>
      </c>
      <c r="G6964" s="116"/>
    </row>
    <row r="6965" spans="1:7" x14ac:dyDescent="0.2">
      <c r="A6965" s="116">
        <f>IF(ISNUMBER(Tabela2[[#This Row],[CT-e/NFS]])=TRUE,(IF(B6965&gt;30000,4,IF(B6965&lt;1000,"ND",0))),"-")</f>
        <v>0</v>
      </c>
      <c r="B6965" s="116">
        <v>22528</v>
      </c>
      <c r="C6965" s="117">
        <v>45658</v>
      </c>
      <c r="D6965" s="116">
        <v>68.67</v>
      </c>
      <c r="E6965" s="117">
        <v>45656</v>
      </c>
      <c r="F6965" s="116">
        <f>COUNTIFS($A$3:A15253,A6965,$B$3:B15253,B6965)</f>
        <v>1</v>
      </c>
      <c r="G6965" s="116"/>
    </row>
    <row r="6966" spans="1:7" x14ac:dyDescent="0.2">
      <c r="A6966" s="116">
        <f>IF(ISNUMBER(Tabela2[[#This Row],[CT-e/NFS]])=TRUE,(IF(B6966&gt;30000,4,IF(B6966&lt;1000,"ND",0))),"-")</f>
        <v>0</v>
      </c>
      <c r="B6966" s="116">
        <v>22530</v>
      </c>
      <c r="C6966" s="117">
        <v>45658</v>
      </c>
      <c r="D6966" s="116">
        <v>38.11</v>
      </c>
      <c r="E6966" s="117">
        <v>45656</v>
      </c>
      <c r="F6966" s="116">
        <f>COUNTIFS($A$3:A15254,A6966,$B$3:B15254,B6966)</f>
        <v>1</v>
      </c>
      <c r="G6966" s="116"/>
    </row>
    <row r="6967" spans="1:7" x14ac:dyDescent="0.2">
      <c r="A6967" s="116">
        <f>IF(ISNUMBER(Tabela2[[#This Row],[CT-e/NFS]])=TRUE,(IF(B6967&gt;30000,4,IF(B6967&lt;1000,"ND",0))),"-")</f>
        <v>0</v>
      </c>
      <c r="B6967" s="116">
        <v>22525</v>
      </c>
      <c r="C6967" s="117">
        <v>45658</v>
      </c>
      <c r="D6967" s="116">
        <v>76.37</v>
      </c>
      <c r="E6967" s="117">
        <v>45656</v>
      </c>
      <c r="F6967" s="116">
        <f>COUNTIFS($A$3:A15255,A6967,$B$3:B15255,B6967)</f>
        <v>1</v>
      </c>
      <c r="G6967" s="116"/>
    </row>
    <row r="6968" spans="1:7" x14ac:dyDescent="0.2">
      <c r="A6968" s="116">
        <f>IF(ISNUMBER(Tabela2[[#This Row],[CT-e/NFS]])=TRUE,(IF(B6968&gt;30000,4,IF(B6968&lt;1000,"ND",0))),"-")</f>
        <v>0</v>
      </c>
      <c r="B6968" s="116">
        <v>22527</v>
      </c>
      <c r="C6968" s="117">
        <v>45658</v>
      </c>
      <c r="D6968" s="116">
        <v>76.510000000000005</v>
      </c>
      <c r="E6968" s="117">
        <v>45656</v>
      </c>
      <c r="F6968" s="116">
        <f>COUNTIFS($A$3:A15256,A6968,$B$3:B15256,B6968)</f>
        <v>1</v>
      </c>
      <c r="G6968" s="116"/>
    </row>
    <row r="6969" spans="1:7" x14ac:dyDescent="0.2">
      <c r="A6969" s="116">
        <f>IF(ISNUMBER(Tabela2[[#This Row],[CT-e/NFS]])=TRUE,(IF(B6969&gt;30000,4,IF(B6969&lt;1000,"ND",0))),"-")</f>
        <v>0</v>
      </c>
      <c r="B6969" s="116">
        <v>22526</v>
      </c>
      <c r="C6969" s="117">
        <v>45658</v>
      </c>
      <c r="D6969" s="116">
        <v>76.19</v>
      </c>
      <c r="E6969" s="117">
        <v>45656</v>
      </c>
      <c r="F6969" s="116">
        <f>COUNTIFS($A$3:A15257,A6969,$B$3:B15257,B6969)</f>
        <v>1</v>
      </c>
      <c r="G6969" s="116"/>
    </row>
    <row r="6970" spans="1:7" x14ac:dyDescent="0.2">
      <c r="A6970" s="116">
        <f>IF(ISNUMBER(Tabela2[[#This Row],[CT-e/NFS]])=TRUE,(IF(B6970&gt;30000,4,IF(B6970&lt;1000,"ND",0))),"-")</f>
        <v>0</v>
      </c>
      <c r="B6970" s="116">
        <v>22529</v>
      </c>
      <c r="C6970" s="117">
        <v>45658</v>
      </c>
      <c r="D6970" s="116">
        <v>76.3</v>
      </c>
      <c r="E6970" s="117">
        <v>45656</v>
      </c>
      <c r="F6970" s="116">
        <f>COUNTIFS($A$3:A15258,A6970,$B$3:B15258,B6970)</f>
        <v>1</v>
      </c>
      <c r="G6970" s="116"/>
    </row>
    <row r="6971" spans="1:7" x14ac:dyDescent="0.2">
      <c r="A6971" s="116">
        <f>IF(ISNUMBER(Tabela2[[#This Row],[CT-e/NFS]])=TRUE,(IF(B6971&gt;30000,4,IF(B6971&lt;1000,"ND",0))),"-")</f>
        <v>4</v>
      </c>
      <c r="B6971" s="116">
        <v>50680</v>
      </c>
      <c r="C6971" s="117">
        <v>45658</v>
      </c>
      <c r="D6971" s="116">
        <v>122.92</v>
      </c>
      <c r="E6971" s="117">
        <v>45656</v>
      </c>
      <c r="F6971" s="116">
        <f>COUNTIFS($A$3:A15261,A6971,$B$3:B15261,B6971)</f>
        <v>1</v>
      </c>
      <c r="G6971" s="116"/>
    </row>
    <row r="6972" spans="1:7" x14ac:dyDescent="0.2">
      <c r="A6972" s="116">
        <f>IF(ISNUMBER(Tabela2[[#This Row],[CT-e/NFS]])=TRUE,(IF(B6972&gt;30000,4,IF(B6972&lt;1000,"ND",0))),"-")</f>
        <v>4</v>
      </c>
      <c r="B6972" s="116">
        <v>50677</v>
      </c>
      <c r="C6972" s="117">
        <v>45658</v>
      </c>
      <c r="D6972" s="116">
        <v>124.07</v>
      </c>
      <c r="E6972" s="117">
        <v>45656</v>
      </c>
      <c r="F6972" s="116">
        <f>COUNTIFS($A$3:A15262,A6972,$B$3:B15262,B6972)</f>
        <v>1</v>
      </c>
      <c r="G6972" s="116"/>
    </row>
    <row r="6973" spans="1:7" x14ac:dyDescent="0.2">
      <c r="A6973" s="116">
        <f>IF(ISNUMBER(Tabela2[[#This Row],[CT-e/NFS]])=TRUE,(IF(B6973&gt;30000,4,IF(B6973&lt;1000,"ND",0))),"-")</f>
        <v>4</v>
      </c>
      <c r="B6973" s="116">
        <v>50678</v>
      </c>
      <c r="C6973" s="117">
        <v>45658</v>
      </c>
      <c r="D6973" s="116">
        <v>124.25</v>
      </c>
      <c r="E6973" s="117">
        <v>45656</v>
      </c>
      <c r="F6973" s="116">
        <f>COUNTIFS($A$3:A15263,A6973,$B$3:B15263,B6973)</f>
        <v>1</v>
      </c>
      <c r="G6973" s="116"/>
    </row>
    <row r="6974" spans="1:7" x14ac:dyDescent="0.2">
      <c r="A6974" s="116">
        <f>IF(ISNUMBER(Tabela2[[#This Row],[CT-e/NFS]])=TRUE,(IF(B6974&gt;30000,4,IF(B6974&lt;1000,"ND",0))),"-")</f>
        <v>4</v>
      </c>
      <c r="B6974" s="116">
        <v>50679</v>
      </c>
      <c r="C6974" s="117">
        <v>45658</v>
      </c>
      <c r="D6974" s="116">
        <v>124.73</v>
      </c>
      <c r="E6974" s="117">
        <v>45656</v>
      </c>
      <c r="F6974" s="116">
        <f>COUNTIFS($A$3:A15264,A6974,$B$3:B15264,B6974)</f>
        <v>1</v>
      </c>
      <c r="G6974" s="116"/>
    </row>
    <row r="6975" spans="1:7" x14ac:dyDescent="0.2">
      <c r="A6975" s="116">
        <f>IF(ISNUMBER(Tabela2[[#This Row],[CT-e/NFS]])=TRUE,(IF(B6975&gt;30000,4,IF(B6975&lt;1000,"ND",0))),"-")</f>
        <v>4</v>
      </c>
      <c r="B6975" s="116">
        <v>50676</v>
      </c>
      <c r="C6975" s="117">
        <v>45658</v>
      </c>
      <c r="D6975" s="116">
        <v>477.68</v>
      </c>
      <c r="E6975" s="117">
        <v>45656</v>
      </c>
      <c r="F6975" s="116">
        <f>COUNTIFS($A$3:A15265,A6975,$B$3:B15265,B6975)</f>
        <v>1</v>
      </c>
      <c r="G6975" s="116"/>
    </row>
    <row r="6976" spans="1:7" x14ac:dyDescent="0.2">
      <c r="A6976" s="116">
        <f>IF(ISNUMBER(Tabela2[[#This Row],[CT-e/NFS]])=TRUE,(IF(B6976&gt;30000,4,IF(B6976&lt;1000,"ND",0))),"-")</f>
        <v>4</v>
      </c>
      <c r="B6976" s="116">
        <v>50686</v>
      </c>
      <c r="C6976" s="117">
        <v>45658</v>
      </c>
      <c r="D6976" s="116">
        <v>1356.02</v>
      </c>
      <c r="E6976" s="117">
        <v>45656</v>
      </c>
      <c r="F6976" s="116">
        <f>COUNTIFS($A$3:A15266,A6976,$B$3:B15266,B6976)</f>
        <v>1</v>
      </c>
      <c r="G6976" s="116"/>
    </row>
    <row r="6977" spans="1:7" x14ac:dyDescent="0.2">
      <c r="A6977" s="116">
        <f>IF(ISNUMBER(Tabela2[[#This Row],[CT-e/NFS]])=TRUE,(IF(B6977&gt;30000,4,IF(B6977&lt;1000,"ND",0))),"-")</f>
        <v>4</v>
      </c>
      <c r="B6977" s="116">
        <v>50685</v>
      </c>
      <c r="C6977" s="117">
        <v>45658</v>
      </c>
      <c r="D6977" s="116">
        <v>609.98</v>
      </c>
      <c r="E6977" s="117">
        <v>45656</v>
      </c>
      <c r="F6977" s="116">
        <f>COUNTIFS($A$3:A15267,A6977,$B$3:B15267,B6977)</f>
        <v>1</v>
      </c>
      <c r="G6977" s="116"/>
    </row>
    <row r="6978" spans="1:7" x14ac:dyDescent="0.2">
      <c r="A6978" s="116">
        <f>IF(ISNUMBER(Tabela2[[#This Row],[CT-e/NFS]])=TRUE,(IF(B6978&gt;30000,4,IF(B6978&lt;1000,"ND",0))),"-")</f>
        <v>4</v>
      </c>
      <c r="B6978" s="116">
        <v>50673</v>
      </c>
      <c r="C6978" s="117">
        <v>45658</v>
      </c>
      <c r="D6978" s="116">
        <v>931.82</v>
      </c>
      <c r="E6978" s="117">
        <v>45656</v>
      </c>
      <c r="F6978" s="116">
        <f>COUNTIFS($A$3:A15268,A6978,$B$3:B15268,B6978)</f>
        <v>1</v>
      </c>
      <c r="G6978" s="116"/>
    </row>
    <row r="6979" spans="1:7" x14ac:dyDescent="0.2">
      <c r="A6979" s="116">
        <f>IF(ISNUMBER(Tabela2[[#This Row],[CT-e/NFS]])=TRUE,(IF(B6979&gt;30000,4,IF(B6979&lt;1000,"ND",0))),"-")</f>
        <v>4</v>
      </c>
      <c r="B6979" s="116">
        <v>50675</v>
      </c>
      <c r="C6979" s="117">
        <v>45658</v>
      </c>
      <c r="D6979" s="116">
        <v>2009.64</v>
      </c>
      <c r="E6979" s="117">
        <v>45656</v>
      </c>
      <c r="F6979" s="116">
        <f>COUNTIFS($A$3:A15269,A6979,$B$3:B15269,B6979)</f>
        <v>1</v>
      </c>
      <c r="G6979" s="116"/>
    </row>
    <row r="6980" spans="1:7" x14ac:dyDescent="0.2">
      <c r="A6980" s="116">
        <f>IF(ISNUMBER(Tabela2[[#This Row],[CT-e/NFS]])=TRUE,(IF(B6980&gt;30000,4,IF(B6980&lt;1000,"ND",0))),"-")</f>
        <v>4</v>
      </c>
      <c r="B6980" s="116">
        <v>50684</v>
      </c>
      <c r="C6980" s="117">
        <v>45658</v>
      </c>
      <c r="D6980" s="116">
        <v>110.5</v>
      </c>
      <c r="E6980" s="117">
        <v>45656</v>
      </c>
      <c r="F6980" s="116">
        <f>COUNTIFS($A$3:A15270,A6980,$B$3:B15270,B6980)</f>
        <v>1</v>
      </c>
      <c r="G6980" s="116"/>
    </row>
    <row r="6981" spans="1:7" x14ac:dyDescent="0.2">
      <c r="A6981" s="116">
        <f>IF(ISNUMBER(Tabela2[[#This Row],[CT-e/NFS]])=TRUE,(IF(B6981&gt;30000,4,IF(B6981&lt;1000,"ND",0))),"-")</f>
        <v>4</v>
      </c>
      <c r="B6981" s="116">
        <v>50683</v>
      </c>
      <c r="C6981" s="117">
        <v>45658</v>
      </c>
      <c r="D6981" s="116">
        <v>61.39</v>
      </c>
      <c r="E6981" s="117">
        <v>45656</v>
      </c>
      <c r="F6981" s="116">
        <f>COUNTIFS($A$3:A15271,A6981,$B$3:B15271,B6981)</f>
        <v>1</v>
      </c>
      <c r="G6981" s="116"/>
    </row>
    <row r="6982" spans="1:7" x14ac:dyDescent="0.2">
      <c r="A6982" s="116">
        <f>IF(ISNUMBER(Tabela2[[#This Row],[CT-e/NFS]])=TRUE,(IF(B6982&gt;30000,4,IF(B6982&lt;1000,"ND",0))),"-")</f>
        <v>4</v>
      </c>
      <c r="B6982" s="116">
        <v>50674</v>
      </c>
      <c r="C6982" s="117">
        <v>45658</v>
      </c>
      <c r="D6982" s="116">
        <v>1758.3</v>
      </c>
      <c r="E6982" s="117">
        <v>45656</v>
      </c>
      <c r="F6982" s="116">
        <f>COUNTIFS($A$3:A15272,A6982,$B$3:B15272,B6982)</f>
        <v>1</v>
      </c>
      <c r="G6982" s="116"/>
    </row>
    <row r="6983" spans="1:7" x14ac:dyDescent="0.2">
      <c r="A6983" s="116" t="str">
        <f>IF(ISNUMBER(Tabela2[[#This Row],[CT-e/NFS]])=TRUE,(IF(B6983&gt;30000,4,IF(B6983&lt;1000,"ND",0))),"-")</f>
        <v>ND</v>
      </c>
      <c r="B6983" s="116">
        <v>242</v>
      </c>
      <c r="C6983" s="117">
        <v>45658</v>
      </c>
      <c r="D6983" s="116">
        <v>477.62</v>
      </c>
      <c r="E6983" s="117">
        <v>45656</v>
      </c>
      <c r="F6983" s="116">
        <f>COUNTIFS($A$3:A15273,A6983,$B$3:B15273,B6983)</f>
        <v>1</v>
      </c>
      <c r="G6983" s="116"/>
    </row>
    <row r="6984" spans="1:7" x14ac:dyDescent="0.2">
      <c r="A6984" s="116">
        <f>IF(ISNUMBER(Tabela2[[#This Row],[CT-e/NFS]])=TRUE,(IF(B6984&gt;30000,4,IF(B6984&lt;1000,"ND",0))),"-")</f>
        <v>0</v>
      </c>
      <c r="B6984" s="116">
        <v>22532</v>
      </c>
      <c r="C6984" s="117">
        <v>45658</v>
      </c>
      <c r="D6984" s="116">
        <v>155.1</v>
      </c>
      <c r="E6984" s="117">
        <v>45656</v>
      </c>
      <c r="F6984" s="116">
        <f>COUNTIFS($A$3:A15274,A6984,$B$3:B15274,B6984)</f>
        <v>1</v>
      </c>
      <c r="G6984" s="116"/>
    </row>
    <row r="6985" spans="1:7" x14ac:dyDescent="0.2">
      <c r="A6985" s="116">
        <f>IF(ISNUMBER(Tabela2[[#This Row],[CT-e/NFS]])=TRUE,(IF(B6985&gt;30000,4,IF(B6985&lt;1000,"ND",0))),"-")</f>
        <v>0</v>
      </c>
      <c r="B6985" s="116">
        <v>22550</v>
      </c>
      <c r="C6985" s="117">
        <v>45658</v>
      </c>
      <c r="D6985" s="116">
        <v>169.09</v>
      </c>
      <c r="E6985" s="117">
        <v>45656</v>
      </c>
      <c r="F6985" s="116">
        <f>COUNTIFS($A$3:A15275,A6985,$B$3:B15275,B6985)</f>
        <v>1</v>
      </c>
      <c r="G6985" s="116"/>
    </row>
    <row r="6986" spans="1:7" x14ac:dyDescent="0.2">
      <c r="A6986" s="116">
        <f>IF(ISNUMBER(Tabela2[[#This Row],[CT-e/NFS]])=TRUE,(IF(B6986&gt;30000,4,IF(B6986&lt;1000,"ND",0))),"-")</f>
        <v>0</v>
      </c>
      <c r="B6986" s="116">
        <v>22537</v>
      </c>
      <c r="C6986" s="117">
        <v>45658</v>
      </c>
      <c r="D6986" s="116">
        <v>146.43</v>
      </c>
      <c r="E6986" s="117">
        <v>45656</v>
      </c>
      <c r="F6986" s="116">
        <f>COUNTIFS($A$3:A15276,A6986,$B$3:B15276,B6986)</f>
        <v>1</v>
      </c>
      <c r="G6986" s="116"/>
    </row>
    <row r="6987" spans="1:7" x14ac:dyDescent="0.2">
      <c r="A6987" s="116">
        <f>IF(ISNUMBER(Tabela2[[#This Row],[CT-e/NFS]])=TRUE,(IF(B6987&gt;30000,4,IF(B6987&lt;1000,"ND",0))),"-")</f>
        <v>0</v>
      </c>
      <c r="B6987" s="116">
        <v>22548</v>
      </c>
      <c r="C6987" s="117">
        <v>45658</v>
      </c>
      <c r="D6987" s="116">
        <v>338.2</v>
      </c>
      <c r="E6987" s="117">
        <v>45656</v>
      </c>
      <c r="F6987" s="116">
        <f>COUNTIFS($A$3:A15277,A6987,$B$3:B15277,B6987)</f>
        <v>1</v>
      </c>
      <c r="G6987" s="116"/>
    </row>
    <row r="6988" spans="1:7" x14ac:dyDescent="0.2">
      <c r="A6988" s="116">
        <f>IF(ISNUMBER(Tabela2[[#This Row],[CT-e/NFS]])=TRUE,(IF(B6988&gt;30000,4,IF(B6988&lt;1000,"ND",0))),"-")</f>
        <v>0</v>
      </c>
      <c r="B6988" s="116">
        <v>22546</v>
      </c>
      <c r="C6988" s="117">
        <v>45658</v>
      </c>
      <c r="D6988" s="116">
        <v>326.52</v>
      </c>
      <c r="E6988" s="117">
        <v>45656</v>
      </c>
      <c r="F6988" s="116">
        <f>COUNTIFS($A$3:A15278,A6988,$B$3:B15278,B6988)</f>
        <v>1</v>
      </c>
      <c r="G6988" s="116"/>
    </row>
    <row r="6989" spans="1:7" x14ac:dyDescent="0.2">
      <c r="A6989" s="116">
        <f>IF(ISNUMBER(Tabela2[[#This Row],[CT-e/NFS]])=TRUE,(IF(B6989&gt;30000,4,IF(B6989&lt;1000,"ND",0))),"-")</f>
        <v>0</v>
      </c>
      <c r="B6989" s="116">
        <v>22544</v>
      </c>
      <c r="C6989" s="117">
        <v>45658</v>
      </c>
      <c r="D6989" s="116">
        <v>298.61</v>
      </c>
      <c r="E6989" s="117">
        <v>45656</v>
      </c>
      <c r="F6989" s="116">
        <f>COUNTIFS($A$3:A15279,A6989,$B$3:B15279,B6989)</f>
        <v>1</v>
      </c>
      <c r="G6989" s="116"/>
    </row>
    <row r="6990" spans="1:7" x14ac:dyDescent="0.2">
      <c r="A6990" s="116">
        <f>IF(ISNUMBER(Tabela2[[#This Row],[CT-e/NFS]])=TRUE,(IF(B6990&gt;30000,4,IF(B6990&lt;1000,"ND",0))),"-")</f>
        <v>0</v>
      </c>
      <c r="B6990" s="116">
        <v>22541</v>
      </c>
      <c r="C6990" s="117">
        <v>45658</v>
      </c>
      <c r="D6990" s="116">
        <v>252.67</v>
      </c>
      <c r="E6990" s="117">
        <v>45656</v>
      </c>
      <c r="F6990" s="116">
        <f>COUNTIFS($A$3:A15280,A6990,$B$3:B15280,B6990)</f>
        <v>1</v>
      </c>
      <c r="G6990" s="116"/>
    </row>
    <row r="6991" spans="1:7" x14ac:dyDescent="0.2">
      <c r="A6991" s="116">
        <f>IF(ISNUMBER(Tabela2[[#This Row],[CT-e/NFS]])=TRUE,(IF(B6991&gt;30000,4,IF(B6991&lt;1000,"ND",0))),"-")</f>
        <v>0</v>
      </c>
      <c r="B6991" s="116">
        <v>22535</v>
      </c>
      <c r="C6991" s="117">
        <v>45658</v>
      </c>
      <c r="D6991" s="116">
        <v>318.37</v>
      </c>
      <c r="E6991" s="117">
        <v>45656</v>
      </c>
      <c r="F6991" s="116">
        <f>COUNTIFS($A$3:A15281,A6991,$B$3:B15281,B6991)</f>
        <v>1</v>
      </c>
      <c r="G6991" s="116"/>
    </row>
    <row r="6992" spans="1:7" x14ac:dyDescent="0.2">
      <c r="A6992" s="116">
        <f>IF(ISNUMBER(Tabela2[[#This Row],[CT-e/NFS]])=TRUE,(IF(B6992&gt;30000,4,IF(B6992&lt;1000,"ND",0))),"-")</f>
        <v>0</v>
      </c>
      <c r="B6992" s="116">
        <v>22551</v>
      </c>
      <c r="C6992" s="117">
        <v>45658</v>
      </c>
      <c r="D6992" s="116">
        <v>257.70999999999998</v>
      </c>
      <c r="E6992" s="117">
        <v>45656</v>
      </c>
      <c r="F6992" s="116">
        <f>COUNTIFS($A$3:A15282,A6992,$B$3:B15282,B6992)</f>
        <v>1</v>
      </c>
      <c r="G6992" s="116"/>
    </row>
    <row r="6993" spans="1:7" x14ac:dyDescent="0.2">
      <c r="A6993" s="116">
        <f>IF(ISNUMBER(Tabela2[[#This Row],[CT-e/NFS]])=TRUE,(IF(B6993&gt;30000,4,IF(B6993&lt;1000,"ND",0))),"-")</f>
        <v>0</v>
      </c>
      <c r="B6993" s="116">
        <v>22542</v>
      </c>
      <c r="C6993" s="117">
        <v>45658</v>
      </c>
      <c r="D6993" s="116">
        <v>77.69</v>
      </c>
      <c r="E6993" s="117">
        <v>45656</v>
      </c>
      <c r="F6993" s="116">
        <f>COUNTIFS($A$3:A15283,A6993,$B$3:B15283,B6993)</f>
        <v>1</v>
      </c>
      <c r="G6993" s="116"/>
    </row>
    <row r="6994" spans="1:7" x14ac:dyDescent="0.2">
      <c r="A6994" s="116">
        <f>IF(ISNUMBER(Tabela2[[#This Row],[CT-e/NFS]])=TRUE,(IF(B6994&gt;30000,4,IF(B6994&lt;1000,"ND",0))),"-")</f>
        <v>0</v>
      </c>
      <c r="B6994" s="116">
        <v>22534</v>
      </c>
      <c r="C6994" s="117">
        <v>45658</v>
      </c>
      <c r="D6994" s="116">
        <v>76</v>
      </c>
      <c r="E6994" s="117">
        <v>45656</v>
      </c>
      <c r="F6994" s="116">
        <f>COUNTIFS($A$3:A15284,A6994,$B$3:B15284,B6994)</f>
        <v>1</v>
      </c>
      <c r="G6994" s="116"/>
    </row>
    <row r="6995" spans="1:7" x14ac:dyDescent="0.2">
      <c r="A6995" s="116">
        <f>IF(ISNUMBER(Tabela2[[#This Row],[CT-e/NFS]])=TRUE,(IF(B6995&gt;30000,4,IF(B6995&lt;1000,"ND",0))),"-")</f>
        <v>0</v>
      </c>
      <c r="B6995" s="116">
        <v>22543</v>
      </c>
      <c r="C6995" s="117">
        <v>45658</v>
      </c>
      <c r="D6995" s="116">
        <v>75.91</v>
      </c>
      <c r="E6995" s="117">
        <v>45656</v>
      </c>
      <c r="F6995" s="116">
        <f>COUNTIFS($A$3:A15285,A6995,$B$3:B15285,B6995)</f>
        <v>1</v>
      </c>
      <c r="G6995" s="116"/>
    </row>
    <row r="6996" spans="1:7" x14ac:dyDescent="0.2">
      <c r="A6996" s="116">
        <f>IF(ISNUMBER(Tabela2[[#This Row],[CT-e/NFS]])=TRUE,(IF(B6996&gt;30000,4,IF(B6996&lt;1000,"ND",0))),"-")</f>
        <v>0</v>
      </c>
      <c r="B6996" s="116">
        <v>22540</v>
      </c>
      <c r="C6996" s="117">
        <v>45658</v>
      </c>
      <c r="D6996" s="116">
        <v>77.69</v>
      </c>
      <c r="E6996" s="117">
        <v>45656</v>
      </c>
      <c r="F6996" s="116">
        <f>COUNTIFS($A$3:A15286,A6996,$B$3:B15286,B6996)</f>
        <v>1</v>
      </c>
      <c r="G6996" s="116"/>
    </row>
    <row r="6997" spans="1:7" x14ac:dyDescent="0.2">
      <c r="A6997" s="116">
        <f>IF(ISNUMBER(Tabela2[[#This Row],[CT-e/NFS]])=TRUE,(IF(B6997&gt;30000,4,IF(B6997&lt;1000,"ND",0))),"-")</f>
        <v>0</v>
      </c>
      <c r="B6997" s="116">
        <v>22533</v>
      </c>
      <c r="C6997" s="117">
        <v>45658</v>
      </c>
      <c r="D6997" s="116">
        <v>77.62</v>
      </c>
      <c r="E6997" s="117">
        <v>45656</v>
      </c>
      <c r="F6997" s="116">
        <f>COUNTIFS($A$3:A15287,A6997,$B$3:B15287,B6997)</f>
        <v>1</v>
      </c>
      <c r="G6997" s="116"/>
    </row>
    <row r="6998" spans="1:7" x14ac:dyDescent="0.2">
      <c r="A6998" s="116">
        <f>IF(ISNUMBER(Tabela2[[#This Row],[CT-e/NFS]])=TRUE,(IF(B6998&gt;30000,4,IF(B6998&lt;1000,"ND",0))),"-")</f>
        <v>0</v>
      </c>
      <c r="B6998" s="116">
        <v>22536</v>
      </c>
      <c r="C6998" s="117">
        <v>45658</v>
      </c>
      <c r="D6998" s="116">
        <v>76.17</v>
      </c>
      <c r="E6998" s="117">
        <v>45656</v>
      </c>
      <c r="F6998" s="116">
        <f>COUNTIFS($A$3:A15288,A6998,$B$3:B15288,B6998)</f>
        <v>1</v>
      </c>
      <c r="G6998" s="116"/>
    </row>
    <row r="6999" spans="1:7" x14ac:dyDescent="0.2">
      <c r="A6999" s="116">
        <f>IF(ISNUMBER(Tabela2[[#This Row],[CT-e/NFS]])=TRUE,(IF(B6999&gt;30000,4,IF(B6999&lt;1000,"ND",0))),"-")</f>
        <v>0</v>
      </c>
      <c r="B6999" s="116">
        <v>22539</v>
      </c>
      <c r="C6999" s="117">
        <v>45658</v>
      </c>
      <c r="D6999" s="116">
        <v>77.13</v>
      </c>
      <c r="E6999" s="117">
        <v>45656</v>
      </c>
      <c r="F6999" s="116">
        <f>COUNTIFS($A$3:A15289,A6999,$B$3:B15289,B6999)</f>
        <v>1</v>
      </c>
      <c r="G6999" s="116"/>
    </row>
    <row r="7000" spans="1:7" x14ac:dyDescent="0.2">
      <c r="A7000" s="116">
        <f>IF(ISNUMBER(Tabela2[[#This Row],[CT-e/NFS]])=TRUE,(IF(B7000&gt;30000,4,IF(B7000&lt;1000,"ND",0))),"-")</f>
        <v>0</v>
      </c>
      <c r="B7000" s="116">
        <v>22538</v>
      </c>
      <c r="C7000" s="117">
        <v>45658</v>
      </c>
      <c r="D7000" s="116">
        <v>77.28</v>
      </c>
      <c r="E7000" s="117">
        <v>45656</v>
      </c>
      <c r="F7000" s="116">
        <f>COUNTIFS($A$3:A15290,A7000,$B$3:B15290,B7000)</f>
        <v>1</v>
      </c>
      <c r="G7000" s="116"/>
    </row>
    <row r="7001" spans="1:7" x14ac:dyDescent="0.2">
      <c r="A7001" s="116">
        <f>IF(ISNUMBER(Tabela2[[#This Row],[CT-e/NFS]])=TRUE,(IF(B7001&gt;30000,4,IF(B7001&lt;1000,"ND",0))),"-")</f>
        <v>0</v>
      </c>
      <c r="B7001" s="116">
        <v>22549</v>
      </c>
      <c r="C7001" s="117">
        <v>45658</v>
      </c>
      <c r="D7001" s="116">
        <v>75.599999999999994</v>
      </c>
      <c r="E7001" s="117">
        <v>45656</v>
      </c>
      <c r="F7001" s="116">
        <f>COUNTIFS($A$3:A15291,A7001,$B$3:B15291,B7001)</f>
        <v>1</v>
      </c>
      <c r="G7001" s="116"/>
    </row>
    <row r="7002" spans="1:7" x14ac:dyDescent="0.2">
      <c r="A7002" s="116">
        <f>IF(ISNUMBER(Tabela2[[#This Row],[CT-e/NFS]])=TRUE,(IF(B7002&gt;30000,4,IF(B7002&lt;1000,"ND",0))),"-")</f>
        <v>0</v>
      </c>
      <c r="B7002" s="116">
        <v>22547</v>
      </c>
      <c r="C7002" s="117">
        <v>45658</v>
      </c>
      <c r="D7002" s="116">
        <v>76.290000000000006</v>
      </c>
      <c r="E7002" s="117">
        <v>45656</v>
      </c>
      <c r="F7002" s="116">
        <f>COUNTIFS($A$3:A15292,A7002,$B$3:B15292,B7002)</f>
        <v>1</v>
      </c>
      <c r="G7002" s="116"/>
    </row>
    <row r="7003" spans="1:7" x14ac:dyDescent="0.2">
      <c r="A7003" s="116">
        <f>IF(ISNUMBER(Tabela2[[#This Row],[CT-e/NFS]])=TRUE,(IF(B7003&gt;30000,4,IF(B7003&lt;1000,"ND",0))),"-")</f>
        <v>0</v>
      </c>
      <c r="B7003" s="116">
        <v>22545</v>
      </c>
      <c r="C7003" s="117">
        <v>45658</v>
      </c>
      <c r="D7003" s="116">
        <v>76.28</v>
      </c>
      <c r="E7003" s="117">
        <v>45656</v>
      </c>
      <c r="F7003" s="116">
        <f>COUNTIFS($A$3:A15293,A7003,$B$3:B15293,B7003)</f>
        <v>1</v>
      </c>
      <c r="G7003" s="116"/>
    </row>
    <row r="7004" spans="1:7" x14ac:dyDescent="0.2">
      <c r="A7004" s="116">
        <f>IF(ISNUMBER(Tabela2[[#This Row],[CT-e/NFS]])=TRUE,(IF(B7004&gt;30000,4,IF(B7004&lt;1000,"ND",0))),"-")</f>
        <v>4</v>
      </c>
      <c r="B7004" s="116">
        <v>50687</v>
      </c>
      <c r="C7004" s="117">
        <v>45658</v>
      </c>
      <c r="D7004" s="116">
        <v>1171.03</v>
      </c>
      <c r="E7004" s="117">
        <v>45656</v>
      </c>
      <c r="F7004" s="116">
        <f>COUNTIFS($A$3:A15294,A7004,$B$3:B15294,B7004)</f>
        <v>1</v>
      </c>
      <c r="G7004" s="116"/>
    </row>
    <row r="7005" spans="1:7" x14ac:dyDescent="0.2">
      <c r="A7005" s="116">
        <f>IF(ISNUMBER(Tabela2[[#This Row],[CT-e/NFS]])=TRUE,(IF(B7005&gt;30000,4,IF(B7005&lt;1000,"ND",0))),"-")</f>
        <v>4</v>
      </c>
      <c r="B7005" s="116">
        <v>50688</v>
      </c>
      <c r="C7005" s="117">
        <v>45658</v>
      </c>
      <c r="D7005" s="116">
        <v>290.14</v>
      </c>
      <c r="E7005" s="117">
        <v>45656</v>
      </c>
      <c r="F7005" s="116">
        <f>COUNTIFS($A$3:A15295,A7005,$B$3:B15295,B7005)</f>
        <v>1</v>
      </c>
      <c r="G7005" s="116"/>
    </row>
    <row r="7006" spans="1:7" x14ac:dyDescent="0.2">
      <c r="A7006" s="116">
        <f>IF(ISNUMBER(Tabela2[[#This Row],[CT-e/NFS]])=TRUE,(IF(B7006&gt;30000,4,IF(B7006&lt;1000,"ND",0))),"-")</f>
        <v>4</v>
      </c>
      <c r="B7006" s="116">
        <v>50689</v>
      </c>
      <c r="C7006" s="117">
        <v>45658</v>
      </c>
      <c r="D7006" s="116">
        <v>297.13</v>
      </c>
      <c r="E7006" s="117">
        <v>45656</v>
      </c>
      <c r="F7006" s="116">
        <f>COUNTIFS($A$3:A15296,A7006,$B$3:B15296,B7006)</f>
        <v>1</v>
      </c>
      <c r="G7006" s="116"/>
    </row>
    <row r="7007" spans="1:7" x14ac:dyDescent="0.2">
      <c r="A7007" s="116">
        <f>IF(ISNUMBER(Tabela2[[#This Row],[CT-e/NFS]])=TRUE,(IF(B7007&gt;30000,4,IF(B7007&lt;1000,"ND",0))),"-")</f>
        <v>4</v>
      </c>
      <c r="B7007" s="116">
        <v>50696</v>
      </c>
      <c r="C7007" s="117">
        <v>45658</v>
      </c>
      <c r="D7007" s="116">
        <v>122.92</v>
      </c>
      <c r="E7007" s="117">
        <v>45656</v>
      </c>
      <c r="F7007" s="116">
        <f>COUNTIFS($A$3:A15299,A7007,$B$3:B15299,B7007)</f>
        <v>1</v>
      </c>
      <c r="G7007" s="116"/>
    </row>
    <row r="7008" spans="1:7" x14ac:dyDescent="0.2">
      <c r="A7008" s="116">
        <f>IF(ISNUMBER(Tabela2[[#This Row],[CT-e/NFS]])=TRUE,(IF(B7008&gt;30000,4,IF(B7008&lt;1000,"ND",0))),"-")</f>
        <v>4</v>
      </c>
      <c r="B7008" s="116">
        <v>50700</v>
      </c>
      <c r="C7008" s="117">
        <v>45658</v>
      </c>
      <c r="D7008" s="116">
        <v>122.76</v>
      </c>
      <c r="E7008" s="117">
        <v>45656</v>
      </c>
      <c r="F7008" s="116">
        <f>COUNTIFS($A$3:A15300,A7008,$B$3:B15300,B7008)</f>
        <v>1</v>
      </c>
      <c r="G7008" s="116"/>
    </row>
    <row r="7009" spans="1:7" x14ac:dyDescent="0.2">
      <c r="A7009" s="116">
        <f>IF(ISNUMBER(Tabela2[[#This Row],[CT-e/NFS]])=TRUE,(IF(B7009&gt;30000,4,IF(B7009&lt;1000,"ND",0))),"-")</f>
        <v>4</v>
      </c>
      <c r="B7009" s="116">
        <v>50713</v>
      </c>
      <c r="C7009" s="117">
        <v>45658</v>
      </c>
      <c r="D7009" s="116">
        <v>125.16</v>
      </c>
      <c r="E7009" s="117">
        <v>45656</v>
      </c>
      <c r="F7009" s="116">
        <f>COUNTIFS($A$3:A15301,A7009,$B$3:B15301,B7009)</f>
        <v>1</v>
      </c>
      <c r="G7009" s="116"/>
    </row>
    <row r="7010" spans="1:7" x14ac:dyDescent="0.2">
      <c r="A7010" s="116">
        <f>IF(ISNUMBER(Tabela2[[#This Row],[CT-e/NFS]])=TRUE,(IF(B7010&gt;30000,4,IF(B7010&lt;1000,"ND",0))),"-")</f>
        <v>4</v>
      </c>
      <c r="B7010" s="116">
        <v>50694</v>
      </c>
      <c r="C7010" s="117">
        <v>45658</v>
      </c>
      <c r="D7010" s="116">
        <v>123.99</v>
      </c>
      <c r="E7010" s="117">
        <v>45656</v>
      </c>
      <c r="F7010" s="116">
        <f>COUNTIFS($A$3:A15302,A7010,$B$3:B15302,B7010)</f>
        <v>1</v>
      </c>
      <c r="G7010" s="116"/>
    </row>
    <row r="7011" spans="1:7" x14ac:dyDescent="0.2">
      <c r="A7011" s="116">
        <f>IF(ISNUMBER(Tabela2[[#This Row],[CT-e/NFS]])=TRUE,(IF(B7011&gt;30000,4,IF(B7011&lt;1000,"ND",0))),"-")</f>
        <v>4</v>
      </c>
      <c r="B7011" s="116">
        <v>50695</v>
      </c>
      <c r="C7011" s="117">
        <v>45658</v>
      </c>
      <c r="D7011" s="116">
        <v>124.34</v>
      </c>
      <c r="E7011" s="117">
        <v>45656</v>
      </c>
      <c r="F7011" s="116">
        <f>COUNTIFS($A$3:A15303,A7011,$B$3:B15303,B7011)</f>
        <v>1</v>
      </c>
      <c r="G7011" s="116"/>
    </row>
    <row r="7012" spans="1:7" x14ac:dyDescent="0.2">
      <c r="A7012" s="116">
        <f>IF(ISNUMBER(Tabela2[[#This Row],[CT-e/NFS]])=TRUE,(IF(B7012&gt;30000,4,IF(B7012&lt;1000,"ND",0))),"-")</f>
        <v>4</v>
      </c>
      <c r="B7012" s="116">
        <v>50715</v>
      </c>
      <c r="C7012" s="117">
        <v>45658</v>
      </c>
      <c r="D7012" s="116">
        <v>125.08</v>
      </c>
      <c r="E7012" s="117">
        <v>45656</v>
      </c>
      <c r="F7012" s="116">
        <f>COUNTIFS($A$3:A15304,A7012,$B$3:B15304,B7012)</f>
        <v>1</v>
      </c>
      <c r="G7012" s="116"/>
    </row>
    <row r="7013" spans="1:7" x14ac:dyDescent="0.2">
      <c r="A7013" s="116">
        <f>IF(ISNUMBER(Tabela2[[#This Row],[CT-e/NFS]])=TRUE,(IF(B7013&gt;30000,4,IF(B7013&lt;1000,"ND",0))),"-")</f>
        <v>4</v>
      </c>
      <c r="B7013" s="116">
        <v>50710</v>
      </c>
      <c r="C7013" s="117">
        <v>45658</v>
      </c>
      <c r="D7013" s="116">
        <v>125.7</v>
      </c>
      <c r="E7013" s="117">
        <v>45656</v>
      </c>
      <c r="F7013" s="116">
        <f>COUNTIFS($A$3:A15305,A7013,$B$3:B15305,B7013)</f>
        <v>1</v>
      </c>
      <c r="G7013" s="116"/>
    </row>
    <row r="7014" spans="1:7" x14ac:dyDescent="0.2">
      <c r="A7014" s="116">
        <f>IF(ISNUMBER(Tabela2[[#This Row],[CT-e/NFS]])=TRUE,(IF(B7014&gt;30000,4,IF(B7014&lt;1000,"ND",0))),"-")</f>
        <v>4</v>
      </c>
      <c r="B7014" s="116">
        <v>50698</v>
      </c>
      <c r="C7014" s="117">
        <v>45658</v>
      </c>
      <c r="D7014" s="116">
        <v>123.13</v>
      </c>
      <c r="E7014" s="117">
        <v>45656</v>
      </c>
      <c r="F7014" s="116">
        <f>COUNTIFS($A$3:A15306,A7014,$B$3:B15306,B7014)</f>
        <v>1</v>
      </c>
      <c r="G7014" s="116"/>
    </row>
    <row r="7015" spans="1:7" x14ac:dyDescent="0.2">
      <c r="A7015" s="116">
        <f>IF(ISNUMBER(Tabela2[[#This Row],[CT-e/NFS]])=TRUE,(IF(B7015&gt;30000,4,IF(B7015&lt;1000,"ND",0))),"-")</f>
        <v>4</v>
      </c>
      <c r="B7015" s="116">
        <v>50699</v>
      </c>
      <c r="C7015" s="117">
        <v>45658</v>
      </c>
      <c r="D7015" s="116">
        <v>461.83</v>
      </c>
      <c r="E7015" s="117">
        <v>45656</v>
      </c>
      <c r="F7015" s="116">
        <f>COUNTIFS($A$3:A15307,A7015,$B$3:B15307,B7015)</f>
        <v>1</v>
      </c>
      <c r="G7015" s="116"/>
    </row>
    <row r="7016" spans="1:7" x14ac:dyDescent="0.2">
      <c r="A7016" s="116">
        <f>IF(ISNUMBER(Tabela2[[#This Row],[CT-e/NFS]])=TRUE,(IF(B7016&gt;30000,4,IF(B7016&lt;1000,"ND",0))),"-")</f>
        <v>4</v>
      </c>
      <c r="B7016" s="116">
        <v>50701</v>
      </c>
      <c r="C7016" s="117">
        <v>45658</v>
      </c>
      <c r="D7016" s="116">
        <v>3014.83</v>
      </c>
      <c r="E7016" s="117">
        <v>45656</v>
      </c>
      <c r="F7016" s="116">
        <f>COUNTIFS($A$3:A15308,A7016,$B$3:B15308,B7016)</f>
        <v>1</v>
      </c>
      <c r="G7016" s="116"/>
    </row>
    <row r="7017" spans="1:7" x14ac:dyDescent="0.2">
      <c r="A7017" s="116">
        <f>IF(ISNUMBER(Tabela2[[#This Row],[CT-e/NFS]])=TRUE,(IF(B7017&gt;30000,4,IF(B7017&lt;1000,"ND",0))),"-")</f>
        <v>4</v>
      </c>
      <c r="B7017" s="116">
        <v>50702</v>
      </c>
      <c r="C7017" s="117">
        <v>45658</v>
      </c>
      <c r="D7017" s="116">
        <v>18088.98</v>
      </c>
      <c r="E7017" s="117">
        <v>45656</v>
      </c>
      <c r="F7017" s="116">
        <f>COUNTIFS($A$3:A15309,A7017,$B$3:B15309,B7017)</f>
        <v>1</v>
      </c>
      <c r="G7017" s="116"/>
    </row>
    <row r="7018" spans="1:7" x14ac:dyDescent="0.2">
      <c r="A7018" s="116">
        <f>IF(ISNUMBER(Tabela2[[#This Row],[CT-e/NFS]])=TRUE,(IF(B7018&gt;30000,4,IF(B7018&lt;1000,"ND",0))),"-")</f>
        <v>4</v>
      </c>
      <c r="B7018" s="116">
        <v>50703</v>
      </c>
      <c r="C7018" s="117">
        <v>45658</v>
      </c>
      <c r="D7018" s="116">
        <v>6029.66</v>
      </c>
      <c r="E7018" s="117">
        <v>45656</v>
      </c>
      <c r="F7018" s="116">
        <f>COUNTIFS($A$3:A15310,A7018,$B$3:B15310,B7018)</f>
        <v>1</v>
      </c>
      <c r="G7018" s="116"/>
    </row>
    <row r="7019" spans="1:7" x14ac:dyDescent="0.2">
      <c r="A7019" s="116">
        <f>IF(ISNUMBER(Tabela2[[#This Row],[CT-e/NFS]])=TRUE,(IF(B7019&gt;30000,4,IF(B7019&lt;1000,"ND",0))),"-")</f>
        <v>4</v>
      </c>
      <c r="B7019" s="116">
        <v>50704</v>
      </c>
      <c r="C7019" s="117">
        <v>45658</v>
      </c>
      <c r="D7019" s="116">
        <v>2713.34</v>
      </c>
      <c r="E7019" s="117">
        <v>45656</v>
      </c>
      <c r="F7019" s="116">
        <f>COUNTIFS($A$3:A15311,A7019,$B$3:B15311,B7019)</f>
        <v>1</v>
      </c>
      <c r="G7019" s="116"/>
    </row>
    <row r="7020" spans="1:7" x14ac:dyDescent="0.2">
      <c r="A7020" s="116">
        <f>IF(ISNUMBER(Tabela2[[#This Row],[CT-e/NFS]])=TRUE,(IF(B7020&gt;30000,4,IF(B7020&lt;1000,"ND",0))),"-")</f>
        <v>4</v>
      </c>
      <c r="B7020" s="116">
        <v>50705</v>
      </c>
      <c r="C7020" s="117">
        <v>45658</v>
      </c>
      <c r="D7020" s="116">
        <v>1808.89</v>
      </c>
      <c r="E7020" s="117">
        <v>45656</v>
      </c>
      <c r="F7020" s="116">
        <f>COUNTIFS($A$3:A15312,A7020,$B$3:B15312,B7020)</f>
        <v>1</v>
      </c>
      <c r="G7020" s="116"/>
    </row>
    <row r="7021" spans="1:7" x14ac:dyDescent="0.2">
      <c r="A7021" s="116">
        <f>IF(ISNUMBER(Tabela2[[#This Row],[CT-e/NFS]])=TRUE,(IF(B7021&gt;30000,4,IF(B7021&lt;1000,"ND",0))),"-")</f>
        <v>4</v>
      </c>
      <c r="B7021" s="116">
        <v>50706</v>
      </c>
      <c r="C7021" s="117">
        <v>45658</v>
      </c>
      <c r="D7021" s="116">
        <v>6029.66</v>
      </c>
      <c r="E7021" s="117">
        <v>45656</v>
      </c>
      <c r="F7021" s="116">
        <f>COUNTIFS($A$3:A15313,A7021,$B$3:B15313,B7021)</f>
        <v>1</v>
      </c>
      <c r="G7021" s="116"/>
    </row>
    <row r="7022" spans="1:7" x14ac:dyDescent="0.2">
      <c r="A7022" s="116">
        <f>IF(ISNUMBER(Tabela2[[#This Row],[CT-e/NFS]])=TRUE,(IF(B7022&gt;30000,4,IF(B7022&lt;1000,"ND",0))),"-")</f>
        <v>4</v>
      </c>
      <c r="B7022" s="116">
        <v>50707</v>
      </c>
      <c r="C7022" s="117">
        <v>45658</v>
      </c>
      <c r="D7022" s="116">
        <v>9044.48</v>
      </c>
      <c r="E7022" s="117">
        <v>45656</v>
      </c>
      <c r="F7022" s="116">
        <f>COUNTIFS($A$3:A15314,A7022,$B$3:B15314,B7022)</f>
        <v>1</v>
      </c>
      <c r="G7022" s="116"/>
    </row>
    <row r="7023" spans="1:7" x14ac:dyDescent="0.2">
      <c r="A7023" s="116">
        <f>IF(ISNUMBER(Tabela2[[#This Row],[CT-e/NFS]])=TRUE,(IF(B7023&gt;30000,4,IF(B7023&lt;1000,"ND",0))),"-")</f>
        <v>4</v>
      </c>
      <c r="B7023" s="116">
        <v>50708</v>
      </c>
      <c r="C7023" s="117">
        <v>45658</v>
      </c>
      <c r="D7023" s="116">
        <v>1507.42</v>
      </c>
      <c r="E7023" s="117">
        <v>45656</v>
      </c>
      <c r="F7023" s="116">
        <f>COUNTIFS($A$3:A15315,A7023,$B$3:B15315,B7023)</f>
        <v>1</v>
      </c>
      <c r="G7023" s="116"/>
    </row>
    <row r="7024" spans="1:7" x14ac:dyDescent="0.2">
      <c r="A7024" s="116">
        <f>IF(ISNUMBER(Tabela2[[#This Row],[CT-e/NFS]])=TRUE,(IF(B7024&gt;30000,4,IF(B7024&lt;1000,"ND",0))),"-")</f>
        <v>4</v>
      </c>
      <c r="B7024" s="116">
        <v>50697</v>
      </c>
      <c r="C7024" s="117">
        <v>45658</v>
      </c>
      <c r="D7024" s="116">
        <v>135.97999999999999</v>
      </c>
      <c r="E7024" s="117">
        <v>45656</v>
      </c>
      <c r="F7024" s="116">
        <f>COUNTIFS($A$3:A15316,A7024,$B$3:B15316,B7024)</f>
        <v>1</v>
      </c>
      <c r="G7024" s="116"/>
    </row>
    <row r="7025" spans="1:7" x14ac:dyDescent="0.2">
      <c r="A7025" s="116">
        <f>IF(ISNUMBER(Tabela2[[#This Row],[CT-e/NFS]])=TRUE,(IF(B7025&gt;30000,4,IF(B7025&lt;1000,"ND",0))),"-")</f>
        <v>4</v>
      </c>
      <c r="B7025" s="116">
        <v>50690</v>
      </c>
      <c r="C7025" s="117">
        <v>45658</v>
      </c>
      <c r="D7025" s="116">
        <v>609.98</v>
      </c>
      <c r="E7025" s="117">
        <v>45656</v>
      </c>
      <c r="F7025" s="116">
        <f>COUNTIFS($A$3:A15317,A7025,$B$3:B15317,B7025)</f>
        <v>1</v>
      </c>
      <c r="G7025" s="116"/>
    </row>
    <row r="7026" spans="1:7" x14ac:dyDescent="0.2">
      <c r="A7026" s="116">
        <f>IF(ISNUMBER(Tabela2[[#This Row],[CT-e/NFS]])=TRUE,(IF(B7026&gt;30000,4,IF(B7026&lt;1000,"ND",0))),"-")</f>
        <v>4</v>
      </c>
      <c r="B7026" s="116">
        <v>50691</v>
      </c>
      <c r="C7026" s="117">
        <v>45658</v>
      </c>
      <c r="D7026" s="116">
        <v>223.42</v>
      </c>
      <c r="E7026" s="117">
        <v>45656</v>
      </c>
      <c r="F7026" s="116">
        <f>COUNTIFS($A$3:A15318,A7026,$B$3:B15318,B7026)</f>
        <v>1</v>
      </c>
      <c r="G7026" s="116"/>
    </row>
    <row r="7027" spans="1:7" x14ac:dyDescent="0.2">
      <c r="A7027" s="116">
        <f>IF(ISNUMBER(Tabela2[[#This Row],[CT-e/NFS]])=TRUE,(IF(B7027&gt;30000,4,IF(B7027&lt;1000,"ND",0))),"-")</f>
        <v>4</v>
      </c>
      <c r="B7027" s="116">
        <v>50692</v>
      </c>
      <c r="C7027" s="117">
        <v>45658</v>
      </c>
      <c r="D7027" s="116">
        <v>565.45000000000005</v>
      </c>
      <c r="E7027" s="117">
        <v>45656</v>
      </c>
      <c r="F7027" s="116">
        <f>COUNTIFS($A$3:A15319,A7027,$B$3:B15319,B7027)</f>
        <v>1</v>
      </c>
      <c r="G7027" s="116"/>
    </row>
    <row r="7028" spans="1:7" x14ac:dyDescent="0.2">
      <c r="A7028" s="116">
        <f>IF(ISNUMBER(Tabela2[[#This Row],[CT-e/NFS]])=TRUE,(IF(B7028&gt;30000,4,IF(B7028&lt;1000,"ND",0))),"-")</f>
        <v>4</v>
      </c>
      <c r="B7028" s="116">
        <v>50693</v>
      </c>
      <c r="C7028" s="117">
        <v>45658</v>
      </c>
      <c r="D7028" s="116">
        <v>572.27</v>
      </c>
      <c r="E7028" s="117">
        <v>45656</v>
      </c>
      <c r="F7028" s="116">
        <f>COUNTIFS($A$3:A15320,A7028,$B$3:B15320,B7028)</f>
        <v>1</v>
      </c>
      <c r="G7028" s="116"/>
    </row>
    <row r="7029" spans="1:7" x14ac:dyDescent="0.2">
      <c r="A7029" s="116">
        <f>IF(ISNUMBER(Tabela2[[#This Row],[CT-e/NFS]])=TRUE,(IF(B7029&gt;30000,4,IF(B7029&lt;1000,"ND",0))),"-")</f>
        <v>4</v>
      </c>
      <c r="B7029" s="116">
        <v>50709</v>
      </c>
      <c r="C7029" s="117">
        <v>45658</v>
      </c>
      <c r="D7029" s="116">
        <v>845.8</v>
      </c>
      <c r="E7029" s="117">
        <v>45656</v>
      </c>
      <c r="F7029" s="116">
        <f>COUNTIFS($A$3:A15321,A7029,$B$3:B15321,B7029)</f>
        <v>1</v>
      </c>
      <c r="G7029" s="116"/>
    </row>
    <row r="7030" spans="1:7" x14ac:dyDescent="0.2">
      <c r="A7030" s="116">
        <f>IF(ISNUMBER(Tabela2[[#This Row],[CT-e/NFS]])=TRUE,(IF(B7030&gt;30000,4,IF(B7030&lt;1000,"ND",0))),"-")</f>
        <v>0</v>
      </c>
      <c r="B7030" s="116">
        <v>22554</v>
      </c>
      <c r="C7030" s="117">
        <v>45658</v>
      </c>
      <c r="D7030" s="116">
        <v>556.57000000000005</v>
      </c>
      <c r="E7030" s="117">
        <v>45656</v>
      </c>
      <c r="F7030" s="116">
        <f>COUNTIFS($A$3:A15322,A7030,$B$3:B15322,B7030)</f>
        <v>1</v>
      </c>
      <c r="G7030" s="116"/>
    </row>
    <row r="7031" spans="1:7" x14ac:dyDescent="0.2">
      <c r="A7031" s="116">
        <f>IF(ISNUMBER(Tabela2[[#This Row],[CT-e/NFS]])=TRUE,(IF(B7031&gt;30000,4,IF(B7031&lt;1000,"ND",0))),"-")</f>
        <v>0</v>
      </c>
      <c r="B7031" s="116">
        <v>22556</v>
      </c>
      <c r="C7031" s="117">
        <v>45658</v>
      </c>
      <c r="D7031" s="116">
        <v>159.19</v>
      </c>
      <c r="E7031" s="117">
        <v>45656</v>
      </c>
      <c r="F7031" s="116">
        <f>COUNTIFS($A$3:A15323,A7031,$B$3:B15323,B7031)</f>
        <v>1</v>
      </c>
      <c r="G7031" s="116"/>
    </row>
    <row r="7032" spans="1:7" x14ac:dyDescent="0.2">
      <c r="A7032" s="116">
        <f>IF(ISNUMBER(Tabela2[[#This Row],[CT-e/NFS]])=TRUE,(IF(B7032&gt;30000,4,IF(B7032&lt;1000,"ND",0))),"-")</f>
        <v>0</v>
      </c>
      <c r="B7032" s="116">
        <v>22557</v>
      </c>
      <c r="C7032" s="117">
        <v>45658</v>
      </c>
      <c r="D7032" s="116">
        <v>287.41000000000003</v>
      </c>
      <c r="E7032" s="117">
        <v>45656</v>
      </c>
      <c r="F7032" s="116">
        <f>COUNTIFS($A$3:A15324,A7032,$B$3:B15324,B7032)</f>
        <v>1</v>
      </c>
      <c r="G7032" s="116"/>
    </row>
    <row r="7033" spans="1:7" x14ac:dyDescent="0.2">
      <c r="A7033" s="116">
        <f>IF(ISNUMBER(Tabela2[[#This Row],[CT-e/NFS]])=TRUE,(IF(B7033&gt;30000,4,IF(B7033&lt;1000,"ND",0))),"-")</f>
        <v>0</v>
      </c>
      <c r="B7033" s="116">
        <v>22553</v>
      </c>
      <c r="C7033" s="117">
        <v>45658</v>
      </c>
      <c r="D7033" s="116">
        <v>77.290000000000006</v>
      </c>
      <c r="E7033" s="117">
        <v>45656</v>
      </c>
      <c r="F7033" s="116">
        <f>COUNTIFS($A$3:A15325,A7033,$B$3:B15325,B7033)</f>
        <v>1</v>
      </c>
      <c r="G7033" s="116"/>
    </row>
    <row r="7034" spans="1:7" x14ac:dyDescent="0.2">
      <c r="A7034" s="116">
        <f>IF(ISNUMBER(Tabela2[[#This Row],[CT-e/NFS]])=TRUE,(IF(B7034&gt;30000,4,IF(B7034&lt;1000,"ND",0))),"-")</f>
        <v>0</v>
      </c>
      <c r="B7034" s="116">
        <v>22555</v>
      </c>
      <c r="C7034" s="117">
        <v>45658</v>
      </c>
      <c r="D7034" s="116">
        <v>76.28</v>
      </c>
      <c r="E7034" s="117">
        <v>45656</v>
      </c>
      <c r="F7034" s="116">
        <f>COUNTIFS($A$3:A15326,A7034,$B$3:B15326,B7034)</f>
        <v>1</v>
      </c>
      <c r="G7034" s="116"/>
    </row>
    <row r="7035" spans="1:7" x14ac:dyDescent="0.2">
      <c r="A7035" s="116">
        <f>IF(ISNUMBER(Tabela2[[#This Row],[CT-e/NFS]])=TRUE,(IF(B7035&gt;30000,4,IF(B7035&lt;1000,"ND",0))),"-")</f>
        <v>0</v>
      </c>
      <c r="B7035" s="116">
        <v>12564</v>
      </c>
      <c r="C7035" s="117">
        <v>45658</v>
      </c>
      <c r="D7035" s="116">
        <v>69.73</v>
      </c>
      <c r="E7035" s="117">
        <v>45656</v>
      </c>
      <c r="F7035" s="116">
        <f>COUNTIFS($A$3:A15333,A7035,$B$3:B15333,B7035)</f>
        <v>1</v>
      </c>
      <c r="G7035" s="116"/>
    </row>
    <row r="7036" spans="1:7" x14ac:dyDescent="0.2">
      <c r="A7036" s="116">
        <f>IF(ISNUMBER(Tabela2[[#This Row],[CT-e/NFS]])=TRUE,(IF(B7036&gt;30000,4,IF(B7036&lt;1000,"ND",0))),"-")</f>
        <v>0</v>
      </c>
      <c r="B7036" s="116">
        <v>12563</v>
      </c>
      <c r="C7036" s="117">
        <v>45658</v>
      </c>
      <c r="D7036" s="116">
        <v>38.64</v>
      </c>
      <c r="E7036" s="117">
        <v>45656</v>
      </c>
      <c r="F7036" s="116">
        <f>COUNTIFS($A$3:A15334,A7036,$B$3:B15334,B7036)</f>
        <v>1</v>
      </c>
      <c r="G7036" s="116"/>
    </row>
    <row r="7037" spans="1:7" x14ac:dyDescent="0.2">
      <c r="A7037" s="116">
        <f>IF(ISNUMBER(Tabela2[[#This Row],[CT-e/NFS]])=TRUE,(IF(B7037&gt;30000,4,IF(B7037&lt;1000,"ND",0))),"-")</f>
        <v>4</v>
      </c>
      <c r="B7037" s="116">
        <v>50717</v>
      </c>
      <c r="C7037" s="117">
        <v>45658</v>
      </c>
      <c r="D7037" s="116">
        <v>122.89</v>
      </c>
      <c r="E7037" s="117">
        <v>45656</v>
      </c>
      <c r="F7037" s="116">
        <f>COUNTIFS($A$3:A15335,A7037,$B$3:B15335,B7037)</f>
        <v>1</v>
      </c>
      <c r="G7037" s="116"/>
    </row>
    <row r="7038" spans="1:7" x14ac:dyDescent="0.2">
      <c r="A7038" s="116">
        <f>IF(ISNUMBER(Tabela2[[#This Row],[CT-e/NFS]])=TRUE,(IF(B7038&gt;30000,4,IF(B7038&lt;1000,"ND",0))),"-")</f>
        <v>4</v>
      </c>
      <c r="B7038" s="116">
        <v>50722</v>
      </c>
      <c r="C7038" s="117">
        <v>45658</v>
      </c>
      <c r="D7038" s="116">
        <v>124.39</v>
      </c>
      <c r="E7038" s="117">
        <v>45656</v>
      </c>
      <c r="F7038" s="116">
        <f>COUNTIFS($A$3:A15336,A7038,$B$3:B15336,B7038)</f>
        <v>1</v>
      </c>
      <c r="G7038" s="116"/>
    </row>
    <row r="7039" spans="1:7" x14ac:dyDescent="0.2">
      <c r="A7039" s="116">
        <f>IF(ISNUMBER(Tabela2[[#This Row],[CT-e/NFS]])=TRUE,(IF(B7039&gt;30000,4,IF(B7039&lt;1000,"ND",0))),"-")</f>
        <v>4</v>
      </c>
      <c r="B7039" s="116">
        <v>50719</v>
      </c>
      <c r="C7039" s="117">
        <v>45658</v>
      </c>
      <c r="D7039" s="116">
        <v>124.31</v>
      </c>
      <c r="E7039" s="117">
        <v>45656</v>
      </c>
      <c r="F7039" s="116">
        <f>COUNTIFS($A$3:A15337,A7039,$B$3:B15337,B7039)</f>
        <v>1</v>
      </c>
      <c r="G7039" s="116"/>
    </row>
    <row r="7040" spans="1:7" x14ac:dyDescent="0.2">
      <c r="A7040" s="116">
        <f>IF(ISNUMBER(Tabela2[[#This Row],[CT-e/NFS]])=TRUE,(IF(B7040&gt;30000,4,IF(B7040&lt;1000,"ND",0))),"-")</f>
        <v>4</v>
      </c>
      <c r="B7040" s="116">
        <v>50720</v>
      </c>
      <c r="C7040" s="117">
        <v>45658</v>
      </c>
      <c r="D7040" s="116">
        <v>124.39</v>
      </c>
      <c r="E7040" s="117">
        <v>45656</v>
      </c>
      <c r="F7040" s="116">
        <f>COUNTIFS($A$3:A15338,A7040,$B$3:B15338,B7040)</f>
        <v>1</v>
      </c>
      <c r="G7040" s="116"/>
    </row>
    <row r="7041" spans="1:7" x14ac:dyDescent="0.2">
      <c r="A7041" s="116">
        <f>IF(ISNUMBER(Tabela2[[#This Row],[CT-e/NFS]])=TRUE,(IF(B7041&gt;30000,4,IF(B7041&lt;1000,"ND",0))),"-")</f>
        <v>4</v>
      </c>
      <c r="B7041" s="116">
        <v>50721</v>
      </c>
      <c r="C7041" s="117">
        <v>45658</v>
      </c>
      <c r="D7041" s="116">
        <v>125.35</v>
      </c>
      <c r="E7041" s="117">
        <v>45656</v>
      </c>
      <c r="F7041" s="116">
        <f>COUNTIFS($A$3:A15339,A7041,$B$3:B15339,B7041)</f>
        <v>1</v>
      </c>
      <c r="G7041" s="116"/>
    </row>
    <row r="7042" spans="1:7" x14ac:dyDescent="0.2">
      <c r="A7042" s="116">
        <f>IF(ISNUMBER(Tabela2[[#This Row],[CT-e/NFS]])=TRUE,(IF(B7042&gt;30000,4,IF(B7042&lt;1000,"ND",0))),"-")</f>
        <v>4</v>
      </c>
      <c r="B7042" s="116">
        <v>50735</v>
      </c>
      <c r="C7042" s="117">
        <v>45658</v>
      </c>
      <c r="D7042" s="116">
        <v>2226</v>
      </c>
      <c r="E7042" s="117">
        <v>45656</v>
      </c>
      <c r="F7042" s="116">
        <f>COUNTIFS($A$3:A15340,A7042,$B$3:B15340,B7042)</f>
        <v>1</v>
      </c>
      <c r="G7042" s="116"/>
    </row>
    <row r="7043" spans="1:7" x14ac:dyDescent="0.2">
      <c r="A7043" s="116">
        <f>IF(ISNUMBER(Tabela2[[#This Row],[CT-e/NFS]])=TRUE,(IF(B7043&gt;30000,4,IF(B7043&lt;1000,"ND",0))),"-")</f>
        <v>4</v>
      </c>
      <c r="B7043" s="116">
        <v>50718</v>
      </c>
      <c r="C7043" s="117">
        <v>45658</v>
      </c>
      <c r="D7043" s="116">
        <v>357.93</v>
      </c>
      <c r="E7043" s="117">
        <v>45656</v>
      </c>
      <c r="F7043" s="116">
        <f>COUNTIFS($A$3:A15341,A7043,$B$3:B15341,B7043)</f>
        <v>1</v>
      </c>
      <c r="G7043" s="116"/>
    </row>
    <row r="7044" spans="1:7" x14ac:dyDescent="0.2">
      <c r="A7044" s="116">
        <f>IF(ISNUMBER(Tabela2[[#This Row],[CT-e/NFS]])=TRUE,(IF(B7044&gt;30000,4,IF(B7044&lt;1000,"ND",0))),"-")</f>
        <v>4</v>
      </c>
      <c r="B7044" s="116">
        <v>50716</v>
      </c>
      <c r="C7044" s="117">
        <v>45658</v>
      </c>
      <c r="D7044" s="116">
        <v>242.3</v>
      </c>
      <c r="E7044" s="117">
        <v>45656</v>
      </c>
      <c r="F7044" s="116">
        <f>COUNTIFS($A$3:A15342,A7044,$B$3:B15342,B7044)</f>
        <v>1</v>
      </c>
      <c r="G7044" s="116"/>
    </row>
    <row r="7045" spans="1:7" x14ac:dyDescent="0.2">
      <c r="A7045" s="116">
        <f>IF(ISNUMBER(Tabela2[[#This Row],[CT-e/NFS]])=TRUE,(IF(B7045&gt;30000,4,IF(B7045&lt;1000,"ND",0))),"-")</f>
        <v>4</v>
      </c>
      <c r="B7045" s="116">
        <v>50729</v>
      </c>
      <c r="C7045" s="117">
        <v>45658</v>
      </c>
      <c r="D7045" s="116">
        <v>532.79999999999995</v>
      </c>
      <c r="E7045" s="117">
        <v>45656</v>
      </c>
      <c r="F7045" s="116">
        <f>COUNTIFS($A$3:A15343,A7045,$B$3:B15343,B7045)</f>
        <v>1</v>
      </c>
      <c r="G7045" s="116"/>
    </row>
    <row r="7046" spans="1:7" x14ac:dyDescent="0.2">
      <c r="A7046" s="116">
        <f>IF(ISNUMBER(Tabela2[[#This Row],[CT-e/NFS]])=TRUE,(IF(B7046&gt;30000,4,IF(B7046&lt;1000,"ND",0))),"-")</f>
        <v>4</v>
      </c>
      <c r="B7046" s="116">
        <v>50723</v>
      </c>
      <c r="C7046" s="117">
        <v>45658</v>
      </c>
      <c r="D7046" s="116">
        <v>246.33</v>
      </c>
      <c r="E7046" s="117">
        <v>45656</v>
      </c>
      <c r="F7046" s="116">
        <f>COUNTIFS($A$3:A15344,A7046,$B$3:B15344,B7046)</f>
        <v>1</v>
      </c>
      <c r="G7046" s="116"/>
    </row>
    <row r="7047" spans="1:7" x14ac:dyDescent="0.2">
      <c r="A7047" s="116">
        <f>IF(ISNUMBER(Tabela2[[#This Row],[CT-e/NFS]])=TRUE,(IF(B7047&gt;30000,4,IF(B7047&lt;1000,"ND",0))),"-")</f>
        <v>4</v>
      </c>
      <c r="B7047" s="116">
        <v>50738</v>
      </c>
      <c r="C7047" s="117">
        <v>45658</v>
      </c>
      <c r="D7047" s="116">
        <v>942.6</v>
      </c>
      <c r="E7047" s="117">
        <v>45656</v>
      </c>
      <c r="F7047" s="116">
        <f>COUNTIFS($A$3:A15345,A7047,$B$3:B15345,B7047)</f>
        <v>1</v>
      </c>
      <c r="G7047" s="116"/>
    </row>
    <row r="7048" spans="1:7" x14ac:dyDescent="0.2">
      <c r="A7048" s="116">
        <f>IF(ISNUMBER(Tabela2[[#This Row],[CT-e/NFS]])=TRUE,(IF(B7048&gt;30000,4,IF(B7048&lt;1000,"ND",0))),"-")</f>
        <v>4</v>
      </c>
      <c r="B7048" s="116">
        <v>50736</v>
      </c>
      <c r="C7048" s="117">
        <v>45658</v>
      </c>
      <c r="D7048" s="116">
        <v>62.53</v>
      </c>
      <c r="E7048" s="117">
        <v>45656</v>
      </c>
      <c r="F7048" s="116">
        <f>COUNTIFS($A$3:A15346,A7048,$B$3:B15346,B7048)</f>
        <v>1</v>
      </c>
      <c r="G7048" s="116"/>
    </row>
    <row r="7049" spans="1:7" x14ac:dyDescent="0.2">
      <c r="A7049" s="116">
        <f>IF(ISNUMBER(Tabela2[[#This Row],[CT-e/NFS]])=TRUE,(IF(B7049&gt;30000,4,IF(B7049&lt;1000,"ND",0))),"-")</f>
        <v>4</v>
      </c>
      <c r="B7049" s="116">
        <v>50734</v>
      </c>
      <c r="C7049" s="117">
        <v>45658</v>
      </c>
      <c r="D7049" s="116">
        <v>122.81</v>
      </c>
      <c r="E7049" s="117">
        <v>45656</v>
      </c>
      <c r="F7049" s="116">
        <f>COUNTIFS($A$3:A15347,A7049,$B$3:B15347,B7049)</f>
        <v>1</v>
      </c>
      <c r="G7049" s="116"/>
    </row>
    <row r="7050" spans="1:7" x14ac:dyDescent="0.2">
      <c r="A7050" s="116">
        <f>IF(ISNUMBER(Tabela2[[#This Row],[CT-e/NFS]])=TRUE,(IF(B7050&gt;30000,4,IF(B7050&lt;1000,"ND",0))),"-")</f>
        <v>4</v>
      </c>
      <c r="B7050" s="116">
        <v>50737</v>
      </c>
      <c r="C7050" s="117">
        <v>45658</v>
      </c>
      <c r="D7050" s="116">
        <v>112.81</v>
      </c>
      <c r="E7050" s="117">
        <v>45656</v>
      </c>
      <c r="F7050" s="116">
        <f>COUNTIFS($A$3:A15348,A7050,$B$3:B15348,B7050)</f>
        <v>1</v>
      </c>
      <c r="G7050" s="116"/>
    </row>
    <row r="7051" spans="1:7" x14ac:dyDescent="0.2">
      <c r="A7051" s="116">
        <f>IF(ISNUMBER(Tabela2[[#This Row],[CT-e/NFS]])=TRUE,(IF(B7051&gt;30000,4,IF(B7051&lt;1000,"ND",0))),"-")</f>
        <v>4</v>
      </c>
      <c r="B7051" s="116">
        <v>50733</v>
      </c>
      <c r="C7051" s="117">
        <v>45658</v>
      </c>
      <c r="D7051" s="116">
        <v>67.989999999999995</v>
      </c>
      <c r="E7051" s="117">
        <v>45656</v>
      </c>
      <c r="F7051" s="116">
        <f>COUNTIFS($A$3:A15349,A7051,$B$3:B15349,B7051)</f>
        <v>1</v>
      </c>
      <c r="G7051" s="116"/>
    </row>
    <row r="7052" spans="1:7" x14ac:dyDescent="0.2">
      <c r="A7052" s="116">
        <f>IF(ISNUMBER(Tabela2[[#This Row],[CT-e/NFS]])=TRUE,(IF(B7052&gt;30000,4,IF(B7052&lt;1000,"ND",0))),"-")</f>
        <v>4</v>
      </c>
      <c r="B7052" s="116">
        <v>50732</v>
      </c>
      <c r="C7052" s="117">
        <v>45658</v>
      </c>
      <c r="D7052" s="116">
        <v>260.85000000000002</v>
      </c>
      <c r="E7052" s="117">
        <v>45656</v>
      </c>
      <c r="F7052" s="116">
        <f>COUNTIFS($A$3:A15350,A7052,$B$3:B15350,B7052)</f>
        <v>1</v>
      </c>
      <c r="G7052" s="116"/>
    </row>
    <row r="7053" spans="1:7" x14ac:dyDescent="0.2">
      <c r="A7053" s="116">
        <f>IF(ISNUMBER(Tabela2[[#This Row],[CT-e/NFS]])=TRUE,(IF(B7053&gt;30000,4,IF(B7053&lt;1000,"ND",0))),"-")</f>
        <v>4</v>
      </c>
      <c r="B7053" s="116">
        <v>50728</v>
      </c>
      <c r="C7053" s="117">
        <v>45658</v>
      </c>
      <c r="D7053" s="116">
        <v>294.97000000000003</v>
      </c>
      <c r="E7053" s="117">
        <v>45656</v>
      </c>
      <c r="F7053" s="116">
        <f>COUNTIFS($A$3:A15351,A7053,$B$3:B15351,B7053)</f>
        <v>1</v>
      </c>
      <c r="G7053" s="116"/>
    </row>
    <row r="7054" spans="1:7" x14ac:dyDescent="0.2">
      <c r="A7054" s="116">
        <f>IF(ISNUMBER(Tabela2[[#This Row],[CT-e/NFS]])=TRUE,(IF(B7054&gt;30000,4,IF(B7054&lt;1000,"ND",0))),"-")</f>
        <v>4</v>
      </c>
      <c r="B7054" s="116">
        <v>50724</v>
      </c>
      <c r="C7054" s="117">
        <v>45658</v>
      </c>
      <c r="D7054" s="116">
        <v>589.95000000000005</v>
      </c>
      <c r="E7054" s="117">
        <v>45656</v>
      </c>
      <c r="F7054" s="116">
        <f>COUNTIFS($A$3:A15352,A7054,$B$3:B15352,B7054)</f>
        <v>1</v>
      </c>
      <c r="G7054" s="116"/>
    </row>
    <row r="7055" spans="1:7" x14ac:dyDescent="0.2">
      <c r="A7055" s="116">
        <f>IF(ISNUMBER(Tabela2[[#This Row],[CT-e/NFS]])=TRUE,(IF(B7055&gt;30000,4,IF(B7055&lt;1000,"ND",0))),"-")</f>
        <v>0</v>
      </c>
      <c r="B7055" s="116">
        <v>22562</v>
      </c>
      <c r="C7055" s="117">
        <v>45658</v>
      </c>
      <c r="D7055" s="116">
        <v>133.99</v>
      </c>
      <c r="E7055" s="117">
        <v>45656</v>
      </c>
      <c r="F7055" s="116">
        <f>COUNTIFS($A$3:A15353,A7055,$B$3:B15353,B7055)</f>
        <v>1</v>
      </c>
      <c r="G7055" s="116"/>
    </row>
    <row r="7056" spans="1:7" x14ac:dyDescent="0.2">
      <c r="A7056" s="116">
        <f>IF(ISNUMBER(Tabela2[[#This Row],[CT-e/NFS]])=TRUE,(IF(B7056&gt;30000,4,IF(B7056&lt;1000,"ND",0))),"-")</f>
        <v>0</v>
      </c>
      <c r="B7056" s="116">
        <v>22567</v>
      </c>
      <c r="C7056" s="117">
        <v>45658</v>
      </c>
      <c r="D7056" s="116">
        <v>231.54</v>
      </c>
      <c r="E7056" s="117">
        <v>45656</v>
      </c>
      <c r="F7056" s="116">
        <f>COUNTIFS($A$3:A15354,A7056,$B$3:B15354,B7056)</f>
        <v>1</v>
      </c>
      <c r="G7056" s="116"/>
    </row>
    <row r="7057" spans="1:7" x14ac:dyDescent="0.2">
      <c r="A7057" s="116">
        <f>IF(ISNUMBER(Tabela2[[#This Row],[CT-e/NFS]])=TRUE,(IF(B7057&gt;30000,4,IF(B7057&lt;1000,"ND",0))),"-")</f>
        <v>0</v>
      </c>
      <c r="B7057" s="116">
        <v>22559</v>
      </c>
      <c r="C7057" s="117">
        <v>45658</v>
      </c>
      <c r="D7057" s="116">
        <v>76.400000000000006</v>
      </c>
      <c r="E7057" s="117">
        <v>45656</v>
      </c>
      <c r="F7057" s="116">
        <f>COUNTIFS($A$3:A15355,A7057,$B$3:B15355,B7057)</f>
        <v>1</v>
      </c>
      <c r="G7057" s="116"/>
    </row>
    <row r="7058" spans="1:7" x14ac:dyDescent="0.2">
      <c r="A7058" s="116">
        <f>IF(ISNUMBER(Tabela2[[#This Row],[CT-e/NFS]])=TRUE,(IF(B7058&gt;30000,4,IF(B7058&lt;1000,"ND",0))),"-")</f>
        <v>0</v>
      </c>
      <c r="B7058" s="116">
        <v>22566</v>
      </c>
      <c r="C7058" s="117">
        <v>45658</v>
      </c>
      <c r="D7058" s="116">
        <v>75.599999999999994</v>
      </c>
      <c r="E7058" s="117">
        <v>45656</v>
      </c>
      <c r="F7058" s="116">
        <f>COUNTIFS($A$3:A15356,A7058,$B$3:B15356,B7058)</f>
        <v>1</v>
      </c>
      <c r="G7058" s="116"/>
    </row>
    <row r="7059" spans="1:7" x14ac:dyDescent="0.2">
      <c r="A7059" s="116">
        <f>IF(ISNUMBER(Tabela2[[#This Row],[CT-e/NFS]])=TRUE,(IF(B7059&gt;30000,4,IF(B7059&lt;1000,"ND",0))),"-")</f>
        <v>0</v>
      </c>
      <c r="B7059" s="116">
        <v>22560</v>
      </c>
      <c r="C7059" s="117">
        <v>45658</v>
      </c>
      <c r="D7059" s="116">
        <v>76.44</v>
      </c>
      <c r="E7059" s="117">
        <v>45656</v>
      </c>
      <c r="F7059" s="116">
        <f>COUNTIFS($A$3:A15357,A7059,$B$3:B15357,B7059)</f>
        <v>1</v>
      </c>
      <c r="G7059" s="116"/>
    </row>
    <row r="7060" spans="1:7" x14ac:dyDescent="0.2">
      <c r="A7060" s="116">
        <f>IF(ISNUMBER(Tabela2[[#This Row],[CT-e/NFS]])=TRUE,(IF(B7060&gt;30000,4,IF(B7060&lt;1000,"ND",0))),"-")</f>
        <v>0</v>
      </c>
      <c r="B7060" s="116">
        <v>22561</v>
      </c>
      <c r="C7060" s="117">
        <v>45658</v>
      </c>
      <c r="D7060" s="116">
        <v>76.28</v>
      </c>
      <c r="E7060" s="117">
        <v>45656</v>
      </c>
      <c r="F7060" s="116">
        <f>COUNTIFS($A$3:A15358,A7060,$B$3:B15358,B7060)</f>
        <v>1</v>
      </c>
      <c r="G7060" s="116"/>
    </row>
    <row r="7061" spans="1:7" x14ac:dyDescent="0.2">
      <c r="A7061" s="116">
        <f>IF(ISNUMBER(Tabela2[[#This Row],[CT-e/NFS]])=TRUE,(IF(B7061&gt;30000,4,IF(B7061&lt;1000,"ND",0))),"-")</f>
        <v>0</v>
      </c>
      <c r="B7061" s="116">
        <v>12572</v>
      </c>
      <c r="C7061" s="117">
        <v>45658</v>
      </c>
      <c r="D7061" s="116">
        <v>120.96</v>
      </c>
      <c r="E7061" s="117">
        <v>45656</v>
      </c>
      <c r="F7061" s="116">
        <f>COUNTIFS($A$3:A15360,A7061,$B$3:B15360,B7061)</f>
        <v>1</v>
      </c>
      <c r="G7061" s="116"/>
    </row>
    <row r="7062" spans="1:7" x14ac:dyDescent="0.2">
      <c r="A7062" s="116">
        <f>IF(ISNUMBER(Tabela2[[#This Row],[CT-e/NFS]])=TRUE,(IF(B7062&gt;30000,4,IF(B7062&lt;1000,"ND",0))),"-")</f>
        <v>0</v>
      </c>
      <c r="B7062" s="116">
        <v>12571</v>
      </c>
      <c r="C7062" s="117">
        <v>45658</v>
      </c>
      <c r="D7062" s="116">
        <v>66.989999999999995</v>
      </c>
      <c r="E7062" s="117">
        <v>45656</v>
      </c>
      <c r="F7062" s="116">
        <f>COUNTIFS($A$3:A15361,A7062,$B$3:B15361,B7062)</f>
        <v>1</v>
      </c>
      <c r="G7062" s="116"/>
    </row>
    <row r="7063" spans="1:7" x14ac:dyDescent="0.2">
      <c r="A7063" s="116">
        <f>IF(ISNUMBER(Tabela2[[#This Row],[CT-e/NFS]])=TRUE,(IF(B7063&gt;30000,4,IF(B7063&lt;1000,"ND",0))),"-")</f>
        <v>4</v>
      </c>
      <c r="B7063" s="116">
        <v>50750</v>
      </c>
      <c r="C7063" s="117">
        <v>45658</v>
      </c>
      <c r="D7063" s="116">
        <v>124.52</v>
      </c>
      <c r="E7063" s="117">
        <v>45656</v>
      </c>
      <c r="F7063" s="116">
        <f>COUNTIFS($A$3:A15362,A7063,$B$3:B15362,B7063)</f>
        <v>1</v>
      </c>
      <c r="G7063" s="116"/>
    </row>
    <row r="7064" spans="1:7" x14ac:dyDescent="0.2">
      <c r="A7064" s="116">
        <f>IF(ISNUMBER(Tabela2[[#This Row],[CT-e/NFS]])=TRUE,(IF(B7064&gt;30000,4,IF(B7064&lt;1000,"ND",0))),"-")</f>
        <v>4</v>
      </c>
      <c r="B7064" s="116">
        <v>50755</v>
      </c>
      <c r="C7064" s="117">
        <v>45658</v>
      </c>
      <c r="D7064" s="116">
        <v>122.74</v>
      </c>
      <c r="E7064" s="117">
        <v>45656</v>
      </c>
      <c r="F7064" s="116">
        <f>COUNTIFS($A$3:A15363,A7064,$B$3:B15363,B7064)</f>
        <v>1</v>
      </c>
      <c r="G7064" s="116"/>
    </row>
    <row r="7065" spans="1:7" x14ac:dyDescent="0.2">
      <c r="A7065" s="116">
        <f>IF(ISNUMBER(Tabela2[[#This Row],[CT-e/NFS]])=TRUE,(IF(B7065&gt;30000,4,IF(B7065&lt;1000,"ND",0))),"-")</f>
        <v>4</v>
      </c>
      <c r="B7065" s="116">
        <v>50742</v>
      </c>
      <c r="C7065" s="117">
        <v>45658</v>
      </c>
      <c r="D7065" s="116">
        <v>124.03</v>
      </c>
      <c r="E7065" s="117">
        <v>45656</v>
      </c>
      <c r="F7065" s="116">
        <f>COUNTIFS($A$3:A15364,A7065,$B$3:B15364,B7065)</f>
        <v>1</v>
      </c>
      <c r="G7065" s="116"/>
    </row>
    <row r="7066" spans="1:7" x14ac:dyDescent="0.2">
      <c r="A7066" s="116">
        <f>IF(ISNUMBER(Tabela2[[#This Row],[CT-e/NFS]])=TRUE,(IF(B7066&gt;30000,4,IF(B7066&lt;1000,"ND",0))),"-")</f>
        <v>4</v>
      </c>
      <c r="B7066" s="116">
        <v>50741</v>
      </c>
      <c r="C7066" s="117">
        <v>45658</v>
      </c>
      <c r="D7066" s="116">
        <v>125.41</v>
      </c>
      <c r="E7066" s="117">
        <v>45656</v>
      </c>
      <c r="F7066" s="116">
        <f>COUNTIFS($A$3:A15365,A7066,$B$3:B15365,B7066)</f>
        <v>1</v>
      </c>
      <c r="G7066" s="116"/>
    </row>
    <row r="7067" spans="1:7" x14ac:dyDescent="0.2">
      <c r="A7067" s="116">
        <f>IF(ISNUMBER(Tabela2[[#This Row],[CT-e/NFS]])=TRUE,(IF(B7067&gt;30000,4,IF(B7067&lt;1000,"ND",0))),"-")</f>
        <v>4</v>
      </c>
      <c r="B7067" s="116">
        <v>50747</v>
      </c>
      <c r="C7067" s="117">
        <v>45658</v>
      </c>
      <c r="D7067" s="116">
        <v>125.56</v>
      </c>
      <c r="E7067" s="117">
        <v>45656</v>
      </c>
      <c r="F7067" s="116">
        <f>COUNTIFS($A$3:A15366,A7067,$B$3:B15366,B7067)</f>
        <v>1</v>
      </c>
      <c r="G7067" s="116"/>
    </row>
    <row r="7068" spans="1:7" x14ac:dyDescent="0.2">
      <c r="A7068" s="116">
        <f>IF(ISNUMBER(Tabela2[[#This Row],[CT-e/NFS]])=TRUE,(IF(B7068&gt;30000,4,IF(B7068&lt;1000,"ND",0))),"-")</f>
        <v>4</v>
      </c>
      <c r="B7068" s="116">
        <v>50743</v>
      </c>
      <c r="C7068" s="117">
        <v>45658</v>
      </c>
      <c r="D7068" s="116">
        <v>396.45</v>
      </c>
      <c r="E7068" s="117">
        <v>45656</v>
      </c>
      <c r="F7068" s="116">
        <f>COUNTIFS($A$3:A15367,A7068,$B$3:B15367,B7068)</f>
        <v>1</v>
      </c>
      <c r="G7068" s="116"/>
    </row>
    <row r="7069" spans="1:7" x14ac:dyDescent="0.2">
      <c r="A7069" s="116">
        <f>IF(ISNUMBER(Tabela2[[#This Row],[CT-e/NFS]])=TRUE,(IF(B7069&gt;30000,4,IF(B7069&lt;1000,"ND",0))),"-")</f>
        <v>4</v>
      </c>
      <c r="B7069" s="116">
        <v>50745</v>
      </c>
      <c r="C7069" s="117">
        <v>45658</v>
      </c>
      <c r="D7069" s="116">
        <v>281.52999999999997</v>
      </c>
      <c r="E7069" s="117">
        <v>45656</v>
      </c>
      <c r="F7069" s="116">
        <f>COUNTIFS($A$3:A15368,A7069,$B$3:B15368,B7069)</f>
        <v>1</v>
      </c>
      <c r="G7069" s="116"/>
    </row>
    <row r="7070" spans="1:7" x14ac:dyDescent="0.2">
      <c r="A7070" s="116">
        <f>IF(ISNUMBER(Tabela2[[#This Row],[CT-e/NFS]])=TRUE,(IF(B7070&gt;30000,4,IF(B7070&lt;1000,"ND",0))),"-")</f>
        <v>4</v>
      </c>
      <c r="B7070" s="116">
        <v>50759</v>
      </c>
      <c r="C7070" s="117">
        <v>45658</v>
      </c>
      <c r="D7070" s="116">
        <v>1758.3</v>
      </c>
      <c r="E7070" s="117">
        <v>45656</v>
      </c>
      <c r="F7070" s="116">
        <f>COUNTIFS($A$3:A15369,A7070,$B$3:B15369,B7070)</f>
        <v>1</v>
      </c>
      <c r="G7070" s="116"/>
    </row>
    <row r="7071" spans="1:7" x14ac:dyDescent="0.2">
      <c r="A7071" s="116">
        <f>IF(ISNUMBER(Tabela2[[#This Row],[CT-e/NFS]])=TRUE,(IF(B7071&gt;30000,4,IF(B7071&lt;1000,"ND",0))),"-")</f>
        <v>4</v>
      </c>
      <c r="B7071" s="116">
        <v>50753</v>
      </c>
      <c r="C7071" s="117">
        <v>45658</v>
      </c>
      <c r="D7071" s="116">
        <v>609.98</v>
      </c>
      <c r="E7071" s="117">
        <v>45656</v>
      </c>
      <c r="F7071" s="116">
        <f>COUNTIFS($A$3:A15370,A7071,$B$3:B15370,B7071)</f>
        <v>1</v>
      </c>
      <c r="G7071" s="116"/>
    </row>
    <row r="7072" spans="1:7" x14ac:dyDescent="0.2">
      <c r="A7072" s="116">
        <f>IF(ISNUMBER(Tabela2[[#This Row],[CT-e/NFS]])=TRUE,(IF(B7072&gt;30000,4,IF(B7072&lt;1000,"ND",0))),"-")</f>
        <v>4</v>
      </c>
      <c r="B7072" s="116">
        <v>50758</v>
      </c>
      <c r="C7072" s="117">
        <v>45658</v>
      </c>
      <c r="D7072" s="116">
        <v>783.82</v>
      </c>
      <c r="E7072" s="117">
        <v>45656</v>
      </c>
      <c r="F7072" s="116">
        <f>COUNTIFS($A$3:A15371,A7072,$B$3:B15371,B7072)</f>
        <v>1</v>
      </c>
      <c r="G7072" s="116"/>
    </row>
    <row r="7073" spans="1:7" x14ac:dyDescent="0.2">
      <c r="A7073" s="116">
        <f>IF(ISNUMBER(Tabela2[[#This Row],[CT-e/NFS]])=TRUE,(IF(B7073&gt;30000,4,IF(B7073&lt;1000,"ND",0))),"-")</f>
        <v>4</v>
      </c>
      <c r="B7073" s="116">
        <v>50739</v>
      </c>
      <c r="C7073" s="117">
        <v>45658</v>
      </c>
      <c r="D7073" s="116">
        <v>467.33</v>
      </c>
      <c r="E7073" s="117">
        <v>45656</v>
      </c>
      <c r="F7073" s="116">
        <f>COUNTIFS($A$3:A15372,A7073,$B$3:B15372,B7073)</f>
        <v>1</v>
      </c>
      <c r="G7073" s="116"/>
    </row>
    <row r="7074" spans="1:7" x14ac:dyDescent="0.2">
      <c r="A7074" s="116">
        <f>IF(ISNUMBER(Tabela2[[#This Row],[CT-e/NFS]])=TRUE,(IF(B7074&gt;30000,4,IF(B7074&lt;1000,"ND",0))),"-")</f>
        <v>4</v>
      </c>
      <c r="B7074" s="116">
        <v>50740</v>
      </c>
      <c r="C7074" s="117">
        <v>45658</v>
      </c>
      <c r="D7074" s="116">
        <v>238.86</v>
      </c>
      <c r="E7074" s="117">
        <v>45656</v>
      </c>
      <c r="F7074" s="116">
        <f>COUNTIFS($A$3:A15373,A7074,$B$3:B15373,B7074)</f>
        <v>1</v>
      </c>
      <c r="G7074" s="116"/>
    </row>
    <row r="7075" spans="1:7" x14ac:dyDescent="0.2">
      <c r="A7075" s="116">
        <f>IF(ISNUMBER(Tabela2[[#This Row],[CT-e/NFS]])=TRUE,(IF(B7075&gt;30000,4,IF(B7075&lt;1000,"ND",0))),"-")</f>
        <v>4</v>
      </c>
      <c r="B7075" s="116">
        <v>50744</v>
      </c>
      <c r="C7075" s="117">
        <v>45658</v>
      </c>
      <c r="D7075" s="116">
        <v>197.86</v>
      </c>
      <c r="E7075" s="117">
        <v>45656</v>
      </c>
      <c r="F7075" s="116">
        <f>COUNTIFS($A$3:A15374,A7075,$B$3:B15374,B7075)</f>
        <v>1</v>
      </c>
      <c r="G7075" s="116"/>
    </row>
    <row r="7076" spans="1:7" x14ac:dyDescent="0.2">
      <c r="A7076" s="116">
        <f>IF(ISNUMBER(Tabela2[[#This Row],[CT-e/NFS]])=TRUE,(IF(B7076&gt;30000,4,IF(B7076&lt;1000,"ND",0))),"-")</f>
        <v>4</v>
      </c>
      <c r="B7076" s="116">
        <v>50748</v>
      </c>
      <c r="C7076" s="117">
        <v>45658</v>
      </c>
      <c r="D7076" s="116">
        <v>62.77</v>
      </c>
      <c r="E7076" s="117">
        <v>45656</v>
      </c>
      <c r="F7076" s="116">
        <f>COUNTIFS($A$3:A15375,A7076,$B$3:B15375,B7076)</f>
        <v>1</v>
      </c>
      <c r="G7076" s="116"/>
    </row>
    <row r="7077" spans="1:7" x14ac:dyDescent="0.2">
      <c r="A7077" s="116">
        <f>IF(ISNUMBER(Tabela2[[#This Row],[CT-e/NFS]])=TRUE,(IF(B7077&gt;30000,4,IF(B7077&lt;1000,"ND",0))),"-")</f>
        <v>4</v>
      </c>
      <c r="B7077" s="116">
        <v>50751</v>
      </c>
      <c r="C7077" s="117">
        <v>45658</v>
      </c>
      <c r="D7077" s="116">
        <v>332.45</v>
      </c>
      <c r="E7077" s="117">
        <v>45656</v>
      </c>
      <c r="F7077" s="116">
        <f>COUNTIFS($A$3:A15376,A7077,$B$3:B15376,B7077)</f>
        <v>1</v>
      </c>
      <c r="G7077" s="116"/>
    </row>
    <row r="7078" spans="1:7" x14ac:dyDescent="0.2">
      <c r="A7078" s="116">
        <f>IF(ISNUMBER(Tabela2[[#This Row],[CT-e/NFS]])=TRUE,(IF(B7078&gt;30000,4,IF(B7078&lt;1000,"ND",0))),"-")</f>
        <v>4</v>
      </c>
      <c r="B7078" s="116">
        <v>50754</v>
      </c>
      <c r="C7078" s="117">
        <v>45658</v>
      </c>
      <c r="D7078" s="116">
        <v>396.45</v>
      </c>
      <c r="E7078" s="117">
        <v>45656</v>
      </c>
      <c r="F7078" s="116">
        <f>COUNTIFS($A$3:A15377,A7078,$B$3:B15377,B7078)</f>
        <v>1</v>
      </c>
      <c r="G7078" s="116"/>
    </row>
    <row r="7079" spans="1:7" x14ac:dyDescent="0.2">
      <c r="A7079" s="116">
        <f>IF(ISNUMBER(Tabela2[[#This Row],[CT-e/NFS]])=TRUE,(IF(B7079&gt;30000,4,IF(B7079&lt;1000,"ND",0))),"-")</f>
        <v>4</v>
      </c>
      <c r="B7079" s="116">
        <v>50756</v>
      </c>
      <c r="C7079" s="117">
        <v>45658</v>
      </c>
      <c r="D7079" s="116">
        <v>308.67</v>
      </c>
      <c r="E7079" s="117">
        <v>45656</v>
      </c>
      <c r="F7079" s="116">
        <f>COUNTIFS($A$3:A15378,A7079,$B$3:B15378,B7079)</f>
        <v>1</v>
      </c>
      <c r="G7079" s="116"/>
    </row>
    <row r="7080" spans="1:7" x14ac:dyDescent="0.2">
      <c r="A7080" s="116">
        <f>IF(ISNUMBER(Tabela2[[#This Row],[CT-e/NFS]])=TRUE,(IF(B7080&gt;30000,4,IF(B7080&lt;1000,"ND",0))),"-")</f>
        <v>4</v>
      </c>
      <c r="B7080" s="116">
        <v>50749</v>
      </c>
      <c r="C7080" s="117">
        <v>45658</v>
      </c>
      <c r="D7080" s="116">
        <v>113.28</v>
      </c>
      <c r="E7080" s="117">
        <v>45656</v>
      </c>
      <c r="F7080" s="116">
        <f>COUNTIFS($A$3:A15379,A7080,$B$3:B15379,B7080)</f>
        <v>1</v>
      </c>
      <c r="G7080" s="116"/>
    </row>
    <row r="7081" spans="1:7" x14ac:dyDescent="0.2">
      <c r="A7081" s="116">
        <f>IF(ISNUMBER(Tabela2[[#This Row],[CT-e/NFS]])=TRUE,(IF(B7081&gt;30000,4,IF(B7081&lt;1000,"ND",0))),"-")</f>
        <v>4</v>
      </c>
      <c r="B7081" s="116">
        <v>50757</v>
      </c>
      <c r="C7081" s="117">
        <v>45658</v>
      </c>
      <c r="D7081" s="116">
        <v>665.81</v>
      </c>
      <c r="E7081" s="117">
        <v>45656</v>
      </c>
      <c r="F7081" s="116">
        <f>COUNTIFS($A$3:A15380,A7081,$B$3:B15380,B7081)</f>
        <v>1</v>
      </c>
      <c r="G7081" s="116"/>
    </row>
    <row r="7082" spans="1:7" x14ac:dyDescent="0.2">
      <c r="A7082" s="116">
        <f>IF(ISNUMBER(Tabela2[[#This Row],[CT-e/NFS]])=TRUE,(IF(B7082&gt;30000,4,IF(B7082&lt;1000,"ND",0))),"-")</f>
        <v>4</v>
      </c>
      <c r="B7082" s="116">
        <v>50752</v>
      </c>
      <c r="C7082" s="117">
        <v>45658</v>
      </c>
      <c r="D7082" s="116">
        <v>105.07</v>
      </c>
      <c r="E7082" s="117">
        <v>45656</v>
      </c>
      <c r="F7082" s="116">
        <f>COUNTIFS($A$3:A15381,A7082,$B$3:B15381,B7082)</f>
        <v>1</v>
      </c>
      <c r="G7082" s="116"/>
    </row>
    <row r="7083" spans="1:7" x14ac:dyDescent="0.2">
      <c r="A7083" s="116">
        <f>IF(ISNUMBER(Tabela2[[#This Row],[CT-e/NFS]])=TRUE,(IF(B7083&gt;30000,4,IF(B7083&lt;1000,"ND",0))),"-")</f>
        <v>4</v>
      </c>
      <c r="B7083" s="116">
        <v>50765</v>
      </c>
      <c r="C7083" s="117">
        <v>45658</v>
      </c>
      <c r="D7083" s="116">
        <v>124.36</v>
      </c>
      <c r="E7083" s="117">
        <v>45656</v>
      </c>
      <c r="F7083" s="116">
        <f>COUNTIFS($A$3:A15383,A7083,$B$3:B15383,B7083)</f>
        <v>1</v>
      </c>
      <c r="G7083" s="116"/>
    </row>
    <row r="7084" spans="1:7" x14ac:dyDescent="0.2">
      <c r="A7084" s="116">
        <f>IF(ISNUMBER(Tabela2[[#This Row],[CT-e/NFS]])=TRUE,(IF(B7084&gt;30000,4,IF(B7084&lt;1000,"ND",0))),"-")</f>
        <v>4</v>
      </c>
      <c r="B7084" s="116">
        <v>50764</v>
      </c>
      <c r="C7084" s="117">
        <v>45658</v>
      </c>
      <c r="D7084" s="116">
        <v>124.52</v>
      </c>
      <c r="E7084" s="117">
        <v>45656</v>
      </c>
      <c r="F7084" s="116">
        <f>COUNTIFS($A$3:A15384,A7084,$B$3:B15384,B7084)</f>
        <v>1</v>
      </c>
      <c r="G7084" s="116"/>
    </row>
    <row r="7085" spans="1:7" x14ac:dyDescent="0.2">
      <c r="A7085" s="116">
        <f>IF(ISNUMBER(Tabela2[[#This Row],[CT-e/NFS]])=TRUE,(IF(B7085&gt;30000,4,IF(B7085&lt;1000,"ND",0))),"-")</f>
        <v>4</v>
      </c>
      <c r="B7085" s="116">
        <v>50760</v>
      </c>
      <c r="C7085" s="117">
        <v>45658</v>
      </c>
      <c r="D7085" s="116">
        <v>123.11</v>
      </c>
      <c r="E7085" s="117">
        <v>45656</v>
      </c>
      <c r="F7085" s="116">
        <f>COUNTIFS($A$3:A15385,A7085,$B$3:B15385,B7085)</f>
        <v>1</v>
      </c>
      <c r="G7085" s="116"/>
    </row>
    <row r="7086" spans="1:7" x14ac:dyDescent="0.2">
      <c r="A7086" s="116">
        <f>IF(ISNUMBER(Tabela2[[#This Row],[CT-e/NFS]])=TRUE,(IF(B7086&gt;30000,4,IF(B7086&lt;1000,"ND",0))),"-")</f>
        <v>4</v>
      </c>
      <c r="B7086" s="116">
        <v>50768</v>
      </c>
      <c r="C7086" s="117">
        <v>45658</v>
      </c>
      <c r="D7086" s="116">
        <v>124.3</v>
      </c>
      <c r="E7086" s="117">
        <v>45656</v>
      </c>
      <c r="F7086" s="116">
        <f>COUNTIFS($A$3:A15386,A7086,$B$3:B15386,B7086)</f>
        <v>1</v>
      </c>
      <c r="G7086" s="116"/>
    </row>
    <row r="7087" spans="1:7" x14ac:dyDescent="0.2">
      <c r="A7087" s="116">
        <f>IF(ISNUMBER(Tabela2[[#This Row],[CT-e/NFS]])=TRUE,(IF(B7087&gt;30000,4,IF(B7087&lt;1000,"ND",0))),"-")</f>
        <v>4</v>
      </c>
      <c r="B7087" s="116">
        <v>50772</v>
      </c>
      <c r="C7087" s="117">
        <v>45658</v>
      </c>
      <c r="D7087" s="116">
        <v>230.91</v>
      </c>
      <c r="E7087" s="117">
        <v>45656</v>
      </c>
      <c r="F7087" s="116">
        <f>COUNTIFS($A$3:A15387,A7087,$B$3:B15387,B7087)</f>
        <v>1</v>
      </c>
      <c r="G7087" s="116"/>
    </row>
    <row r="7088" spans="1:7" x14ac:dyDescent="0.2">
      <c r="A7088" s="116">
        <f>IF(ISNUMBER(Tabela2[[#This Row],[CT-e/NFS]])=TRUE,(IF(B7088&gt;30000,4,IF(B7088&lt;1000,"ND",0))),"-")</f>
        <v>4</v>
      </c>
      <c r="B7088" s="116">
        <v>50771</v>
      </c>
      <c r="C7088" s="117">
        <v>45658</v>
      </c>
      <c r="D7088" s="116">
        <v>359.03</v>
      </c>
      <c r="E7088" s="117">
        <v>45656</v>
      </c>
      <c r="F7088" s="116">
        <f>COUNTIFS($A$3:A15388,A7088,$B$3:B15388,B7088)</f>
        <v>1</v>
      </c>
      <c r="G7088" s="116"/>
    </row>
    <row r="7089" spans="1:7" x14ac:dyDescent="0.2">
      <c r="A7089" s="116">
        <f>IF(ISNUMBER(Tabela2[[#This Row],[CT-e/NFS]])=TRUE,(IF(B7089&gt;30000,4,IF(B7089&lt;1000,"ND",0))),"-")</f>
        <v>4</v>
      </c>
      <c r="B7089" s="116">
        <v>50770</v>
      </c>
      <c r="C7089" s="117">
        <v>45658</v>
      </c>
      <c r="D7089" s="116">
        <v>198.23</v>
      </c>
      <c r="E7089" s="117">
        <v>45656</v>
      </c>
      <c r="F7089" s="116">
        <f>COUNTIFS($A$3:A15389,A7089,$B$3:B15389,B7089)</f>
        <v>1</v>
      </c>
      <c r="G7089" s="116"/>
    </row>
    <row r="7090" spans="1:7" x14ac:dyDescent="0.2">
      <c r="A7090" s="116">
        <f>IF(ISNUMBER(Tabela2[[#This Row],[CT-e/NFS]])=TRUE,(IF(B7090&gt;30000,4,IF(B7090&lt;1000,"ND",0))),"-")</f>
        <v>4</v>
      </c>
      <c r="B7090" s="116">
        <v>50767</v>
      </c>
      <c r="C7090" s="117">
        <v>45658</v>
      </c>
      <c r="D7090" s="116">
        <v>476.27</v>
      </c>
      <c r="E7090" s="117">
        <v>45656</v>
      </c>
      <c r="F7090" s="116">
        <f>COUNTIFS($A$3:A15390,A7090,$B$3:B15390,B7090)</f>
        <v>1</v>
      </c>
      <c r="G7090" s="116"/>
    </row>
    <row r="7091" spans="1:7" x14ac:dyDescent="0.2">
      <c r="A7091" s="116">
        <f>IF(ISNUMBER(Tabela2[[#This Row],[CT-e/NFS]])=TRUE,(IF(B7091&gt;30000,4,IF(B7091&lt;1000,"ND",0))),"-")</f>
        <v>4</v>
      </c>
      <c r="B7091" s="116">
        <v>50761</v>
      </c>
      <c r="C7091" s="117">
        <v>45658</v>
      </c>
      <c r="D7091" s="116">
        <v>131.9</v>
      </c>
      <c r="E7091" s="117">
        <v>45656</v>
      </c>
      <c r="F7091" s="116">
        <f>COUNTIFS($A$3:A15391,A7091,$B$3:B15391,B7091)</f>
        <v>1</v>
      </c>
      <c r="G7091" s="116"/>
    </row>
    <row r="7092" spans="1:7" x14ac:dyDescent="0.2">
      <c r="A7092" s="116">
        <f>IF(ISNUMBER(Tabela2[[#This Row],[CT-e/NFS]])=TRUE,(IF(B7092&gt;30000,4,IF(B7092&lt;1000,"ND",0))),"-")</f>
        <v>4</v>
      </c>
      <c r="B7092" s="116">
        <v>50763</v>
      </c>
      <c r="C7092" s="117">
        <v>45658</v>
      </c>
      <c r="D7092" s="116">
        <v>133.97999999999999</v>
      </c>
      <c r="E7092" s="117">
        <v>45656</v>
      </c>
      <c r="F7092" s="116">
        <f>COUNTIFS($A$3:A15392,A7092,$B$3:B15392,B7092)</f>
        <v>1</v>
      </c>
      <c r="G7092" s="116"/>
    </row>
    <row r="7093" spans="1:7" x14ac:dyDescent="0.2">
      <c r="A7093" s="116">
        <f>IF(ISNUMBER(Tabela2[[#This Row],[CT-e/NFS]])=TRUE,(IF(B7093&gt;30000,4,IF(B7093&lt;1000,"ND",0))),"-")</f>
        <v>4</v>
      </c>
      <c r="B7093" s="116">
        <v>50769</v>
      </c>
      <c r="C7093" s="117">
        <v>45658</v>
      </c>
      <c r="D7093" s="116">
        <v>1086.24</v>
      </c>
      <c r="E7093" s="117">
        <v>45656</v>
      </c>
      <c r="F7093" s="116">
        <f>COUNTIFS($A$3:A15393,A7093,$B$3:B15393,B7093)</f>
        <v>1</v>
      </c>
      <c r="G7093" s="116"/>
    </row>
    <row r="7094" spans="1:7" x14ac:dyDescent="0.2">
      <c r="A7094" s="116">
        <f>IF(ISNUMBER(Tabela2[[#This Row],[CT-e/NFS]])=TRUE,(IF(B7094&gt;30000,4,IF(B7094&lt;1000,"ND",0))),"-")</f>
        <v>4</v>
      </c>
      <c r="B7094" s="116">
        <v>50762</v>
      </c>
      <c r="C7094" s="117">
        <v>45658</v>
      </c>
      <c r="D7094" s="116">
        <v>231.83</v>
      </c>
      <c r="E7094" s="117">
        <v>45656</v>
      </c>
      <c r="F7094" s="116">
        <f>COUNTIFS($A$3:A15394,A7094,$B$3:B15394,B7094)</f>
        <v>1</v>
      </c>
      <c r="G7094" s="116"/>
    </row>
    <row r="7095" spans="1:7" x14ac:dyDescent="0.2">
      <c r="A7095" s="116">
        <f>IF(ISNUMBER(Tabela2[[#This Row],[CT-e/NFS]])=TRUE,(IF(B7095&gt;30000,4,IF(B7095&lt;1000,"ND",0))),"-")</f>
        <v>4</v>
      </c>
      <c r="B7095" s="116">
        <v>50766</v>
      </c>
      <c r="C7095" s="117">
        <v>45658</v>
      </c>
      <c r="D7095" s="116">
        <v>164.78</v>
      </c>
      <c r="E7095" s="117">
        <v>45656</v>
      </c>
      <c r="F7095" s="116">
        <f>COUNTIFS($A$3:A15395,A7095,$B$3:B15395,B7095)</f>
        <v>1</v>
      </c>
      <c r="G7095" s="116"/>
    </row>
    <row r="7096" spans="1:7" x14ac:dyDescent="0.2">
      <c r="A7096" s="116">
        <f>IF(ISNUMBER(Tabela2[[#This Row],[CT-e/NFS]])=TRUE,(IF(B7096&gt;30000,4,IF(B7096&lt;1000,"ND",0))),"-")</f>
        <v>0</v>
      </c>
      <c r="B7096" s="116">
        <v>22577</v>
      </c>
      <c r="C7096" s="117">
        <v>45658</v>
      </c>
      <c r="D7096" s="116">
        <v>102.45</v>
      </c>
      <c r="E7096" s="117">
        <v>45656</v>
      </c>
      <c r="F7096" s="116">
        <f>COUNTIFS($A$3:A15396,A7096,$B$3:B15396,B7096)</f>
        <v>1</v>
      </c>
      <c r="G7096" s="116"/>
    </row>
    <row r="7097" spans="1:7" x14ac:dyDescent="0.2">
      <c r="A7097" s="116">
        <f>IF(ISNUMBER(Tabela2[[#This Row],[CT-e/NFS]])=TRUE,(IF(B7097&gt;30000,4,IF(B7097&lt;1000,"ND",0))),"-")</f>
        <v>0</v>
      </c>
      <c r="B7097" s="116">
        <v>22578</v>
      </c>
      <c r="C7097" s="117">
        <v>45658</v>
      </c>
      <c r="D7097" s="116">
        <v>138.79</v>
      </c>
      <c r="E7097" s="117">
        <v>45656</v>
      </c>
      <c r="F7097" s="116">
        <f>COUNTIFS($A$3:A15397,A7097,$B$3:B15397,B7097)</f>
        <v>1</v>
      </c>
      <c r="G7097" s="116"/>
    </row>
    <row r="7098" spans="1:7" x14ac:dyDescent="0.2">
      <c r="A7098" s="116">
        <f>IF(ISNUMBER(Tabela2[[#This Row],[CT-e/NFS]])=TRUE,(IF(B7098&gt;30000,4,IF(B7098&lt;1000,"ND",0))),"-")</f>
        <v>0</v>
      </c>
      <c r="B7098" s="116">
        <v>22568</v>
      </c>
      <c r="C7098" s="117">
        <v>45658</v>
      </c>
      <c r="D7098" s="116">
        <v>89.27</v>
      </c>
      <c r="E7098" s="117">
        <v>45656</v>
      </c>
      <c r="F7098" s="116">
        <f>COUNTIFS($A$3:A15398,A7098,$B$3:B15398,B7098)</f>
        <v>1</v>
      </c>
      <c r="G7098" s="116"/>
    </row>
    <row r="7099" spans="1:7" x14ac:dyDescent="0.2">
      <c r="A7099" s="116">
        <f>IF(ISNUMBER(Tabela2[[#This Row],[CT-e/NFS]])=TRUE,(IF(B7099&gt;30000,4,IF(B7099&lt;1000,"ND",0))),"-")</f>
        <v>0</v>
      </c>
      <c r="B7099" s="116">
        <v>22576</v>
      </c>
      <c r="C7099" s="117">
        <v>45658</v>
      </c>
      <c r="D7099" s="116">
        <v>122.46</v>
      </c>
      <c r="E7099" s="117">
        <v>45656</v>
      </c>
      <c r="F7099" s="116">
        <f>COUNTIFS($A$3:A15399,A7099,$B$3:B15399,B7099)</f>
        <v>1</v>
      </c>
      <c r="G7099" s="116"/>
    </row>
    <row r="7100" spans="1:7" x14ac:dyDescent="0.2">
      <c r="A7100" s="116">
        <f>IF(ISNUMBER(Tabela2[[#This Row],[CT-e/NFS]])=TRUE,(IF(B7100&gt;30000,4,IF(B7100&lt;1000,"ND",0))),"-")</f>
        <v>0</v>
      </c>
      <c r="B7100" s="116">
        <v>22575</v>
      </c>
      <c r="C7100" s="117">
        <v>45658</v>
      </c>
      <c r="D7100" s="116">
        <v>300.14999999999998</v>
      </c>
      <c r="E7100" s="117">
        <v>45656</v>
      </c>
      <c r="F7100" s="116">
        <f>COUNTIFS($A$3:A15400,A7100,$B$3:B15400,B7100)</f>
        <v>1</v>
      </c>
      <c r="G7100" s="116"/>
    </row>
    <row r="7101" spans="1:7" x14ac:dyDescent="0.2">
      <c r="A7101" s="116">
        <f>IF(ISNUMBER(Tabela2[[#This Row],[CT-e/NFS]])=TRUE,(IF(B7101&gt;30000,4,IF(B7101&lt;1000,"ND",0))),"-")</f>
        <v>0</v>
      </c>
      <c r="B7101" s="116">
        <v>22573</v>
      </c>
      <c r="C7101" s="117">
        <v>45658</v>
      </c>
      <c r="D7101" s="116">
        <v>76.099999999999994</v>
      </c>
      <c r="E7101" s="117">
        <v>45656</v>
      </c>
      <c r="F7101" s="116">
        <f>COUNTIFS($A$3:A15401,A7101,$B$3:B15401,B7101)</f>
        <v>1</v>
      </c>
      <c r="G7101" s="116"/>
    </row>
    <row r="7102" spans="1:7" x14ac:dyDescent="0.2">
      <c r="A7102" s="116">
        <f>IF(ISNUMBER(Tabela2[[#This Row],[CT-e/NFS]])=TRUE,(IF(B7102&gt;30000,4,IF(B7102&lt;1000,"ND",0))),"-")</f>
        <v>0</v>
      </c>
      <c r="B7102" s="116">
        <v>22569</v>
      </c>
      <c r="C7102" s="117">
        <v>45658</v>
      </c>
      <c r="D7102" s="116">
        <v>77.099999999999994</v>
      </c>
      <c r="E7102" s="117">
        <v>45656</v>
      </c>
      <c r="F7102" s="116">
        <f>COUNTIFS($A$3:A15402,A7102,$B$3:B15402,B7102)</f>
        <v>1</v>
      </c>
      <c r="G7102" s="116"/>
    </row>
    <row r="7103" spans="1:7" x14ac:dyDescent="0.2">
      <c r="A7103" s="116">
        <f>IF(ISNUMBER(Tabela2[[#This Row],[CT-e/NFS]])=TRUE,(IF(B7103&gt;30000,4,IF(B7103&lt;1000,"ND",0))),"-")</f>
        <v>0</v>
      </c>
      <c r="B7103" s="116">
        <v>22570</v>
      </c>
      <c r="C7103" s="117">
        <v>45658</v>
      </c>
      <c r="D7103" s="116">
        <v>76.25</v>
      </c>
      <c r="E7103" s="117">
        <v>45656</v>
      </c>
      <c r="F7103" s="116">
        <f>COUNTIFS($A$3:A15403,A7103,$B$3:B15403,B7103)</f>
        <v>1</v>
      </c>
      <c r="G7103" s="116"/>
    </row>
    <row r="7104" spans="1:7" x14ac:dyDescent="0.2">
      <c r="A7104" s="116">
        <f>IF(ISNUMBER(Tabela2[[#This Row],[CT-e/NFS]])=TRUE,(IF(B7104&gt;30000,4,IF(B7104&lt;1000,"ND",0))),"-")</f>
        <v>0</v>
      </c>
      <c r="B7104" s="116">
        <v>22574</v>
      </c>
      <c r="C7104" s="117">
        <v>45658</v>
      </c>
      <c r="D7104" s="116">
        <v>76.37</v>
      </c>
      <c r="E7104" s="117">
        <v>45656</v>
      </c>
      <c r="F7104" s="116">
        <f>COUNTIFS($A$3:A15404,A7104,$B$3:B15404,B7104)</f>
        <v>1</v>
      </c>
      <c r="G7104" s="116"/>
    </row>
    <row r="7105" spans="1:7" x14ac:dyDescent="0.2">
      <c r="A7105" s="116">
        <f>IF(ISNUMBER(Tabela2[[#This Row],[CT-e/NFS]])=TRUE,(IF(B7105&gt;30000,4,IF(B7105&lt;1000,"ND",0))),"-")</f>
        <v>4</v>
      </c>
      <c r="B7105" s="116">
        <v>50781</v>
      </c>
      <c r="C7105" s="117">
        <v>45658</v>
      </c>
      <c r="D7105" s="116">
        <v>124.33</v>
      </c>
      <c r="E7105" s="117">
        <v>45656</v>
      </c>
      <c r="F7105" s="116">
        <f>COUNTIFS($A$3:A15406,A7105,$B$3:B15406,B7105)</f>
        <v>1</v>
      </c>
      <c r="G7105" s="116"/>
    </row>
    <row r="7106" spans="1:7" x14ac:dyDescent="0.2">
      <c r="A7106" s="116">
        <f>IF(ISNUMBER(Tabela2[[#This Row],[CT-e/NFS]])=TRUE,(IF(B7106&gt;30000,4,IF(B7106&lt;1000,"ND",0))),"-")</f>
        <v>4</v>
      </c>
      <c r="B7106" s="116">
        <v>50787</v>
      </c>
      <c r="C7106" s="117">
        <v>45658</v>
      </c>
      <c r="D7106" s="116">
        <v>122.86</v>
      </c>
      <c r="E7106" s="117">
        <v>45656</v>
      </c>
      <c r="F7106" s="116">
        <f>COUNTIFS($A$3:A15407,A7106,$B$3:B15407,B7106)</f>
        <v>1</v>
      </c>
      <c r="G7106" s="116"/>
    </row>
    <row r="7107" spans="1:7" x14ac:dyDescent="0.2">
      <c r="A7107" s="116">
        <f>IF(ISNUMBER(Tabela2[[#This Row],[CT-e/NFS]])=TRUE,(IF(B7107&gt;30000,4,IF(B7107&lt;1000,"ND",0))),"-")</f>
        <v>4</v>
      </c>
      <c r="B7107" s="116">
        <v>50793</v>
      </c>
      <c r="C7107" s="117">
        <v>45658</v>
      </c>
      <c r="D7107" s="116">
        <v>124.53</v>
      </c>
      <c r="E7107" s="117">
        <v>45656</v>
      </c>
      <c r="F7107" s="116">
        <f>COUNTIFS($A$3:A15408,A7107,$B$3:B15408,B7107)</f>
        <v>1</v>
      </c>
      <c r="G7107" s="116"/>
    </row>
    <row r="7108" spans="1:7" x14ac:dyDescent="0.2">
      <c r="A7108" s="116">
        <f>IF(ISNUMBER(Tabela2[[#This Row],[CT-e/NFS]])=TRUE,(IF(B7108&gt;30000,4,IF(B7108&lt;1000,"ND",0))),"-")</f>
        <v>4</v>
      </c>
      <c r="B7108" s="116">
        <v>50780</v>
      </c>
      <c r="C7108" s="117">
        <v>45658</v>
      </c>
      <c r="D7108" s="116">
        <v>124.33</v>
      </c>
      <c r="E7108" s="117">
        <v>45656</v>
      </c>
      <c r="F7108" s="116">
        <f>COUNTIFS($A$3:A15409,A7108,$B$3:B15409,B7108)</f>
        <v>1</v>
      </c>
      <c r="G7108" s="116"/>
    </row>
    <row r="7109" spans="1:7" x14ac:dyDescent="0.2">
      <c r="A7109" s="116">
        <f>IF(ISNUMBER(Tabela2[[#This Row],[CT-e/NFS]])=TRUE,(IF(B7109&gt;30000,4,IF(B7109&lt;1000,"ND",0))),"-")</f>
        <v>4</v>
      </c>
      <c r="B7109" s="116">
        <v>50792</v>
      </c>
      <c r="C7109" s="117">
        <v>45658</v>
      </c>
      <c r="D7109" s="116">
        <v>122.76</v>
      </c>
      <c r="E7109" s="117">
        <v>45656</v>
      </c>
      <c r="F7109" s="116">
        <f>COUNTIFS($A$3:A15410,A7109,$B$3:B15410,B7109)</f>
        <v>1</v>
      </c>
      <c r="G7109" s="116"/>
    </row>
    <row r="7110" spans="1:7" x14ac:dyDescent="0.2">
      <c r="A7110" s="116">
        <f>IF(ISNUMBER(Tabela2[[#This Row],[CT-e/NFS]])=TRUE,(IF(B7110&gt;30000,4,IF(B7110&lt;1000,"ND",0))),"-")</f>
        <v>4</v>
      </c>
      <c r="B7110" s="116">
        <v>50776</v>
      </c>
      <c r="C7110" s="117">
        <v>45658</v>
      </c>
      <c r="D7110" s="116">
        <v>125.93</v>
      </c>
      <c r="E7110" s="117">
        <v>45656</v>
      </c>
      <c r="F7110" s="116">
        <f>COUNTIFS($A$3:A15411,A7110,$B$3:B15411,B7110)</f>
        <v>1</v>
      </c>
      <c r="G7110" s="116"/>
    </row>
    <row r="7111" spans="1:7" x14ac:dyDescent="0.2">
      <c r="A7111" s="116">
        <f>IF(ISNUMBER(Tabela2[[#This Row],[CT-e/NFS]])=TRUE,(IF(B7111&gt;30000,4,IF(B7111&lt;1000,"ND",0))),"-")</f>
        <v>4</v>
      </c>
      <c r="B7111" s="116">
        <v>50777</v>
      </c>
      <c r="C7111" s="117">
        <v>45658</v>
      </c>
      <c r="D7111" s="116">
        <v>123.5</v>
      </c>
      <c r="E7111" s="117">
        <v>45656</v>
      </c>
      <c r="F7111" s="116">
        <f>COUNTIFS($A$3:A15412,A7111,$B$3:B15412,B7111)</f>
        <v>1</v>
      </c>
      <c r="G7111" s="116"/>
    </row>
    <row r="7112" spans="1:7" x14ac:dyDescent="0.2">
      <c r="A7112" s="116">
        <f>IF(ISNUMBER(Tabela2[[#This Row],[CT-e/NFS]])=TRUE,(IF(B7112&gt;30000,4,IF(B7112&lt;1000,"ND",0))),"-")</f>
        <v>4</v>
      </c>
      <c r="B7112" s="116">
        <v>50782</v>
      </c>
      <c r="C7112" s="117">
        <v>45658</v>
      </c>
      <c r="D7112" s="116">
        <v>125.47</v>
      </c>
      <c r="E7112" s="117">
        <v>45656</v>
      </c>
      <c r="F7112" s="116">
        <f>COUNTIFS($A$3:A15413,A7112,$B$3:B15413,B7112)</f>
        <v>1</v>
      </c>
      <c r="G7112" s="116"/>
    </row>
    <row r="7113" spans="1:7" x14ac:dyDescent="0.2">
      <c r="A7113" s="116">
        <f>IF(ISNUMBER(Tabela2[[#This Row],[CT-e/NFS]])=TRUE,(IF(B7113&gt;30000,4,IF(B7113&lt;1000,"ND",0))),"-")</f>
        <v>4</v>
      </c>
      <c r="B7113" s="116">
        <v>50785</v>
      </c>
      <c r="C7113" s="117">
        <v>45658</v>
      </c>
      <c r="D7113" s="116">
        <v>123.32</v>
      </c>
      <c r="E7113" s="117">
        <v>45656</v>
      </c>
      <c r="F7113" s="116">
        <f>COUNTIFS($A$3:A15414,A7113,$B$3:B15414,B7113)</f>
        <v>1</v>
      </c>
      <c r="G7113" s="116"/>
    </row>
    <row r="7114" spans="1:7" x14ac:dyDescent="0.2">
      <c r="A7114" s="116">
        <f>IF(ISNUMBER(Tabela2[[#This Row],[CT-e/NFS]])=TRUE,(IF(B7114&gt;30000,4,IF(B7114&lt;1000,"ND",0))),"-")</f>
        <v>4</v>
      </c>
      <c r="B7114" s="116">
        <v>50788</v>
      </c>
      <c r="C7114" s="117">
        <v>45658</v>
      </c>
      <c r="D7114" s="116">
        <v>126.65</v>
      </c>
      <c r="E7114" s="117">
        <v>45656</v>
      </c>
      <c r="F7114" s="116">
        <f>COUNTIFS($A$3:A15415,A7114,$B$3:B15415,B7114)</f>
        <v>1</v>
      </c>
      <c r="G7114" s="116"/>
    </row>
    <row r="7115" spans="1:7" x14ac:dyDescent="0.2">
      <c r="A7115" s="116">
        <f>IF(ISNUMBER(Tabela2[[#This Row],[CT-e/NFS]])=TRUE,(IF(B7115&gt;30000,4,IF(B7115&lt;1000,"ND",0))),"-")</f>
        <v>4</v>
      </c>
      <c r="B7115" s="116">
        <v>50790</v>
      </c>
      <c r="C7115" s="117">
        <v>45658</v>
      </c>
      <c r="D7115" s="116">
        <v>125.56</v>
      </c>
      <c r="E7115" s="117">
        <v>45656</v>
      </c>
      <c r="F7115" s="116">
        <f>COUNTIFS($A$3:A15416,A7115,$B$3:B15416,B7115)</f>
        <v>1</v>
      </c>
      <c r="G7115" s="116"/>
    </row>
    <row r="7116" spans="1:7" x14ac:dyDescent="0.2">
      <c r="A7116" s="116">
        <f>IF(ISNUMBER(Tabela2[[#This Row],[CT-e/NFS]])=TRUE,(IF(B7116&gt;30000,4,IF(B7116&lt;1000,"ND",0))),"-")</f>
        <v>4</v>
      </c>
      <c r="B7116" s="116">
        <v>50794</v>
      </c>
      <c r="C7116" s="117">
        <v>45658</v>
      </c>
      <c r="D7116" s="116">
        <v>123.13</v>
      </c>
      <c r="E7116" s="117">
        <v>45656</v>
      </c>
      <c r="F7116" s="116">
        <f>COUNTIFS($A$3:A15417,A7116,$B$3:B15417,B7116)</f>
        <v>1</v>
      </c>
      <c r="G7116" s="116"/>
    </row>
    <row r="7117" spans="1:7" x14ac:dyDescent="0.2">
      <c r="A7117" s="116">
        <f>IF(ISNUMBER(Tabela2[[#This Row],[CT-e/NFS]])=TRUE,(IF(B7117&gt;30000,4,IF(B7117&lt;1000,"ND",0))),"-")</f>
        <v>4</v>
      </c>
      <c r="B7117" s="116">
        <v>50789</v>
      </c>
      <c r="C7117" s="117">
        <v>45658</v>
      </c>
      <c r="D7117" s="116">
        <v>123.5</v>
      </c>
      <c r="E7117" s="117">
        <v>45656</v>
      </c>
      <c r="F7117" s="116">
        <f>COUNTIFS($A$3:A15418,A7117,$B$3:B15418,B7117)</f>
        <v>1</v>
      </c>
      <c r="G7117" s="116"/>
    </row>
    <row r="7118" spans="1:7" x14ac:dyDescent="0.2">
      <c r="A7118" s="116">
        <f>IF(ISNUMBER(Tabela2[[#This Row],[CT-e/NFS]])=TRUE,(IF(B7118&gt;30000,4,IF(B7118&lt;1000,"ND",0))),"-")</f>
        <v>4</v>
      </c>
      <c r="B7118" s="116">
        <v>50779</v>
      </c>
      <c r="C7118" s="117">
        <v>45658</v>
      </c>
      <c r="D7118" s="116">
        <v>125.35</v>
      </c>
      <c r="E7118" s="117">
        <v>45656</v>
      </c>
      <c r="F7118" s="116">
        <f>COUNTIFS($A$3:A15419,A7118,$B$3:B15419,B7118)</f>
        <v>1</v>
      </c>
      <c r="G7118" s="116"/>
    </row>
    <row r="7119" spans="1:7" x14ac:dyDescent="0.2">
      <c r="A7119" s="116">
        <f>IF(ISNUMBER(Tabela2[[#This Row],[CT-e/NFS]])=TRUE,(IF(B7119&gt;30000,4,IF(B7119&lt;1000,"ND",0))),"-")</f>
        <v>4</v>
      </c>
      <c r="B7119" s="116">
        <v>50786</v>
      </c>
      <c r="C7119" s="117">
        <v>45658</v>
      </c>
      <c r="D7119" s="116">
        <v>122.81</v>
      </c>
      <c r="E7119" s="117">
        <v>45656</v>
      </c>
      <c r="F7119" s="116">
        <f>COUNTIFS($A$3:A15420,A7119,$B$3:B15420,B7119)</f>
        <v>1</v>
      </c>
      <c r="G7119" s="116"/>
    </row>
    <row r="7120" spans="1:7" x14ac:dyDescent="0.2">
      <c r="A7120" s="116">
        <f>IF(ISNUMBER(Tabela2[[#This Row],[CT-e/NFS]])=TRUE,(IF(B7120&gt;30000,4,IF(B7120&lt;1000,"ND",0))),"-")</f>
        <v>4</v>
      </c>
      <c r="B7120" s="116">
        <v>50791</v>
      </c>
      <c r="C7120" s="117">
        <v>45658</v>
      </c>
      <c r="D7120" s="116">
        <v>126.35</v>
      </c>
      <c r="E7120" s="117">
        <v>45656</v>
      </c>
      <c r="F7120" s="116">
        <f>COUNTIFS($A$3:A15421,A7120,$B$3:B15421,B7120)</f>
        <v>1</v>
      </c>
      <c r="G7120" s="116"/>
    </row>
    <row r="7121" spans="1:7" x14ac:dyDescent="0.2">
      <c r="A7121" s="116">
        <f>IF(ISNUMBER(Tabela2[[#This Row],[CT-e/NFS]])=TRUE,(IF(B7121&gt;30000,4,IF(B7121&lt;1000,"ND",0))),"-")</f>
        <v>4</v>
      </c>
      <c r="B7121" s="116">
        <v>50778</v>
      </c>
      <c r="C7121" s="117">
        <v>45658</v>
      </c>
      <c r="D7121" s="116">
        <v>168.3</v>
      </c>
      <c r="E7121" s="117">
        <v>45656</v>
      </c>
      <c r="F7121" s="116">
        <f>COUNTIFS($A$3:A15422,A7121,$B$3:B15422,B7121)</f>
        <v>1</v>
      </c>
      <c r="G7121" s="116"/>
    </row>
    <row r="7122" spans="1:7" x14ac:dyDescent="0.2">
      <c r="A7122" s="116">
        <f>IF(ISNUMBER(Tabela2[[#This Row],[CT-e/NFS]])=TRUE,(IF(B7122&gt;30000,4,IF(B7122&lt;1000,"ND",0))),"-")</f>
        <v>4</v>
      </c>
      <c r="B7122" s="116">
        <v>50798</v>
      </c>
      <c r="C7122" s="117">
        <v>45658</v>
      </c>
      <c r="D7122" s="116">
        <v>112.09</v>
      </c>
      <c r="E7122" s="117">
        <v>45656</v>
      </c>
      <c r="F7122" s="116">
        <f>COUNTIFS($A$3:A15423,A7122,$B$3:B15423,B7122)</f>
        <v>1</v>
      </c>
      <c r="G7122" s="116"/>
    </row>
    <row r="7123" spans="1:7" x14ac:dyDescent="0.2">
      <c r="A7123" s="116">
        <f>IF(ISNUMBER(Tabela2[[#This Row],[CT-e/NFS]])=TRUE,(IF(B7123&gt;30000,4,IF(B7123&lt;1000,"ND",0))),"-")</f>
        <v>4</v>
      </c>
      <c r="B7123" s="116">
        <v>50802</v>
      </c>
      <c r="C7123" s="117">
        <v>45658</v>
      </c>
      <c r="D7123" s="116">
        <v>543.11</v>
      </c>
      <c r="E7123" s="117">
        <v>45656</v>
      </c>
      <c r="F7123" s="116">
        <f>COUNTIFS($A$3:A15424,A7123,$B$3:B15424,B7123)</f>
        <v>1</v>
      </c>
      <c r="G7123" s="116"/>
    </row>
    <row r="7124" spans="1:7" x14ac:dyDescent="0.2">
      <c r="A7124" s="116">
        <f>IF(ISNUMBER(Tabela2[[#This Row],[CT-e/NFS]])=TRUE,(IF(B7124&gt;30000,4,IF(B7124&lt;1000,"ND",0))),"-")</f>
        <v>4</v>
      </c>
      <c r="B7124" s="116">
        <v>50801</v>
      </c>
      <c r="C7124" s="117">
        <v>45658</v>
      </c>
      <c r="D7124" s="116">
        <v>396.45</v>
      </c>
      <c r="E7124" s="117">
        <v>45656</v>
      </c>
      <c r="F7124" s="116">
        <f>COUNTIFS($A$3:A15425,A7124,$B$3:B15425,B7124)</f>
        <v>1</v>
      </c>
      <c r="G7124" s="116"/>
    </row>
    <row r="7125" spans="1:7" x14ac:dyDescent="0.2">
      <c r="A7125" s="116">
        <f>IF(ISNUMBER(Tabela2[[#This Row],[CT-e/NFS]])=TRUE,(IF(B7125&gt;30000,4,IF(B7125&lt;1000,"ND",0))),"-")</f>
        <v>4</v>
      </c>
      <c r="B7125" s="116">
        <v>50774</v>
      </c>
      <c r="C7125" s="117">
        <v>45658</v>
      </c>
      <c r="D7125" s="116">
        <v>717.28</v>
      </c>
      <c r="E7125" s="117">
        <v>45656</v>
      </c>
      <c r="F7125" s="116">
        <f>COUNTIFS($A$3:A15426,A7125,$B$3:B15426,B7125)</f>
        <v>1</v>
      </c>
      <c r="G7125" s="116"/>
    </row>
    <row r="7126" spans="1:7" x14ac:dyDescent="0.2">
      <c r="A7126" s="116">
        <f>IF(ISNUMBER(Tabela2[[#This Row],[CT-e/NFS]])=TRUE,(IF(B7126&gt;30000,4,IF(B7126&lt;1000,"ND",0))),"-")</f>
        <v>4</v>
      </c>
      <c r="B7126" s="116">
        <v>50775</v>
      </c>
      <c r="C7126" s="117">
        <v>45658</v>
      </c>
      <c r="D7126" s="116">
        <v>1772.45</v>
      </c>
      <c r="E7126" s="117">
        <v>45656</v>
      </c>
      <c r="F7126" s="116">
        <f>COUNTIFS($A$3:A15427,A7126,$B$3:B15427,B7126)</f>
        <v>1</v>
      </c>
      <c r="G7126" s="116"/>
    </row>
    <row r="7127" spans="1:7" x14ac:dyDescent="0.2">
      <c r="A7127" s="116">
        <f>IF(ISNUMBER(Tabela2[[#This Row],[CT-e/NFS]])=TRUE,(IF(B7127&gt;30000,4,IF(B7127&lt;1000,"ND",0))),"-")</f>
        <v>4</v>
      </c>
      <c r="B7127" s="116">
        <v>50799</v>
      </c>
      <c r="C7127" s="117">
        <v>45658</v>
      </c>
      <c r="D7127" s="116">
        <v>62.15</v>
      </c>
      <c r="E7127" s="117">
        <v>45656</v>
      </c>
      <c r="F7127" s="116">
        <f>COUNTIFS($A$3:A15428,A7127,$B$3:B15428,B7127)</f>
        <v>1</v>
      </c>
      <c r="G7127" s="116"/>
    </row>
    <row r="7128" spans="1:7" x14ac:dyDescent="0.2">
      <c r="A7128" s="116">
        <f>IF(ISNUMBER(Tabela2[[#This Row],[CT-e/NFS]])=TRUE,(IF(B7128&gt;30000,4,IF(B7128&lt;1000,"ND",0))),"-")</f>
        <v>4</v>
      </c>
      <c r="B7128" s="116">
        <v>50784</v>
      </c>
      <c r="C7128" s="117">
        <v>45658</v>
      </c>
      <c r="D7128" s="116">
        <v>500.52</v>
      </c>
      <c r="E7128" s="117">
        <v>45656</v>
      </c>
      <c r="F7128" s="116">
        <f>COUNTIFS($A$3:A15429,A7128,$B$3:B15429,B7128)</f>
        <v>1</v>
      </c>
      <c r="G7128" s="116"/>
    </row>
    <row r="7129" spans="1:7" x14ac:dyDescent="0.2">
      <c r="A7129" s="116">
        <f>IF(ISNUMBER(Tabela2[[#This Row],[CT-e/NFS]])=TRUE,(IF(B7129&gt;30000,4,IF(B7129&lt;1000,"ND",0))),"-")</f>
        <v>4</v>
      </c>
      <c r="B7129" s="116">
        <v>50800</v>
      </c>
      <c r="C7129" s="117">
        <v>45658</v>
      </c>
      <c r="D7129" s="116">
        <v>112.02</v>
      </c>
      <c r="E7129" s="117">
        <v>45656</v>
      </c>
      <c r="F7129" s="116">
        <f>COUNTIFS($A$3:A15430,A7129,$B$3:B15430,B7129)</f>
        <v>1</v>
      </c>
      <c r="G7129" s="116"/>
    </row>
    <row r="7130" spans="1:7" x14ac:dyDescent="0.2">
      <c r="A7130" s="116">
        <f>IF(ISNUMBER(Tabela2[[#This Row],[CT-e/NFS]])=TRUE,(IF(B7130&gt;30000,4,IF(B7130&lt;1000,"ND",0))),"-")</f>
        <v>4</v>
      </c>
      <c r="B7130" s="116">
        <v>50796</v>
      </c>
      <c r="C7130" s="117">
        <v>45658</v>
      </c>
      <c r="D7130" s="116">
        <v>62.18</v>
      </c>
      <c r="E7130" s="117">
        <v>45656</v>
      </c>
      <c r="F7130" s="116">
        <f>COUNTIFS($A$3:A15431,A7130,$B$3:B15431,B7130)</f>
        <v>1</v>
      </c>
      <c r="G7130" s="116"/>
    </row>
    <row r="7131" spans="1:7" x14ac:dyDescent="0.2">
      <c r="A7131" s="116">
        <f>IF(ISNUMBER(Tabela2[[#This Row],[CT-e/NFS]])=TRUE,(IF(B7131&gt;30000,4,IF(B7131&lt;1000,"ND",0))),"-")</f>
        <v>4</v>
      </c>
      <c r="B7131" s="116">
        <v>50797</v>
      </c>
      <c r="C7131" s="117">
        <v>45658</v>
      </c>
      <c r="D7131" s="116">
        <v>62.18</v>
      </c>
      <c r="E7131" s="117">
        <v>45656</v>
      </c>
      <c r="F7131" s="116">
        <f>COUNTIFS($A$3:A15432,A7131,$B$3:B15432,B7131)</f>
        <v>1</v>
      </c>
      <c r="G7131" s="116"/>
    </row>
    <row r="7132" spans="1:7" x14ac:dyDescent="0.2">
      <c r="A7132" s="116">
        <f>IF(ISNUMBER(Tabela2[[#This Row],[CT-e/NFS]])=TRUE,(IF(B7132&gt;30000,4,IF(B7132&lt;1000,"ND",0))),"-")</f>
        <v>4</v>
      </c>
      <c r="B7132" s="116">
        <v>50783</v>
      </c>
      <c r="C7132" s="117">
        <v>45658</v>
      </c>
      <c r="D7132" s="116">
        <v>1210.57</v>
      </c>
      <c r="E7132" s="117">
        <v>45656</v>
      </c>
      <c r="F7132" s="116">
        <f>COUNTIFS($A$3:A15433,A7132,$B$3:B15433,B7132)</f>
        <v>1</v>
      </c>
      <c r="G7132" s="116"/>
    </row>
    <row r="7133" spans="1:7" x14ac:dyDescent="0.2">
      <c r="A7133" s="116">
        <f>IF(ISNUMBER(Tabela2[[#This Row],[CT-e/NFS]])=TRUE,(IF(B7133&gt;30000,4,IF(B7133&lt;1000,"ND",0))),"-")</f>
        <v>0</v>
      </c>
      <c r="B7133" s="116">
        <v>22582</v>
      </c>
      <c r="C7133" s="117">
        <v>45658</v>
      </c>
      <c r="D7133" s="116">
        <v>149.30000000000001</v>
      </c>
      <c r="E7133" s="117">
        <v>45656</v>
      </c>
      <c r="F7133" s="116">
        <f>COUNTIFS($A$3:A15435,A7133,$B$3:B15435,B7133)</f>
        <v>1</v>
      </c>
      <c r="G7133" s="116"/>
    </row>
    <row r="7134" spans="1:7" x14ac:dyDescent="0.2">
      <c r="A7134" s="116">
        <f>IF(ISNUMBER(Tabela2[[#This Row],[CT-e/NFS]])=TRUE,(IF(B7134&gt;30000,4,IF(B7134&lt;1000,"ND",0))),"-")</f>
        <v>0</v>
      </c>
      <c r="B7134" s="116">
        <v>22586</v>
      </c>
      <c r="C7134" s="117">
        <v>45658</v>
      </c>
      <c r="D7134" s="116">
        <v>288.94</v>
      </c>
      <c r="E7134" s="117">
        <v>45656</v>
      </c>
      <c r="F7134" s="116">
        <f>COUNTIFS($A$3:A15436,A7134,$B$3:B15436,B7134)</f>
        <v>1</v>
      </c>
      <c r="G7134" s="116"/>
    </row>
    <row r="7135" spans="1:7" x14ac:dyDescent="0.2">
      <c r="A7135" s="116">
        <f>IF(ISNUMBER(Tabela2[[#This Row],[CT-e/NFS]])=TRUE,(IF(B7135&gt;30000,4,IF(B7135&lt;1000,"ND",0))),"-")</f>
        <v>0</v>
      </c>
      <c r="B7135" s="116">
        <v>22587</v>
      </c>
      <c r="C7135" s="117">
        <v>45658</v>
      </c>
      <c r="D7135" s="116">
        <v>90.77</v>
      </c>
      <c r="E7135" s="117">
        <v>45656</v>
      </c>
      <c r="F7135" s="116">
        <f>COUNTIFS($A$3:A15437,A7135,$B$3:B15437,B7135)</f>
        <v>1</v>
      </c>
      <c r="G7135" s="116"/>
    </row>
    <row r="7136" spans="1:7" x14ac:dyDescent="0.2">
      <c r="A7136" s="116">
        <f>IF(ISNUMBER(Tabela2[[#This Row],[CT-e/NFS]])=TRUE,(IF(B7136&gt;30000,4,IF(B7136&lt;1000,"ND",0))),"-")</f>
        <v>0</v>
      </c>
      <c r="B7136" s="116">
        <v>22580</v>
      </c>
      <c r="C7136" s="117">
        <v>45658</v>
      </c>
      <c r="D7136" s="116">
        <v>76.010000000000005</v>
      </c>
      <c r="E7136" s="117">
        <v>45656</v>
      </c>
      <c r="F7136" s="116">
        <f>COUNTIFS($A$3:A15438,A7136,$B$3:B15438,B7136)</f>
        <v>1</v>
      </c>
      <c r="G7136" s="116"/>
    </row>
    <row r="7137" spans="1:7" x14ac:dyDescent="0.2">
      <c r="A7137" s="116">
        <f>IF(ISNUMBER(Tabela2[[#This Row],[CT-e/NFS]])=TRUE,(IF(B7137&gt;30000,4,IF(B7137&lt;1000,"ND",0))),"-")</f>
        <v>0</v>
      </c>
      <c r="B7137" s="116">
        <v>22581</v>
      </c>
      <c r="C7137" s="117">
        <v>45658</v>
      </c>
      <c r="D7137" s="116">
        <v>76.569999999999993</v>
      </c>
      <c r="E7137" s="117">
        <v>45656</v>
      </c>
      <c r="F7137" s="116">
        <f>COUNTIFS($A$3:A15439,A7137,$B$3:B15439,B7137)</f>
        <v>1</v>
      </c>
      <c r="G7137" s="116"/>
    </row>
    <row r="7138" spans="1:7" x14ac:dyDescent="0.2">
      <c r="A7138" s="116">
        <f>IF(ISNUMBER(Tabela2[[#This Row],[CT-e/NFS]])=TRUE,(IF(B7138&gt;30000,4,IF(B7138&lt;1000,"ND",0))),"-")</f>
        <v>0</v>
      </c>
      <c r="B7138" s="116">
        <v>22583</v>
      </c>
      <c r="C7138" s="117">
        <v>45658</v>
      </c>
      <c r="D7138" s="116">
        <v>76.41</v>
      </c>
      <c r="E7138" s="117">
        <v>45656</v>
      </c>
      <c r="F7138" s="116">
        <f>COUNTIFS($A$3:A15440,A7138,$B$3:B15440,B7138)</f>
        <v>1</v>
      </c>
      <c r="G7138" s="116"/>
    </row>
    <row r="7139" spans="1:7" x14ac:dyDescent="0.2">
      <c r="A7139" s="116">
        <f>IF(ISNUMBER(Tabela2[[#This Row],[CT-e/NFS]])=TRUE,(IF(B7139&gt;30000,4,IF(B7139&lt;1000,"ND",0))),"-")</f>
        <v>0</v>
      </c>
      <c r="B7139" s="116">
        <v>22585</v>
      </c>
      <c r="C7139" s="117">
        <v>45658</v>
      </c>
      <c r="D7139" s="116">
        <v>76.28</v>
      </c>
      <c r="E7139" s="117">
        <v>45656</v>
      </c>
      <c r="F7139" s="116">
        <f>COUNTIFS($A$3:A15441,A7139,$B$3:B15441,B7139)</f>
        <v>1</v>
      </c>
      <c r="G7139" s="116"/>
    </row>
    <row r="7140" spans="1:7" x14ac:dyDescent="0.2">
      <c r="A7140" s="116">
        <f>IF(ISNUMBER(Tabela2[[#This Row],[CT-e/NFS]])=TRUE,(IF(B7140&gt;30000,4,IF(B7140&lt;1000,"ND",0))),"-")</f>
        <v>0</v>
      </c>
      <c r="B7140" s="116">
        <v>22584</v>
      </c>
      <c r="C7140" s="117">
        <v>45658</v>
      </c>
      <c r="D7140" s="116">
        <v>76.39</v>
      </c>
      <c r="E7140" s="117">
        <v>45656</v>
      </c>
      <c r="F7140" s="116">
        <f>COUNTIFS($A$3:A15442,A7140,$B$3:B15442,B7140)</f>
        <v>1</v>
      </c>
      <c r="G7140" s="116"/>
    </row>
    <row r="7141" spans="1:7" x14ac:dyDescent="0.2">
      <c r="A7141" s="116">
        <f>IF(ISNUMBER(Tabela2[[#This Row],[CT-e/NFS]])=TRUE,(IF(B7141&gt;30000,4,IF(B7141&lt;1000,"ND",0))),"-")</f>
        <v>4</v>
      </c>
      <c r="B7141" s="116">
        <v>50804</v>
      </c>
      <c r="C7141" s="117">
        <v>45658</v>
      </c>
      <c r="D7141" s="116">
        <v>314.52</v>
      </c>
      <c r="E7141" s="117">
        <v>45656</v>
      </c>
      <c r="F7141" s="116">
        <f>COUNTIFS($A$3:A15443,A7141,$B$3:B15443,B7141)</f>
        <v>1</v>
      </c>
      <c r="G7141" s="116"/>
    </row>
    <row r="7142" spans="1:7" x14ac:dyDescent="0.2">
      <c r="A7142" s="116">
        <f>IF(ISNUMBER(Tabela2[[#This Row],[CT-e/NFS]])=TRUE,(IF(B7142&gt;30000,4,IF(B7142&lt;1000,"ND",0))),"-")</f>
        <v>4</v>
      </c>
      <c r="B7142" s="116">
        <v>50805</v>
      </c>
      <c r="C7142" s="117">
        <v>45658</v>
      </c>
      <c r="D7142" s="116">
        <v>625.26</v>
      </c>
      <c r="E7142" s="117">
        <v>45656</v>
      </c>
      <c r="F7142" s="116">
        <f>COUNTIFS($A$3:A15444,A7142,$B$3:B15444,B7142)</f>
        <v>1</v>
      </c>
      <c r="G7142" s="116"/>
    </row>
    <row r="7143" spans="1:7" x14ac:dyDescent="0.2">
      <c r="A7143" s="116">
        <f>IF(ISNUMBER(Tabela2[[#This Row],[CT-e/NFS]])=TRUE,(IF(B7143&gt;30000,4,IF(B7143&lt;1000,"ND",0))),"-")</f>
        <v>4</v>
      </c>
      <c r="B7143" s="116">
        <v>50803</v>
      </c>
      <c r="C7143" s="117">
        <v>45658</v>
      </c>
      <c r="D7143" s="116">
        <v>818.51</v>
      </c>
      <c r="E7143" s="117">
        <v>45656</v>
      </c>
      <c r="F7143" s="116">
        <f>COUNTIFS($A$3:A15445,A7143,$B$3:B15445,B7143)</f>
        <v>1</v>
      </c>
      <c r="G7143" s="116"/>
    </row>
    <row r="7144" spans="1:7" x14ac:dyDescent="0.2">
      <c r="A7144" s="116">
        <f>IF(ISNUMBER(Tabela2[[#This Row],[CT-e/NFS]])=TRUE,(IF(B7144&gt;30000,4,IF(B7144&lt;1000,"ND",0))),"-")</f>
        <v>0</v>
      </c>
      <c r="B7144" s="116">
        <v>22629</v>
      </c>
      <c r="C7144" s="117">
        <v>45631</v>
      </c>
      <c r="D7144" s="116">
        <v>350.58</v>
      </c>
      <c r="E7144" s="117">
        <v>45672</v>
      </c>
      <c r="F7144" s="116">
        <f>COUNTIFS($A$3:A15401,A7144,$B$3:B15401,B7144)</f>
        <v>1</v>
      </c>
      <c r="G7144" s="116"/>
    </row>
    <row r="7145" spans="1:7" x14ac:dyDescent="0.2">
      <c r="A7145" s="116">
        <f>IF(ISNUMBER(Tabela2[[#This Row],[CT-e/NFS]])=TRUE,(IF(B7145&gt;30000,4,IF(B7145&lt;1000,"ND",0))),"-")</f>
        <v>4</v>
      </c>
      <c r="B7145" s="116">
        <v>50917</v>
      </c>
      <c r="C7145" s="117">
        <v>45631</v>
      </c>
      <c r="D7145" s="116">
        <v>427.19</v>
      </c>
      <c r="E7145" s="117">
        <v>45672</v>
      </c>
      <c r="F7145" s="116">
        <f>COUNTIFS($A$3:A15402,A7145,$B$3:B15402,B7145)</f>
        <v>1</v>
      </c>
      <c r="G7145" s="116"/>
    </row>
    <row r="7146" spans="1:7" x14ac:dyDescent="0.2">
      <c r="A7146" s="116">
        <f>IF(ISNUMBER(Tabela2[[#This Row],[CT-e/NFS]])=TRUE,(IF(B7146&gt;30000,4,IF(B7146&lt;1000,"ND",0))),"-")</f>
        <v>4</v>
      </c>
      <c r="B7146" s="116">
        <v>50936</v>
      </c>
      <c r="C7146" s="117">
        <v>45631</v>
      </c>
      <c r="D7146" s="116">
        <v>268.98</v>
      </c>
      <c r="E7146" s="117">
        <v>45672</v>
      </c>
      <c r="F7146" s="116">
        <f>COUNTIFS($A$3:A15403,A7146,$B$3:B15403,B7146)</f>
        <v>1</v>
      </c>
      <c r="G7146" s="116"/>
    </row>
    <row r="7147" spans="1:7" x14ac:dyDescent="0.2">
      <c r="A7147" s="116">
        <f>IF(ISNUMBER(Tabela2[[#This Row],[CT-e/NFS]])=TRUE,(IF(B7147&gt;30000,4,IF(B7147&lt;1000,"ND",0))),"-")</f>
        <v>4</v>
      </c>
      <c r="B7147" s="116">
        <v>51110</v>
      </c>
      <c r="C7147" s="117">
        <v>45638</v>
      </c>
      <c r="D7147" s="116">
        <v>451.72</v>
      </c>
      <c r="E7147" s="117">
        <v>45672</v>
      </c>
      <c r="F7147" s="116">
        <f>COUNTIFS($A$3:A15404,A7147,$B$3:B15404,B7147)</f>
        <v>1</v>
      </c>
      <c r="G7147" s="116"/>
    </row>
    <row r="7148" spans="1:7" x14ac:dyDescent="0.2">
      <c r="A7148" s="116">
        <f>IF(ISNUMBER(Tabela2[[#This Row],[CT-e/NFS]])=TRUE,(IF(B7148&gt;30000,4,IF(B7148&lt;1000,"ND",0))),"-")</f>
        <v>4</v>
      </c>
      <c r="B7148" s="116">
        <v>51109</v>
      </c>
      <c r="C7148" s="117">
        <v>45638</v>
      </c>
      <c r="D7148" s="116">
        <v>137.38</v>
      </c>
      <c r="E7148" s="117">
        <v>45672</v>
      </c>
      <c r="F7148" s="116">
        <f>COUNTIFS($A$3:A15405,A7148,$B$3:B15405,B7148)</f>
        <v>1</v>
      </c>
      <c r="G7148" s="116"/>
    </row>
    <row r="7149" spans="1:7" x14ac:dyDescent="0.2">
      <c r="A7149" s="116">
        <f>IF(ISNUMBER(Tabela2[[#This Row],[CT-e/NFS]])=TRUE,(IF(B7149&gt;30000,4,IF(B7149&lt;1000,"ND",0))),"-")</f>
        <v>4</v>
      </c>
      <c r="B7149" s="116">
        <v>51068</v>
      </c>
      <c r="C7149" s="117">
        <v>45638</v>
      </c>
      <c r="D7149" s="116">
        <v>671.05</v>
      </c>
      <c r="E7149" s="117">
        <v>45672</v>
      </c>
      <c r="F7149" s="116">
        <f>COUNTIFS($A$3:A15406,A7149,$B$3:B15406,B7149)</f>
        <v>1</v>
      </c>
      <c r="G7149" s="116"/>
    </row>
    <row r="7150" spans="1:7" x14ac:dyDescent="0.2">
      <c r="A7150" s="116">
        <f>IF(ISNUMBER(Tabela2[[#This Row],[CT-e/NFS]])=TRUE,(IF(B7150&gt;30000,4,IF(B7150&lt;1000,"ND",0))),"-")</f>
        <v>4</v>
      </c>
      <c r="B7150" s="116">
        <v>51057</v>
      </c>
      <c r="C7150" s="117">
        <v>45638</v>
      </c>
      <c r="D7150" s="116">
        <v>281.14999999999998</v>
      </c>
      <c r="E7150" s="117">
        <v>45672</v>
      </c>
      <c r="F7150" s="116">
        <f>COUNTIFS($A$3:A15407,A7150,$B$3:B15407,B7150)</f>
        <v>1</v>
      </c>
      <c r="G7150" s="116"/>
    </row>
    <row r="7151" spans="1:7" x14ac:dyDescent="0.2">
      <c r="A7151" s="116">
        <f>IF(ISNUMBER(Tabela2[[#This Row],[CT-e/NFS]])=TRUE,(IF(B7151&gt;30000,4,IF(B7151&lt;1000,"ND",0))),"-")</f>
        <v>4</v>
      </c>
      <c r="B7151" s="116">
        <v>51054</v>
      </c>
      <c r="C7151" s="117">
        <v>45638</v>
      </c>
      <c r="D7151" s="116">
        <v>517.83000000000004</v>
      </c>
      <c r="E7151" s="117">
        <v>45672</v>
      </c>
      <c r="F7151" s="116">
        <f>COUNTIFS($A$3:A15408,A7151,$B$3:B15408,B7151)</f>
        <v>1</v>
      </c>
      <c r="G7151" s="116"/>
    </row>
    <row r="7152" spans="1:7" x14ac:dyDescent="0.2">
      <c r="A7152" s="116">
        <f>IF(ISNUMBER(Tabela2[[#This Row],[CT-e/NFS]])=TRUE,(IF(B7152&gt;30000,4,IF(B7152&lt;1000,"ND",0))),"-")</f>
        <v>4</v>
      </c>
      <c r="B7152" s="116">
        <v>51047</v>
      </c>
      <c r="C7152" s="117">
        <v>45638</v>
      </c>
      <c r="D7152" s="116">
        <v>261.16000000000003</v>
      </c>
      <c r="E7152" s="117">
        <v>45672</v>
      </c>
      <c r="F7152" s="116">
        <f>COUNTIFS($A$3:A15409,A7152,$B$3:B15409,B7152)</f>
        <v>1</v>
      </c>
      <c r="G7152" s="116"/>
    </row>
    <row r="7153" spans="1:7" x14ac:dyDescent="0.2">
      <c r="A7153" s="116">
        <f>IF(ISNUMBER(Tabela2[[#This Row],[CT-e/NFS]])=TRUE,(IF(B7153&gt;30000,4,IF(B7153&lt;1000,"ND",0))),"-")</f>
        <v>4</v>
      </c>
      <c r="B7153" s="116">
        <v>51045</v>
      </c>
      <c r="C7153" s="117">
        <v>45638</v>
      </c>
      <c r="D7153" s="116">
        <v>135.61000000000001</v>
      </c>
      <c r="E7153" s="117">
        <v>45672</v>
      </c>
      <c r="F7153" s="116">
        <f>COUNTIFS($A$3:A15410,A7153,$B$3:B15410,B7153)</f>
        <v>1</v>
      </c>
      <c r="G7153" s="116"/>
    </row>
    <row r="7154" spans="1:7" x14ac:dyDescent="0.2">
      <c r="A7154" s="116">
        <f>IF(ISNUMBER(Tabela2[[#This Row],[CT-e/NFS]])=TRUE,(IF(B7154&gt;30000,4,IF(B7154&lt;1000,"ND",0))),"-")</f>
        <v>4</v>
      </c>
      <c r="B7154" s="116">
        <v>51041</v>
      </c>
      <c r="C7154" s="117">
        <v>45638</v>
      </c>
      <c r="D7154" s="116">
        <v>121.7</v>
      </c>
      <c r="E7154" s="117">
        <v>45672</v>
      </c>
      <c r="F7154" s="116">
        <f>COUNTIFS($A$3:A15411,A7154,$B$3:B15411,B7154)</f>
        <v>1</v>
      </c>
      <c r="G7154" s="116"/>
    </row>
    <row r="7155" spans="1:7" x14ac:dyDescent="0.2">
      <c r="A7155" s="116">
        <f>IF(ISNUMBER(Tabela2[[#This Row],[CT-e/NFS]])=TRUE,(IF(B7155&gt;30000,4,IF(B7155&lt;1000,"ND",0))),"-")</f>
        <v>4</v>
      </c>
      <c r="B7155" s="116">
        <v>51024</v>
      </c>
      <c r="C7155" s="117">
        <v>45638</v>
      </c>
      <c r="D7155" s="116">
        <v>261.16000000000003</v>
      </c>
      <c r="E7155" s="117">
        <v>45672</v>
      </c>
      <c r="F7155" s="116">
        <f>COUNTIFS($A$3:A15412,A7155,$B$3:B15412,B7155)</f>
        <v>1</v>
      </c>
      <c r="G7155" s="116"/>
    </row>
    <row r="7156" spans="1:7" x14ac:dyDescent="0.2">
      <c r="A7156" s="116">
        <f>IF(ISNUMBER(Tabela2[[#This Row],[CT-e/NFS]])=TRUE,(IF(B7156&gt;30000,4,IF(B7156&lt;1000,"ND",0))),"-")</f>
        <v>4</v>
      </c>
      <c r="B7156" s="116">
        <v>51172</v>
      </c>
      <c r="C7156" s="117">
        <v>45645</v>
      </c>
      <c r="D7156" s="116">
        <v>609.13</v>
      </c>
      <c r="E7156" s="117">
        <v>45672</v>
      </c>
      <c r="F7156" s="116">
        <f>COUNTIFS($A$3:A15413,A7156,$B$3:B15413,B7156)</f>
        <v>1</v>
      </c>
      <c r="G7156" s="116"/>
    </row>
    <row r="7157" spans="1:7" x14ac:dyDescent="0.2">
      <c r="A7157" s="116">
        <f>IF(ISNUMBER(Tabela2[[#This Row],[CT-e/NFS]])=TRUE,(IF(B7157&gt;30000,4,IF(B7157&lt;1000,"ND",0))),"-")</f>
        <v>4</v>
      </c>
      <c r="B7157" s="116">
        <v>51326</v>
      </c>
      <c r="C7157" s="117">
        <v>45652</v>
      </c>
      <c r="D7157" s="116">
        <v>254.07</v>
      </c>
      <c r="E7157" s="117">
        <v>45672</v>
      </c>
      <c r="F7157" s="116">
        <f>COUNTIFS($A$3:A15414,A7157,$B$3:B15414,B7157)</f>
        <v>1</v>
      </c>
      <c r="G7157" s="116"/>
    </row>
    <row r="7158" spans="1:7" x14ac:dyDescent="0.2">
      <c r="A7158" s="116">
        <f>IF(ISNUMBER(Tabela2[[#This Row],[CT-e/NFS]])=TRUE,(IF(B7158&gt;30000,4,IF(B7158&lt;1000,"ND",0))),"-")</f>
        <v>4</v>
      </c>
      <c r="B7158" s="116">
        <v>51294</v>
      </c>
      <c r="C7158" s="117">
        <v>45652</v>
      </c>
      <c r="D7158" s="116">
        <v>108.95</v>
      </c>
      <c r="E7158" s="117">
        <v>45672</v>
      </c>
      <c r="F7158" s="116">
        <f>COUNTIFS($A$3:A15415,A7158,$B$3:B15415,B7158)</f>
        <v>1</v>
      </c>
      <c r="G7158" s="116"/>
    </row>
    <row r="7159" spans="1:7" x14ac:dyDescent="0.2">
      <c r="A7159" s="116">
        <f>IF(ISNUMBER(Tabela2[[#This Row],[CT-e/NFS]])=TRUE,(IF(B7159&gt;30000,4,IF(B7159&lt;1000,"ND",0))),"-")</f>
        <v>4</v>
      </c>
      <c r="B7159" s="116">
        <v>51288</v>
      </c>
      <c r="C7159" s="117">
        <v>45652</v>
      </c>
      <c r="D7159" s="116">
        <v>986.56</v>
      </c>
      <c r="E7159" s="117">
        <v>45672</v>
      </c>
      <c r="F7159" s="116">
        <f>COUNTIFS($A$3:A15416,A7159,$B$3:B15416,B7159)</f>
        <v>1</v>
      </c>
      <c r="G7159" s="116"/>
    </row>
    <row r="7160" spans="1:7" x14ac:dyDescent="0.2">
      <c r="A7160" s="116">
        <f>IF(ISNUMBER(Tabela2[[#This Row],[CT-e/NFS]])=TRUE,(IF(B7160&gt;30000,4,IF(B7160&lt;1000,"ND",0))),"-")</f>
        <v>4</v>
      </c>
      <c r="B7160" s="116">
        <v>51275</v>
      </c>
      <c r="C7160" s="117">
        <v>45652</v>
      </c>
      <c r="D7160" s="116">
        <v>106.89</v>
      </c>
      <c r="E7160" s="117">
        <v>45672</v>
      </c>
      <c r="F7160" s="116">
        <f>COUNTIFS($A$3:A15417,A7160,$B$3:B15417,B7160)</f>
        <v>1</v>
      </c>
      <c r="G7160" s="116"/>
    </row>
    <row r="7161" spans="1:7" x14ac:dyDescent="0.2">
      <c r="A7161" s="116">
        <f>IF(ISNUMBER(Tabela2[[#This Row],[CT-e/NFS]])=TRUE,(IF(B7161&gt;30000,4,IF(B7161&lt;1000,"ND",0))),"-")</f>
        <v>4</v>
      </c>
      <c r="B7161" s="116">
        <v>51396</v>
      </c>
      <c r="C7161" s="117">
        <v>45652</v>
      </c>
      <c r="D7161" s="116">
        <v>517.83000000000004</v>
      </c>
      <c r="E7161" s="117">
        <v>45672</v>
      </c>
      <c r="F7161" s="116">
        <f>COUNTIFS($A$3:A15418,A7161,$B$3:B15418,B7161)</f>
        <v>1</v>
      </c>
      <c r="G7161" s="116"/>
    </row>
    <row r="7162" spans="1:7" x14ac:dyDescent="0.2">
      <c r="A7162" s="116">
        <f>IF(ISNUMBER(Tabela2[[#This Row],[CT-e/NFS]])=TRUE,(IF(B7162&gt;30000,4,IF(B7162&lt;1000,"ND",0))),"-")</f>
        <v>4</v>
      </c>
      <c r="B7162" s="116">
        <v>51347</v>
      </c>
      <c r="C7162" s="117">
        <v>45652</v>
      </c>
      <c r="D7162" s="116">
        <v>1568.45</v>
      </c>
      <c r="E7162" s="117">
        <v>45672</v>
      </c>
      <c r="F7162" s="116">
        <f>COUNTIFS($A$3:A15419,A7162,$B$3:B15419,B7162)</f>
        <v>1</v>
      </c>
      <c r="G7162" s="116"/>
    </row>
    <row r="7163" spans="1:7" x14ac:dyDescent="0.2">
      <c r="A7163" s="116">
        <f>IF(ISNUMBER(Tabela2[[#This Row],[CT-e/NFS]])=TRUE,(IF(B7163&gt;30000,4,IF(B7163&lt;1000,"ND",0))),"-")</f>
        <v>4</v>
      </c>
      <c r="B7163" s="116">
        <v>51346</v>
      </c>
      <c r="C7163" s="117">
        <v>45652</v>
      </c>
      <c r="D7163" s="116">
        <v>2120</v>
      </c>
      <c r="E7163" s="117">
        <v>45672</v>
      </c>
      <c r="F7163" s="116">
        <f>COUNTIFS($A$3:A15420,A7163,$B$3:B15420,B7163)</f>
        <v>1</v>
      </c>
      <c r="G7163" s="116"/>
    </row>
    <row r="7164" spans="1:7" x14ac:dyDescent="0.2">
      <c r="A7164" s="116">
        <f>IF(ISNUMBER(Tabela2[[#This Row],[CT-e/NFS]])=TRUE,(IF(B7164&gt;30000,4,IF(B7164&lt;1000,"ND",0))),"-")</f>
        <v>4</v>
      </c>
      <c r="B7164" s="116">
        <v>51333</v>
      </c>
      <c r="C7164" s="117">
        <v>45652</v>
      </c>
      <c r="D7164" s="116">
        <v>281.94</v>
      </c>
      <c r="E7164" s="117">
        <v>45672</v>
      </c>
      <c r="F7164" s="116">
        <f>COUNTIFS($A$3:A15421,A7164,$B$3:B15421,B7164)</f>
        <v>1</v>
      </c>
      <c r="G7164" s="116"/>
    </row>
    <row r="7165" spans="1:7" x14ac:dyDescent="0.2">
      <c r="A7165" s="116">
        <f>IF(ISNUMBER(Tabela2[[#This Row],[CT-e/NFS]])=TRUE,(IF(B7165&gt;30000,4,IF(B7165&lt;1000,"ND",0))),"-")</f>
        <v>0</v>
      </c>
      <c r="B7165" s="116">
        <v>21722</v>
      </c>
      <c r="C7165" s="117">
        <v>45659</v>
      </c>
      <c r="D7165" s="116">
        <v>94.01</v>
      </c>
      <c r="E7165" s="117">
        <v>45672</v>
      </c>
      <c r="F7165" s="116">
        <f>COUNTIFS($A$3:A15422,A7165,$B$3:B15422,B7165)</f>
        <v>1</v>
      </c>
      <c r="G7165" s="116"/>
    </row>
    <row r="7166" spans="1:7" x14ac:dyDescent="0.2">
      <c r="A7166" s="116">
        <f>IF(ISNUMBER(Tabela2[[#This Row],[CT-e/NFS]])=TRUE,(IF(B7166&gt;30000,4,IF(B7166&lt;1000,"ND",0))),"-")</f>
        <v>4</v>
      </c>
      <c r="B7166" s="116">
        <v>47828</v>
      </c>
      <c r="C7166" s="117">
        <v>45659</v>
      </c>
      <c r="D7166" s="116">
        <v>271.51</v>
      </c>
      <c r="E7166" s="117">
        <v>45672</v>
      </c>
      <c r="F7166" s="116">
        <f>COUNTIFS($A$3:A15423,A7166,$B$3:B15423,B7166)</f>
        <v>1</v>
      </c>
      <c r="G7166" s="116"/>
    </row>
    <row r="7167" spans="1:7" x14ac:dyDescent="0.2">
      <c r="A7167" s="116">
        <f>IF(ISNUMBER(Tabela2[[#This Row],[CT-e/NFS]])=TRUE,(IF(B7167&gt;30000,4,IF(B7167&lt;1000,"ND",0))),"-")</f>
        <v>4</v>
      </c>
      <c r="B7167" s="116">
        <v>47764</v>
      </c>
      <c r="C7167" s="117">
        <v>45659</v>
      </c>
      <c r="D7167" s="116">
        <v>163.82</v>
      </c>
      <c r="E7167" s="117">
        <v>45672</v>
      </c>
      <c r="F7167" s="116">
        <f>COUNTIFS($A$3:A15424,A7167,$B$3:B15424,B7167)</f>
        <v>1</v>
      </c>
      <c r="G7167" s="116"/>
    </row>
    <row r="7168" spans="1:7" x14ac:dyDescent="0.2">
      <c r="A7168" s="116">
        <f>IF(ISNUMBER(Tabela2[[#This Row],[CT-e/NFS]])=TRUE,(IF(B7168&gt;30000,4,IF(B7168&lt;1000,"ND",0))),"-")</f>
        <v>0</v>
      </c>
      <c r="B7168" s="116">
        <v>22509</v>
      </c>
      <c r="C7168" s="117">
        <v>45659</v>
      </c>
      <c r="D7168" s="116">
        <v>76.23</v>
      </c>
      <c r="E7168" s="117">
        <v>45672</v>
      </c>
      <c r="F7168" s="116">
        <f>COUNTIFS($A$3:A15425,A7168,$B$3:B15425,B7168)</f>
        <v>1</v>
      </c>
      <c r="G7168" s="116"/>
    </row>
    <row r="7169" spans="1:7" x14ac:dyDescent="0.2">
      <c r="A7169" s="116">
        <f>IF(ISNUMBER(Tabela2[[#This Row],[CT-e/NFS]])=TRUE,(IF(B7169&gt;30000,4,IF(B7169&lt;1000,"ND",0))),"-")</f>
        <v>0</v>
      </c>
      <c r="B7169" s="116">
        <v>22563</v>
      </c>
      <c r="C7169" s="117">
        <v>45659</v>
      </c>
      <c r="D7169" s="116">
        <v>38.64</v>
      </c>
      <c r="E7169" s="117">
        <v>45672</v>
      </c>
      <c r="F7169" s="116">
        <f>COUNTIFS($A$3:A15426,A7169,$B$3:B15426,B7169)</f>
        <v>1</v>
      </c>
      <c r="G7169" s="116"/>
    </row>
    <row r="7170" spans="1:7" x14ac:dyDescent="0.2">
      <c r="A7170" s="116">
        <f>IF(ISNUMBER(Tabela2[[#This Row],[CT-e/NFS]])=TRUE,(IF(B7170&gt;30000,4,IF(B7170&lt;1000,"ND",0))),"-")</f>
        <v>4</v>
      </c>
      <c r="B7170" s="116">
        <v>50807</v>
      </c>
      <c r="C7170" s="117">
        <v>45658</v>
      </c>
      <c r="D7170" s="116">
        <v>124.06</v>
      </c>
      <c r="E7170" s="117">
        <v>45672</v>
      </c>
      <c r="F7170" s="116">
        <f>COUNTIFS($A$3:A15427,A7170,$B$3:B15427,B7170)</f>
        <v>1</v>
      </c>
      <c r="G7170" s="116"/>
    </row>
    <row r="7171" spans="1:7" x14ac:dyDescent="0.2">
      <c r="A7171" s="116">
        <f>IF(ISNUMBER(Tabela2[[#This Row],[CT-e/NFS]])=TRUE,(IF(B7171&gt;30000,4,IF(B7171&lt;1000,"ND",0))),"-")</f>
        <v>4</v>
      </c>
      <c r="B7171" s="116">
        <v>50808</v>
      </c>
      <c r="C7171" s="117">
        <v>45658</v>
      </c>
      <c r="D7171" s="116">
        <v>865.78</v>
      </c>
      <c r="E7171" s="117">
        <v>45672</v>
      </c>
      <c r="F7171" s="116">
        <f>COUNTIFS($A$3:A15428,A7171,$B$3:B15428,B7171)</f>
        <v>1</v>
      </c>
      <c r="G7171" s="116"/>
    </row>
    <row r="7172" spans="1:7" x14ac:dyDescent="0.2">
      <c r="A7172" s="116">
        <f>IF(ISNUMBER(Tabela2[[#This Row],[CT-e/NFS]])=TRUE,(IF(B7172&gt;30000,4,IF(B7172&lt;1000,"ND",0))),"-")</f>
        <v>4</v>
      </c>
      <c r="B7172" s="116">
        <v>50817</v>
      </c>
      <c r="C7172" s="117">
        <v>45658</v>
      </c>
      <c r="D7172" s="116">
        <v>125.69</v>
      </c>
      <c r="E7172" s="117">
        <v>45672</v>
      </c>
      <c r="F7172" s="116">
        <f>COUNTIFS($A$3:A15429,A7172,$B$3:B15429,B7172)</f>
        <v>1</v>
      </c>
      <c r="G7172" s="116"/>
    </row>
    <row r="7173" spans="1:7" x14ac:dyDescent="0.2">
      <c r="A7173" s="116">
        <f>IF(ISNUMBER(Tabela2[[#This Row],[CT-e/NFS]])=TRUE,(IF(B7173&gt;30000,4,IF(B7173&lt;1000,"ND",0))),"-")</f>
        <v>4</v>
      </c>
      <c r="B7173" s="116">
        <v>50824</v>
      </c>
      <c r="C7173" s="117">
        <v>45658</v>
      </c>
      <c r="D7173" s="116">
        <v>114.08</v>
      </c>
      <c r="E7173" s="117">
        <v>45672</v>
      </c>
      <c r="F7173" s="116">
        <f>COUNTIFS($A$3:A15430,A7173,$B$3:B15430,B7173)</f>
        <v>1</v>
      </c>
      <c r="G7173" s="116"/>
    </row>
    <row r="7174" spans="1:7" x14ac:dyDescent="0.2">
      <c r="A7174" s="116">
        <f>IF(ISNUMBER(Tabela2[[#This Row],[CT-e/NFS]])=TRUE,(IF(B7174&gt;30000,4,IF(B7174&lt;1000,"ND",0))),"-")</f>
        <v>4</v>
      </c>
      <c r="B7174" s="116">
        <v>50811</v>
      </c>
      <c r="C7174" s="117">
        <v>45658</v>
      </c>
      <c r="D7174" s="116">
        <v>123.08</v>
      </c>
      <c r="E7174" s="117">
        <v>45672</v>
      </c>
      <c r="F7174" s="116">
        <f>COUNTIFS($A$3:A15431,A7174,$B$3:B15431,B7174)</f>
        <v>1</v>
      </c>
      <c r="G7174" s="116"/>
    </row>
    <row r="7175" spans="1:7" x14ac:dyDescent="0.2">
      <c r="A7175" s="116">
        <f>IF(ISNUMBER(Tabela2[[#This Row],[CT-e/NFS]])=TRUE,(IF(B7175&gt;30000,4,IF(B7175&lt;1000,"ND",0))),"-")</f>
        <v>4</v>
      </c>
      <c r="B7175" s="116">
        <v>50816</v>
      </c>
      <c r="C7175" s="117">
        <v>45658</v>
      </c>
      <c r="D7175" s="116">
        <v>157.25</v>
      </c>
      <c r="E7175" s="117">
        <v>45672</v>
      </c>
      <c r="F7175" s="116">
        <f>COUNTIFS($A$3:A15432,A7175,$B$3:B15432,B7175)</f>
        <v>1</v>
      </c>
      <c r="G7175" s="116"/>
    </row>
    <row r="7176" spans="1:7" x14ac:dyDescent="0.2">
      <c r="A7176" s="116">
        <f>IF(ISNUMBER(Tabela2[[#This Row],[CT-e/NFS]])=TRUE,(IF(B7176&gt;30000,4,IF(B7176&lt;1000,"ND",0))),"-")</f>
        <v>4</v>
      </c>
      <c r="B7176" s="116">
        <v>50809</v>
      </c>
      <c r="C7176" s="117">
        <v>45658</v>
      </c>
      <c r="D7176" s="116">
        <v>147.80000000000001</v>
      </c>
      <c r="E7176" s="117">
        <v>45672</v>
      </c>
      <c r="F7176" s="116">
        <f>COUNTIFS($A$3:A15433,A7176,$B$3:B15433,B7176)</f>
        <v>1</v>
      </c>
      <c r="G7176" s="116"/>
    </row>
    <row r="7177" spans="1:7" x14ac:dyDescent="0.2">
      <c r="A7177" s="116">
        <f>IF(ISNUMBER(Tabela2[[#This Row],[CT-e/NFS]])=TRUE,(IF(B7177&gt;30000,4,IF(B7177&lt;1000,"ND",0))),"-")</f>
        <v>4</v>
      </c>
      <c r="B7177" s="116">
        <v>50819</v>
      </c>
      <c r="C7177" s="117">
        <v>45658</v>
      </c>
      <c r="D7177" s="116">
        <v>238.82</v>
      </c>
      <c r="E7177" s="117">
        <v>45672</v>
      </c>
      <c r="F7177" s="116">
        <f>COUNTIFS($A$3:A15434,A7177,$B$3:B15434,B7177)</f>
        <v>1</v>
      </c>
      <c r="G7177" s="116"/>
    </row>
    <row r="7178" spans="1:7" x14ac:dyDescent="0.2">
      <c r="A7178" s="116">
        <f>IF(ISNUMBER(Tabela2[[#This Row],[CT-e/NFS]])=TRUE,(IF(B7178&gt;30000,4,IF(B7178&lt;1000,"ND",0))),"-")</f>
        <v>4</v>
      </c>
      <c r="B7178" s="116">
        <v>50814</v>
      </c>
      <c r="C7178" s="117">
        <v>45658</v>
      </c>
      <c r="D7178" s="116">
        <v>126.65</v>
      </c>
      <c r="E7178" s="117">
        <v>45672</v>
      </c>
      <c r="F7178" s="116">
        <f>COUNTIFS($A$3:A15435,A7178,$B$3:B15435,B7178)</f>
        <v>1</v>
      </c>
      <c r="G7178" s="116"/>
    </row>
    <row r="7179" spans="1:7" x14ac:dyDescent="0.2">
      <c r="A7179" s="116">
        <f>IF(ISNUMBER(Tabela2[[#This Row],[CT-e/NFS]])=TRUE,(IF(B7179&gt;30000,4,IF(B7179&lt;1000,"ND",0))),"-")</f>
        <v>4</v>
      </c>
      <c r="B7179" s="116">
        <v>50823</v>
      </c>
      <c r="C7179" s="117">
        <v>45658</v>
      </c>
      <c r="D7179" s="116">
        <v>63.17</v>
      </c>
      <c r="E7179" s="117">
        <v>45672</v>
      </c>
      <c r="F7179" s="116">
        <f>COUNTIFS($A$3:A15436,A7179,$B$3:B15436,B7179)</f>
        <v>1</v>
      </c>
      <c r="G7179" s="116"/>
    </row>
    <row r="7180" spans="1:7" x14ac:dyDescent="0.2">
      <c r="A7180" s="116">
        <f>IF(ISNUMBER(Tabela2[[#This Row],[CT-e/NFS]])=TRUE,(IF(B7180&gt;30000,4,IF(B7180&lt;1000,"ND",0))),"-")</f>
        <v>4</v>
      </c>
      <c r="B7180" s="116">
        <v>50812</v>
      </c>
      <c r="C7180" s="117">
        <v>45658</v>
      </c>
      <c r="D7180" s="116">
        <v>123.05</v>
      </c>
      <c r="E7180" s="117">
        <v>45672</v>
      </c>
      <c r="F7180" s="116">
        <f>COUNTIFS($A$3:A15437,A7180,$B$3:B15437,B7180)</f>
        <v>1</v>
      </c>
      <c r="G7180" s="116"/>
    </row>
    <row r="7181" spans="1:7" x14ac:dyDescent="0.2">
      <c r="A7181" s="116">
        <f>IF(ISNUMBER(Tabela2[[#This Row],[CT-e/NFS]])=TRUE,(IF(B7181&gt;30000,4,IF(B7181&lt;1000,"ND",0))),"-")</f>
        <v>4</v>
      </c>
      <c r="B7181" s="116">
        <v>50813</v>
      </c>
      <c r="C7181" s="117">
        <v>45658</v>
      </c>
      <c r="D7181" s="116">
        <v>753.77</v>
      </c>
      <c r="E7181" s="117">
        <v>45672</v>
      </c>
      <c r="F7181" s="116">
        <f>COUNTIFS($A$3:A15438,A7181,$B$3:B15438,B7181)</f>
        <v>1</v>
      </c>
      <c r="G7181" s="116"/>
    </row>
    <row r="7182" spans="1:7" x14ac:dyDescent="0.2">
      <c r="A7182" s="116">
        <f>IF(ISNUMBER(Tabela2[[#This Row],[CT-e/NFS]])=TRUE,(IF(B7182&gt;30000,4,IF(B7182&lt;1000,"ND",0))),"-")</f>
        <v>4</v>
      </c>
      <c r="B7182" s="116">
        <v>50818</v>
      </c>
      <c r="C7182" s="117">
        <v>45658</v>
      </c>
      <c r="D7182" s="116">
        <v>266.77999999999997</v>
      </c>
      <c r="E7182" s="117">
        <v>45672</v>
      </c>
      <c r="F7182" s="116">
        <f>COUNTIFS($A$3:A15439,A7182,$B$3:B15439,B7182)</f>
        <v>1</v>
      </c>
      <c r="G7182" s="116"/>
    </row>
    <row r="7183" spans="1:7" x14ac:dyDescent="0.2">
      <c r="A7183" s="116">
        <f>IF(ISNUMBER(Tabela2[[#This Row],[CT-e/NFS]])=TRUE,(IF(B7183&gt;30000,4,IF(B7183&lt;1000,"ND",0))),"-")</f>
        <v>4</v>
      </c>
      <c r="B7183" s="116">
        <v>50806</v>
      </c>
      <c r="C7183" s="117">
        <v>45658</v>
      </c>
      <c r="D7183" s="116">
        <v>124.07</v>
      </c>
      <c r="E7183" s="117">
        <v>45672</v>
      </c>
      <c r="F7183" s="116">
        <f>COUNTIFS($A$3:A15440,A7183,$B$3:B15440,B7183)</f>
        <v>1</v>
      </c>
      <c r="G7183" s="116"/>
    </row>
    <row r="7184" spans="1:7" x14ac:dyDescent="0.2">
      <c r="A7184" s="116">
        <f>IF(ISNUMBER(Tabela2[[#This Row],[CT-e/NFS]])=TRUE,(IF(B7184&gt;30000,4,IF(B7184&lt;1000,"ND",0))),"-")</f>
        <v>0</v>
      </c>
      <c r="B7184" s="116">
        <v>22588</v>
      </c>
      <c r="C7184" s="117">
        <v>45658</v>
      </c>
      <c r="D7184" s="116">
        <v>76.59</v>
      </c>
      <c r="E7184" s="117">
        <v>45672</v>
      </c>
      <c r="F7184" s="116">
        <f>COUNTIFS($A$3:A15441,A7184,$B$3:B15441,B7184)</f>
        <v>1</v>
      </c>
      <c r="G7184" s="116"/>
    </row>
    <row r="7185" spans="1:7" x14ac:dyDescent="0.2">
      <c r="A7185" s="116">
        <f>IF(ISNUMBER(Tabela2[[#This Row],[CT-e/NFS]])=TRUE,(IF(B7185&gt;30000,4,IF(B7185&lt;1000,"ND",0))),"-")</f>
        <v>0</v>
      </c>
      <c r="B7185" s="116">
        <v>22590</v>
      </c>
      <c r="C7185" s="117">
        <v>45658</v>
      </c>
      <c r="D7185" s="116">
        <v>76</v>
      </c>
      <c r="E7185" s="117">
        <v>45672</v>
      </c>
      <c r="F7185" s="116">
        <f>COUNTIFS($A$3:A15442,A7185,$B$3:B15442,B7185)</f>
        <v>1</v>
      </c>
      <c r="G7185" s="116"/>
    </row>
    <row r="7186" spans="1:7" x14ac:dyDescent="0.2">
      <c r="A7186" s="116">
        <f>IF(ISNUMBER(Tabela2[[#This Row],[CT-e/NFS]])=TRUE,(IF(B7186&gt;30000,4,IF(B7186&lt;1000,"ND",0))),"-")</f>
        <v>0</v>
      </c>
      <c r="B7186" s="116">
        <v>22591</v>
      </c>
      <c r="C7186" s="117">
        <v>45658</v>
      </c>
      <c r="D7186" s="116">
        <v>75.67</v>
      </c>
      <c r="E7186" s="117">
        <v>45672</v>
      </c>
      <c r="F7186" s="116">
        <f>COUNTIFS($A$3:A15443,A7186,$B$3:B15443,B7186)</f>
        <v>1</v>
      </c>
      <c r="G7186" s="116"/>
    </row>
    <row r="7187" spans="1:7" x14ac:dyDescent="0.2">
      <c r="A7187" s="116">
        <f>IF(ISNUMBER(Tabela2[[#This Row],[CT-e/NFS]])=TRUE,(IF(B7187&gt;30000,4,IF(B7187&lt;1000,"ND",0))),"-")</f>
        <v>0</v>
      </c>
      <c r="B7187" s="116">
        <v>22592</v>
      </c>
      <c r="C7187" s="117">
        <v>45658</v>
      </c>
      <c r="D7187" s="116">
        <v>75.849999999999994</v>
      </c>
      <c r="E7187" s="117">
        <v>45672</v>
      </c>
      <c r="F7187" s="116">
        <f>COUNTIFS($A$3:A15444,A7187,$B$3:B15444,B7187)</f>
        <v>1</v>
      </c>
      <c r="G7187" s="116"/>
    </row>
    <row r="7188" spans="1:7" x14ac:dyDescent="0.2">
      <c r="A7188" s="116">
        <f>IF(ISNUMBER(Tabela2[[#This Row],[CT-e/NFS]])=TRUE,(IF(B7188&gt;30000,4,IF(B7188&lt;1000,"ND",0))),"-")</f>
        <v>0</v>
      </c>
      <c r="B7188" s="116">
        <v>22589</v>
      </c>
      <c r="C7188" s="117">
        <v>45658</v>
      </c>
      <c r="D7188" s="116">
        <v>75.61</v>
      </c>
      <c r="E7188" s="117">
        <v>45672</v>
      </c>
      <c r="F7188" s="116">
        <f>COUNTIFS($A$3:A15445,A7188,$B$3:B15445,B7188)</f>
        <v>1</v>
      </c>
      <c r="G7188" s="116"/>
    </row>
    <row r="7189" spans="1:7" x14ac:dyDescent="0.2">
      <c r="A7189" s="116">
        <f>IF(ISNUMBER(Tabela2[[#This Row],[CT-e/NFS]])=TRUE,(IF(B7189&gt;30000,4,IF(B7189&lt;1000,"ND",0))),"-")</f>
        <v>0</v>
      </c>
      <c r="B7189" s="116">
        <v>22593</v>
      </c>
      <c r="C7189" s="117">
        <v>45658</v>
      </c>
      <c r="D7189" s="116">
        <v>75.8</v>
      </c>
      <c r="E7189" s="117">
        <v>45672</v>
      </c>
      <c r="F7189" s="116">
        <f>COUNTIFS($A$3:A15446,A7189,$B$3:B15446,B7189)</f>
        <v>1</v>
      </c>
      <c r="G7189" s="116"/>
    </row>
    <row r="7190" spans="1:7" x14ac:dyDescent="0.2">
      <c r="A7190" s="116">
        <f>IF(ISNUMBER(Tabela2[[#This Row],[CT-e/NFS]])=TRUE,(IF(B7190&gt;30000,4,IF(B7190&lt;1000,"ND",0))),"-")</f>
        <v>0</v>
      </c>
      <c r="B7190" s="116">
        <v>22595</v>
      </c>
      <c r="C7190" s="117">
        <v>45658</v>
      </c>
      <c r="D7190" s="116">
        <v>75.72</v>
      </c>
      <c r="E7190" s="117">
        <v>45672</v>
      </c>
      <c r="F7190" s="116">
        <f>COUNTIFS($A$3:A15447,A7190,$B$3:B15447,B7190)</f>
        <v>1</v>
      </c>
      <c r="G7190" s="116"/>
    </row>
    <row r="7191" spans="1:7" x14ac:dyDescent="0.2">
      <c r="A7191" s="116">
        <f>IF(ISNUMBER(Tabela2[[#This Row],[CT-e/NFS]])=TRUE,(IF(B7191&gt;30000,4,IF(B7191&lt;1000,"ND",0))),"-")</f>
        <v>0</v>
      </c>
      <c r="B7191" s="116">
        <v>22597</v>
      </c>
      <c r="C7191" s="117">
        <v>45658</v>
      </c>
      <c r="D7191" s="116">
        <v>76.41</v>
      </c>
      <c r="E7191" s="117">
        <v>45672</v>
      </c>
      <c r="F7191" s="116">
        <f>COUNTIFS($A$3:A15448,A7191,$B$3:B15448,B7191)</f>
        <v>1</v>
      </c>
      <c r="G7191" s="116"/>
    </row>
    <row r="7192" spans="1:7" x14ac:dyDescent="0.2">
      <c r="A7192" s="116">
        <f>IF(ISNUMBER(Tabela2[[#This Row],[CT-e/NFS]])=TRUE,(IF(B7192&gt;30000,4,IF(B7192&lt;1000,"ND",0))),"-")</f>
        <v>0</v>
      </c>
      <c r="B7192" s="116">
        <v>22594</v>
      </c>
      <c r="C7192" s="117">
        <v>45658</v>
      </c>
      <c r="D7192" s="116">
        <v>76.58</v>
      </c>
      <c r="E7192" s="117">
        <v>45672</v>
      </c>
      <c r="F7192" s="116">
        <f>COUNTIFS($A$3:A15449,A7192,$B$3:B15449,B7192)</f>
        <v>1</v>
      </c>
      <c r="G7192" s="116"/>
    </row>
    <row r="7193" spans="1:7" x14ac:dyDescent="0.2">
      <c r="A7193" s="116">
        <f>IF(ISNUMBER(Tabela2[[#This Row],[CT-e/NFS]])=TRUE,(IF(B7193&gt;30000,4,IF(B7193&lt;1000,"ND",0))),"-")</f>
        <v>0</v>
      </c>
      <c r="B7193" s="116">
        <v>22601</v>
      </c>
      <c r="C7193" s="117">
        <v>45658</v>
      </c>
      <c r="D7193" s="116">
        <v>146.43</v>
      </c>
      <c r="E7193" s="117">
        <v>45672</v>
      </c>
      <c r="F7193" s="116">
        <f>COUNTIFS($A$3:A15450,A7193,$B$3:B15450,B7193)</f>
        <v>1</v>
      </c>
      <c r="G7193" s="116"/>
    </row>
    <row r="7194" spans="1:7" x14ac:dyDescent="0.2">
      <c r="A7194" s="116">
        <f>IF(ISNUMBER(Tabela2[[#This Row],[CT-e/NFS]])=TRUE,(IF(B7194&gt;30000,4,IF(B7194&lt;1000,"ND",0))),"-")</f>
        <v>4</v>
      </c>
      <c r="B7194" s="116">
        <v>50827</v>
      </c>
      <c r="C7194" s="117">
        <v>45658</v>
      </c>
      <c r="D7194" s="116">
        <v>218.06</v>
      </c>
      <c r="E7194" s="117">
        <v>45672</v>
      </c>
      <c r="F7194" s="116">
        <f>COUNTIFS($A$3:A15451,A7194,$B$3:B15451,B7194)</f>
        <v>1</v>
      </c>
      <c r="G7194" s="116"/>
    </row>
    <row r="7195" spans="1:7" x14ac:dyDescent="0.2">
      <c r="A7195" s="116">
        <f>IF(ISNUMBER(Tabela2[[#This Row],[CT-e/NFS]])=TRUE,(IF(B7195&gt;30000,4,IF(B7195&lt;1000,"ND",0))),"-")</f>
        <v>4</v>
      </c>
      <c r="B7195" s="116">
        <v>50825</v>
      </c>
      <c r="C7195" s="117">
        <v>45658</v>
      </c>
      <c r="D7195" s="116">
        <v>372.3</v>
      </c>
      <c r="E7195" s="117">
        <v>45672</v>
      </c>
      <c r="F7195" s="116">
        <f>COUNTIFS($A$3:A15452,A7195,$B$3:B15452,B7195)</f>
        <v>1</v>
      </c>
      <c r="G7195" s="116"/>
    </row>
    <row r="7196" spans="1:7" x14ac:dyDescent="0.2">
      <c r="A7196" s="116">
        <f>IF(ISNUMBER(Tabela2[[#This Row],[CT-e/NFS]])=TRUE,(IF(B7196&gt;30000,4,IF(B7196&lt;1000,"ND",0))),"-")</f>
        <v>4</v>
      </c>
      <c r="B7196" s="116">
        <v>50828</v>
      </c>
      <c r="C7196" s="117">
        <v>45658</v>
      </c>
      <c r="D7196" s="116">
        <v>177.28</v>
      </c>
      <c r="E7196" s="117">
        <v>45672</v>
      </c>
      <c r="F7196" s="116">
        <f>COUNTIFS($A$3:A15453,A7196,$B$3:B15453,B7196)</f>
        <v>1</v>
      </c>
      <c r="G7196" s="116"/>
    </row>
    <row r="7197" spans="1:7" x14ac:dyDescent="0.2">
      <c r="A7197" s="116">
        <f>IF(ISNUMBER(Tabela2[[#This Row],[CT-e/NFS]])=TRUE,(IF(B7197&gt;30000,4,IF(B7197&lt;1000,"ND",0))),"-")</f>
        <v>4</v>
      </c>
      <c r="B7197" s="116">
        <v>50826</v>
      </c>
      <c r="C7197" s="117">
        <v>45658</v>
      </c>
      <c r="D7197" s="116">
        <v>370.08</v>
      </c>
      <c r="E7197" s="117">
        <v>45672</v>
      </c>
      <c r="F7197" s="116">
        <f>COUNTIFS($A$3:A15454,A7197,$B$3:B15454,B7197)</f>
        <v>1</v>
      </c>
      <c r="G7197" s="116"/>
    </row>
    <row r="7198" spans="1:7" x14ac:dyDescent="0.2">
      <c r="A7198" s="116">
        <f>IF(ISNUMBER(Tabela2[[#This Row],[CT-e/NFS]])=TRUE,(IF(B7198&gt;30000,4,IF(B7198&lt;1000,"ND",0))),"-")</f>
        <v>4</v>
      </c>
      <c r="B7198" s="116">
        <v>50834</v>
      </c>
      <c r="C7198" s="117">
        <v>45658</v>
      </c>
      <c r="D7198" s="116">
        <v>172.72</v>
      </c>
      <c r="E7198" s="117">
        <v>45672</v>
      </c>
      <c r="F7198" s="116">
        <f>COUNTIFS($A$3:A15455,A7198,$B$3:B15455,B7198)</f>
        <v>1</v>
      </c>
      <c r="G7198" s="116"/>
    </row>
    <row r="7199" spans="1:7" x14ac:dyDescent="0.2">
      <c r="A7199" s="116">
        <f>IF(ISNUMBER(Tabela2[[#This Row],[CT-e/NFS]])=TRUE,(IF(B7199&gt;30000,4,IF(B7199&lt;1000,"ND",0))),"-")</f>
        <v>4</v>
      </c>
      <c r="B7199" s="116">
        <v>50833</v>
      </c>
      <c r="C7199" s="117">
        <v>45658</v>
      </c>
      <c r="D7199" s="116">
        <v>124.16</v>
      </c>
      <c r="E7199" s="117">
        <v>45672</v>
      </c>
      <c r="F7199" s="116">
        <f>COUNTIFS($A$3:A15456,A7199,$B$3:B15456,B7199)</f>
        <v>1</v>
      </c>
      <c r="G7199" s="116"/>
    </row>
    <row r="7200" spans="1:7" x14ac:dyDescent="0.2">
      <c r="A7200" s="116">
        <f>IF(ISNUMBER(Tabela2[[#This Row],[CT-e/NFS]])=TRUE,(IF(B7200&gt;30000,4,IF(B7200&lt;1000,"ND",0))),"-")</f>
        <v>4</v>
      </c>
      <c r="B7200" s="116">
        <v>50831</v>
      </c>
      <c r="C7200" s="117">
        <v>45658</v>
      </c>
      <c r="D7200" s="116">
        <v>126.51</v>
      </c>
      <c r="E7200" s="117">
        <v>45672</v>
      </c>
      <c r="F7200" s="116">
        <f>COUNTIFS($A$3:A15457,A7200,$B$3:B15457,B7200)</f>
        <v>1</v>
      </c>
      <c r="G7200" s="116"/>
    </row>
    <row r="7201" spans="1:7" x14ac:dyDescent="0.2">
      <c r="A7201" s="116">
        <f>IF(ISNUMBER(Tabela2[[#This Row],[CT-e/NFS]])=TRUE,(IF(B7201&gt;30000,4,IF(B7201&lt;1000,"ND",0))),"-")</f>
        <v>4</v>
      </c>
      <c r="B7201" s="116">
        <v>50836</v>
      </c>
      <c r="C7201" s="117">
        <v>45658</v>
      </c>
      <c r="D7201" s="116">
        <v>1170.07</v>
      </c>
      <c r="E7201" s="117">
        <v>45672</v>
      </c>
      <c r="F7201" s="116">
        <f>COUNTIFS($A$3:A15458,A7201,$B$3:B15458,B7201)</f>
        <v>1</v>
      </c>
      <c r="G7201" s="116"/>
    </row>
    <row r="7202" spans="1:7" x14ac:dyDescent="0.2">
      <c r="A7202" s="116">
        <f>IF(ISNUMBER(Tabela2[[#This Row],[CT-e/NFS]])=TRUE,(IF(B7202&gt;30000,4,IF(B7202&lt;1000,"ND",0))),"-")</f>
        <v>4</v>
      </c>
      <c r="B7202" s="116">
        <v>50837</v>
      </c>
      <c r="C7202" s="117">
        <v>45658</v>
      </c>
      <c r="D7202" s="116">
        <v>62.03</v>
      </c>
      <c r="E7202" s="117">
        <v>45672</v>
      </c>
      <c r="F7202" s="116">
        <f>COUNTIFS($A$3:A15459,A7202,$B$3:B15459,B7202)</f>
        <v>1</v>
      </c>
      <c r="G7202" s="116"/>
    </row>
    <row r="7203" spans="1:7" x14ac:dyDescent="0.2">
      <c r="A7203" s="116">
        <f>IF(ISNUMBER(Tabela2[[#This Row],[CT-e/NFS]])=TRUE,(IF(B7203&gt;30000,4,IF(B7203&lt;1000,"ND",0))),"-")</f>
        <v>4</v>
      </c>
      <c r="B7203" s="116">
        <v>50830</v>
      </c>
      <c r="C7203" s="117">
        <v>45658</v>
      </c>
      <c r="D7203" s="116">
        <v>123.52</v>
      </c>
      <c r="E7203" s="117">
        <v>45672</v>
      </c>
      <c r="F7203" s="116">
        <f>COUNTIFS($A$3:A15460,A7203,$B$3:B15460,B7203)</f>
        <v>1</v>
      </c>
      <c r="G7203" s="116"/>
    </row>
    <row r="7204" spans="1:7" x14ac:dyDescent="0.2">
      <c r="A7204" s="116">
        <f>IF(ISNUMBER(Tabela2[[#This Row],[CT-e/NFS]])=TRUE,(IF(B7204&gt;30000,4,IF(B7204&lt;1000,"ND",0))),"-")</f>
        <v>4</v>
      </c>
      <c r="B7204" s="116">
        <v>50835</v>
      </c>
      <c r="C7204" s="117">
        <v>45658</v>
      </c>
      <c r="D7204" s="116">
        <v>1303.08</v>
      </c>
      <c r="E7204" s="117">
        <v>45672</v>
      </c>
      <c r="F7204" s="116">
        <f>COUNTIFS($A$3:A15461,A7204,$B$3:B15461,B7204)</f>
        <v>1</v>
      </c>
      <c r="G7204" s="116"/>
    </row>
    <row r="7205" spans="1:7" x14ac:dyDescent="0.2">
      <c r="A7205" s="116">
        <f>IF(ISNUMBER(Tabela2[[#This Row],[CT-e/NFS]])=TRUE,(IF(B7205&gt;30000,4,IF(B7205&lt;1000,"ND",0))),"-")</f>
        <v>4</v>
      </c>
      <c r="B7205" s="116">
        <v>50839</v>
      </c>
      <c r="C7205" s="117">
        <v>45658</v>
      </c>
      <c r="D7205" s="116">
        <v>111.78</v>
      </c>
      <c r="E7205" s="117">
        <v>45672</v>
      </c>
      <c r="F7205" s="116">
        <f>COUNTIFS($A$3:A15462,A7205,$B$3:B15462,B7205)</f>
        <v>1</v>
      </c>
      <c r="G7205" s="116"/>
    </row>
    <row r="7206" spans="1:7" x14ac:dyDescent="0.2">
      <c r="A7206" s="116">
        <f>IF(ISNUMBER(Tabela2[[#This Row],[CT-e/NFS]])=TRUE,(IF(B7206&gt;30000,4,IF(B7206&lt;1000,"ND",0))),"-")</f>
        <v>4</v>
      </c>
      <c r="B7206" s="116">
        <v>50838</v>
      </c>
      <c r="C7206" s="117">
        <v>45658</v>
      </c>
      <c r="D7206" s="116">
        <v>62.02</v>
      </c>
      <c r="E7206" s="117">
        <v>45672</v>
      </c>
      <c r="F7206" s="116">
        <f>COUNTIFS($A$3:A15463,A7206,$B$3:B15463,B7206)</f>
        <v>1</v>
      </c>
      <c r="G7206" s="116"/>
    </row>
    <row r="7207" spans="1:7" x14ac:dyDescent="0.2">
      <c r="A7207" s="116">
        <f>IF(ISNUMBER(Tabela2[[#This Row],[CT-e/NFS]])=TRUE,(IF(B7207&gt;30000,4,IF(B7207&lt;1000,"ND",0))),"-")</f>
        <v>4</v>
      </c>
      <c r="B7207" s="116">
        <v>50821</v>
      </c>
      <c r="C7207" s="117">
        <v>45658</v>
      </c>
      <c r="D7207" s="116">
        <v>1836.77</v>
      </c>
      <c r="E7207" s="117">
        <v>45672</v>
      </c>
      <c r="F7207" s="116">
        <f>COUNTIFS($A$3:A15464,A7207,$B$3:B15464,B7207)</f>
        <v>1</v>
      </c>
      <c r="G7207" s="116"/>
    </row>
    <row r="7208" spans="1:7" x14ac:dyDescent="0.2">
      <c r="A7208" s="116">
        <f>IF(ISNUMBER(Tabela2[[#This Row],[CT-e/NFS]])=TRUE,(IF(B7208&gt;30000,4,IF(B7208&lt;1000,"ND",0))),"-")</f>
        <v>4</v>
      </c>
      <c r="B7208" s="116">
        <v>50810</v>
      </c>
      <c r="C7208" s="117">
        <v>45658</v>
      </c>
      <c r="D7208" s="116">
        <v>126.65</v>
      </c>
      <c r="E7208" s="117">
        <v>45672</v>
      </c>
      <c r="F7208" s="116">
        <f>COUNTIFS($A$3:A15465,A7208,$B$3:B15465,B7208)</f>
        <v>1</v>
      </c>
      <c r="G7208" s="116"/>
    </row>
    <row r="7209" spans="1:7" x14ac:dyDescent="0.2">
      <c r="A7209" s="116">
        <f>IF(ISNUMBER(Tabela2[[#This Row],[CT-e/NFS]])=TRUE,(IF(B7209&gt;30000,4,IF(B7209&lt;1000,"ND",0))),"-")</f>
        <v>4</v>
      </c>
      <c r="B7209" s="116">
        <v>50832</v>
      </c>
      <c r="C7209" s="117">
        <v>45658</v>
      </c>
      <c r="D7209" s="116">
        <v>126.66</v>
      </c>
      <c r="E7209" s="117">
        <v>45672</v>
      </c>
      <c r="F7209" s="116">
        <f>COUNTIFS($A$3:A15466,A7209,$B$3:B15466,B7209)</f>
        <v>1</v>
      </c>
      <c r="G7209" s="116"/>
    </row>
    <row r="7210" spans="1:7" x14ac:dyDescent="0.2">
      <c r="A7210" s="116">
        <f>IF(ISNUMBER(Tabela2[[#This Row],[CT-e/NFS]])=TRUE,(IF(B7210&gt;30000,4,IF(B7210&lt;1000,"ND",0))),"-")</f>
        <v>4</v>
      </c>
      <c r="B7210" s="116">
        <v>50829</v>
      </c>
      <c r="C7210" s="117">
        <v>45658</v>
      </c>
      <c r="D7210" s="116">
        <v>210.11</v>
      </c>
      <c r="E7210" s="117">
        <v>45672</v>
      </c>
      <c r="F7210" s="116">
        <f>COUNTIFS($A$3:A15467,A7210,$B$3:B15467,B7210)</f>
        <v>1</v>
      </c>
      <c r="G7210" s="116"/>
    </row>
    <row r="7211" spans="1:7" x14ac:dyDescent="0.2">
      <c r="A7211" s="116">
        <f>IF(ISNUMBER(Tabela2[[#This Row],[CT-e/NFS]])=TRUE,(IF(B7211&gt;30000,4,IF(B7211&lt;1000,"ND",0))),"-")</f>
        <v>0</v>
      </c>
      <c r="B7211" s="116">
        <v>22606</v>
      </c>
      <c r="C7211" s="117">
        <v>45658</v>
      </c>
      <c r="D7211" s="116">
        <v>77.400000000000006</v>
      </c>
      <c r="E7211" s="117">
        <v>45672</v>
      </c>
      <c r="F7211" s="116">
        <f>COUNTIFS($A$3:A15468,A7211,$B$3:B15468,B7211)</f>
        <v>1</v>
      </c>
      <c r="G7211" s="116"/>
    </row>
    <row r="7212" spans="1:7" x14ac:dyDescent="0.2">
      <c r="A7212" s="116">
        <f>IF(ISNUMBER(Tabela2[[#This Row],[CT-e/NFS]])=TRUE,(IF(B7212&gt;30000,4,IF(B7212&lt;1000,"ND",0))),"-")</f>
        <v>0</v>
      </c>
      <c r="B7212" s="116">
        <v>22608</v>
      </c>
      <c r="C7212" s="117">
        <v>45658</v>
      </c>
      <c r="D7212" s="116">
        <v>77.3</v>
      </c>
      <c r="E7212" s="117">
        <v>45672</v>
      </c>
      <c r="F7212" s="116">
        <f>COUNTIFS($A$3:A15469,A7212,$B$3:B15469,B7212)</f>
        <v>1</v>
      </c>
      <c r="G7212" s="116"/>
    </row>
    <row r="7213" spans="1:7" x14ac:dyDescent="0.2">
      <c r="A7213" s="116">
        <f>IF(ISNUMBER(Tabela2[[#This Row],[CT-e/NFS]])=TRUE,(IF(B7213&gt;30000,4,IF(B7213&lt;1000,"ND",0))),"-")</f>
        <v>0</v>
      </c>
      <c r="B7213" s="116">
        <v>22609</v>
      </c>
      <c r="C7213" s="117">
        <v>45658</v>
      </c>
      <c r="D7213" s="116">
        <v>77.38</v>
      </c>
      <c r="E7213" s="117">
        <v>45672</v>
      </c>
      <c r="F7213" s="116">
        <f>COUNTIFS($A$3:A15470,A7213,$B$3:B15470,B7213)</f>
        <v>1</v>
      </c>
      <c r="G7213" s="116"/>
    </row>
    <row r="7214" spans="1:7" x14ac:dyDescent="0.2">
      <c r="A7214" s="116">
        <f>IF(ISNUMBER(Tabela2[[#This Row],[CT-e/NFS]])=TRUE,(IF(B7214&gt;30000,4,IF(B7214&lt;1000,"ND",0))),"-")</f>
        <v>0</v>
      </c>
      <c r="B7214" s="116">
        <v>22610</v>
      </c>
      <c r="C7214" s="117">
        <v>45658</v>
      </c>
      <c r="D7214" s="116">
        <v>76.34</v>
      </c>
      <c r="E7214" s="117">
        <v>45672</v>
      </c>
      <c r="F7214" s="116">
        <f>COUNTIFS($A$3:A15471,A7214,$B$3:B15471,B7214)</f>
        <v>1</v>
      </c>
      <c r="G7214" s="116"/>
    </row>
    <row r="7215" spans="1:7" x14ac:dyDescent="0.2">
      <c r="A7215" s="116">
        <f>IF(ISNUMBER(Tabela2[[#This Row],[CT-e/NFS]])=TRUE,(IF(B7215&gt;30000,4,IF(B7215&lt;1000,"ND",0))),"-")</f>
        <v>0</v>
      </c>
      <c r="B7215" s="116">
        <v>22611</v>
      </c>
      <c r="C7215" s="117">
        <v>45658</v>
      </c>
      <c r="D7215" s="116">
        <v>75.680000000000007</v>
      </c>
      <c r="E7215" s="117">
        <v>45672</v>
      </c>
      <c r="F7215" s="116">
        <f>COUNTIFS($A$3:A15472,A7215,$B$3:B15472,B7215)</f>
        <v>1</v>
      </c>
      <c r="G7215" s="116"/>
    </row>
    <row r="7216" spans="1:7" x14ac:dyDescent="0.2">
      <c r="A7216" s="116">
        <f>IF(ISNUMBER(Tabela2[[#This Row],[CT-e/NFS]])=TRUE,(IF(B7216&gt;30000,4,IF(B7216&lt;1000,"ND",0))),"-")</f>
        <v>0</v>
      </c>
      <c r="B7216" s="116">
        <v>22613</v>
      </c>
      <c r="C7216" s="117">
        <v>45658</v>
      </c>
      <c r="D7216" s="116">
        <v>75.599999999999994</v>
      </c>
      <c r="E7216" s="117">
        <v>45672</v>
      </c>
      <c r="F7216" s="116">
        <f>COUNTIFS($A$3:A15473,A7216,$B$3:B15473,B7216)</f>
        <v>1</v>
      </c>
      <c r="G7216" s="116"/>
    </row>
    <row r="7217" spans="1:7" x14ac:dyDescent="0.2">
      <c r="A7217" s="116">
        <f>IF(ISNUMBER(Tabela2[[#This Row],[CT-e/NFS]])=TRUE,(IF(B7217&gt;30000,4,IF(B7217&lt;1000,"ND",0))),"-")</f>
        <v>4</v>
      </c>
      <c r="B7217" s="116">
        <v>50840</v>
      </c>
      <c r="C7217" s="117">
        <v>45658</v>
      </c>
      <c r="D7217" s="116">
        <v>995.42</v>
      </c>
      <c r="E7217" s="117">
        <v>45672</v>
      </c>
      <c r="F7217" s="116">
        <f>COUNTIFS($A$3:A15474,A7217,$B$3:B15474,B7217)</f>
        <v>1</v>
      </c>
      <c r="G7217" s="116"/>
    </row>
    <row r="7218" spans="1:7" x14ac:dyDescent="0.2">
      <c r="A7218" s="116">
        <f>IF(ISNUMBER(Tabela2[[#This Row],[CT-e/NFS]])=TRUE,(IF(B7218&gt;30000,4,IF(B7218&lt;1000,"ND",0))),"-")</f>
        <v>4</v>
      </c>
      <c r="B7218" s="116">
        <v>50850</v>
      </c>
      <c r="C7218" s="117">
        <v>45658</v>
      </c>
      <c r="D7218" s="116">
        <v>134.05000000000001</v>
      </c>
      <c r="E7218" s="117">
        <v>45672</v>
      </c>
      <c r="F7218" s="116">
        <f>COUNTIFS($A$3:A15475,A7218,$B$3:B15475,B7218)</f>
        <v>1</v>
      </c>
      <c r="G7218" s="116"/>
    </row>
    <row r="7219" spans="1:7" x14ac:dyDescent="0.2">
      <c r="A7219" s="116">
        <f>IF(ISNUMBER(Tabela2[[#This Row],[CT-e/NFS]])=TRUE,(IF(B7219&gt;30000,4,IF(B7219&lt;1000,"ND",0))),"-")</f>
        <v>4</v>
      </c>
      <c r="B7219" s="116">
        <v>50851</v>
      </c>
      <c r="C7219" s="117">
        <v>45658</v>
      </c>
      <c r="D7219" s="116">
        <v>124.39</v>
      </c>
      <c r="E7219" s="117">
        <v>45672</v>
      </c>
      <c r="F7219" s="116">
        <f>COUNTIFS($A$3:A15476,A7219,$B$3:B15476,B7219)</f>
        <v>1</v>
      </c>
      <c r="G7219" s="116"/>
    </row>
    <row r="7220" spans="1:7" x14ac:dyDescent="0.2">
      <c r="A7220" s="116">
        <f>IF(ISNUMBER(Tabela2[[#This Row],[CT-e/NFS]])=TRUE,(IF(B7220&gt;30000,4,IF(B7220&lt;1000,"ND",0))),"-")</f>
        <v>4</v>
      </c>
      <c r="B7220" s="116">
        <v>50847</v>
      </c>
      <c r="C7220" s="117">
        <v>45658</v>
      </c>
      <c r="D7220" s="116">
        <v>123.05</v>
      </c>
      <c r="E7220" s="117">
        <v>45672</v>
      </c>
      <c r="F7220" s="116">
        <f>COUNTIFS($A$3:A15477,A7220,$B$3:B15477,B7220)</f>
        <v>1</v>
      </c>
      <c r="G7220" s="116"/>
    </row>
    <row r="7221" spans="1:7" x14ac:dyDescent="0.2">
      <c r="A7221" s="116">
        <f>IF(ISNUMBER(Tabela2[[#This Row],[CT-e/NFS]])=TRUE,(IF(B7221&gt;30000,4,IF(B7221&lt;1000,"ND",0))),"-")</f>
        <v>4</v>
      </c>
      <c r="B7221" s="116">
        <v>50848</v>
      </c>
      <c r="C7221" s="117">
        <v>45658</v>
      </c>
      <c r="D7221" s="116">
        <v>124.3</v>
      </c>
      <c r="E7221" s="117">
        <v>45672</v>
      </c>
      <c r="F7221" s="116">
        <f>COUNTIFS($A$3:A15478,A7221,$B$3:B15478,B7221)</f>
        <v>1</v>
      </c>
      <c r="G7221" s="116"/>
    </row>
    <row r="7222" spans="1:7" x14ac:dyDescent="0.2">
      <c r="A7222" s="116">
        <f>IF(ISNUMBER(Tabela2[[#This Row],[CT-e/NFS]])=TRUE,(IF(B7222&gt;30000,4,IF(B7222&lt;1000,"ND",0))),"-")</f>
        <v>4</v>
      </c>
      <c r="B7222" s="116">
        <v>50843</v>
      </c>
      <c r="C7222" s="117">
        <v>45658</v>
      </c>
      <c r="D7222" s="116">
        <v>123.13</v>
      </c>
      <c r="E7222" s="117">
        <v>45672</v>
      </c>
      <c r="F7222" s="116">
        <f>COUNTIFS($A$3:A15479,A7222,$B$3:B15479,B7222)</f>
        <v>1</v>
      </c>
      <c r="G7222" s="116"/>
    </row>
    <row r="7223" spans="1:7" x14ac:dyDescent="0.2">
      <c r="A7223" s="116">
        <f>IF(ISNUMBER(Tabela2[[#This Row],[CT-e/NFS]])=TRUE,(IF(B7223&gt;30000,4,IF(B7223&lt;1000,"ND",0))),"-")</f>
        <v>4</v>
      </c>
      <c r="B7223" s="116">
        <v>50844</v>
      </c>
      <c r="C7223" s="117">
        <v>45658</v>
      </c>
      <c r="D7223" s="116">
        <v>123.89</v>
      </c>
      <c r="E7223" s="117">
        <v>45672</v>
      </c>
      <c r="F7223" s="116">
        <f>COUNTIFS($A$3:A15480,A7223,$B$3:B15480,B7223)</f>
        <v>1</v>
      </c>
      <c r="G7223" s="116"/>
    </row>
    <row r="7224" spans="1:7" x14ac:dyDescent="0.2">
      <c r="A7224" s="116">
        <f>IF(ISNUMBER(Tabela2[[#This Row],[CT-e/NFS]])=TRUE,(IF(B7224&gt;30000,4,IF(B7224&lt;1000,"ND",0))),"-")</f>
        <v>4</v>
      </c>
      <c r="B7224" s="116">
        <v>50849</v>
      </c>
      <c r="C7224" s="117">
        <v>45658</v>
      </c>
      <c r="D7224" s="116">
        <v>124.19</v>
      </c>
      <c r="E7224" s="117">
        <v>45672</v>
      </c>
      <c r="F7224" s="116">
        <f>COUNTIFS($A$3:A15481,A7224,$B$3:B15481,B7224)</f>
        <v>1</v>
      </c>
      <c r="G7224" s="116"/>
    </row>
    <row r="7225" spans="1:7" x14ac:dyDescent="0.2">
      <c r="A7225" s="116">
        <f>IF(ISNUMBER(Tabela2[[#This Row],[CT-e/NFS]])=TRUE,(IF(B7225&gt;30000,4,IF(B7225&lt;1000,"ND",0))),"-")</f>
        <v>4</v>
      </c>
      <c r="B7225" s="116">
        <v>50854</v>
      </c>
      <c r="C7225" s="117">
        <v>45658</v>
      </c>
      <c r="D7225" s="116">
        <v>111.17</v>
      </c>
      <c r="E7225" s="117">
        <v>45672</v>
      </c>
      <c r="F7225" s="116">
        <f>COUNTIFS($A$3:A15482,A7225,$B$3:B15482,B7225)</f>
        <v>1</v>
      </c>
      <c r="G7225" s="116"/>
    </row>
    <row r="7226" spans="1:7" x14ac:dyDescent="0.2">
      <c r="A7226" s="116">
        <f>IF(ISNUMBER(Tabela2[[#This Row],[CT-e/NFS]])=TRUE,(IF(B7226&gt;30000,4,IF(B7226&lt;1000,"ND",0))),"-")</f>
        <v>4</v>
      </c>
      <c r="B7226" s="116">
        <v>50853</v>
      </c>
      <c r="C7226" s="117">
        <v>45658</v>
      </c>
      <c r="D7226" s="116">
        <v>61.76</v>
      </c>
      <c r="E7226" s="117">
        <v>45672</v>
      </c>
      <c r="F7226" s="116">
        <f>COUNTIFS($A$3:A15483,A7226,$B$3:B15483,B7226)</f>
        <v>1</v>
      </c>
      <c r="G7226" s="116"/>
    </row>
    <row r="7227" spans="1:7" x14ac:dyDescent="0.2">
      <c r="A7227" s="116">
        <f>IF(ISNUMBER(Tabela2[[#This Row],[CT-e/NFS]])=TRUE,(IF(B7227&gt;30000,4,IF(B7227&lt;1000,"ND",0))),"-")</f>
        <v>4</v>
      </c>
      <c r="B7227" s="116">
        <v>50842</v>
      </c>
      <c r="C7227" s="117">
        <v>45658</v>
      </c>
      <c r="D7227" s="116">
        <v>238.81</v>
      </c>
      <c r="E7227" s="117">
        <v>45672</v>
      </c>
      <c r="F7227" s="116">
        <f>COUNTIFS($A$3:A15484,A7227,$B$3:B15484,B7227)</f>
        <v>1</v>
      </c>
      <c r="G7227" s="116"/>
    </row>
    <row r="7228" spans="1:7" x14ac:dyDescent="0.2">
      <c r="A7228" s="116">
        <f>IF(ISNUMBER(Tabela2[[#This Row],[CT-e/NFS]])=TRUE,(IF(B7228&gt;30000,4,IF(B7228&lt;1000,"ND",0))),"-")</f>
        <v>4</v>
      </c>
      <c r="B7228" s="116">
        <v>50845</v>
      </c>
      <c r="C7228" s="117">
        <v>45658</v>
      </c>
      <c r="D7228" s="116">
        <v>124.05</v>
      </c>
      <c r="E7228" s="117">
        <v>45672</v>
      </c>
      <c r="F7228" s="116">
        <f>COUNTIFS($A$3:A15485,A7228,$B$3:B15485,B7228)</f>
        <v>1</v>
      </c>
      <c r="G7228" s="116"/>
    </row>
    <row r="7229" spans="1:7" x14ac:dyDescent="0.2">
      <c r="A7229" s="116">
        <f>IF(ISNUMBER(Tabela2[[#This Row],[CT-e/NFS]])=TRUE,(IF(B7229&gt;30000,4,IF(B7229&lt;1000,"ND",0))),"-")</f>
        <v>4</v>
      </c>
      <c r="B7229" s="116">
        <v>50857</v>
      </c>
      <c r="C7229" s="117">
        <v>45658</v>
      </c>
      <c r="D7229" s="116">
        <v>591.72</v>
      </c>
      <c r="E7229" s="117">
        <v>45672</v>
      </c>
      <c r="F7229" s="116">
        <f>COUNTIFS($A$3:A15486,A7229,$B$3:B15486,B7229)</f>
        <v>1</v>
      </c>
      <c r="G7229" s="116"/>
    </row>
    <row r="7230" spans="1:7" x14ac:dyDescent="0.2">
      <c r="A7230" s="116">
        <f>IF(ISNUMBER(Tabela2[[#This Row],[CT-e/NFS]])=TRUE,(IF(B7230&gt;30000,4,IF(B7230&lt;1000,"ND",0))),"-")</f>
        <v>4</v>
      </c>
      <c r="B7230" s="116">
        <v>50846</v>
      </c>
      <c r="C7230" s="117">
        <v>45658</v>
      </c>
      <c r="D7230" s="116">
        <v>124.34</v>
      </c>
      <c r="E7230" s="117">
        <v>45672</v>
      </c>
      <c r="F7230" s="116">
        <f>COUNTIFS($A$3:A15487,A7230,$B$3:B15487,B7230)</f>
        <v>1</v>
      </c>
      <c r="G7230" s="116"/>
    </row>
    <row r="7231" spans="1:7" x14ac:dyDescent="0.2">
      <c r="A7231" s="116">
        <f>IF(ISNUMBER(Tabela2[[#This Row],[CT-e/NFS]])=TRUE,(IF(B7231&gt;30000,4,IF(B7231&lt;1000,"ND",0))),"-")</f>
        <v>4</v>
      </c>
      <c r="B7231" s="116">
        <v>50841</v>
      </c>
      <c r="C7231" s="117">
        <v>45658</v>
      </c>
      <c r="D7231" s="116">
        <v>786.09</v>
      </c>
      <c r="E7231" s="117">
        <v>45672</v>
      </c>
      <c r="F7231" s="116">
        <f>COUNTIFS($A$3:A15488,A7231,$B$3:B15488,B7231)</f>
        <v>1</v>
      </c>
      <c r="G7231" s="116"/>
    </row>
    <row r="7232" spans="1:7" x14ac:dyDescent="0.2">
      <c r="A7232" s="116">
        <f>IF(ISNUMBER(Tabela2[[#This Row],[CT-e/NFS]])=TRUE,(IF(B7232&gt;30000,4,IF(B7232&lt;1000,"ND",0))),"-")</f>
        <v>4</v>
      </c>
      <c r="B7232" s="116">
        <v>50879</v>
      </c>
      <c r="C7232" s="117">
        <v>45658</v>
      </c>
      <c r="D7232" s="116">
        <v>111.25</v>
      </c>
      <c r="E7232" s="117">
        <v>45672</v>
      </c>
      <c r="F7232" s="116">
        <f>COUNTIFS($A$3:A15489,A7232,$B$3:B15489,B7232)</f>
        <v>1</v>
      </c>
      <c r="G7232" s="116"/>
    </row>
    <row r="7233" spans="1:7" x14ac:dyDescent="0.2">
      <c r="A7233" s="116">
        <f>IF(ISNUMBER(Tabela2[[#This Row],[CT-e/NFS]])=TRUE,(IF(B7233&gt;30000,4,IF(B7233&lt;1000,"ND",0))),"-")</f>
        <v>4</v>
      </c>
      <c r="B7233" s="116">
        <v>50861</v>
      </c>
      <c r="C7233" s="117">
        <v>45658</v>
      </c>
      <c r="D7233" s="116">
        <v>404.65</v>
      </c>
      <c r="E7233" s="117">
        <v>45672</v>
      </c>
      <c r="F7233" s="116">
        <f>COUNTIFS($A$3:A15490,A7233,$B$3:B15490,B7233)</f>
        <v>1</v>
      </c>
      <c r="G7233" s="116"/>
    </row>
    <row r="7234" spans="1:7" x14ac:dyDescent="0.2">
      <c r="A7234" s="116">
        <f>IF(ISNUMBER(Tabela2[[#This Row],[CT-e/NFS]])=TRUE,(IF(B7234&gt;30000,4,IF(B7234&lt;1000,"ND",0))),"-")</f>
        <v>4</v>
      </c>
      <c r="B7234" s="116">
        <v>50860</v>
      </c>
      <c r="C7234" s="117">
        <v>45658</v>
      </c>
      <c r="D7234" s="116">
        <v>437.51</v>
      </c>
      <c r="E7234" s="117">
        <v>45672</v>
      </c>
      <c r="F7234" s="116">
        <f>COUNTIFS($A$3:A15491,A7234,$B$3:B15491,B7234)</f>
        <v>1</v>
      </c>
      <c r="G7234" s="116"/>
    </row>
    <row r="7235" spans="1:7" x14ac:dyDescent="0.2">
      <c r="A7235" s="116">
        <f>IF(ISNUMBER(Tabela2[[#This Row],[CT-e/NFS]])=TRUE,(IF(B7235&gt;30000,4,IF(B7235&lt;1000,"ND",0))),"-")</f>
        <v>4</v>
      </c>
      <c r="B7235" s="116">
        <v>50858</v>
      </c>
      <c r="C7235" s="117">
        <v>45658</v>
      </c>
      <c r="D7235" s="116">
        <v>515.26</v>
      </c>
      <c r="E7235" s="117">
        <v>45672</v>
      </c>
      <c r="F7235" s="116">
        <f>COUNTIFS($A$3:A15492,A7235,$B$3:B15492,B7235)</f>
        <v>1</v>
      </c>
      <c r="G7235" s="116"/>
    </row>
    <row r="7236" spans="1:7" x14ac:dyDescent="0.2">
      <c r="A7236" s="116">
        <f>IF(ISNUMBER(Tabela2[[#This Row],[CT-e/NFS]])=TRUE,(IF(B7236&gt;30000,4,IF(B7236&lt;1000,"ND",0))),"-")</f>
        <v>4</v>
      </c>
      <c r="B7236" s="116">
        <v>50859</v>
      </c>
      <c r="C7236" s="117">
        <v>45658</v>
      </c>
      <c r="D7236" s="116">
        <v>400.88</v>
      </c>
      <c r="E7236" s="117">
        <v>45672</v>
      </c>
      <c r="F7236" s="116">
        <f>COUNTIFS($A$3:A15493,A7236,$B$3:B15493,B7236)</f>
        <v>1</v>
      </c>
      <c r="G7236" s="116"/>
    </row>
    <row r="7237" spans="1:7" x14ac:dyDescent="0.2">
      <c r="A7237" s="116">
        <f>IF(ISNUMBER(Tabela2[[#This Row],[CT-e/NFS]])=TRUE,(IF(B7237&gt;30000,4,IF(B7237&lt;1000,"ND",0))),"-")</f>
        <v>4</v>
      </c>
      <c r="B7237" s="116">
        <v>50870</v>
      </c>
      <c r="C7237" s="117">
        <v>45658</v>
      </c>
      <c r="D7237" s="116">
        <v>123.53</v>
      </c>
      <c r="E7237" s="117">
        <v>45672</v>
      </c>
      <c r="F7237" s="116">
        <f>COUNTIFS($A$3:A15494,A7237,$B$3:B15494,B7237)</f>
        <v>1</v>
      </c>
      <c r="G7237" s="116"/>
    </row>
    <row r="7238" spans="1:7" x14ac:dyDescent="0.2">
      <c r="A7238" s="116">
        <f>IF(ISNUMBER(Tabela2[[#This Row],[CT-e/NFS]])=TRUE,(IF(B7238&gt;30000,4,IF(B7238&lt;1000,"ND",0))),"-")</f>
        <v>4</v>
      </c>
      <c r="B7238" s="116">
        <v>50876</v>
      </c>
      <c r="C7238" s="117">
        <v>45658</v>
      </c>
      <c r="D7238" s="116">
        <v>126.08</v>
      </c>
      <c r="E7238" s="117">
        <v>45672</v>
      </c>
      <c r="F7238" s="116">
        <f>COUNTIFS($A$3:A15495,A7238,$B$3:B15495,B7238)</f>
        <v>1</v>
      </c>
      <c r="G7238" s="116"/>
    </row>
    <row r="7239" spans="1:7" x14ac:dyDescent="0.2">
      <c r="A7239" s="116">
        <f>IF(ISNUMBER(Tabela2[[#This Row],[CT-e/NFS]])=TRUE,(IF(B7239&gt;30000,4,IF(B7239&lt;1000,"ND",0))),"-")</f>
        <v>4</v>
      </c>
      <c r="B7239" s="116">
        <v>50873</v>
      </c>
      <c r="C7239" s="117">
        <v>45658</v>
      </c>
      <c r="D7239" s="116">
        <v>122.89</v>
      </c>
      <c r="E7239" s="117">
        <v>45672</v>
      </c>
      <c r="F7239" s="116">
        <f>COUNTIFS($A$3:A15496,A7239,$B$3:B15496,B7239)</f>
        <v>1</v>
      </c>
      <c r="G7239" s="116"/>
    </row>
    <row r="7240" spans="1:7" x14ac:dyDescent="0.2">
      <c r="A7240" s="116">
        <f>IF(ISNUMBER(Tabela2[[#This Row],[CT-e/NFS]])=TRUE,(IF(B7240&gt;30000,4,IF(B7240&lt;1000,"ND",0))),"-")</f>
        <v>4</v>
      </c>
      <c r="B7240" s="116">
        <v>50868</v>
      </c>
      <c r="C7240" s="117">
        <v>45658</v>
      </c>
      <c r="D7240" s="116">
        <v>122.92</v>
      </c>
      <c r="E7240" s="117">
        <v>45672</v>
      </c>
      <c r="F7240" s="116">
        <f>COUNTIFS($A$3:A15497,A7240,$B$3:B15497,B7240)</f>
        <v>1</v>
      </c>
      <c r="G7240" s="116"/>
    </row>
    <row r="7241" spans="1:7" x14ac:dyDescent="0.2">
      <c r="A7241" s="116">
        <f>IF(ISNUMBER(Tabela2[[#This Row],[CT-e/NFS]])=TRUE,(IF(B7241&gt;30000,4,IF(B7241&lt;1000,"ND",0))),"-")</f>
        <v>4</v>
      </c>
      <c r="B7241" s="116">
        <v>50866</v>
      </c>
      <c r="C7241" s="117">
        <v>45658</v>
      </c>
      <c r="D7241" s="116">
        <v>123.92</v>
      </c>
      <c r="E7241" s="117">
        <v>45672</v>
      </c>
      <c r="F7241" s="116">
        <f>COUNTIFS($A$3:A15498,A7241,$B$3:B15498,B7241)</f>
        <v>1</v>
      </c>
      <c r="G7241" s="116"/>
    </row>
    <row r="7242" spans="1:7" x14ac:dyDescent="0.2">
      <c r="A7242" s="116">
        <f>IF(ISNUMBER(Tabela2[[#This Row],[CT-e/NFS]])=TRUE,(IF(B7242&gt;30000,4,IF(B7242&lt;1000,"ND",0))),"-")</f>
        <v>4</v>
      </c>
      <c r="B7242" s="116">
        <v>50867</v>
      </c>
      <c r="C7242" s="117">
        <v>45658</v>
      </c>
      <c r="D7242" s="116">
        <v>124.3</v>
      </c>
      <c r="E7242" s="117">
        <v>45672</v>
      </c>
      <c r="F7242" s="116">
        <f>COUNTIFS($A$3:A15499,A7242,$B$3:B15499,B7242)</f>
        <v>1</v>
      </c>
      <c r="G7242" s="116"/>
    </row>
    <row r="7243" spans="1:7" x14ac:dyDescent="0.2">
      <c r="A7243" s="116">
        <f>IF(ISNUMBER(Tabela2[[#This Row],[CT-e/NFS]])=TRUE,(IF(B7243&gt;30000,4,IF(B7243&lt;1000,"ND",0))),"-")</f>
        <v>4</v>
      </c>
      <c r="B7243" s="116">
        <v>50865</v>
      </c>
      <c r="C7243" s="117">
        <v>45658</v>
      </c>
      <c r="D7243" s="116">
        <v>239.07</v>
      </c>
      <c r="E7243" s="117">
        <v>45672</v>
      </c>
      <c r="F7243" s="116">
        <f>COUNTIFS($A$3:A15500,A7243,$B$3:B15500,B7243)</f>
        <v>1</v>
      </c>
      <c r="G7243" s="116"/>
    </row>
    <row r="7244" spans="1:7" x14ac:dyDescent="0.2">
      <c r="A7244" s="116">
        <f>IF(ISNUMBER(Tabela2[[#This Row],[CT-e/NFS]])=TRUE,(IF(B7244&gt;30000,4,IF(B7244&lt;1000,"ND",0))),"-")</f>
        <v>4</v>
      </c>
      <c r="B7244" s="116">
        <v>50878</v>
      </c>
      <c r="C7244" s="117">
        <v>45658</v>
      </c>
      <c r="D7244" s="116">
        <v>61.76</v>
      </c>
      <c r="E7244" s="117">
        <v>45672</v>
      </c>
      <c r="F7244" s="116">
        <f>COUNTIFS($A$3:A15501,A7244,$B$3:B15501,B7244)</f>
        <v>1</v>
      </c>
      <c r="G7244" s="116"/>
    </row>
    <row r="7245" spans="1:7" x14ac:dyDescent="0.2">
      <c r="A7245" s="116">
        <f>IF(ISNUMBER(Tabela2[[#This Row],[CT-e/NFS]])=TRUE,(IF(B7245&gt;30000,4,IF(B7245&lt;1000,"ND",0))),"-")</f>
        <v>4</v>
      </c>
      <c r="B7245" s="116">
        <v>50869</v>
      </c>
      <c r="C7245" s="117">
        <v>45658</v>
      </c>
      <c r="D7245" s="116">
        <v>124.53</v>
      </c>
      <c r="E7245" s="117">
        <v>45672</v>
      </c>
      <c r="F7245" s="116">
        <f>COUNTIFS($A$3:A15502,A7245,$B$3:B15502,B7245)</f>
        <v>1</v>
      </c>
      <c r="G7245" s="116"/>
    </row>
    <row r="7246" spans="1:7" x14ac:dyDescent="0.2">
      <c r="A7246" s="116">
        <f>IF(ISNUMBER(Tabela2[[#This Row],[CT-e/NFS]])=TRUE,(IF(B7246&gt;30000,4,IF(B7246&lt;1000,"ND",0))),"-")</f>
        <v>4</v>
      </c>
      <c r="B7246" s="116">
        <v>50877</v>
      </c>
      <c r="C7246" s="117">
        <v>45658</v>
      </c>
      <c r="D7246" s="116">
        <v>124.28</v>
      </c>
      <c r="E7246" s="117">
        <v>45672</v>
      </c>
      <c r="F7246" s="116">
        <f>COUNTIFS($A$3:A15503,A7246,$B$3:B15503,B7246)</f>
        <v>1</v>
      </c>
      <c r="G7246" s="116"/>
    </row>
    <row r="7247" spans="1:7" x14ac:dyDescent="0.2">
      <c r="A7247" s="116">
        <f>IF(ISNUMBER(Tabela2[[#This Row],[CT-e/NFS]])=TRUE,(IF(B7247&gt;30000,4,IF(B7247&lt;1000,"ND",0))),"-")</f>
        <v>4</v>
      </c>
      <c r="B7247" s="116">
        <v>50874</v>
      </c>
      <c r="C7247" s="117">
        <v>45658</v>
      </c>
      <c r="D7247" s="116">
        <v>124.47</v>
      </c>
      <c r="E7247" s="117">
        <v>45672</v>
      </c>
      <c r="F7247" s="116">
        <f>COUNTIFS($A$3:A15504,A7247,$B$3:B15504,B7247)</f>
        <v>1</v>
      </c>
      <c r="G7247" s="116"/>
    </row>
    <row r="7248" spans="1:7" x14ac:dyDescent="0.2">
      <c r="A7248" s="116">
        <f>IF(ISNUMBER(Tabela2[[#This Row],[CT-e/NFS]])=TRUE,(IF(B7248&gt;30000,4,IF(B7248&lt;1000,"ND",0))),"-")</f>
        <v>4</v>
      </c>
      <c r="B7248" s="116">
        <v>50875</v>
      </c>
      <c r="C7248" s="117">
        <v>45658</v>
      </c>
      <c r="D7248" s="116">
        <v>124.1</v>
      </c>
      <c r="E7248" s="117">
        <v>45672</v>
      </c>
      <c r="F7248" s="116">
        <f>COUNTIFS($A$3:A15505,A7248,$B$3:B15505,B7248)</f>
        <v>1</v>
      </c>
      <c r="G7248" s="116"/>
    </row>
    <row r="7249" spans="1:7" x14ac:dyDescent="0.2">
      <c r="A7249" s="116">
        <f>IF(ISNUMBER(Tabela2[[#This Row],[CT-e/NFS]])=TRUE,(IF(B7249&gt;30000,4,IF(B7249&lt;1000,"ND",0))),"-")</f>
        <v>4</v>
      </c>
      <c r="B7249" s="116">
        <v>50872</v>
      </c>
      <c r="C7249" s="117">
        <v>45658</v>
      </c>
      <c r="D7249" s="116">
        <v>122.81</v>
      </c>
      <c r="E7249" s="117">
        <v>45672</v>
      </c>
      <c r="F7249" s="116">
        <f>COUNTIFS($A$3:A15506,A7249,$B$3:B15506,B7249)</f>
        <v>1</v>
      </c>
      <c r="G7249" s="116"/>
    </row>
    <row r="7250" spans="1:7" x14ac:dyDescent="0.2">
      <c r="A7250" s="116">
        <f>IF(ISNUMBER(Tabela2[[#This Row],[CT-e/NFS]])=TRUE,(IF(B7250&gt;30000,4,IF(B7250&lt;1000,"ND",0))),"-")</f>
        <v>4</v>
      </c>
      <c r="B7250" s="116">
        <v>50863</v>
      </c>
      <c r="C7250" s="117">
        <v>45658</v>
      </c>
      <c r="D7250" s="116">
        <v>125.07</v>
      </c>
      <c r="E7250" s="117">
        <v>45672</v>
      </c>
      <c r="F7250" s="116">
        <f>COUNTIFS($A$3:A15507,A7250,$B$3:B15507,B7250)</f>
        <v>1</v>
      </c>
      <c r="G7250" s="116"/>
    </row>
    <row r="7251" spans="1:7" x14ac:dyDescent="0.2">
      <c r="A7251" s="116">
        <f>IF(ISNUMBER(Tabela2[[#This Row],[CT-e/NFS]])=TRUE,(IF(B7251&gt;30000,4,IF(B7251&lt;1000,"ND",0))),"-")</f>
        <v>4</v>
      </c>
      <c r="B7251" s="116">
        <v>50871</v>
      </c>
      <c r="C7251" s="117">
        <v>45658</v>
      </c>
      <c r="D7251" s="116">
        <v>125.35</v>
      </c>
      <c r="E7251" s="117">
        <v>45672</v>
      </c>
      <c r="F7251" s="116">
        <f>COUNTIFS($A$3:A15508,A7251,$B$3:B15508,B7251)</f>
        <v>1</v>
      </c>
      <c r="G7251" s="116"/>
    </row>
    <row r="7252" spans="1:7" x14ac:dyDescent="0.2">
      <c r="A7252" s="116">
        <f>IF(ISNUMBER(Tabela2[[#This Row],[CT-e/NFS]])=TRUE,(IF(B7252&gt;30000,4,IF(B7252&lt;1000,"ND",0))),"-")</f>
        <v>4</v>
      </c>
      <c r="B7252" s="116">
        <v>50864</v>
      </c>
      <c r="C7252" s="117">
        <v>45658</v>
      </c>
      <c r="D7252" s="116">
        <v>122.89</v>
      </c>
      <c r="E7252" s="117">
        <v>45672</v>
      </c>
      <c r="F7252" s="116">
        <f>COUNTIFS($A$3:A15509,A7252,$B$3:B15509,B7252)</f>
        <v>1</v>
      </c>
      <c r="G7252" s="116"/>
    </row>
    <row r="7253" spans="1:7" x14ac:dyDescent="0.2">
      <c r="A7253" s="116">
        <f>IF(ISNUMBER(Tabela2[[#This Row],[CT-e/NFS]])=TRUE,(IF(B7253&gt;30000,4,IF(B7253&lt;1000,"ND",0))),"-")</f>
        <v>4</v>
      </c>
      <c r="B7253" s="116">
        <v>50862</v>
      </c>
      <c r="C7253" s="117">
        <v>45658</v>
      </c>
      <c r="D7253" s="116">
        <v>246.33</v>
      </c>
      <c r="E7253" s="117">
        <v>45672</v>
      </c>
      <c r="F7253" s="116">
        <f>COUNTIFS($A$3:A15510,A7253,$B$3:B15510,B7253)</f>
        <v>1</v>
      </c>
      <c r="G7253" s="116"/>
    </row>
    <row r="7254" spans="1:7" x14ac:dyDescent="0.2">
      <c r="A7254" s="116">
        <f>IF(ISNUMBER(Tabela2[[#This Row],[CT-e/NFS]])=TRUE,(IF(B7254&gt;30000,4,IF(B7254&lt;1000,"ND",0))),"-")</f>
        <v>4</v>
      </c>
      <c r="B7254" s="116">
        <v>50855</v>
      </c>
      <c r="C7254" s="117">
        <v>45658</v>
      </c>
      <c r="D7254" s="116">
        <v>585.03</v>
      </c>
      <c r="E7254" s="117">
        <v>45672</v>
      </c>
      <c r="F7254" s="116">
        <f>COUNTIFS($A$3:A15511,A7254,$B$3:B15511,B7254)</f>
        <v>1</v>
      </c>
      <c r="G7254" s="116"/>
    </row>
    <row r="7255" spans="1:7" x14ac:dyDescent="0.2">
      <c r="A7255" s="116">
        <f>IF(ISNUMBER(Tabela2[[#This Row],[CT-e/NFS]])=TRUE,(IF(B7255&gt;30000,4,IF(B7255&lt;1000,"ND",0))),"-")</f>
        <v>4</v>
      </c>
      <c r="B7255" s="116">
        <v>50856</v>
      </c>
      <c r="C7255" s="117">
        <v>45658</v>
      </c>
      <c r="D7255" s="116">
        <v>1056.72</v>
      </c>
      <c r="E7255" s="117">
        <v>45672</v>
      </c>
      <c r="F7255" s="116">
        <f>COUNTIFS($A$3:A15512,A7255,$B$3:B15512,B7255)</f>
        <v>1</v>
      </c>
      <c r="G7255" s="116"/>
    </row>
    <row r="7256" spans="1:7" x14ac:dyDescent="0.2">
      <c r="A7256" s="116">
        <f>IF(ISNUMBER(Tabela2[[#This Row],[CT-e/NFS]])=TRUE,(IF(B7256&gt;30000,4,IF(B7256&lt;1000,"ND",0))),"-")</f>
        <v>0</v>
      </c>
      <c r="B7256" s="116">
        <v>22614</v>
      </c>
      <c r="C7256" s="117">
        <v>45658</v>
      </c>
      <c r="D7256" s="116">
        <v>76.39</v>
      </c>
      <c r="E7256" s="117">
        <v>45672</v>
      </c>
      <c r="F7256" s="116">
        <f>COUNTIFS($A$3:A15513,A7256,$B$3:B15513,B7256)</f>
        <v>1</v>
      </c>
      <c r="G7256" s="116"/>
    </row>
    <row r="7257" spans="1:7" x14ac:dyDescent="0.2">
      <c r="A7257" s="116">
        <f>IF(ISNUMBER(Tabela2[[#This Row],[CT-e/NFS]])=TRUE,(IF(B7257&gt;30000,4,IF(B7257&lt;1000,"ND",0))),"-")</f>
        <v>0</v>
      </c>
      <c r="B7257" s="116">
        <v>22618</v>
      </c>
      <c r="C7257" s="117">
        <v>45658</v>
      </c>
      <c r="D7257" s="116">
        <v>76.41</v>
      </c>
      <c r="E7257" s="117">
        <v>45672</v>
      </c>
      <c r="F7257" s="116">
        <f>COUNTIFS($A$3:A15514,A7257,$B$3:B15514,B7257)</f>
        <v>1</v>
      </c>
      <c r="G7257" s="116"/>
    </row>
    <row r="7258" spans="1:7" x14ac:dyDescent="0.2">
      <c r="A7258" s="116">
        <f>IF(ISNUMBER(Tabela2[[#This Row],[CT-e/NFS]])=TRUE,(IF(B7258&gt;30000,4,IF(B7258&lt;1000,"ND",0))),"-")</f>
        <v>0</v>
      </c>
      <c r="B7258" s="116">
        <v>22615</v>
      </c>
      <c r="C7258" s="117">
        <v>45658</v>
      </c>
      <c r="D7258" s="116">
        <v>76</v>
      </c>
      <c r="E7258" s="117">
        <v>45672</v>
      </c>
      <c r="F7258" s="116">
        <f>COUNTIFS($A$3:A15515,A7258,$B$3:B15515,B7258)</f>
        <v>1</v>
      </c>
      <c r="G7258" s="116"/>
    </row>
    <row r="7259" spans="1:7" x14ac:dyDescent="0.2">
      <c r="A7259" s="116">
        <f>IF(ISNUMBER(Tabela2[[#This Row],[CT-e/NFS]])=TRUE,(IF(B7259&gt;30000,4,IF(B7259&lt;1000,"ND",0))),"-")</f>
        <v>0</v>
      </c>
      <c r="B7259" s="116">
        <v>22619</v>
      </c>
      <c r="C7259" s="117">
        <v>45658</v>
      </c>
      <c r="D7259" s="116">
        <v>76.010000000000005</v>
      </c>
      <c r="E7259" s="117">
        <v>45672</v>
      </c>
      <c r="F7259" s="116">
        <f>COUNTIFS($A$3:A15516,A7259,$B$3:B15516,B7259)</f>
        <v>1</v>
      </c>
      <c r="G7259" s="116"/>
    </row>
    <row r="7260" spans="1:7" x14ac:dyDescent="0.2">
      <c r="A7260" s="116">
        <f>IF(ISNUMBER(Tabela2[[#This Row],[CT-e/NFS]])=TRUE,(IF(B7260&gt;30000,4,IF(B7260&lt;1000,"ND",0))),"-")</f>
        <v>0</v>
      </c>
      <c r="B7260" s="116">
        <v>22616</v>
      </c>
      <c r="C7260" s="117">
        <v>45658</v>
      </c>
      <c r="D7260" s="116">
        <v>248.23</v>
      </c>
      <c r="E7260" s="117">
        <v>45672</v>
      </c>
      <c r="F7260" s="116">
        <f>COUNTIFS($A$3:A15517,A7260,$B$3:B15517,B7260)</f>
        <v>1</v>
      </c>
      <c r="G7260" s="116"/>
    </row>
    <row r="7261" spans="1:7" x14ac:dyDescent="0.2">
      <c r="A7261" s="116">
        <f>IF(ISNUMBER(Tabela2[[#This Row],[CT-e/NFS]])=TRUE,(IF(B7261&gt;30000,4,IF(B7261&lt;1000,"ND",0))),"-")</f>
        <v>0</v>
      </c>
      <c r="B7261" s="116">
        <v>22617</v>
      </c>
      <c r="C7261" s="117">
        <v>45658</v>
      </c>
      <c r="D7261" s="116">
        <v>79.27</v>
      </c>
      <c r="E7261" s="117">
        <v>45672</v>
      </c>
      <c r="F7261" s="116">
        <f>COUNTIFS($A$3:A15518,A7261,$B$3:B15518,B7261)</f>
        <v>1</v>
      </c>
      <c r="G7261" s="116"/>
    </row>
    <row r="7262" spans="1:7" x14ac:dyDescent="0.2">
      <c r="A7262" s="116">
        <f>IF(ISNUMBER(Tabela2[[#This Row],[CT-e/NFS]])=TRUE,(IF(B7262&gt;30000,4,IF(B7262&lt;1000,"ND",0))),"-")</f>
        <v>0</v>
      </c>
      <c r="B7262" s="116">
        <v>22620</v>
      </c>
      <c r="C7262" s="117">
        <v>45658</v>
      </c>
      <c r="D7262" s="116">
        <v>76.34</v>
      </c>
      <c r="E7262" s="117">
        <v>45672</v>
      </c>
      <c r="F7262" s="116">
        <f>COUNTIFS($A$3:A15519,A7262,$B$3:B15519,B7262)</f>
        <v>1</v>
      </c>
      <c r="G7262" s="116"/>
    </row>
    <row r="7263" spans="1:7" x14ac:dyDescent="0.2">
      <c r="A7263" s="116">
        <f>IF(ISNUMBER(Tabela2[[#This Row],[CT-e/NFS]])=TRUE,(IF(B7263&gt;30000,4,IF(B7263&lt;1000,"ND",0))),"-")</f>
        <v>0</v>
      </c>
      <c r="B7263" s="116">
        <v>22621</v>
      </c>
      <c r="C7263" s="117">
        <v>45658</v>
      </c>
      <c r="D7263" s="116">
        <v>76.3</v>
      </c>
      <c r="E7263" s="117">
        <v>45672</v>
      </c>
      <c r="F7263" s="116">
        <f>COUNTIFS($A$3:A15520,A7263,$B$3:B15520,B7263)</f>
        <v>1</v>
      </c>
      <c r="G7263" s="116"/>
    </row>
    <row r="7264" spans="1:7" x14ac:dyDescent="0.2">
      <c r="A7264" s="116">
        <f>IF(ISNUMBER(Tabela2[[#This Row],[CT-e/NFS]])=TRUE,(IF(B7264&gt;30000,4,IF(B7264&lt;1000,"ND",0))),"-")</f>
        <v>0</v>
      </c>
      <c r="B7264" s="116">
        <v>22622</v>
      </c>
      <c r="C7264" s="117">
        <v>45658</v>
      </c>
      <c r="D7264" s="116">
        <v>76.34</v>
      </c>
      <c r="E7264" s="117">
        <v>45672</v>
      </c>
      <c r="F7264" s="116">
        <f>COUNTIFS($A$3:A15521,A7264,$B$3:B15521,B7264)</f>
        <v>1</v>
      </c>
      <c r="G7264" s="116"/>
    </row>
    <row r="7265" spans="1:7" x14ac:dyDescent="0.2">
      <c r="A7265" s="116">
        <f>IF(ISNUMBER(Tabela2[[#This Row],[CT-e/NFS]])=TRUE,(IF(B7265&gt;30000,4,IF(B7265&lt;1000,"ND",0))),"-")</f>
        <v>0</v>
      </c>
      <c r="B7265" s="116">
        <v>22623</v>
      </c>
      <c r="C7265" s="117">
        <v>45658</v>
      </c>
      <c r="D7265" s="116">
        <v>348.37</v>
      </c>
      <c r="E7265" s="117">
        <v>45672</v>
      </c>
      <c r="F7265" s="116">
        <f>COUNTIFS($A$3:A15522,A7265,$B$3:B15522,B7265)</f>
        <v>1</v>
      </c>
      <c r="G7265" s="116"/>
    </row>
    <row r="7266" spans="1:7" x14ac:dyDescent="0.2">
      <c r="A7266" s="116">
        <f>IF(ISNUMBER(Tabela2[[#This Row],[CT-e/NFS]])=TRUE,(IF(B7266&gt;30000,4,IF(B7266&lt;1000,"ND",0))),"-")</f>
        <v>0</v>
      </c>
      <c r="B7266" s="116">
        <v>22607</v>
      </c>
      <c r="C7266" s="117">
        <v>45658</v>
      </c>
      <c r="D7266" s="116">
        <v>77.599999999999994</v>
      </c>
      <c r="E7266" s="117">
        <v>45672</v>
      </c>
      <c r="F7266" s="116">
        <f>COUNTIFS($A$3:A15523,A7266,$B$3:B15523,B7266)</f>
        <v>1</v>
      </c>
      <c r="G7266" s="116"/>
    </row>
    <row r="7267" spans="1:7" x14ac:dyDescent="0.2">
      <c r="A7267" s="116">
        <f>IF(ISNUMBER(Tabela2[[#This Row],[CT-e/NFS]])=TRUE,(IF(B7267&gt;30000,4,IF(B7267&lt;1000,"ND",0))),"-")</f>
        <v>4</v>
      </c>
      <c r="B7267" s="116">
        <v>50895</v>
      </c>
      <c r="C7267" s="117">
        <v>45658</v>
      </c>
      <c r="D7267" s="116">
        <v>61.44</v>
      </c>
      <c r="E7267" s="117">
        <v>45672</v>
      </c>
      <c r="F7267" s="116">
        <f>COUNTIFS($A$3:A15524,A7267,$B$3:B15524,B7267)</f>
        <v>1</v>
      </c>
      <c r="G7267" s="116"/>
    </row>
    <row r="7268" spans="1:7" x14ac:dyDescent="0.2">
      <c r="A7268" s="116">
        <f>IF(ISNUMBER(Tabela2[[#This Row],[CT-e/NFS]])=TRUE,(IF(B7268&gt;30000,4,IF(B7268&lt;1000,"ND",0))),"-")</f>
        <v>4</v>
      </c>
      <c r="B7268" s="116">
        <v>50896</v>
      </c>
      <c r="C7268" s="117">
        <v>45658</v>
      </c>
      <c r="D7268" s="116">
        <v>110.6</v>
      </c>
      <c r="E7268" s="117">
        <v>45672</v>
      </c>
      <c r="F7268" s="116">
        <f>COUNTIFS($A$3:A15525,A7268,$B$3:B15525,B7268)</f>
        <v>1</v>
      </c>
      <c r="G7268" s="116"/>
    </row>
    <row r="7269" spans="1:7" x14ac:dyDescent="0.2">
      <c r="A7269" s="116">
        <f>IF(ISNUMBER(Tabela2[[#This Row],[CT-e/NFS]])=TRUE,(IF(B7269&gt;30000,4,IF(B7269&lt;1000,"ND",0))),"-")</f>
        <v>4</v>
      </c>
      <c r="B7269" s="116">
        <v>50891</v>
      </c>
      <c r="C7269" s="117">
        <v>45658</v>
      </c>
      <c r="D7269" s="116">
        <v>785.94</v>
      </c>
      <c r="E7269" s="117">
        <v>45672</v>
      </c>
      <c r="F7269" s="116">
        <f>COUNTIFS($A$3:A15526,A7269,$B$3:B15526,B7269)</f>
        <v>1</v>
      </c>
      <c r="G7269" s="116"/>
    </row>
    <row r="7270" spans="1:7" x14ac:dyDescent="0.2">
      <c r="A7270" s="116">
        <f>IF(ISNUMBER(Tabela2[[#This Row],[CT-e/NFS]])=TRUE,(IF(B7270&gt;30000,4,IF(B7270&lt;1000,"ND",0))),"-")</f>
        <v>4</v>
      </c>
      <c r="B7270" s="116">
        <v>50886</v>
      </c>
      <c r="C7270" s="117">
        <v>45658</v>
      </c>
      <c r="D7270" s="116">
        <v>126.32</v>
      </c>
      <c r="E7270" s="117">
        <v>45672</v>
      </c>
      <c r="F7270" s="116">
        <f>COUNTIFS($A$3:A15527,A7270,$B$3:B15527,B7270)</f>
        <v>1</v>
      </c>
      <c r="G7270" s="116"/>
    </row>
    <row r="7271" spans="1:7" x14ac:dyDescent="0.2">
      <c r="A7271" s="116">
        <f>IF(ISNUMBER(Tabela2[[#This Row],[CT-e/NFS]])=TRUE,(IF(B7271&gt;30000,4,IF(B7271&lt;1000,"ND",0))),"-")</f>
        <v>4</v>
      </c>
      <c r="B7271" s="116">
        <v>50890</v>
      </c>
      <c r="C7271" s="117">
        <v>45658</v>
      </c>
      <c r="D7271" s="116">
        <v>242.93</v>
      </c>
      <c r="E7271" s="117">
        <v>45672</v>
      </c>
      <c r="F7271" s="116">
        <f>COUNTIFS($A$3:A15528,A7271,$B$3:B15528,B7271)</f>
        <v>1</v>
      </c>
      <c r="G7271" s="116"/>
    </row>
    <row r="7272" spans="1:7" x14ac:dyDescent="0.2">
      <c r="A7272" s="116">
        <f>IF(ISNUMBER(Tabela2[[#This Row],[CT-e/NFS]])=TRUE,(IF(B7272&gt;30000,4,IF(B7272&lt;1000,"ND",0))),"-")</f>
        <v>4</v>
      </c>
      <c r="B7272" s="116">
        <v>50893</v>
      </c>
      <c r="C7272" s="117">
        <v>45658</v>
      </c>
      <c r="D7272" s="116">
        <v>122.93</v>
      </c>
      <c r="E7272" s="117">
        <v>45672</v>
      </c>
      <c r="F7272" s="116">
        <f>COUNTIFS($A$3:A15529,A7272,$B$3:B15529,B7272)</f>
        <v>1</v>
      </c>
      <c r="G7272" s="116"/>
    </row>
    <row r="7273" spans="1:7" x14ac:dyDescent="0.2">
      <c r="A7273" s="116">
        <f>IF(ISNUMBER(Tabela2[[#This Row],[CT-e/NFS]])=TRUE,(IF(B7273&gt;30000,4,IF(B7273&lt;1000,"ND",0))),"-")</f>
        <v>4</v>
      </c>
      <c r="B7273" s="116">
        <v>50888</v>
      </c>
      <c r="C7273" s="117">
        <v>45658</v>
      </c>
      <c r="D7273" s="116">
        <v>126.32</v>
      </c>
      <c r="E7273" s="117">
        <v>45672</v>
      </c>
      <c r="F7273" s="116">
        <f>COUNTIFS($A$3:A15530,A7273,$B$3:B15530,B7273)</f>
        <v>1</v>
      </c>
      <c r="G7273" s="116"/>
    </row>
    <row r="7274" spans="1:7" x14ac:dyDescent="0.2">
      <c r="A7274" s="116">
        <f>IF(ISNUMBER(Tabela2[[#This Row],[CT-e/NFS]])=TRUE,(IF(B7274&gt;30000,4,IF(B7274&lt;1000,"ND",0))),"-")</f>
        <v>4</v>
      </c>
      <c r="B7274" s="116">
        <v>50887</v>
      </c>
      <c r="C7274" s="117">
        <v>45658</v>
      </c>
      <c r="D7274" s="116">
        <v>123.06</v>
      </c>
      <c r="E7274" s="117">
        <v>45672</v>
      </c>
      <c r="F7274" s="116">
        <f>COUNTIFS($A$3:A15531,A7274,$B$3:B15531,B7274)</f>
        <v>1</v>
      </c>
      <c r="G7274" s="116"/>
    </row>
    <row r="7275" spans="1:7" x14ac:dyDescent="0.2">
      <c r="A7275" s="116">
        <f>IF(ISNUMBER(Tabela2[[#This Row],[CT-e/NFS]])=TRUE,(IF(B7275&gt;30000,4,IF(B7275&lt;1000,"ND",0))),"-")</f>
        <v>4</v>
      </c>
      <c r="B7275" s="116">
        <v>50892</v>
      </c>
      <c r="C7275" s="117">
        <v>45658</v>
      </c>
      <c r="D7275" s="116">
        <v>124.52</v>
      </c>
      <c r="E7275" s="117">
        <v>45672</v>
      </c>
      <c r="F7275" s="116">
        <f>COUNTIFS($A$3:A15532,A7275,$B$3:B15532,B7275)</f>
        <v>1</v>
      </c>
      <c r="G7275" s="116"/>
    </row>
    <row r="7276" spans="1:7" x14ac:dyDescent="0.2">
      <c r="A7276" s="116">
        <f>IF(ISNUMBER(Tabela2[[#This Row],[CT-e/NFS]])=TRUE,(IF(B7276&gt;30000,4,IF(B7276&lt;1000,"ND",0))),"-")</f>
        <v>4</v>
      </c>
      <c r="B7276" s="116">
        <v>50882</v>
      </c>
      <c r="C7276" s="117">
        <v>45658</v>
      </c>
      <c r="D7276" s="116">
        <v>408.02</v>
      </c>
      <c r="E7276" s="117">
        <v>45672</v>
      </c>
      <c r="F7276" s="116">
        <f>COUNTIFS($A$3:A15533,A7276,$B$3:B15533,B7276)</f>
        <v>1</v>
      </c>
      <c r="G7276" s="116"/>
    </row>
    <row r="7277" spans="1:7" x14ac:dyDescent="0.2">
      <c r="A7277" s="116">
        <f>IF(ISNUMBER(Tabela2[[#This Row],[CT-e/NFS]])=TRUE,(IF(B7277&gt;30000,4,IF(B7277&lt;1000,"ND",0))),"-")</f>
        <v>4</v>
      </c>
      <c r="B7277" s="116">
        <v>50897</v>
      </c>
      <c r="C7277" s="117">
        <v>45658</v>
      </c>
      <c r="D7277" s="116">
        <v>1003.68</v>
      </c>
      <c r="E7277" s="117">
        <v>45672</v>
      </c>
      <c r="F7277" s="116">
        <f>COUNTIFS($A$3:A15534,A7277,$B$3:B15534,B7277)</f>
        <v>1</v>
      </c>
      <c r="G7277" s="116"/>
    </row>
    <row r="7278" spans="1:7" x14ac:dyDescent="0.2">
      <c r="A7278" s="116">
        <f>IF(ISNUMBER(Tabela2[[#This Row],[CT-e/NFS]])=TRUE,(IF(B7278&gt;30000,4,IF(B7278&lt;1000,"ND",0))),"-")</f>
        <v>4</v>
      </c>
      <c r="B7278" s="116">
        <v>50889</v>
      </c>
      <c r="C7278" s="117">
        <v>45658</v>
      </c>
      <c r="D7278" s="116">
        <v>125.56</v>
      </c>
      <c r="E7278" s="117">
        <v>45672</v>
      </c>
      <c r="F7278" s="116">
        <f>COUNTIFS($A$3:A15535,A7278,$B$3:B15535,B7278)</f>
        <v>1</v>
      </c>
      <c r="G7278" s="116"/>
    </row>
    <row r="7279" spans="1:7" x14ac:dyDescent="0.2">
      <c r="A7279" s="116">
        <f>IF(ISNUMBER(Tabela2[[#This Row],[CT-e/NFS]])=TRUE,(IF(B7279&gt;30000,4,IF(B7279&lt;1000,"ND",0))),"-")</f>
        <v>4</v>
      </c>
      <c r="B7279" s="116">
        <v>50883</v>
      </c>
      <c r="C7279" s="117">
        <v>45658</v>
      </c>
      <c r="D7279" s="116">
        <v>931.82</v>
      </c>
      <c r="E7279" s="117">
        <v>45672</v>
      </c>
      <c r="F7279" s="116">
        <f>COUNTIFS($A$3:A15536,A7279,$B$3:B15536,B7279)</f>
        <v>1</v>
      </c>
      <c r="G7279" s="116"/>
    </row>
    <row r="7280" spans="1:7" x14ac:dyDescent="0.2">
      <c r="A7280" s="116">
        <f>IF(ISNUMBER(Tabela2[[#This Row],[CT-e/NFS]])=TRUE,(IF(B7280&gt;30000,4,IF(B7280&lt;1000,"ND",0))),"-")</f>
        <v>4</v>
      </c>
      <c r="B7280" s="116">
        <v>50884</v>
      </c>
      <c r="C7280" s="117">
        <v>45658</v>
      </c>
      <c r="D7280" s="116">
        <v>681.82</v>
      </c>
      <c r="E7280" s="117">
        <v>45672</v>
      </c>
      <c r="F7280" s="116">
        <f>COUNTIFS($A$3:A15537,A7280,$B$3:B15537,B7280)</f>
        <v>1</v>
      </c>
      <c r="G7280" s="116"/>
    </row>
    <row r="7281" spans="1:7" x14ac:dyDescent="0.2">
      <c r="A7281" s="116">
        <f>IF(ISNUMBER(Tabela2[[#This Row],[CT-e/NFS]])=TRUE,(IF(B7281&gt;30000,4,IF(B7281&lt;1000,"ND",0))),"-")</f>
        <v>4</v>
      </c>
      <c r="B7281" s="116">
        <v>50880</v>
      </c>
      <c r="C7281" s="117">
        <v>45658</v>
      </c>
      <c r="D7281" s="116">
        <v>122.73</v>
      </c>
      <c r="E7281" s="117">
        <v>45672</v>
      </c>
      <c r="F7281" s="116">
        <f>COUNTIFS($A$3:A15538,A7281,$B$3:B15538,B7281)</f>
        <v>1</v>
      </c>
      <c r="G7281" s="116"/>
    </row>
    <row r="7282" spans="1:7" x14ac:dyDescent="0.2">
      <c r="A7282" s="116">
        <f>IF(ISNUMBER(Tabela2[[#This Row],[CT-e/NFS]])=TRUE,(IF(B7282&gt;30000,4,IF(B7282&lt;1000,"ND",0))),"-")</f>
        <v>4</v>
      </c>
      <c r="B7282" s="116">
        <v>50881</v>
      </c>
      <c r="C7282" s="117">
        <v>45658</v>
      </c>
      <c r="D7282" s="116">
        <v>122.74</v>
      </c>
      <c r="E7282" s="117">
        <v>45672</v>
      </c>
      <c r="F7282" s="116">
        <f>COUNTIFS($A$3:A15539,A7282,$B$3:B15539,B7282)</f>
        <v>1</v>
      </c>
      <c r="G7282" s="116"/>
    </row>
    <row r="7283" spans="1:7" x14ac:dyDescent="0.2">
      <c r="A7283" s="116">
        <f>IF(ISNUMBER(Tabela2[[#This Row],[CT-e/NFS]])=TRUE,(IF(B7283&gt;30000,4,IF(B7283&lt;1000,"ND",0))),"-")</f>
        <v>4</v>
      </c>
      <c r="B7283" s="116">
        <v>50885</v>
      </c>
      <c r="C7283" s="117">
        <v>45658</v>
      </c>
      <c r="D7283" s="116">
        <v>408.02</v>
      </c>
      <c r="E7283" s="117">
        <v>45672</v>
      </c>
      <c r="F7283" s="116">
        <f>COUNTIFS($A$3:A15540,A7283,$B$3:B15540,B7283)</f>
        <v>1</v>
      </c>
      <c r="G7283" s="116"/>
    </row>
    <row r="7284" spans="1:7" x14ac:dyDescent="0.2">
      <c r="A7284" s="116">
        <f>IF(ISNUMBER(Tabela2[[#This Row],[CT-e/NFS]])=TRUE,(IF(B7284&gt;30000,4,IF(B7284&lt;1000,"ND",0))),"-")</f>
        <v>4</v>
      </c>
      <c r="B7284" s="116">
        <v>50901</v>
      </c>
      <c r="C7284" s="117">
        <v>45658</v>
      </c>
      <c r="D7284" s="116">
        <v>598.64</v>
      </c>
      <c r="E7284" s="117">
        <v>45672</v>
      </c>
      <c r="F7284" s="116">
        <f>COUNTIFS($A$3:A15541,A7284,$B$3:B15541,B7284)</f>
        <v>1</v>
      </c>
      <c r="G7284" s="116"/>
    </row>
    <row r="7285" spans="1:7" x14ac:dyDescent="0.2">
      <c r="A7285" s="116">
        <f>IF(ISNUMBER(Tabela2[[#This Row],[CT-e/NFS]])=TRUE,(IF(B7285&gt;30000,4,IF(B7285&lt;1000,"ND",0))),"-")</f>
        <v>4</v>
      </c>
      <c r="B7285" s="116">
        <v>50899</v>
      </c>
      <c r="C7285" s="117">
        <v>45658</v>
      </c>
      <c r="D7285" s="116">
        <v>2834.43</v>
      </c>
      <c r="E7285" s="117">
        <v>45672</v>
      </c>
      <c r="F7285" s="116">
        <f>COUNTIFS($A$3:A15542,A7285,$B$3:B15542,B7285)</f>
        <v>1</v>
      </c>
      <c r="G7285" s="116"/>
    </row>
    <row r="7286" spans="1:7" x14ac:dyDescent="0.2">
      <c r="A7286" s="116">
        <f>IF(ISNUMBER(Tabela2[[#This Row],[CT-e/NFS]])=TRUE,(IF(B7286&gt;30000,4,IF(B7286&lt;1000,"ND",0))),"-")</f>
        <v>4</v>
      </c>
      <c r="B7286" s="116">
        <v>50898</v>
      </c>
      <c r="C7286" s="117">
        <v>45658</v>
      </c>
      <c r="D7286" s="116">
        <v>6758.01</v>
      </c>
      <c r="E7286" s="117">
        <v>45672</v>
      </c>
      <c r="F7286" s="116">
        <f>COUNTIFS($A$3:A15543,A7286,$B$3:B15543,B7286)</f>
        <v>1</v>
      </c>
      <c r="G7286" s="116"/>
    </row>
    <row r="7287" spans="1:7" x14ac:dyDescent="0.2">
      <c r="A7287" s="116">
        <f>IF(ISNUMBER(Tabela2[[#This Row],[CT-e/NFS]])=TRUE,(IF(B7287&gt;30000,4,IF(B7287&lt;1000,"ND",0))),"-")</f>
        <v>4</v>
      </c>
      <c r="B7287" s="116">
        <v>50903</v>
      </c>
      <c r="C7287" s="117">
        <v>45658</v>
      </c>
      <c r="D7287" s="116">
        <v>240.41</v>
      </c>
      <c r="E7287" s="117">
        <v>45672</v>
      </c>
      <c r="F7287" s="116">
        <f>COUNTIFS($A$3:A15544,A7287,$B$3:B15544,B7287)</f>
        <v>1</v>
      </c>
      <c r="G7287" s="116"/>
    </row>
    <row r="7288" spans="1:7" x14ac:dyDescent="0.2">
      <c r="A7288" s="116">
        <f>IF(ISNUMBER(Tabela2[[#This Row],[CT-e/NFS]])=TRUE,(IF(B7288&gt;30000,4,IF(B7288&lt;1000,"ND",0))),"-")</f>
        <v>4</v>
      </c>
      <c r="B7288" s="116">
        <v>50911</v>
      </c>
      <c r="C7288" s="117">
        <v>45658</v>
      </c>
      <c r="D7288" s="116">
        <v>122.89</v>
      </c>
      <c r="E7288" s="117">
        <v>45672</v>
      </c>
      <c r="F7288" s="116">
        <f>COUNTIFS($A$3:A15545,A7288,$B$3:B15545,B7288)</f>
        <v>1</v>
      </c>
      <c r="G7288" s="116"/>
    </row>
    <row r="7289" spans="1:7" x14ac:dyDescent="0.2">
      <c r="A7289" s="116">
        <f>IF(ISNUMBER(Tabela2[[#This Row],[CT-e/NFS]])=TRUE,(IF(B7289&gt;30000,4,IF(B7289&lt;1000,"ND",0))),"-")</f>
        <v>4</v>
      </c>
      <c r="B7289" s="116">
        <v>50910</v>
      </c>
      <c r="C7289" s="117">
        <v>45658</v>
      </c>
      <c r="D7289" s="116">
        <v>124.03</v>
      </c>
      <c r="E7289" s="117">
        <v>45672</v>
      </c>
      <c r="F7289" s="116">
        <f>COUNTIFS($A$3:A15546,A7289,$B$3:B15546,B7289)</f>
        <v>1</v>
      </c>
      <c r="G7289" s="116"/>
    </row>
    <row r="7290" spans="1:7" x14ac:dyDescent="0.2">
      <c r="A7290" s="116">
        <f>IF(ISNUMBER(Tabela2[[#This Row],[CT-e/NFS]])=TRUE,(IF(B7290&gt;30000,4,IF(B7290&lt;1000,"ND",0))),"-")</f>
        <v>4</v>
      </c>
      <c r="B7290" s="116">
        <v>50902</v>
      </c>
      <c r="C7290" s="117">
        <v>45658</v>
      </c>
      <c r="D7290" s="116">
        <v>396.45</v>
      </c>
      <c r="E7290" s="117">
        <v>45672</v>
      </c>
      <c r="F7290" s="116">
        <f>COUNTIFS($A$3:A15547,A7290,$B$3:B15547,B7290)</f>
        <v>1</v>
      </c>
      <c r="G7290" s="116"/>
    </row>
    <row r="7291" spans="1:7" x14ac:dyDescent="0.2">
      <c r="A7291" s="116">
        <f>IF(ISNUMBER(Tabela2[[#This Row],[CT-e/NFS]])=TRUE,(IF(B7291&gt;30000,4,IF(B7291&lt;1000,"ND",0))),"-")</f>
        <v>4</v>
      </c>
      <c r="B7291" s="116">
        <v>50908</v>
      </c>
      <c r="C7291" s="117">
        <v>45658</v>
      </c>
      <c r="D7291" s="116">
        <v>126.19</v>
      </c>
      <c r="E7291" s="117">
        <v>45672</v>
      </c>
      <c r="F7291" s="116">
        <f>COUNTIFS($A$3:A15548,A7291,$B$3:B15548,B7291)</f>
        <v>1</v>
      </c>
      <c r="G7291" s="116"/>
    </row>
    <row r="7292" spans="1:7" x14ac:dyDescent="0.2">
      <c r="A7292" s="116">
        <f>IF(ISNUMBER(Tabela2[[#This Row],[CT-e/NFS]])=TRUE,(IF(B7292&gt;30000,4,IF(B7292&lt;1000,"ND",0))),"-")</f>
        <v>4</v>
      </c>
      <c r="B7292" s="116">
        <v>50916</v>
      </c>
      <c r="C7292" s="117">
        <v>45658</v>
      </c>
      <c r="D7292" s="116">
        <v>124.1</v>
      </c>
      <c r="E7292" s="117">
        <v>45672</v>
      </c>
      <c r="F7292" s="116">
        <f>COUNTIFS($A$3:A15549,A7292,$B$3:B15549,B7292)</f>
        <v>1</v>
      </c>
      <c r="G7292" s="116"/>
    </row>
    <row r="7293" spans="1:7" x14ac:dyDescent="0.2">
      <c r="A7293" s="116">
        <f>IF(ISNUMBER(Tabela2[[#This Row],[CT-e/NFS]])=TRUE,(IF(B7293&gt;30000,4,IF(B7293&lt;1000,"ND",0))),"-")</f>
        <v>4</v>
      </c>
      <c r="B7293" s="116">
        <v>50914</v>
      </c>
      <c r="C7293" s="117">
        <v>45658</v>
      </c>
      <c r="D7293" s="116">
        <v>232.41</v>
      </c>
      <c r="E7293" s="117">
        <v>45672</v>
      </c>
      <c r="F7293" s="116">
        <f>COUNTIFS($A$3:A15550,A7293,$B$3:B15550,B7293)</f>
        <v>1</v>
      </c>
      <c r="G7293" s="116"/>
    </row>
    <row r="7294" spans="1:7" x14ac:dyDescent="0.2">
      <c r="A7294" s="116">
        <f>IF(ISNUMBER(Tabela2[[#This Row],[CT-e/NFS]])=TRUE,(IF(B7294&gt;30000,4,IF(B7294&lt;1000,"ND",0))),"-")</f>
        <v>4</v>
      </c>
      <c r="B7294" s="116">
        <v>50906</v>
      </c>
      <c r="C7294" s="117">
        <v>45658</v>
      </c>
      <c r="D7294" s="116">
        <v>125.42</v>
      </c>
      <c r="E7294" s="117">
        <v>45672</v>
      </c>
      <c r="F7294" s="116">
        <f>COUNTIFS($A$3:A15551,A7294,$B$3:B15551,B7294)</f>
        <v>1</v>
      </c>
      <c r="G7294" s="116"/>
    </row>
    <row r="7295" spans="1:7" x14ac:dyDescent="0.2">
      <c r="A7295" s="116">
        <f>IF(ISNUMBER(Tabela2[[#This Row],[CT-e/NFS]])=TRUE,(IF(B7295&gt;30000,4,IF(B7295&lt;1000,"ND",0))),"-")</f>
        <v>4</v>
      </c>
      <c r="B7295" s="116">
        <v>50912</v>
      </c>
      <c r="C7295" s="117">
        <v>45658</v>
      </c>
      <c r="D7295" s="116">
        <v>461.92</v>
      </c>
      <c r="E7295" s="117">
        <v>45672</v>
      </c>
      <c r="F7295" s="116">
        <f>COUNTIFS($A$3:A15552,A7295,$B$3:B15552,B7295)</f>
        <v>1</v>
      </c>
      <c r="G7295" s="116"/>
    </row>
    <row r="7296" spans="1:7" x14ac:dyDescent="0.2">
      <c r="A7296" s="116">
        <f>IF(ISNUMBER(Tabela2[[#This Row],[CT-e/NFS]])=TRUE,(IF(B7296&gt;30000,4,IF(B7296&lt;1000,"ND",0))),"-")</f>
        <v>4</v>
      </c>
      <c r="B7296" s="116">
        <v>50907</v>
      </c>
      <c r="C7296" s="117">
        <v>45658</v>
      </c>
      <c r="D7296" s="116">
        <v>125.7</v>
      </c>
      <c r="E7296" s="117">
        <v>45672</v>
      </c>
      <c r="F7296" s="116">
        <f>COUNTIFS($A$3:A15553,A7296,$B$3:B15553,B7296)</f>
        <v>1</v>
      </c>
      <c r="G7296" s="116"/>
    </row>
    <row r="7297" spans="1:7" x14ac:dyDescent="0.2">
      <c r="A7297" s="116">
        <f>IF(ISNUMBER(Tabela2[[#This Row],[CT-e/NFS]])=TRUE,(IF(B7297&gt;30000,4,IF(B7297&lt;1000,"ND",0))),"-")</f>
        <v>4</v>
      </c>
      <c r="B7297" s="116">
        <v>50909</v>
      </c>
      <c r="C7297" s="117">
        <v>45658</v>
      </c>
      <c r="D7297" s="116">
        <v>292.93</v>
      </c>
      <c r="E7297" s="117">
        <v>45672</v>
      </c>
      <c r="F7297" s="116">
        <f>COUNTIFS($A$3:A15554,A7297,$B$3:B15554,B7297)</f>
        <v>1</v>
      </c>
      <c r="G7297" s="116"/>
    </row>
    <row r="7298" spans="1:7" x14ac:dyDescent="0.2">
      <c r="A7298" s="116">
        <f>IF(ISNUMBER(Tabela2[[#This Row],[CT-e/NFS]])=TRUE,(IF(B7298&gt;30000,4,IF(B7298&lt;1000,"ND",0))),"-")</f>
        <v>4</v>
      </c>
      <c r="B7298" s="116">
        <v>50913</v>
      </c>
      <c r="C7298" s="117">
        <v>45658</v>
      </c>
      <c r="D7298" s="116">
        <v>122.77</v>
      </c>
      <c r="E7298" s="117">
        <v>45672</v>
      </c>
      <c r="F7298" s="116">
        <f>COUNTIFS($A$3:A15555,A7298,$B$3:B15555,B7298)</f>
        <v>1</v>
      </c>
      <c r="G7298" s="116"/>
    </row>
    <row r="7299" spans="1:7" x14ac:dyDescent="0.2">
      <c r="A7299" s="116">
        <f>IF(ISNUMBER(Tabela2[[#This Row],[CT-e/NFS]])=TRUE,(IF(B7299&gt;30000,4,IF(B7299&lt;1000,"ND",0))),"-")</f>
        <v>4</v>
      </c>
      <c r="B7299" s="116">
        <v>50922</v>
      </c>
      <c r="C7299" s="117">
        <v>45658</v>
      </c>
      <c r="D7299" s="116">
        <v>1079.8399999999999</v>
      </c>
      <c r="E7299" s="117">
        <v>45672</v>
      </c>
      <c r="F7299" s="116">
        <f>COUNTIFS($A$3:A15556,A7299,$B$3:B15556,B7299)</f>
        <v>1</v>
      </c>
      <c r="G7299" s="116"/>
    </row>
    <row r="7300" spans="1:7" x14ac:dyDescent="0.2">
      <c r="A7300" s="116">
        <f>IF(ISNUMBER(Tabela2[[#This Row],[CT-e/NFS]])=TRUE,(IF(B7300&gt;30000,4,IF(B7300&lt;1000,"ND",0))),"-")</f>
        <v>4</v>
      </c>
      <c r="B7300" s="116">
        <v>50900</v>
      </c>
      <c r="C7300" s="117">
        <v>45658</v>
      </c>
      <c r="D7300" s="116">
        <v>539.09</v>
      </c>
      <c r="E7300" s="117">
        <v>45672</v>
      </c>
      <c r="F7300" s="116">
        <f>COUNTIFS($A$3:A15557,A7300,$B$3:B15557,B7300)</f>
        <v>1</v>
      </c>
      <c r="G7300" s="116"/>
    </row>
    <row r="7301" spans="1:7" x14ac:dyDescent="0.2">
      <c r="A7301" s="116">
        <f>IF(ISNUMBER(Tabela2[[#This Row],[CT-e/NFS]])=TRUE,(IF(B7301&gt;30000,4,IF(B7301&lt;1000,"ND",0))),"-")</f>
        <v>4</v>
      </c>
      <c r="B7301" s="116">
        <v>50904</v>
      </c>
      <c r="C7301" s="117">
        <v>45658</v>
      </c>
      <c r="D7301" s="116">
        <v>126.05</v>
      </c>
      <c r="E7301" s="117">
        <v>45672</v>
      </c>
      <c r="F7301" s="116">
        <f>COUNTIFS($A$3:A15558,A7301,$B$3:B15558,B7301)</f>
        <v>1</v>
      </c>
      <c r="G7301" s="116"/>
    </row>
    <row r="7302" spans="1:7" x14ac:dyDescent="0.2">
      <c r="A7302" s="116">
        <f>IF(ISNUMBER(Tabela2[[#This Row],[CT-e/NFS]])=TRUE,(IF(B7302&gt;30000,4,IF(B7302&lt;1000,"ND",0))),"-")</f>
        <v>4</v>
      </c>
      <c r="B7302" s="116">
        <v>50925</v>
      </c>
      <c r="C7302" s="117">
        <v>45658</v>
      </c>
      <c r="D7302" s="116">
        <v>396.45</v>
      </c>
      <c r="E7302" s="117">
        <v>45672</v>
      </c>
      <c r="F7302" s="116">
        <f>COUNTIFS($A$3:A15559,A7302,$B$3:B15559,B7302)</f>
        <v>1</v>
      </c>
      <c r="G7302" s="116"/>
    </row>
    <row r="7303" spans="1:7" x14ac:dyDescent="0.2">
      <c r="A7303" s="116">
        <f>IF(ISNUMBER(Tabela2[[#This Row],[CT-e/NFS]])=TRUE,(IF(B7303&gt;30000,4,IF(B7303&lt;1000,"ND",0))),"-")</f>
        <v>4</v>
      </c>
      <c r="B7303" s="116">
        <v>50933</v>
      </c>
      <c r="C7303" s="117">
        <v>45658</v>
      </c>
      <c r="D7303" s="116">
        <v>122.86</v>
      </c>
      <c r="E7303" s="117">
        <v>45672</v>
      </c>
      <c r="F7303" s="116">
        <f>COUNTIFS($A$3:A15560,A7303,$B$3:B15560,B7303)</f>
        <v>1</v>
      </c>
      <c r="G7303" s="116"/>
    </row>
    <row r="7304" spans="1:7" x14ac:dyDescent="0.2">
      <c r="A7304" s="116">
        <f>IF(ISNUMBER(Tabela2[[#This Row],[CT-e/NFS]])=TRUE,(IF(B7304&gt;30000,4,IF(B7304&lt;1000,"ND",0))),"-")</f>
        <v>4</v>
      </c>
      <c r="B7304" s="116">
        <v>50905</v>
      </c>
      <c r="C7304" s="117">
        <v>45658</v>
      </c>
      <c r="D7304" s="116">
        <v>123.11</v>
      </c>
      <c r="E7304" s="117">
        <v>45672</v>
      </c>
      <c r="F7304" s="116">
        <f>COUNTIFS($A$3:A15561,A7304,$B$3:B15561,B7304)</f>
        <v>1</v>
      </c>
      <c r="G7304" s="116"/>
    </row>
    <row r="7305" spans="1:7" x14ac:dyDescent="0.2">
      <c r="A7305" s="116">
        <f>IF(ISNUMBER(Tabela2[[#This Row],[CT-e/NFS]])=TRUE,(IF(B7305&gt;30000,4,IF(B7305&lt;1000,"ND",0))),"-")</f>
        <v>4</v>
      </c>
      <c r="B7305" s="116">
        <v>50927</v>
      </c>
      <c r="C7305" s="117">
        <v>45658</v>
      </c>
      <c r="D7305" s="116">
        <v>126.1</v>
      </c>
      <c r="E7305" s="117">
        <v>45672</v>
      </c>
      <c r="F7305" s="116">
        <f>COUNTIFS($A$3:A15562,A7305,$B$3:B15562,B7305)</f>
        <v>1</v>
      </c>
      <c r="G7305" s="116"/>
    </row>
    <row r="7306" spans="1:7" x14ac:dyDescent="0.2">
      <c r="A7306" s="116">
        <f>IF(ISNUMBER(Tabela2[[#This Row],[CT-e/NFS]])=TRUE,(IF(B7306&gt;30000,4,IF(B7306&lt;1000,"ND",0))),"-")</f>
        <v>4</v>
      </c>
      <c r="B7306" s="116">
        <v>50919</v>
      </c>
      <c r="C7306" s="117">
        <v>45658</v>
      </c>
      <c r="D7306" s="116">
        <v>1718.15</v>
      </c>
      <c r="E7306" s="117">
        <v>45672</v>
      </c>
      <c r="F7306" s="116">
        <f>COUNTIFS($A$3:A15563,A7306,$B$3:B15563,B7306)</f>
        <v>1</v>
      </c>
      <c r="G7306" s="116"/>
    </row>
    <row r="7307" spans="1:7" x14ac:dyDescent="0.2">
      <c r="A7307" s="116">
        <f>IF(ISNUMBER(Tabela2[[#This Row],[CT-e/NFS]])=TRUE,(IF(B7307&gt;30000,4,IF(B7307&lt;1000,"ND",0))),"-")</f>
        <v>4</v>
      </c>
      <c r="B7307" s="116">
        <v>50923</v>
      </c>
      <c r="C7307" s="117">
        <v>45658</v>
      </c>
      <c r="D7307" s="116">
        <v>678.45</v>
      </c>
      <c r="E7307" s="117">
        <v>45672</v>
      </c>
      <c r="F7307" s="116">
        <f>COUNTIFS($A$3:A15564,A7307,$B$3:B15564,B7307)</f>
        <v>1</v>
      </c>
      <c r="G7307" s="116"/>
    </row>
    <row r="7308" spans="1:7" x14ac:dyDescent="0.2">
      <c r="A7308" s="116">
        <f>IF(ISNUMBER(Tabela2[[#This Row],[CT-e/NFS]])=TRUE,(IF(B7308&gt;30000,4,IF(B7308&lt;1000,"ND",0))),"-")</f>
        <v>4</v>
      </c>
      <c r="B7308" s="116">
        <v>50920</v>
      </c>
      <c r="C7308" s="117">
        <v>45658</v>
      </c>
      <c r="D7308" s="116">
        <v>907.09</v>
      </c>
      <c r="E7308" s="117">
        <v>45672</v>
      </c>
      <c r="F7308" s="116">
        <f>COUNTIFS($A$3:A15565,A7308,$B$3:B15565,B7308)</f>
        <v>1</v>
      </c>
      <c r="G7308" s="116"/>
    </row>
    <row r="7309" spans="1:7" x14ac:dyDescent="0.2">
      <c r="A7309" s="116">
        <f>IF(ISNUMBER(Tabela2[[#This Row],[CT-e/NFS]])=TRUE,(IF(B7309&gt;30000,4,IF(B7309&lt;1000,"ND",0))),"-")</f>
        <v>4</v>
      </c>
      <c r="B7309" s="116">
        <v>50921</v>
      </c>
      <c r="C7309" s="117">
        <v>45658</v>
      </c>
      <c r="D7309" s="116">
        <v>230.64</v>
      </c>
      <c r="E7309" s="117">
        <v>45672</v>
      </c>
      <c r="F7309" s="116">
        <f>COUNTIFS($A$3:A15566,A7309,$B$3:B15566,B7309)</f>
        <v>1</v>
      </c>
      <c r="G7309" s="116"/>
    </row>
    <row r="7310" spans="1:7" x14ac:dyDescent="0.2">
      <c r="A7310" s="116">
        <f>IF(ISNUMBER(Tabela2[[#This Row],[CT-e/NFS]])=TRUE,(IF(B7310&gt;30000,4,IF(B7310&lt;1000,"ND",0))),"-")</f>
        <v>4</v>
      </c>
      <c r="B7310" s="116">
        <v>50935</v>
      </c>
      <c r="C7310" s="117">
        <v>45658</v>
      </c>
      <c r="D7310" s="116">
        <v>124.07</v>
      </c>
      <c r="E7310" s="117">
        <v>45672</v>
      </c>
      <c r="F7310" s="116">
        <f>COUNTIFS($A$3:A15567,A7310,$B$3:B15567,B7310)</f>
        <v>1</v>
      </c>
      <c r="G7310" s="116"/>
    </row>
    <row r="7311" spans="1:7" x14ac:dyDescent="0.2">
      <c r="A7311" s="116">
        <f>IF(ISNUMBER(Tabela2[[#This Row],[CT-e/NFS]])=TRUE,(IF(B7311&gt;30000,4,IF(B7311&lt;1000,"ND",0))),"-")</f>
        <v>4</v>
      </c>
      <c r="B7311" s="116">
        <v>50926</v>
      </c>
      <c r="C7311" s="117">
        <v>45658</v>
      </c>
      <c r="D7311" s="116">
        <v>183.92</v>
      </c>
      <c r="E7311" s="117">
        <v>45672</v>
      </c>
      <c r="F7311" s="116">
        <f>COUNTIFS($A$3:A15568,A7311,$B$3:B15568,B7311)</f>
        <v>1</v>
      </c>
      <c r="G7311" s="116"/>
    </row>
    <row r="7312" spans="1:7" x14ac:dyDescent="0.2">
      <c r="A7312" s="116">
        <f>IF(ISNUMBER(Tabela2[[#This Row],[CT-e/NFS]])=TRUE,(IF(B7312&gt;30000,4,IF(B7312&lt;1000,"ND",0))),"-")</f>
        <v>4</v>
      </c>
      <c r="B7312" s="116">
        <v>50928</v>
      </c>
      <c r="C7312" s="117">
        <v>45658</v>
      </c>
      <c r="D7312" s="116">
        <v>124.36</v>
      </c>
      <c r="E7312" s="117">
        <v>45672</v>
      </c>
      <c r="F7312" s="116">
        <f>COUNTIFS($A$3:A15569,A7312,$B$3:B15569,B7312)</f>
        <v>1</v>
      </c>
      <c r="G7312" s="116"/>
    </row>
    <row r="7313" spans="1:7" x14ac:dyDescent="0.2">
      <c r="A7313" s="116">
        <f>IF(ISNUMBER(Tabela2[[#This Row],[CT-e/NFS]])=TRUE,(IF(B7313&gt;30000,4,IF(B7313&lt;1000,"ND",0))),"-")</f>
        <v>4</v>
      </c>
      <c r="B7313" s="116">
        <v>50932</v>
      </c>
      <c r="C7313" s="117">
        <v>45658</v>
      </c>
      <c r="D7313" s="116">
        <v>124.26</v>
      </c>
      <c r="E7313" s="117">
        <v>45672</v>
      </c>
      <c r="F7313" s="116">
        <f>COUNTIFS($A$3:A15570,A7313,$B$3:B15570,B7313)</f>
        <v>1</v>
      </c>
      <c r="G7313" s="116"/>
    </row>
    <row r="7314" spans="1:7" x14ac:dyDescent="0.2">
      <c r="A7314" s="116">
        <f>IF(ISNUMBER(Tabela2[[#This Row],[CT-e/NFS]])=TRUE,(IF(B7314&gt;30000,4,IF(B7314&lt;1000,"ND",0))),"-")</f>
        <v>4</v>
      </c>
      <c r="B7314" s="116">
        <v>50934</v>
      </c>
      <c r="C7314" s="117">
        <v>45658</v>
      </c>
      <c r="D7314" s="116">
        <v>609.22</v>
      </c>
      <c r="E7314" s="117">
        <v>45672</v>
      </c>
      <c r="F7314" s="116">
        <f>COUNTIFS($A$3:A15571,A7314,$B$3:B15571,B7314)</f>
        <v>1</v>
      </c>
      <c r="G7314" s="116"/>
    </row>
    <row r="7315" spans="1:7" x14ac:dyDescent="0.2">
      <c r="A7315" s="116">
        <f>IF(ISNUMBER(Tabela2[[#This Row],[CT-e/NFS]])=TRUE,(IF(B7315&gt;30000,4,IF(B7315&lt;1000,"ND",0))),"-")</f>
        <v>4</v>
      </c>
      <c r="B7315" s="116">
        <v>50929</v>
      </c>
      <c r="C7315" s="117">
        <v>45658</v>
      </c>
      <c r="D7315" s="116">
        <v>123.94</v>
      </c>
      <c r="E7315" s="117">
        <v>45672</v>
      </c>
      <c r="F7315" s="116">
        <f>COUNTIFS($A$3:A15572,A7315,$B$3:B15572,B7315)</f>
        <v>1</v>
      </c>
      <c r="G7315" s="116"/>
    </row>
    <row r="7316" spans="1:7" x14ac:dyDescent="0.2">
      <c r="A7316" s="116">
        <f>IF(ISNUMBER(Tabela2[[#This Row],[CT-e/NFS]])=TRUE,(IF(B7316&gt;30000,4,IF(B7316&lt;1000,"ND",0))),"-")</f>
        <v>4</v>
      </c>
      <c r="B7316" s="116">
        <v>50931</v>
      </c>
      <c r="C7316" s="117">
        <v>45658</v>
      </c>
      <c r="D7316" s="116">
        <v>124.17</v>
      </c>
      <c r="E7316" s="117">
        <v>45672</v>
      </c>
      <c r="F7316" s="116">
        <f>COUNTIFS($A$3:A15573,A7316,$B$3:B15573,B7316)</f>
        <v>1</v>
      </c>
      <c r="G7316" s="116"/>
    </row>
    <row r="7317" spans="1:7" x14ac:dyDescent="0.2">
      <c r="A7317" s="116">
        <f>IF(ISNUMBER(Tabela2[[#This Row],[CT-e/NFS]])=TRUE,(IF(B7317&gt;30000,4,IF(B7317&lt;1000,"ND",0))),"-")</f>
        <v>4</v>
      </c>
      <c r="B7317" s="116">
        <v>50924</v>
      </c>
      <c r="C7317" s="117">
        <v>45658</v>
      </c>
      <c r="D7317" s="116">
        <v>722.16</v>
      </c>
      <c r="E7317" s="117">
        <v>45672</v>
      </c>
      <c r="F7317" s="116">
        <f>COUNTIFS($A$3:A15574,A7317,$B$3:B15574,B7317)</f>
        <v>1</v>
      </c>
      <c r="G7317" s="116"/>
    </row>
    <row r="7318" spans="1:7" x14ac:dyDescent="0.2">
      <c r="A7318" s="116">
        <f>IF(ISNUMBER(Tabela2[[#This Row],[CT-e/NFS]])=TRUE,(IF(B7318&gt;30000,4,IF(B7318&lt;1000,"ND",0))),"-")</f>
        <v>4</v>
      </c>
      <c r="B7318" s="116">
        <v>50918</v>
      </c>
      <c r="C7318" s="117">
        <v>45658</v>
      </c>
      <c r="D7318" s="116">
        <v>122.73</v>
      </c>
      <c r="E7318" s="117">
        <v>45672</v>
      </c>
      <c r="F7318" s="116">
        <f>COUNTIFS($A$3:A15575,A7318,$B$3:B15575,B7318)</f>
        <v>1</v>
      </c>
      <c r="G7318" s="116"/>
    </row>
    <row r="7319" spans="1:7" x14ac:dyDescent="0.2">
      <c r="A7319" s="116">
        <f>IF(ISNUMBER(Tabela2[[#This Row],[CT-e/NFS]])=TRUE,(IF(B7319&gt;30000,4,IF(B7319&lt;1000,"ND",0))),"-")</f>
        <v>4</v>
      </c>
      <c r="B7319" s="116">
        <v>50930</v>
      </c>
      <c r="C7319" s="117">
        <v>45658</v>
      </c>
      <c r="D7319" s="116">
        <v>125.61</v>
      </c>
      <c r="E7319" s="117">
        <v>45672</v>
      </c>
      <c r="F7319" s="116">
        <f>COUNTIFS($A$3:A15576,A7319,$B$3:B15576,B7319)</f>
        <v>1</v>
      </c>
      <c r="G7319" s="116"/>
    </row>
    <row r="7320" spans="1:7" x14ac:dyDescent="0.2">
      <c r="A7320" s="116">
        <f>IF(ISNUMBER(Tabela2[[#This Row],[CT-e/NFS]])=TRUE,(IF(B7320&gt;30000,4,IF(B7320&lt;1000,"ND",0))),"-")</f>
        <v>4</v>
      </c>
      <c r="B7320" s="116">
        <v>50942</v>
      </c>
      <c r="C7320" s="117">
        <v>45658</v>
      </c>
      <c r="D7320" s="116">
        <v>3266.11</v>
      </c>
      <c r="E7320" s="117">
        <v>45672</v>
      </c>
      <c r="F7320" s="116">
        <f>COUNTIFS($A$3:A15577,A7320,$B$3:B15577,B7320)</f>
        <v>1</v>
      </c>
      <c r="G7320" s="116"/>
    </row>
    <row r="7321" spans="1:7" x14ac:dyDescent="0.2">
      <c r="A7321" s="116">
        <f>IF(ISNUMBER(Tabela2[[#This Row],[CT-e/NFS]])=TRUE,(IF(B7321&gt;30000,4,IF(B7321&lt;1000,"ND",0))),"-")</f>
        <v>4</v>
      </c>
      <c r="B7321" s="116">
        <v>50941</v>
      </c>
      <c r="C7321" s="117">
        <v>45658</v>
      </c>
      <c r="D7321" s="116">
        <v>7679.77</v>
      </c>
      <c r="E7321" s="117">
        <v>45672</v>
      </c>
      <c r="F7321" s="116">
        <f>COUNTIFS($A$3:A15578,A7321,$B$3:B15578,B7321)</f>
        <v>1</v>
      </c>
      <c r="G7321" s="116"/>
    </row>
    <row r="7322" spans="1:7" x14ac:dyDescent="0.2">
      <c r="A7322" s="116">
        <f>IF(ISNUMBER(Tabela2[[#This Row],[CT-e/NFS]])=TRUE,(IF(B7322&gt;30000,4,IF(B7322&lt;1000,"ND",0))),"-")</f>
        <v>4</v>
      </c>
      <c r="B7322" s="116">
        <v>50940</v>
      </c>
      <c r="C7322" s="117">
        <v>45658</v>
      </c>
      <c r="D7322" s="116">
        <v>7679.77</v>
      </c>
      <c r="E7322" s="117">
        <v>45672</v>
      </c>
      <c r="F7322" s="116">
        <f>COUNTIFS($A$3:A15579,A7322,$B$3:B15579,B7322)</f>
        <v>1</v>
      </c>
      <c r="G7322" s="116"/>
    </row>
    <row r="7323" spans="1:7" x14ac:dyDescent="0.2">
      <c r="A7323" s="116">
        <f>IF(ISNUMBER(Tabela2[[#This Row],[CT-e/NFS]])=TRUE,(IF(B7323&gt;30000,4,IF(B7323&lt;1000,"ND",0))),"-")</f>
        <v>4</v>
      </c>
      <c r="B7323" s="116">
        <v>50943</v>
      </c>
      <c r="C7323" s="117">
        <v>45658</v>
      </c>
      <c r="D7323" s="116">
        <v>2559.92</v>
      </c>
      <c r="E7323" s="117">
        <v>45672</v>
      </c>
      <c r="F7323" s="116">
        <f>COUNTIFS($A$3:A15580,A7323,$B$3:B15580,B7323)</f>
        <v>1</v>
      </c>
      <c r="G7323" s="116"/>
    </row>
    <row r="7324" spans="1:7" x14ac:dyDescent="0.2">
      <c r="A7324" s="116">
        <f>IF(ISNUMBER(Tabela2[[#This Row],[CT-e/NFS]])=TRUE,(IF(B7324&gt;30000,4,IF(B7324&lt;1000,"ND",0))),"-")</f>
        <v>4</v>
      </c>
      <c r="B7324" s="116">
        <v>50945</v>
      </c>
      <c r="C7324" s="117">
        <v>45658</v>
      </c>
      <c r="D7324" s="116">
        <v>1137.73</v>
      </c>
      <c r="E7324" s="117">
        <v>45672</v>
      </c>
      <c r="F7324" s="116">
        <f>COUNTIFS($A$3:A15581,A7324,$B$3:B15581,B7324)</f>
        <v>1</v>
      </c>
      <c r="G7324" s="116"/>
    </row>
    <row r="7325" spans="1:7" x14ac:dyDescent="0.2">
      <c r="A7325" s="116">
        <f>IF(ISNUMBER(Tabela2[[#This Row],[CT-e/NFS]])=TRUE,(IF(B7325&gt;30000,4,IF(B7325&lt;1000,"ND",0))),"-")</f>
        <v>4</v>
      </c>
      <c r="B7325" s="116">
        <v>50961</v>
      </c>
      <c r="C7325" s="117">
        <v>45658</v>
      </c>
      <c r="D7325" s="116">
        <v>124.53</v>
      </c>
      <c r="E7325" s="117">
        <v>45672</v>
      </c>
      <c r="F7325" s="116">
        <f>COUNTIFS($A$3:A15582,A7325,$B$3:B15582,B7325)</f>
        <v>1</v>
      </c>
      <c r="G7325" s="116"/>
    </row>
    <row r="7326" spans="1:7" x14ac:dyDescent="0.2">
      <c r="A7326" s="116">
        <f>IF(ISNUMBER(Tabela2[[#This Row],[CT-e/NFS]])=TRUE,(IF(B7326&gt;30000,4,IF(B7326&lt;1000,"ND",0))),"-")</f>
        <v>4</v>
      </c>
      <c r="B7326" s="116">
        <v>50962</v>
      </c>
      <c r="C7326" s="117">
        <v>45658</v>
      </c>
      <c r="D7326" s="116">
        <v>124.03</v>
      </c>
      <c r="E7326" s="117">
        <v>45672</v>
      </c>
      <c r="F7326" s="116">
        <f>COUNTIFS($A$3:A15583,A7326,$B$3:B15583,B7326)</f>
        <v>1</v>
      </c>
      <c r="G7326" s="116"/>
    </row>
    <row r="7327" spans="1:7" x14ac:dyDescent="0.2">
      <c r="A7327" s="116">
        <f>IF(ISNUMBER(Tabela2[[#This Row],[CT-e/NFS]])=TRUE,(IF(B7327&gt;30000,4,IF(B7327&lt;1000,"ND",0))),"-")</f>
        <v>4</v>
      </c>
      <c r="B7327" s="116">
        <v>50959</v>
      </c>
      <c r="C7327" s="117">
        <v>45658</v>
      </c>
      <c r="D7327" s="116">
        <v>125.56</v>
      </c>
      <c r="E7327" s="117">
        <v>45672</v>
      </c>
      <c r="F7327" s="116">
        <f>COUNTIFS($A$3:A15584,A7327,$B$3:B15584,B7327)</f>
        <v>1</v>
      </c>
      <c r="G7327" s="116"/>
    </row>
    <row r="7328" spans="1:7" x14ac:dyDescent="0.2">
      <c r="A7328" s="116">
        <f>IF(ISNUMBER(Tabela2[[#This Row],[CT-e/NFS]])=TRUE,(IF(B7328&gt;30000,4,IF(B7328&lt;1000,"ND",0))),"-")</f>
        <v>4</v>
      </c>
      <c r="B7328" s="116">
        <v>50960</v>
      </c>
      <c r="C7328" s="117">
        <v>45658</v>
      </c>
      <c r="D7328" s="116">
        <v>124.03</v>
      </c>
      <c r="E7328" s="117">
        <v>45672</v>
      </c>
      <c r="F7328" s="116">
        <f>COUNTIFS($A$3:A15585,A7328,$B$3:B15585,B7328)</f>
        <v>1</v>
      </c>
      <c r="G7328" s="116"/>
    </row>
    <row r="7329" spans="1:7" x14ac:dyDescent="0.2">
      <c r="A7329" s="116">
        <f>IF(ISNUMBER(Tabela2[[#This Row],[CT-e/NFS]])=TRUE,(IF(B7329&gt;30000,4,IF(B7329&lt;1000,"ND",0))),"-")</f>
        <v>4</v>
      </c>
      <c r="B7329" s="116">
        <v>50950</v>
      </c>
      <c r="C7329" s="117">
        <v>45658</v>
      </c>
      <c r="D7329" s="116">
        <v>234.01</v>
      </c>
      <c r="E7329" s="117">
        <v>45672</v>
      </c>
      <c r="F7329" s="116">
        <f>COUNTIFS($A$3:A15586,A7329,$B$3:B15586,B7329)</f>
        <v>1</v>
      </c>
      <c r="G7329" s="116"/>
    </row>
    <row r="7330" spans="1:7" x14ac:dyDescent="0.2">
      <c r="A7330" s="116">
        <f>IF(ISNUMBER(Tabela2[[#This Row],[CT-e/NFS]])=TRUE,(IF(B7330&gt;30000,4,IF(B7330&lt;1000,"ND",0))),"-")</f>
        <v>4</v>
      </c>
      <c r="B7330" s="116">
        <v>50958</v>
      </c>
      <c r="C7330" s="117">
        <v>45658</v>
      </c>
      <c r="D7330" s="116">
        <v>123.33</v>
      </c>
      <c r="E7330" s="117">
        <v>45672</v>
      </c>
      <c r="F7330" s="116">
        <f>COUNTIFS($A$3:A15587,A7330,$B$3:B15587,B7330)</f>
        <v>1</v>
      </c>
      <c r="G7330" s="116"/>
    </row>
    <row r="7331" spans="1:7" x14ac:dyDescent="0.2">
      <c r="A7331" s="116">
        <f>IF(ISNUMBER(Tabela2[[#This Row],[CT-e/NFS]])=TRUE,(IF(B7331&gt;30000,4,IF(B7331&lt;1000,"ND",0))),"-")</f>
        <v>4</v>
      </c>
      <c r="B7331" s="116">
        <v>50948</v>
      </c>
      <c r="C7331" s="117">
        <v>45658</v>
      </c>
      <c r="D7331" s="116">
        <v>123.89</v>
      </c>
      <c r="E7331" s="117">
        <v>45672</v>
      </c>
      <c r="F7331" s="116">
        <f>COUNTIFS($A$3:A15588,A7331,$B$3:B15588,B7331)</f>
        <v>1</v>
      </c>
      <c r="G7331" s="116"/>
    </row>
    <row r="7332" spans="1:7" x14ac:dyDescent="0.2">
      <c r="A7332" s="116">
        <f>IF(ISNUMBER(Tabela2[[#This Row],[CT-e/NFS]])=TRUE,(IF(B7332&gt;30000,4,IF(B7332&lt;1000,"ND",0))),"-")</f>
        <v>4</v>
      </c>
      <c r="B7332" s="116">
        <v>50946</v>
      </c>
      <c r="C7332" s="117">
        <v>45658</v>
      </c>
      <c r="D7332" s="116">
        <v>152.07</v>
      </c>
      <c r="E7332" s="117">
        <v>45672</v>
      </c>
      <c r="F7332" s="116">
        <f>COUNTIFS($A$3:A15589,A7332,$B$3:B15589,B7332)</f>
        <v>1</v>
      </c>
      <c r="G7332" s="116"/>
    </row>
    <row r="7333" spans="1:7" x14ac:dyDescent="0.2">
      <c r="A7333" s="116">
        <f>IF(ISNUMBER(Tabela2[[#This Row],[CT-e/NFS]])=TRUE,(IF(B7333&gt;30000,4,IF(B7333&lt;1000,"ND",0))),"-")</f>
        <v>4</v>
      </c>
      <c r="B7333" s="116">
        <v>50949</v>
      </c>
      <c r="C7333" s="117">
        <v>45658</v>
      </c>
      <c r="D7333" s="116">
        <v>295.14999999999998</v>
      </c>
      <c r="E7333" s="117">
        <v>45672</v>
      </c>
      <c r="F7333" s="116">
        <f>COUNTIFS($A$3:A15590,A7333,$B$3:B15590,B7333)</f>
        <v>1</v>
      </c>
      <c r="G7333" s="116"/>
    </row>
    <row r="7334" spans="1:7" x14ac:dyDescent="0.2">
      <c r="A7334" s="116">
        <f>IF(ISNUMBER(Tabela2[[#This Row],[CT-e/NFS]])=TRUE,(IF(B7334&gt;30000,4,IF(B7334&lt;1000,"ND",0))),"-")</f>
        <v>4</v>
      </c>
      <c r="B7334" s="116">
        <v>50966</v>
      </c>
      <c r="C7334" s="117">
        <v>45658</v>
      </c>
      <c r="D7334" s="116">
        <v>172.56</v>
      </c>
      <c r="E7334" s="117">
        <v>45672</v>
      </c>
      <c r="F7334" s="116">
        <f>COUNTIFS($A$3:A15591,A7334,$B$3:B15591,B7334)</f>
        <v>1</v>
      </c>
      <c r="G7334" s="116"/>
    </row>
    <row r="7335" spans="1:7" x14ac:dyDescent="0.2">
      <c r="A7335" s="116">
        <f>IF(ISNUMBER(Tabela2[[#This Row],[CT-e/NFS]])=TRUE,(IF(B7335&gt;30000,4,IF(B7335&lt;1000,"ND",0))),"-")</f>
        <v>4</v>
      </c>
      <c r="B7335" s="116">
        <v>50947</v>
      </c>
      <c r="C7335" s="117">
        <v>45658</v>
      </c>
      <c r="D7335" s="116">
        <v>125.03</v>
      </c>
      <c r="E7335" s="117">
        <v>45672</v>
      </c>
      <c r="F7335" s="116">
        <f>COUNTIFS($A$3:A15592,A7335,$B$3:B15592,B7335)</f>
        <v>1</v>
      </c>
      <c r="G7335" s="116"/>
    </row>
    <row r="7336" spans="1:7" x14ac:dyDescent="0.2">
      <c r="A7336" s="116">
        <f>IF(ISNUMBER(Tabela2[[#This Row],[CT-e/NFS]])=TRUE,(IF(B7336&gt;30000,4,IF(B7336&lt;1000,"ND",0))),"-")</f>
        <v>4</v>
      </c>
      <c r="B7336" s="116">
        <v>50963</v>
      </c>
      <c r="C7336" s="117">
        <v>45658</v>
      </c>
      <c r="D7336" s="116">
        <v>245.38</v>
      </c>
      <c r="E7336" s="117">
        <v>45672</v>
      </c>
      <c r="F7336" s="116">
        <f>COUNTIFS($A$3:A15593,A7336,$B$3:B15593,B7336)</f>
        <v>1</v>
      </c>
      <c r="G7336" s="116"/>
    </row>
    <row r="7337" spans="1:7" x14ac:dyDescent="0.2">
      <c r="A7337" s="116">
        <f>IF(ISNUMBER(Tabela2[[#This Row],[CT-e/NFS]])=TRUE,(IF(B7337&gt;30000,4,IF(B7337&lt;1000,"ND",0))),"-")</f>
        <v>4</v>
      </c>
      <c r="B7337" s="116">
        <v>50965</v>
      </c>
      <c r="C7337" s="117">
        <v>45658</v>
      </c>
      <c r="D7337" s="116">
        <v>91.95</v>
      </c>
      <c r="E7337" s="117">
        <v>45672</v>
      </c>
      <c r="F7337" s="116">
        <f>COUNTIFS($A$3:A15594,A7337,$B$3:B15594,B7337)</f>
        <v>1</v>
      </c>
      <c r="G7337" s="116"/>
    </row>
    <row r="7338" spans="1:7" x14ac:dyDescent="0.2">
      <c r="A7338" s="116">
        <f>IF(ISNUMBER(Tabela2[[#This Row],[CT-e/NFS]])=TRUE,(IF(B7338&gt;30000,4,IF(B7338&lt;1000,"ND",0))),"-")</f>
        <v>4</v>
      </c>
      <c r="B7338" s="116">
        <v>50937</v>
      </c>
      <c r="C7338" s="117">
        <v>45658</v>
      </c>
      <c r="D7338" s="116">
        <v>116.19</v>
      </c>
      <c r="E7338" s="117">
        <v>45672</v>
      </c>
      <c r="F7338" s="116">
        <f>COUNTIFS($A$3:A15595,A7338,$B$3:B15595,B7338)</f>
        <v>1</v>
      </c>
      <c r="G7338" s="116"/>
    </row>
    <row r="7339" spans="1:7" x14ac:dyDescent="0.2">
      <c r="A7339" s="116">
        <f>IF(ISNUMBER(Tabela2[[#This Row],[CT-e/NFS]])=TRUE,(IF(B7339&gt;30000,4,IF(B7339&lt;1000,"ND",0))),"-")</f>
        <v>4</v>
      </c>
      <c r="B7339" s="116">
        <v>50938</v>
      </c>
      <c r="C7339" s="117">
        <v>45658</v>
      </c>
      <c r="D7339" s="116">
        <v>209.9</v>
      </c>
      <c r="E7339" s="117">
        <v>45672</v>
      </c>
      <c r="F7339" s="116">
        <f>COUNTIFS($A$3:A15596,A7339,$B$3:B15596,B7339)</f>
        <v>1</v>
      </c>
      <c r="G7339" s="116"/>
    </row>
    <row r="7340" spans="1:7" x14ac:dyDescent="0.2">
      <c r="A7340" s="116">
        <f>IF(ISNUMBER(Tabela2[[#This Row],[CT-e/NFS]])=TRUE,(IF(B7340&gt;30000,4,IF(B7340&lt;1000,"ND",0))),"-")</f>
        <v>4</v>
      </c>
      <c r="B7340" s="116">
        <v>50954</v>
      </c>
      <c r="C7340" s="117">
        <v>45658</v>
      </c>
      <c r="D7340" s="116">
        <v>149.16999999999999</v>
      </c>
      <c r="E7340" s="117">
        <v>45672</v>
      </c>
      <c r="F7340" s="116">
        <f>COUNTIFS($A$3:A15597,A7340,$B$3:B15597,B7340)</f>
        <v>1</v>
      </c>
      <c r="G7340" s="116"/>
    </row>
    <row r="7341" spans="1:7" x14ac:dyDescent="0.2">
      <c r="A7341" s="116">
        <f>IF(ISNUMBER(Tabela2[[#This Row],[CT-e/NFS]])=TRUE,(IF(B7341&gt;30000,4,IF(B7341&lt;1000,"ND",0))),"-")</f>
        <v>4</v>
      </c>
      <c r="B7341" s="116">
        <v>50953</v>
      </c>
      <c r="C7341" s="117">
        <v>45658</v>
      </c>
      <c r="D7341" s="116">
        <v>172.34</v>
      </c>
      <c r="E7341" s="117">
        <v>45672</v>
      </c>
      <c r="F7341" s="116">
        <f>COUNTIFS($A$3:A15598,A7341,$B$3:B15598,B7341)</f>
        <v>1</v>
      </c>
      <c r="G7341" s="116"/>
    </row>
    <row r="7342" spans="1:7" x14ac:dyDescent="0.2">
      <c r="A7342" s="116">
        <f>IF(ISNUMBER(Tabela2[[#This Row],[CT-e/NFS]])=TRUE,(IF(B7342&gt;30000,4,IF(B7342&lt;1000,"ND",0))),"-")</f>
        <v>4</v>
      </c>
      <c r="B7342" s="116">
        <v>50967</v>
      </c>
      <c r="C7342" s="117">
        <v>45658</v>
      </c>
      <c r="D7342" s="116">
        <v>62.03</v>
      </c>
      <c r="E7342" s="117">
        <v>45672</v>
      </c>
      <c r="F7342" s="116">
        <f>COUNTIFS($A$3:A15599,A7342,$B$3:B15599,B7342)</f>
        <v>1</v>
      </c>
      <c r="G7342" s="116"/>
    </row>
    <row r="7343" spans="1:7" x14ac:dyDescent="0.2">
      <c r="A7343" s="116">
        <f>IF(ISNUMBER(Tabela2[[#This Row],[CT-e/NFS]])=TRUE,(IF(B7343&gt;30000,4,IF(B7343&lt;1000,"ND",0))),"-")</f>
        <v>0</v>
      </c>
      <c r="B7343" s="116">
        <v>22598</v>
      </c>
      <c r="C7343" s="117">
        <v>45658</v>
      </c>
      <c r="D7343" s="116">
        <v>38.29</v>
      </c>
      <c r="E7343" s="117">
        <v>45672</v>
      </c>
      <c r="F7343" s="116">
        <f>COUNTIFS($A$3:A15600,A7343,$B$3:B15600,B7343)</f>
        <v>1</v>
      </c>
      <c r="G7343" s="116"/>
    </row>
    <row r="7344" spans="1:7" x14ac:dyDescent="0.2">
      <c r="A7344" s="116">
        <f>IF(ISNUMBER(Tabela2[[#This Row],[CT-e/NFS]])=TRUE,(IF(B7344&gt;30000,4,IF(B7344&lt;1000,"ND",0))),"-")</f>
        <v>0</v>
      </c>
      <c r="B7344" s="116">
        <v>22596</v>
      </c>
      <c r="C7344" s="117">
        <v>45658</v>
      </c>
      <c r="D7344" s="116">
        <v>69.02</v>
      </c>
      <c r="E7344" s="117">
        <v>45672</v>
      </c>
      <c r="F7344" s="116">
        <f>COUNTIFS($A$3:A15601,A7344,$B$3:B15601,B7344)</f>
        <v>1</v>
      </c>
      <c r="G7344" s="116"/>
    </row>
    <row r="7345" spans="1:7" x14ac:dyDescent="0.2">
      <c r="A7345" s="116">
        <f>IF(ISNUMBER(Tabela2[[#This Row],[CT-e/NFS]])=TRUE,(IF(B7345&gt;30000,4,IF(B7345&lt;1000,"ND",0))),"-")</f>
        <v>0</v>
      </c>
      <c r="B7345" s="116">
        <v>22602</v>
      </c>
      <c r="C7345" s="117">
        <v>45658</v>
      </c>
      <c r="D7345" s="116">
        <v>73.209999999999994</v>
      </c>
      <c r="E7345" s="117">
        <v>45672</v>
      </c>
      <c r="F7345" s="116">
        <f>COUNTIFS($A$3:A15602,A7345,$B$3:B15602,B7345)</f>
        <v>1</v>
      </c>
      <c r="G7345" s="116"/>
    </row>
    <row r="7346" spans="1:7" x14ac:dyDescent="0.2">
      <c r="A7346" s="116">
        <f>IF(ISNUMBER(Tabela2[[#This Row],[CT-e/NFS]])=TRUE,(IF(B7346&gt;30000,4,IF(B7346&lt;1000,"ND",0))),"-")</f>
        <v>0</v>
      </c>
      <c r="B7346" s="116">
        <v>22604</v>
      </c>
      <c r="C7346" s="117">
        <v>45658</v>
      </c>
      <c r="D7346" s="116">
        <v>132.19</v>
      </c>
      <c r="E7346" s="117">
        <v>45672</v>
      </c>
      <c r="F7346" s="116">
        <f>COUNTIFS($A$3:A15603,A7346,$B$3:B15603,B7346)</f>
        <v>1</v>
      </c>
      <c r="G7346" s="116"/>
    </row>
    <row r="7347" spans="1:7" x14ac:dyDescent="0.2">
      <c r="A7347" s="116">
        <f>IF(ISNUMBER(Tabela2[[#This Row],[CT-e/NFS]])=TRUE,(IF(B7347&gt;30000,4,IF(B7347&lt;1000,"ND",0))),"-")</f>
        <v>4</v>
      </c>
      <c r="B7347" s="116">
        <v>50957</v>
      </c>
      <c r="C7347" s="117">
        <v>45658</v>
      </c>
      <c r="D7347" s="116">
        <v>1596.49</v>
      </c>
      <c r="E7347" s="117">
        <v>45672</v>
      </c>
      <c r="F7347" s="116">
        <f>COUNTIFS($A$3:A15604,A7347,$B$3:B15604,B7347)</f>
        <v>1</v>
      </c>
      <c r="G7347" s="116"/>
    </row>
    <row r="7348" spans="1:7" x14ac:dyDescent="0.2">
      <c r="A7348" s="116">
        <f>IF(ISNUMBER(Tabela2[[#This Row],[CT-e/NFS]])=TRUE,(IF(B7348&gt;30000,4,IF(B7348&lt;1000,"ND",0))),"-")</f>
        <v>0</v>
      </c>
      <c r="B7348" s="116">
        <v>22600</v>
      </c>
      <c r="C7348" s="117">
        <v>45658</v>
      </c>
      <c r="D7348" s="116">
        <v>134.78</v>
      </c>
      <c r="E7348" s="117">
        <v>45672</v>
      </c>
      <c r="F7348" s="116">
        <f>COUNTIFS($A$3:A15605,A7348,$B$3:B15605,B7348)</f>
        <v>1</v>
      </c>
      <c r="G7348" s="116"/>
    </row>
    <row r="7349" spans="1:7" x14ac:dyDescent="0.2">
      <c r="A7349" s="116">
        <f>IF(ISNUMBER(Tabela2[[#This Row],[CT-e/NFS]])=TRUE,(IF(B7349&gt;30000,4,IF(B7349&lt;1000,"ND",0))),"-")</f>
        <v>4</v>
      </c>
      <c r="B7349" s="116">
        <v>50955</v>
      </c>
      <c r="C7349" s="117">
        <v>45658</v>
      </c>
      <c r="D7349" s="116">
        <v>245.38</v>
      </c>
      <c r="E7349" s="117">
        <v>45672</v>
      </c>
      <c r="F7349" s="116">
        <f>COUNTIFS($A$3:A15606,A7349,$B$3:B15606,B7349)</f>
        <v>1</v>
      </c>
      <c r="G7349" s="116"/>
    </row>
    <row r="7350" spans="1:7" x14ac:dyDescent="0.2">
      <c r="A7350" s="116">
        <f>IF(ISNUMBER(Tabela2[[#This Row],[CT-e/NFS]])=TRUE,(IF(B7350&gt;30000,4,IF(B7350&lt;1000,"ND",0))),"-")</f>
        <v>4</v>
      </c>
      <c r="B7350" s="116">
        <v>50956</v>
      </c>
      <c r="C7350" s="117">
        <v>45658</v>
      </c>
      <c r="D7350" s="116">
        <v>125.91</v>
      </c>
      <c r="E7350" s="117">
        <v>45672</v>
      </c>
      <c r="F7350" s="116">
        <f>COUNTIFS($A$3:A15607,A7350,$B$3:B15607,B7350)</f>
        <v>1</v>
      </c>
      <c r="G7350" s="116"/>
    </row>
    <row r="7351" spans="1:7" x14ac:dyDescent="0.2">
      <c r="A7351" s="116">
        <f>IF(ISNUMBER(Tabela2[[#This Row],[CT-e/NFS]])=TRUE,(IF(B7351&gt;30000,4,IF(B7351&lt;1000,"ND",0))),"-")</f>
        <v>4</v>
      </c>
      <c r="B7351" s="116">
        <v>50952</v>
      </c>
      <c r="C7351" s="117">
        <v>45658</v>
      </c>
      <c r="D7351" s="116">
        <v>209.28</v>
      </c>
      <c r="E7351" s="117">
        <v>45672</v>
      </c>
      <c r="F7351" s="116">
        <f>COUNTIFS($A$3:A15608,A7351,$B$3:B15608,B7351)</f>
        <v>1</v>
      </c>
      <c r="G7351" s="116"/>
    </row>
    <row r="7352" spans="1:7" x14ac:dyDescent="0.2">
      <c r="A7352" s="116">
        <f>IF(ISNUMBER(Tabela2[[#This Row],[CT-e/NFS]])=TRUE,(IF(B7352&gt;30000,4,IF(B7352&lt;1000,"ND",0))),"-")</f>
        <v>4</v>
      </c>
      <c r="B7352" s="116">
        <v>50964</v>
      </c>
      <c r="C7352" s="117">
        <v>45658</v>
      </c>
      <c r="D7352" s="116">
        <v>702.74</v>
      </c>
      <c r="E7352" s="117">
        <v>45672</v>
      </c>
      <c r="F7352" s="116">
        <f>COUNTIFS($A$3:A15609,A7352,$B$3:B15609,B7352)</f>
        <v>1</v>
      </c>
      <c r="G7352" s="116"/>
    </row>
    <row r="7353" spans="1:7" x14ac:dyDescent="0.2">
      <c r="A7353" s="116">
        <f>IF(ISNUMBER(Tabela2[[#This Row],[CT-e/NFS]])=TRUE,(IF(B7353&gt;30000,4,IF(B7353&lt;1000,"ND",0))),"-")</f>
        <v>4</v>
      </c>
      <c r="B7353" s="116">
        <v>50984</v>
      </c>
      <c r="C7353" s="117">
        <v>45658</v>
      </c>
      <c r="D7353" s="116">
        <v>430</v>
      </c>
      <c r="E7353" s="117">
        <v>45672</v>
      </c>
      <c r="F7353" s="116">
        <f>COUNTIFS($A$3:A15610,A7353,$B$3:B15610,B7353)</f>
        <v>1</v>
      </c>
      <c r="G7353" s="116"/>
    </row>
    <row r="7354" spans="1:7" x14ac:dyDescent="0.2">
      <c r="A7354" s="116">
        <f>IF(ISNUMBER(Tabela2[[#This Row],[CT-e/NFS]])=TRUE,(IF(B7354&gt;30000,4,IF(B7354&lt;1000,"ND",0))),"-")</f>
        <v>4</v>
      </c>
      <c r="B7354" s="116">
        <v>50971</v>
      </c>
      <c r="C7354" s="117">
        <v>45658</v>
      </c>
      <c r="D7354" s="116">
        <v>621.78</v>
      </c>
      <c r="E7354" s="117">
        <v>45672</v>
      </c>
      <c r="F7354" s="116">
        <f>COUNTIFS($A$3:A15611,A7354,$B$3:B15611,B7354)</f>
        <v>1</v>
      </c>
      <c r="G7354" s="116"/>
    </row>
    <row r="7355" spans="1:7" x14ac:dyDescent="0.2">
      <c r="A7355" s="116">
        <f>IF(ISNUMBER(Tabela2[[#This Row],[CT-e/NFS]])=TRUE,(IF(B7355&gt;30000,4,IF(B7355&lt;1000,"ND",0))),"-")</f>
        <v>4</v>
      </c>
      <c r="B7355" s="116">
        <v>50983</v>
      </c>
      <c r="C7355" s="117">
        <v>45658</v>
      </c>
      <c r="D7355" s="116">
        <v>436.76</v>
      </c>
      <c r="E7355" s="117">
        <v>45672</v>
      </c>
      <c r="F7355" s="116">
        <f>COUNTIFS($A$3:A15612,A7355,$B$3:B15612,B7355)</f>
        <v>1</v>
      </c>
      <c r="G7355" s="116"/>
    </row>
    <row r="7356" spans="1:7" x14ac:dyDescent="0.2">
      <c r="A7356" s="116">
        <f>IF(ISNUMBER(Tabela2[[#This Row],[CT-e/NFS]])=TRUE,(IF(B7356&gt;30000,4,IF(B7356&lt;1000,"ND",0))),"-")</f>
        <v>4</v>
      </c>
      <c r="B7356" s="116">
        <v>50972</v>
      </c>
      <c r="C7356" s="117">
        <v>45658</v>
      </c>
      <c r="D7356" s="116">
        <v>515.94000000000005</v>
      </c>
      <c r="E7356" s="117">
        <v>45672</v>
      </c>
      <c r="F7356" s="116">
        <f>COUNTIFS($A$3:A15613,A7356,$B$3:B15613,B7356)</f>
        <v>1</v>
      </c>
      <c r="G7356" s="116"/>
    </row>
    <row r="7357" spans="1:7" x14ac:dyDescent="0.2">
      <c r="A7357" s="116">
        <f>IF(ISNUMBER(Tabela2[[#This Row],[CT-e/NFS]])=TRUE,(IF(B7357&gt;30000,4,IF(B7357&lt;1000,"ND",0))),"-")</f>
        <v>4</v>
      </c>
      <c r="B7357" s="116">
        <v>50985</v>
      </c>
      <c r="C7357" s="117">
        <v>45658</v>
      </c>
      <c r="D7357" s="116">
        <v>891.53</v>
      </c>
      <c r="E7357" s="117">
        <v>45672</v>
      </c>
      <c r="F7357" s="116">
        <f>COUNTIFS($A$3:A15614,A7357,$B$3:B15614,B7357)</f>
        <v>1</v>
      </c>
      <c r="G7357" s="116"/>
    </row>
    <row r="7358" spans="1:7" x14ac:dyDescent="0.2">
      <c r="A7358" s="116">
        <f>IF(ISNUMBER(Tabela2[[#This Row],[CT-e/NFS]])=TRUE,(IF(B7358&gt;30000,4,IF(B7358&lt;1000,"ND",0))),"-")</f>
        <v>4</v>
      </c>
      <c r="B7358" s="116">
        <v>50986</v>
      </c>
      <c r="C7358" s="117">
        <v>45658</v>
      </c>
      <c r="D7358" s="116">
        <v>91.95</v>
      </c>
      <c r="E7358" s="117">
        <v>45672</v>
      </c>
      <c r="F7358" s="116">
        <f>COUNTIFS($A$3:A15615,A7358,$B$3:B15615,B7358)</f>
        <v>1</v>
      </c>
      <c r="G7358" s="116"/>
    </row>
    <row r="7359" spans="1:7" x14ac:dyDescent="0.2">
      <c r="A7359" s="116">
        <f>IF(ISNUMBER(Tabela2[[#This Row],[CT-e/NFS]])=TRUE,(IF(B7359&gt;30000,4,IF(B7359&lt;1000,"ND",0))),"-")</f>
        <v>4</v>
      </c>
      <c r="B7359" s="116">
        <v>50987</v>
      </c>
      <c r="C7359" s="117">
        <v>45658</v>
      </c>
      <c r="D7359" s="116">
        <v>166.1</v>
      </c>
      <c r="E7359" s="117">
        <v>45672</v>
      </c>
      <c r="F7359" s="116">
        <f>COUNTIFS($A$3:A15616,A7359,$B$3:B15616,B7359)</f>
        <v>1</v>
      </c>
      <c r="G7359" s="116"/>
    </row>
    <row r="7360" spans="1:7" x14ac:dyDescent="0.2">
      <c r="A7360" s="116">
        <f>IF(ISNUMBER(Tabela2[[#This Row],[CT-e/NFS]])=TRUE,(IF(B7360&gt;30000,4,IF(B7360&lt;1000,"ND",0))),"-")</f>
        <v>4</v>
      </c>
      <c r="B7360" s="116">
        <v>50981</v>
      </c>
      <c r="C7360" s="117">
        <v>45658</v>
      </c>
      <c r="D7360" s="116">
        <v>179.77</v>
      </c>
      <c r="E7360" s="117">
        <v>45672</v>
      </c>
      <c r="F7360" s="116">
        <f>COUNTIFS($A$3:A15617,A7360,$B$3:B15617,B7360)</f>
        <v>1</v>
      </c>
      <c r="G7360" s="116"/>
    </row>
    <row r="7361" spans="1:7" x14ac:dyDescent="0.2">
      <c r="A7361" s="116">
        <f>IF(ISNUMBER(Tabela2[[#This Row],[CT-e/NFS]])=TRUE,(IF(B7361&gt;30000,4,IF(B7361&lt;1000,"ND",0))),"-")</f>
        <v>0</v>
      </c>
      <c r="B7361" s="116">
        <v>22599</v>
      </c>
      <c r="C7361" s="117">
        <v>45658</v>
      </c>
      <c r="D7361" s="116">
        <v>74.650000000000006</v>
      </c>
      <c r="E7361" s="117">
        <v>45672</v>
      </c>
      <c r="F7361" s="116">
        <f>COUNTIFS($A$3:A15618,A7361,$B$3:B15618,B7361)</f>
        <v>1</v>
      </c>
      <c r="G7361" s="116"/>
    </row>
    <row r="7362" spans="1:7" x14ac:dyDescent="0.2">
      <c r="A7362" s="116">
        <f>IF(ISNUMBER(Tabela2[[#This Row],[CT-e/NFS]])=TRUE,(IF(B7362&gt;30000,4,IF(B7362&lt;1000,"ND",0))),"-")</f>
        <v>4</v>
      </c>
      <c r="B7362" s="116">
        <v>50969</v>
      </c>
      <c r="C7362" s="117">
        <v>45658</v>
      </c>
      <c r="D7362" s="116">
        <v>4545.45</v>
      </c>
      <c r="E7362" s="117">
        <v>45672</v>
      </c>
      <c r="F7362" s="116">
        <f>COUNTIFS($A$3:A15619,A7362,$B$3:B15619,B7362)</f>
        <v>1</v>
      </c>
      <c r="G7362" s="116"/>
    </row>
    <row r="7363" spans="1:7" x14ac:dyDescent="0.2">
      <c r="A7363" s="116">
        <f>IF(ISNUMBER(Tabela2[[#This Row],[CT-e/NFS]])=TRUE,(IF(B7363&gt;30000,4,IF(B7363&lt;1000,"ND",0))),"-")</f>
        <v>4</v>
      </c>
      <c r="B7363" s="116">
        <v>50970</v>
      </c>
      <c r="C7363" s="117">
        <v>45658</v>
      </c>
      <c r="D7363" s="116">
        <v>5681.82</v>
      </c>
      <c r="E7363" s="117">
        <v>45672</v>
      </c>
      <c r="F7363" s="116">
        <f>COUNTIFS($A$3:A15620,A7363,$B$3:B15620,B7363)</f>
        <v>1</v>
      </c>
      <c r="G7363" s="116"/>
    </row>
    <row r="7364" spans="1:7" x14ac:dyDescent="0.2">
      <c r="A7364" s="116">
        <f>IF(ISNUMBER(Tabela2[[#This Row],[CT-e/NFS]])=TRUE,(IF(B7364&gt;30000,4,IF(B7364&lt;1000,"ND",0))),"-")</f>
        <v>4</v>
      </c>
      <c r="B7364" s="116">
        <v>50977</v>
      </c>
      <c r="C7364" s="117">
        <v>45658</v>
      </c>
      <c r="D7364" s="116">
        <v>351.74</v>
      </c>
      <c r="E7364" s="117">
        <v>45672</v>
      </c>
      <c r="F7364" s="116">
        <f>COUNTIFS($A$3:A15621,A7364,$B$3:B15621,B7364)</f>
        <v>1</v>
      </c>
      <c r="G7364" s="116"/>
    </row>
    <row r="7365" spans="1:7" x14ac:dyDescent="0.2">
      <c r="A7365" s="116">
        <f>IF(ISNUMBER(Tabela2[[#This Row],[CT-e/NFS]])=TRUE,(IF(B7365&gt;30000,4,IF(B7365&lt;1000,"ND",0))),"-")</f>
        <v>4</v>
      </c>
      <c r="B7365" s="116">
        <v>50979</v>
      </c>
      <c r="C7365" s="117">
        <v>45658</v>
      </c>
      <c r="D7365" s="116">
        <v>125.16</v>
      </c>
      <c r="E7365" s="117">
        <v>45672</v>
      </c>
      <c r="F7365" s="116">
        <f>COUNTIFS($A$3:A15622,A7365,$B$3:B15622,B7365)</f>
        <v>1</v>
      </c>
      <c r="G7365" s="116"/>
    </row>
    <row r="7366" spans="1:7" x14ac:dyDescent="0.2">
      <c r="A7366" s="116">
        <f>IF(ISNUMBER(Tabela2[[#This Row],[CT-e/NFS]])=TRUE,(IF(B7366&gt;30000,4,IF(B7366&lt;1000,"ND",0))),"-")</f>
        <v>4</v>
      </c>
      <c r="B7366" s="116">
        <v>50996</v>
      </c>
      <c r="C7366" s="117">
        <v>45658</v>
      </c>
      <c r="D7366" s="116">
        <v>113.64</v>
      </c>
      <c r="E7366" s="117">
        <v>45672</v>
      </c>
      <c r="F7366" s="116">
        <f>COUNTIFS($A$3:A15623,A7366,$B$3:B15623,B7366)</f>
        <v>1</v>
      </c>
      <c r="G7366" s="116"/>
    </row>
    <row r="7367" spans="1:7" x14ac:dyDescent="0.2">
      <c r="A7367" s="116">
        <f>IF(ISNUMBER(Tabela2[[#This Row],[CT-e/NFS]])=TRUE,(IF(B7367&gt;30000,4,IF(B7367&lt;1000,"ND",0))),"-")</f>
        <v>4</v>
      </c>
      <c r="B7367" s="116">
        <v>50997</v>
      </c>
      <c r="C7367" s="117">
        <v>45658</v>
      </c>
      <c r="D7367" s="116">
        <v>63.02</v>
      </c>
      <c r="E7367" s="117">
        <v>45672</v>
      </c>
      <c r="F7367" s="116">
        <f>COUNTIFS($A$3:A15624,A7367,$B$3:B15624,B7367)</f>
        <v>1</v>
      </c>
      <c r="G7367" s="116"/>
    </row>
    <row r="7368" spans="1:7" x14ac:dyDescent="0.2">
      <c r="A7368" s="116">
        <f>IF(ISNUMBER(Tabela2[[#This Row],[CT-e/NFS]])=TRUE,(IF(B7368&gt;30000,4,IF(B7368&lt;1000,"ND",0))),"-")</f>
        <v>4</v>
      </c>
      <c r="B7368" s="116">
        <v>50974</v>
      </c>
      <c r="C7368" s="117">
        <v>45658</v>
      </c>
      <c r="D7368" s="116">
        <v>124.83</v>
      </c>
      <c r="E7368" s="117">
        <v>45672</v>
      </c>
      <c r="F7368" s="116">
        <f>COUNTIFS($A$3:A15625,A7368,$B$3:B15625,B7368)</f>
        <v>1</v>
      </c>
      <c r="G7368" s="116"/>
    </row>
    <row r="7369" spans="1:7" x14ac:dyDescent="0.2">
      <c r="A7369" s="116">
        <f>IF(ISNUMBER(Tabela2[[#This Row],[CT-e/NFS]])=TRUE,(IF(B7369&gt;30000,4,IF(B7369&lt;1000,"ND",0))),"-")</f>
        <v>4</v>
      </c>
      <c r="B7369" s="116">
        <v>50975</v>
      </c>
      <c r="C7369" s="117">
        <v>45658</v>
      </c>
      <c r="D7369" s="116">
        <v>124.38</v>
      </c>
      <c r="E7369" s="117">
        <v>45672</v>
      </c>
      <c r="F7369" s="116">
        <f>COUNTIFS($A$3:A15626,A7369,$B$3:B15626,B7369)</f>
        <v>1</v>
      </c>
      <c r="G7369" s="116"/>
    </row>
    <row r="7370" spans="1:7" x14ac:dyDescent="0.2">
      <c r="A7370" s="116">
        <f>IF(ISNUMBER(Tabela2[[#This Row],[CT-e/NFS]])=TRUE,(IF(B7370&gt;30000,4,IF(B7370&lt;1000,"ND",0))),"-")</f>
        <v>4</v>
      </c>
      <c r="B7370" s="116">
        <v>50973</v>
      </c>
      <c r="C7370" s="117">
        <v>45658</v>
      </c>
      <c r="D7370" s="116">
        <v>125.7</v>
      </c>
      <c r="E7370" s="117">
        <v>45672</v>
      </c>
      <c r="F7370" s="116">
        <f>COUNTIFS($A$3:A15627,A7370,$B$3:B15627,B7370)</f>
        <v>1</v>
      </c>
      <c r="G7370" s="116"/>
    </row>
    <row r="7371" spans="1:7" x14ac:dyDescent="0.2">
      <c r="A7371" s="116">
        <f>IF(ISNUMBER(Tabela2[[#This Row],[CT-e/NFS]])=TRUE,(IF(B7371&gt;30000,4,IF(B7371&lt;1000,"ND",0))),"-")</f>
        <v>4</v>
      </c>
      <c r="B7371" s="116">
        <v>50980</v>
      </c>
      <c r="C7371" s="117">
        <v>45658</v>
      </c>
      <c r="D7371" s="116">
        <v>298.83999999999997</v>
      </c>
      <c r="E7371" s="117">
        <v>45672</v>
      </c>
      <c r="F7371" s="116">
        <f>COUNTIFS($A$3:A15628,A7371,$B$3:B15628,B7371)</f>
        <v>1</v>
      </c>
      <c r="G7371" s="116"/>
    </row>
    <row r="7372" spans="1:7" x14ac:dyDescent="0.2">
      <c r="A7372" s="116">
        <f>IF(ISNUMBER(Tabela2[[#This Row],[CT-e/NFS]])=TRUE,(IF(B7372&gt;30000,4,IF(B7372&lt;1000,"ND",0))),"-")</f>
        <v>4</v>
      </c>
      <c r="B7372" s="116">
        <v>50976</v>
      </c>
      <c r="C7372" s="117">
        <v>45658</v>
      </c>
      <c r="D7372" s="116">
        <v>1027.68</v>
      </c>
      <c r="E7372" s="117">
        <v>45672</v>
      </c>
      <c r="F7372" s="116">
        <f>COUNTIFS($A$3:A15629,A7372,$B$3:B15629,B7372)</f>
        <v>1</v>
      </c>
      <c r="G7372" s="116"/>
    </row>
    <row r="7373" spans="1:7" x14ac:dyDescent="0.2">
      <c r="A7373" s="116">
        <f>IF(ISNUMBER(Tabela2[[#This Row],[CT-e/NFS]])=TRUE,(IF(B7373&gt;30000,4,IF(B7373&lt;1000,"ND",0))),"-")</f>
        <v>4</v>
      </c>
      <c r="B7373" s="116">
        <v>50978</v>
      </c>
      <c r="C7373" s="117">
        <v>45658</v>
      </c>
      <c r="D7373" s="116">
        <v>168.3</v>
      </c>
      <c r="E7373" s="117">
        <v>45672</v>
      </c>
      <c r="F7373" s="116">
        <f>COUNTIFS($A$3:A15630,A7373,$B$3:B15630,B7373)</f>
        <v>1</v>
      </c>
      <c r="G7373" s="116"/>
    </row>
    <row r="7374" spans="1:7" x14ac:dyDescent="0.2">
      <c r="A7374" s="116">
        <f>IF(ISNUMBER(Tabela2[[#This Row],[CT-e/NFS]])=TRUE,(IF(B7374&gt;30000,4,IF(B7374&lt;1000,"ND",0))),"-")</f>
        <v>4</v>
      </c>
      <c r="B7374" s="116">
        <v>50982</v>
      </c>
      <c r="C7374" s="117">
        <v>45658</v>
      </c>
      <c r="D7374" s="116">
        <v>523.29999999999995</v>
      </c>
      <c r="E7374" s="117">
        <v>45672</v>
      </c>
      <c r="F7374" s="116">
        <f>COUNTIFS($A$3:A15631,A7374,$B$3:B15631,B7374)</f>
        <v>1</v>
      </c>
      <c r="G7374" s="116"/>
    </row>
    <row r="7375" spans="1:7" x14ac:dyDescent="0.2">
      <c r="A7375" s="116">
        <f>IF(ISNUMBER(Tabela2[[#This Row],[CT-e/NFS]])=TRUE,(IF(B7375&gt;30000,4,IF(B7375&lt;1000,"ND",0))),"-")</f>
        <v>4</v>
      </c>
      <c r="B7375" s="116">
        <v>50991</v>
      </c>
      <c r="C7375" s="117">
        <v>45658</v>
      </c>
      <c r="D7375" s="116">
        <v>1836.77</v>
      </c>
      <c r="E7375" s="117">
        <v>45672</v>
      </c>
      <c r="F7375" s="116">
        <f>COUNTIFS($A$3:A15632,A7375,$B$3:B15632,B7375)</f>
        <v>1</v>
      </c>
      <c r="G7375" s="116"/>
    </row>
    <row r="7376" spans="1:7" x14ac:dyDescent="0.2">
      <c r="A7376" s="116">
        <f>IF(ISNUMBER(Tabela2[[#This Row],[CT-e/NFS]])=TRUE,(IF(B7376&gt;30000,4,IF(B7376&lt;1000,"ND",0))),"-")</f>
        <v>4</v>
      </c>
      <c r="B7376" s="116">
        <v>50994</v>
      </c>
      <c r="C7376" s="117">
        <v>45658</v>
      </c>
      <c r="D7376" s="116">
        <v>918.39</v>
      </c>
      <c r="E7376" s="117">
        <v>45672</v>
      </c>
      <c r="F7376" s="116">
        <f>COUNTIFS($A$3:A15633,A7376,$B$3:B15633,B7376)</f>
        <v>1</v>
      </c>
      <c r="G7376" s="116"/>
    </row>
    <row r="7377" spans="1:7" x14ac:dyDescent="0.2">
      <c r="A7377" s="116">
        <f>IF(ISNUMBER(Tabela2[[#This Row],[CT-e/NFS]])=TRUE,(IF(B7377&gt;30000,4,IF(B7377&lt;1000,"ND",0))),"-")</f>
        <v>4</v>
      </c>
      <c r="B7377" s="116">
        <v>50993</v>
      </c>
      <c r="C7377" s="117">
        <v>45658</v>
      </c>
      <c r="D7377" s="116">
        <v>1657.28</v>
      </c>
      <c r="E7377" s="117">
        <v>45672</v>
      </c>
      <c r="F7377" s="116">
        <f>COUNTIFS($A$3:A15634,A7377,$B$3:B15634,B7377)</f>
        <v>1</v>
      </c>
      <c r="G7377" s="116"/>
    </row>
    <row r="7378" spans="1:7" x14ac:dyDescent="0.2">
      <c r="A7378" s="116">
        <f>IF(ISNUMBER(Tabela2[[#This Row],[CT-e/NFS]])=TRUE,(IF(B7378&gt;30000,4,IF(B7378&lt;1000,"ND",0))),"-")</f>
        <v>4</v>
      </c>
      <c r="B7378" s="116">
        <v>50995</v>
      </c>
      <c r="C7378" s="117">
        <v>45658</v>
      </c>
      <c r="D7378" s="116">
        <v>113.64</v>
      </c>
      <c r="E7378" s="117">
        <v>45672</v>
      </c>
      <c r="F7378" s="116">
        <f>COUNTIFS($A$3:A15635,A7378,$B$3:B15635,B7378)</f>
        <v>1</v>
      </c>
      <c r="G7378" s="116"/>
    </row>
    <row r="7379" spans="1:7" x14ac:dyDescent="0.2">
      <c r="A7379" s="116" t="str">
        <f>IF(ISNUMBER(Tabela2[[#This Row],[CT-e/NFS]])=TRUE,(IF(B7379&gt;30000,4,IF(B7379&lt;1000,"ND",0))),"-")</f>
        <v>ND</v>
      </c>
      <c r="B7379" s="116">
        <v>244</v>
      </c>
      <c r="C7379" s="117">
        <v>45658</v>
      </c>
      <c r="D7379" s="116">
        <v>1044.69</v>
      </c>
      <c r="E7379" s="117">
        <v>45672</v>
      </c>
      <c r="F7379" s="116">
        <f>COUNTIFS($A$3:A15636,A7379,$B$3:B15636,B7379)</f>
        <v>1</v>
      </c>
      <c r="G7379" s="116"/>
    </row>
    <row r="7380" spans="1:7" x14ac:dyDescent="0.2">
      <c r="A7380" s="116">
        <f>IF(ISNUMBER(Tabela2[[#This Row],[CT-e/NFS]])=TRUE,(IF(B7380&gt;30000,4,IF(B7380&lt;1000,"ND",0))),"-")</f>
        <v>0</v>
      </c>
      <c r="B7380" s="116">
        <v>22612</v>
      </c>
      <c r="C7380" s="117">
        <v>45659</v>
      </c>
      <c r="D7380" s="116">
        <v>98.38</v>
      </c>
      <c r="E7380" s="117">
        <v>45672</v>
      </c>
      <c r="F7380" s="116">
        <f>COUNTIFS($A$3:A15637,A7380,$B$3:B15637,B7380)</f>
        <v>1</v>
      </c>
      <c r="G7380" s="116"/>
    </row>
    <row r="7381" spans="1:7" x14ac:dyDescent="0.2">
      <c r="A7381" s="116">
        <f>IF(ISNUMBER(Tabela2[[#This Row],[CT-e/NFS]])=TRUE,(IF(B7381&gt;30000,4,IF(B7381&lt;1000,"ND",0))),"-")</f>
        <v>4</v>
      </c>
      <c r="B7381" s="116">
        <v>51011</v>
      </c>
      <c r="C7381" s="117">
        <v>45659</v>
      </c>
      <c r="D7381" s="116">
        <v>702.74</v>
      </c>
      <c r="E7381" s="117">
        <v>45672</v>
      </c>
      <c r="F7381" s="116">
        <f>COUNTIFS($A$3:A15638,A7381,$B$3:B15638,B7381)</f>
        <v>1</v>
      </c>
      <c r="G7381" s="116"/>
    </row>
    <row r="7382" spans="1:7" x14ac:dyDescent="0.2">
      <c r="A7382" s="116">
        <f>IF(ISNUMBER(Tabela2[[#This Row],[CT-e/NFS]])=TRUE,(IF(B7382&gt;30000,4,IF(B7382&lt;1000,"ND",0))),"-")</f>
        <v>0</v>
      </c>
      <c r="B7382" s="116">
        <v>22662</v>
      </c>
      <c r="C7382" s="117">
        <v>45659</v>
      </c>
      <c r="D7382" s="116">
        <v>98.38</v>
      </c>
      <c r="E7382" s="117">
        <v>45672</v>
      </c>
      <c r="F7382" s="116">
        <f>COUNTIFS($A$3:A15639,A7382,$B$3:B15639,B7382)</f>
        <v>1</v>
      </c>
      <c r="G7382" s="116"/>
    </row>
    <row r="7383" spans="1:7" x14ac:dyDescent="0.2">
      <c r="A7383" s="116">
        <f>IF(ISNUMBER(Tabela2[[#This Row],[CT-e/NFS]])=TRUE,(IF(B7383&gt;30000,4,IF(B7383&lt;1000,"ND",0))),"-")</f>
        <v>0</v>
      </c>
      <c r="B7383" s="116">
        <v>22645</v>
      </c>
      <c r="C7383" s="117">
        <v>45659</v>
      </c>
      <c r="D7383" s="116">
        <v>98.38</v>
      </c>
      <c r="E7383" s="117">
        <v>45672</v>
      </c>
      <c r="F7383" s="116">
        <f>COUNTIFS($A$3:A15640,A7383,$B$3:B15640,B7383)</f>
        <v>1</v>
      </c>
      <c r="G7383" s="116"/>
    </row>
    <row r="7384" spans="1:7" x14ac:dyDescent="0.2">
      <c r="A7384" s="116">
        <f>IF(ISNUMBER(Tabela2[[#This Row],[CT-e/NFS]])=TRUE,(IF(B7384&gt;30000,4,IF(B7384&lt;1000,"ND",0))),"-")</f>
        <v>0</v>
      </c>
      <c r="B7384" s="116">
        <v>22661</v>
      </c>
      <c r="C7384" s="117">
        <v>45659</v>
      </c>
      <c r="D7384" s="116">
        <v>54.59</v>
      </c>
      <c r="E7384" s="117">
        <v>45672</v>
      </c>
      <c r="F7384" s="116">
        <f>COUNTIFS($A$3:A15641,A7384,$B$3:B15641,B7384)</f>
        <v>1</v>
      </c>
      <c r="G7384" s="116"/>
    </row>
    <row r="7385" spans="1:7" x14ac:dyDescent="0.2">
      <c r="A7385" s="116" t="str">
        <f>IF(ISNUMBER(Tabela2[[#This Row],[CT-e/NFS]])=TRUE,(IF(B7385&gt;30000,4,IF(B7385&lt;1000,"ND",0))),"-")</f>
        <v>ND</v>
      </c>
      <c r="B7385" s="116">
        <v>243</v>
      </c>
      <c r="C7385" s="117">
        <v>45658</v>
      </c>
      <c r="D7385" s="116">
        <v>1000</v>
      </c>
      <c r="E7385" s="117">
        <v>45687</v>
      </c>
      <c r="F7385" s="116">
        <f>COUNTIFS($A$3:A15434,A7385,$B$3:B15434,B7385)</f>
        <v>1</v>
      </c>
      <c r="G7385" s="116"/>
    </row>
    <row r="7386" spans="1:7" x14ac:dyDescent="0.2">
      <c r="A7386" s="116">
        <f>IF(ISNUMBER(Tabela2[[#This Row],[CT-e/NFS]])=TRUE,(IF(B7386&gt;30000,4,IF(B7386&lt;1000,"ND",0))),"-")</f>
        <v>4</v>
      </c>
      <c r="B7386" s="116">
        <v>50998</v>
      </c>
      <c r="C7386" s="117">
        <v>45668</v>
      </c>
      <c r="D7386" s="116">
        <v>645.14</v>
      </c>
      <c r="E7386" s="117">
        <v>45687</v>
      </c>
      <c r="F7386" s="116">
        <f>COUNTIFS($A$3:A15642,A7386,$B$3:B15642,B7386)</f>
        <v>1</v>
      </c>
      <c r="G7386" s="116"/>
    </row>
    <row r="7387" spans="1:7" x14ac:dyDescent="0.2">
      <c r="A7387" s="116">
        <f>IF(ISNUMBER(Tabela2[[#This Row],[CT-e/NFS]])=TRUE,(IF(B7387&gt;30000,4,IF(B7387&lt;1000,"ND",0))),"-")</f>
        <v>4</v>
      </c>
      <c r="B7387" s="116">
        <v>51003</v>
      </c>
      <c r="C7387" s="117">
        <v>45668</v>
      </c>
      <c r="D7387" s="116">
        <v>62.41</v>
      </c>
      <c r="E7387" s="117">
        <v>45687</v>
      </c>
      <c r="F7387" s="116">
        <f>COUNTIFS($A$3:A15643,A7387,$B$3:B15643,B7387)</f>
        <v>1</v>
      </c>
      <c r="G7387" s="116"/>
    </row>
    <row r="7388" spans="1:7" x14ac:dyDescent="0.2">
      <c r="A7388" s="116">
        <f>IF(ISNUMBER(Tabela2[[#This Row],[CT-e/NFS]])=TRUE,(IF(B7388&gt;30000,4,IF(B7388&lt;1000,"ND",0))),"-")</f>
        <v>4</v>
      </c>
      <c r="B7388" s="116">
        <v>51000</v>
      </c>
      <c r="C7388" s="117">
        <v>45668</v>
      </c>
      <c r="D7388" s="116">
        <v>123.91</v>
      </c>
      <c r="E7388" s="117">
        <v>45687</v>
      </c>
      <c r="F7388" s="116">
        <f>COUNTIFS($A$3:A15644,A7388,$B$3:B15644,B7388)</f>
        <v>1</v>
      </c>
      <c r="G7388" s="116"/>
    </row>
    <row r="7389" spans="1:7" x14ac:dyDescent="0.2">
      <c r="A7389" s="116">
        <f>IF(ISNUMBER(Tabela2[[#This Row],[CT-e/NFS]])=TRUE,(IF(B7389&gt;30000,4,IF(B7389&lt;1000,"ND",0))),"-")</f>
        <v>4</v>
      </c>
      <c r="B7389" s="116">
        <v>51006</v>
      </c>
      <c r="C7389" s="117">
        <v>45668</v>
      </c>
      <c r="D7389" s="116">
        <v>112.1</v>
      </c>
      <c r="E7389" s="117">
        <v>45687</v>
      </c>
      <c r="F7389" s="116">
        <f>COUNTIFS($A$3:A15645,A7389,$B$3:B15645,B7389)</f>
        <v>1</v>
      </c>
      <c r="G7389" s="116"/>
    </row>
    <row r="7390" spans="1:7" x14ac:dyDescent="0.2">
      <c r="A7390" s="116">
        <f>IF(ISNUMBER(Tabela2[[#This Row],[CT-e/NFS]])=TRUE,(IF(B7390&gt;30000,4,IF(B7390&lt;1000,"ND",0))),"-")</f>
        <v>4</v>
      </c>
      <c r="B7390" s="116">
        <v>51002</v>
      </c>
      <c r="C7390" s="117">
        <v>45668</v>
      </c>
      <c r="D7390" s="116">
        <v>124.39</v>
      </c>
      <c r="E7390" s="117">
        <v>45687</v>
      </c>
      <c r="F7390" s="116">
        <f>COUNTIFS($A$3:A15646,A7390,$B$3:B15646,B7390)</f>
        <v>1</v>
      </c>
      <c r="G7390" s="116"/>
    </row>
    <row r="7391" spans="1:7" x14ac:dyDescent="0.2">
      <c r="A7391" s="116">
        <f>IF(ISNUMBER(Tabela2[[#This Row],[CT-e/NFS]])=TRUE,(IF(B7391&gt;30000,4,IF(B7391&lt;1000,"ND",0))),"-")</f>
        <v>4</v>
      </c>
      <c r="B7391" s="116">
        <v>51001</v>
      </c>
      <c r="C7391" s="117">
        <v>45668</v>
      </c>
      <c r="D7391" s="116">
        <v>126.53</v>
      </c>
      <c r="E7391" s="117">
        <v>45687</v>
      </c>
      <c r="F7391" s="116">
        <f>COUNTIFS($A$3:A15647,A7391,$B$3:B15647,B7391)</f>
        <v>1</v>
      </c>
      <c r="G7391" s="116"/>
    </row>
    <row r="7392" spans="1:7" x14ac:dyDescent="0.2">
      <c r="A7392" s="116">
        <f>IF(ISNUMBER(Tabela2[[#This Row],[CT-e/NFS]])=TRUE,(IF(B7392&gt;30000,4,IF(B7392&lt;1000,"ND",0))),"-")</f>
        <v>4</v>
      </c>
      <c r="B7392" s="116">
        <v>51004</v>
      </c>
      <c r="C7392" s="117">
        <v>45668</v>
      </c>
      <c r="D7392" s="116">
        <v>112.56</v>
      </c>
      <c r="E7392" s="117">
        <v>45687</v>
      </c>
      <c r="F7392" s="116">
        <f>COUNTIFS($A$3:A15648,A7392,$B$3:B15648,B7392)</f>
        <v>1</v>
      </c>
      <c r="G7392" s="116"/>
    </row>
    <row r="7393" spans="1:7" x14ac:dyDescent="0.2">
      <c r="A7393" s="116">
        <f>IF(ISNUMBER(Tabela2[[#This Row],[CT-e/NFS]])=TRUE,(IF(B7393&gt;30000,4,IF(B7393&lt;1000,"ND",0))),"-")</f>
        <v>0</v>
      </c>
      <c r="B7393" s="116">
        <v>22631</v>
      </c>
      <c r="C7393" s="117">
        <v>45668</v>
      </c>
      <c r="D7393" s="116">
        <v>77.08</v>
      </c>
      <c r="E7393" s="117">
        <v>45687</v>
      </c>
      <c r="F7393" s="116">
        <f>COUNTIFS($A$3:A15649,A7393,$B$3:B15649,B7393)</f>
        <v>1</v>
      </c>
      <c r="G7393" s="116"/>
    </row>
    <row r="7394" spans="1:7" x14ac:dyDescent="0.2">
      <c r="A7394" s="116">
        <f>IF(ISNUMBER(Tabela2[[#This Row],[CT-e/NFS]])=TRUE,(IF(B7394&gt;30000,4,IF(B7394&lt;1000,"ND",0))),"-")</f>
        <v>0</v>
      </c>
      <c r="B7394" s="116">
        <v>22630</v>
      </c>
      <c r="C7394" s="117">
        <v>45668</v>
      </c>
      <c r="D7394" s="116">
        <v>77.13</v>
      </c>
      <c r="E7394" s="117">
        <v>45687</v>
      </c>
      <c r="F7394" s="116">
        <f>COUNTIFS($A$3:A15650,A7394,$B$3:B15650,B7394)</f>
        <v>1</v>
      </c>
      <c r="G7394" s="116"/>
    </row>
    <row r="7395" spans="1:7" x14ac:dyDescent="0.2">
      <c r="A7395" s="116">
        <f>IF(ISNUMBER(Tabela2[[#This Row],[CT-e/NFS]])=TRUE,(IF(B7395&gt;30000,4,IF(B7395&lt;1000,"ND",0))),"-")</f>
        <v>0</v>
      </c>
      <c r="B7395" s="116">
        <v>22634</v>
      </c>
      <c r="C7395" s="117">
        <v>45668</v>
      </c>
      <c r="D7395" s="116">
        <v>75.680000000000007</v>
      </c>
      <c r="E7395" s="117">
        <v>45687</v>
      </c>
      <c r="F7395" s="116">
        <f>COUNTIFS($A$3:A15651,A7395,$B$3:B15651,B7395)</f>
        <v>1</v>
      </c>
      <c r="G7395" s="116"/>
    </row>
    <row r="7396" spans="1:7" x14ac:dyDescent="0.2">
      <c r="A7396" s="116">
        <f>IF(ISNUMBER(Tabela2[[#This Row],[CT-e/NFS]])=TRUE,(IF(B7396&gt;30000,4,IF(B7396&lt;1000,"ND",0))),"-")</f>
        <v>0</v>
      </c>
      <c r="B7396" s="116">
        <v>22635</v>
      </c>
      <c r="C7396" s="117">
        <v>45668</v>
      </c>
      <c r="D7396" s="116">
        <v>75.62</v>
      </c>
      <c r="E7396" s="117">
        <v>45687</v>
      </c>
      <c r="F7396" s="116">
        <f>COUNTIFS($A$3:A15652,A7396,$B$3:B15652,B7396)</f>
        <v>1</v>
      </c>
      <c r="G7396" s="116"/>
    </row>
    <row r="7397" spans="1:7" x14ac:dyDescent="0.2">
      <c r="A7397" s="116">
        <f>IF(ISNUMBER(Tabela2[[#This Row],[CT-e/NFS]])=TRUE,(IF(B7397&gt;30000,4,IF(B7397&lt;1000,"ND",0))),"-")</f>
        <v>0</v>
      </c>
      <c r="B7397" s="116">
        <v>22636</v>
      </c>
      <c r="C7397" s="117">
        <v>45668</v>
      </c>
      <c r="D7397" s="116">
        <v>76.28</v>
      </c>
      <c r="E7397" s="117">
        <v>45687</v>
      </c>
      <c r="F7397" s="116">
        <f>COUNTIFS($A$3:A15653,A7397,$B$3:B15653,B7397)</f>
        <v>1</v>
      </c>
      <c r="G7397" s="116"/>
    </row>
    <row r="7398" spans="1:7" x14ac:dyDescent="0.2">
      <c r="A7398" s="116">
        <f>IF(ISNUMBER(Tabela2[[#This Row],[CT-e/NFS]])=TRUE,(IF(B7398&gt;30000,4,IF(B7398&lt;1000,"ND",0))),"-")</f>
        <v>0</v>
      </c>
      <c r="B7398" s="116">
        <v>22632</v>
      </c>
      <c r="C7398" s="117">
        <v>45668</v>
      </c>
      <c r="D7398" s="116">
        <v>338.2</v>
      </c>
      <c r="E7398" s="117">
        <v>45687</v>
      </c>
      <c r="F7398" s="116">
        <f>COUNTIFS($A$3:A15654,A7398,$B$3:B15654,B7398)</f>
        <v>1</v>
      </c>
      <c r="G7398" s="116"/>
    </row>
    <row r="7399" spans="1:7" x14ac:dyDescent="0.2">
      <c r="A7399" s="116">
        <f>IF(ISNUMBER(Tabela2[[#This Row],[CT-e/NFS]])=TRUE,(IF(B7399&gt;30000,4,IF(B7399&lt;1000,"ND",0))),"-")</f>
        <v>0</v>
      </c>
      <c r="B7399" s="116">
        <v>22638</v>
      </c>
      <c r="C7399" s="117">
        <v>45668</v>
      </c>
      <c r="D7399" s="116">
        <v>76.22</v>
      </c>
      <c r="E7399" s="117">
        <v>45687</v>
      </c>
      <c r="F7399" s="116">
        <f>COUNTIFS($A$3:A15655,A7399,$B$3:B15655,B7399)</f>
        <v>1</v>
      </c>
      <c r="G7399" s="116"/>
    </row>
    <row r="7400" spans="1:7" x14ac:dyDescent="0.2">
      <c r="A7400" s="116">
        <f>IF(ISNUMBER(Tabela2[[#This Row],[CT-e/NFS]])=TRUE,(IF(B7400&gt;30000,4,IF(B7400&lt;1000,"ND",0))),"-")</f>
        <v>0</v>
      </c>
      <c r="B7400" s="116">
        <v>22639</v>
      </c>
      <c r="C7400" s="117">
        <v>45668</v>
      </c>
      <c r="D7400" s="116">
        <v>76.28</v>
      </c>
      <c r="E7400" s="117">
        <v>45687</v>
      </c>
      <c r="F7400" s="116">
        <f>COUNTIFS($A$3:A15656,A7400,$B$3:B15656,B7400)</f>
        <v>1</v>
      </c>
      <c r="G7400" s="116"/>
    </row>
    <row r="7401" spans="1:7" x14ac:dyDescent="0.2">
      <c r="A7401" s="116">
        <f>IF(ISNUMBER(Tabela2[[#This Row],[CT-e/NFS]])=TRUE,(IF(B7401&gt;30000,4,IF(B7401&lt;1000,"ND",0))),"-")</f>
        <v>0</v>
      </c>
      <c r="B7401" s="116">
        <v>22640</v>
      </c>
      <c r="C7401" s="117">
        <v>45668</v>
      </c>
      <c r="D7401" s="116">
        <v>75.680000000000007</v>
      </c>
      <c r="E7401" s="117">
        <v>45687</v>
      </c>
      <c r="F7401" s="116">
        <f>COUNTIFS($A$3:A15657,A7401,$B$3:B15657,B7401)</f>
        <v>1</v>
      </c>
      <c r="G7401" s="116"/>
    </row>
    <row r="7402" spans="1:7" x14ac:dyDescent="0.2">
      <c r="A7402" s="116">
        <f>IF(ISNUMBER(Tabela2[[#This Row],[CT-e/NFS]])=TRUE,(IF(B7402&gt;30000,4,IF(B7402&lt;1000,"ND",0))),"-")</f>
        <v>0</v>
      </c>
      <c r="B7402" s="116">
        <v>22641</v>
      </c>
      <c r="C7402" s="117">
        <v>45668</v>
      </c>
      <c r="D7402" s="116">
        <v>146.43</v>
      </c>
      <c r="E7402" s="117">
        <v>45687</v>
      </c>
      <c r="F7402" s="116">
        <f>COUNTIFS($A$3:A15658,A7402,$B$3:B15658,B7402)</f>
        <v>1</v>
      </c>
      <c r="G7402" s="116"/>
    </row>
    <row r="7403" spans="1:7" x14ac:dyDescent="0.2">
      <c r="A7403" s="116">
        <f>IF(ISNUMBER(Tabela2[[#This Row],[CT-e/NFS]])=TRUE,(IF(B7403&gt;30000,4,IF(B7403&lt;1000,"ND",0))),"-")</f>
        <v>0</v>
      </c>
      <c r="B7403" s="116">
        <v>22642</v>
      </c>
      <c r="C7403" s="117">
        <v>45668</v>
      </c>
      <c r="D7403" s="116">
        <v>114.84</v>
      </c>
      <c r="E7403" s="117">
        <v>45687</v>
      </c>
      <c r="F7403" s="116">
        <f>COUNTIFS($A$3:A15659,A7403,$B$3:B15659,B7403)</f>
        <v>1</v>
      </c>
      <c r="G7403" s="116"/>
    </row>
    <row r="7404" spans="1:7" x14ac:dyDescent="0.2">
      <c r="A7404" s="116">
        <f>IF(ISNUMBER(Tabela2[[#This Row],[CT-e/NFS]])=TRUE,(IF(B7404&gt;30000,4,IF(B7404&lt;1000,"ND",0))),"-")</f>
        <v>0</v>
      </c>
      <c r="B7404" s="116">
        <v>22633</v>
      </c>
      <c r="C7404" s="117">
        <v>45668</v>
      </c>
      <c r="D7404" s="116">
        <v>401.97</v>
      </c>
      <c r="E7404" s="117">
        <v>45687</v>
      </c>
      <c r="F7404" s="116">
        <f>COUNTIFS($A$3:A15660,A7404,$B$3:B15660,B7404)</f>
        <v>1</v>
      </c>
      <c r="G7404" s="116"/>
    </row>
    <row r="7405" spans="1:7" x14ac:dyDescent="0.2">
      <c r="A7405" s="116">
        <f>IF(ISNUMBER(Tabela2[[#This Row],[CT-e/NFS]])=TRUE,(IF(B7405&gt;30000,4,IF(B7405&lt;1000,"ND",0))),"-")</f>
        <v>0</v>
      </c>
      <c r="B7405" s="116">
        <v>22644</v>
      </c>
      <c r="C7405" s="117">
        <v>45668</v>
      </c>
      <c r="D7405" s="116">
        <v>76.44</v>
      </c>
      <c r="E7405" s="117">
        <v>45687</v>
      </c>
      <c r="F7405" s="116">
        <f>COUNTIFS($A$3:A15661,A7405,$B$3:B15661,B7405)</f>
        <v>1</v>
      </c>
      <c r="G7405" s="116"/>
    </row>
    <row r="7406" spans="1:7" x14ac:dyDescent="0.2">
      <c r="A7406" s="116">
        <f>IF(ISNUMBER(Tabela2[[#This Row],[CT-e/NFS]])=TRUE,(IF(B7406&gt;30000,4,IF(B7406&lt;1000,"ND",0))),"-")</f>
        <v>0</v>
      </c>
      <c r="B7406" s="116">
        <v>22643</v>
      </c>
      <c r="C7406" s="117">
        <v>45668</v>
      </c>
      <c r="D7406" s="116">
        <v>119.59</v>
      </c>
      <c r="E7406" s="117">
        <v>45687</v>
      </c>
      <c r="F7406" s="116">
        <f>COUNTIFS($A$3:A15662,A7406,$B$3:B15662,B7406)</f>
        <v>1</v>
      </c>
      <c r="G7406" s="116"/>
    </row>
    <row r="7407" spans="1:7" x14ac:dyDescent="0.2">
      <c r="A7407" s="116">
        <f>IF(ISNUMBER(Tabela2[[#This Row],[CT-e/NFS]])=TRUE,(IF(B7407&gt;30000,4,IF(B7407&lt;1000,"ND",0))),"-")</f>
        <v>0</v>
      </c>
      <c r="B7407" s="116">
        <v>22646</v>
      </c>
      <c r="C7407" s="117">
        <v>45668</v>
      </c>
      <c r="D7407" s="116">
        <v>76.44</v>
      </c>
      <c r="E7407" s="117">
        <v>45687</v>
      </c>
      <c r="F7407" s="116">
        <f>COUNTIFS($A$3:A15663,A7407,$B$3:B15663,B7407)</f>
        <v>1</v>
      </c>
      <c r="G7407" s="116"/>
    </row>
    <row r="7408" spans="1:7" x14ac:dyDescent="0.2">
      <c r="A7408" s="116">
        <f>IF(ISNUMBER(Tabela2[[#This Row],[CT-e/NFS]])=TRUE,(IF(B7408&gt;30000,4,IF(B7408&lt;1000,"ND",0))),"-")</f>
        <v>0</v>
      </c>
      <c r="B7408" s="116">
        <v>22647</v>
      </c>
      <c r="C7408" s="117">
        <v>45668</v>
      </c>
      <c r="D7408" s="116">
        <v>126.77</v>
      </c>
      <c r="E7408" s="117">
        <v>45687</v>
      </c>
      <c r="F7408" s="116">
        <f>COUNTIFS($A$3:A15664,A7408,$B$3:B15664,B7408)</f>
        <v>1</v>
      </c>
      <c r="G7408" s="116"/>
    </row>
    <row r="7409" spans="1:7" x14ac:dyDescent="0.2">
      <c r="A7409" s="116">
        <f>IF(ISNUMBER(Tabela2[[#This Row],[CT-e/NFS]])=TRUE,(IF(B7409&gt;30000,4,IF(B7409&lt;1000,"ND",0))),"-")</f>
        <v>0</v>
      </c>
      <c r="B7409" s="116">
        <v>22648</v>
      </c>
      <c r="C7409" s="117">
        <v>45668</v>
      </c>
      <c r="D7409" s="116">
        <v>77.08</v>
      </c>
      <c r="E7409" s="117">
        <v>45687</v>
      </c>
      <c r="F7409" s="116">
        <f>COUNTIFS($A$3:A15665,A7409,$B$3:B15665,B7409)</f>
        <v>1</v>
      </c>
      <c r="G7409" s="116"/>
    </row>
    <row r="7410" spans="1:7" x14ac:dyDescent="0.2">
      <c r="A7410" s="116">
        <f>IF(ISNUMBER(Tabela2[[#This Row],[CT-e/NFS]])=TRUE,(IF(B7410&gt;30000,4,IF(B7410&lt;1000,"ND",0))),"-")</f>
        <v>0</v>
      </c>
      <c r="B7410" s="116">
        <v>22649</v>
      </c>
      <c r="C7410" s="117">
        <v>45668</v>
      </c>
      <c r="D7410" s="116">
        <v>38.54</v>
      </c>
      <c r="E7410" s="117">
        <v>45687</v>
      </c>
      <c r="F7410" s="116">
        <f>COUNTIFS($A$3:A15666,A7410,$B$3:B15666,B7410)</f>
        <v>1</v>
      </c>
      <c r="G7410" s="116"/>
    </row>
    <row r="7411" spans="1:7" x14ac:dyDescent="0.2">
      <c r="A7411" s="116">
        <f>IF(ISNUMBER(Tabela2[[#This Row],[CT-e/NFS]])=TRUE,(IF(B7411&gt;30000,4,IF(B7411&lt;1000,"ND",0))),"-")</f>
        <v>0</v>
      </c>
      <c r="B7411" s="116">
        <v>22657</v>
      </c>
      <c r="C7411" s="117">
        <v>45668</v>
      </c>
      <c r="D7411" s="116">
        <v>69.52</v>
      </c>
      <c r="E7411" s="117">
        <v>45687</v>
      </c>
      <c r="F7411" s="116">
        <f>COUNTIFS($A$3:A15667,A7411,$B$3:B15667,B7411)</f>
        <v>1</v>
      </c>
      <c r="G7411" s="116"/>
    </row>
    <row r="7412" spans="1:7" x14ac:dyDescent="0.2">
      <c r="A7412" s="116">
        <f>IF(ISNUMBER(Tabela2[[#This Row],[CT-e/NFS]])=TRUE,(IF(B7412&gt;30000,4,IF(B7412&lt;1000,"ND",0))),"-")</f>
        <v>0</v>
      </c>
      <c r="B7412" s="116">
        <v>22651</v>
      </c>
      <c r="C7412" s="117">
        <v>45668</v>
      </c>
      <c r="D7412" s="116">
        <v>77.06</v>
      </c>
      <c r="E7412" s="117">
        <v>45687</v>
      </c>
      <c r="F7412" s="116">
        <f>COUNTIFS($A$3:A15668,A7412,$B$3:B15668,B7412)</f>
        <v>1</v>
      </c>
      <c r="G7412" s="116"/>
    </row>
    <row r="7413" spans="1:7" x14ac:dyDescent="0.2">
      <c r="A7413" s="116">
        <f>IF(ISNUMBER(Tabela2[[#This Row],[CT-e/NFS]])=TRUE,(IF(B7413&gt;30000,4,IF(B7413&lt;1000,"ND",0))),"-")</f>
        <v>0</v>
      </c>
      <c r="B7413" s="116">
        <v>22650</v>
      </c>
      <c r="C7413" s="117">
        <v>45668</v>
      </c>
      <c r="D7413" s="116">
        <v>38.53</v>
      </c>
      <c r="E7413" s="117">
        <v>45687</v>
      </c>
      <c r="F7413" s="116">
        <f>COUNTIFS($A$3:A15669,A7413,$B$3:B15669,B7413)</f>
        <v>1</v>
      </c>
      <c r="G7413" s="116"/>
    </row>
    <row r="7414" spans="1:7" x14ac:dyDescent="0.2">
      <c r="A7414" s="116">
        <f>IF(ISNUMBER(Tabela2[[#This Row],[CT-e/NFS]])=TRUE,(IF(B7414&gt;30000,4,IF(B7414&lt;1000,"ND",0))),"-")</f>
        <v>0</v>
      </c>
      <c r="B7414" s="116">
        <v>22652</v>
      </c>
      <c r="C7414" s="117">
        <v>45668</v>
      </c>
      <c r="D7414" s="116">
        <v>69.5</v>
      </c>
      <c r="E7414" s="117">
        <v>45687</v>
      </c>
      <c r="F7414" s="116">
        <f>COUNTIFS($A$3:A15670,A7414,$B$3:B15670,B7414)</f>
        <v>1</v>
      </c>
      <c r="G7414" s="116"/>
    </row>
    <row r="7415" spans="1:7" x14ac:dyDescent="0.2">
      <c r="A7415" s="116">
        <f>IF(ISNUMBER(Tabela2[[#This Row],[CT-e/NFS]])=TRUE,(IF(B7415&gt;30000,4,IF(B7415&lt;1000,"ND",0))),"-")</f>
        <v>0</v>
      </c>
      <c r="B7415" s="116">
        <v>22653</v>
      </c>
      <c r="C7415" s="117">
        <v>45668</v>
      </c>
      <c r="D7415" s="116">
        <v>122.46</v>
      </c>
      <c r="E7415" s="117">
        <v>45687</v>
      </c>
      <c r="F7415" s="116">
        <f>COUNTIFS($A$3:A15671,A7415,$B$3:B15671,B7415)</f>
        <v>1</v>
      </c>
      <c r="G7415" s="116"/>
    </row>
    <row r="7416" spans="1:7" x14ac:dyDescent="0.2">
      <c r="A7416" s="116">
        <f>IF(ISNUMBER(Tabela2[[#This Row],[CT-e/NFS]])=TRUE,(IF(B7416&gt;30000,4,IF(B7416&lt;1000,"ND",0))),"-")</f>
        <v>0</v>
      </c>
      <c r="B7416" s="116">
        <v>22654</v>
      </c>
      <c r="C7416" s="117">
        <v>45668</v>
      </c>
      <c r="D7416" s="116">
        <v>61.23</v>
      </c>
      <c r="E7416" s="117">
        <v>45687</v>
      </c>
      <c r="F7416" s="116">
        <f>COUNTIFS($A$3:A15672,A7416,$B$3:B15672,B7416)</f>
        <v>1</v>
      </c>
      <c r="G7416" s="116"/>
    </row>
    <row r="7417" spans="1:7" x14ac:dyDescent="0.2">
      <c r="A7417" s="116">
        <f>IF(ISNUMBER(Tabela2[[#This Row],[CT-e/NFS]])=TRUE,(IF(B7417&gt;30000,4,IF(B7417&lt;1000,"ND",0))),"-")</f>
        <v>0</v>
      </c>
      <c r="B7417" s="116">
        <v>22658</v>
      </c>
      <c r="C7417" s="117">
        <v>45668</v>
      </c>
      <c r="D7417" s="116">
        <v>110.55</v>
      </c>
      <c r="E7417" s="117">
        <v>45687</v>
      </c>
      <c r="F7417" s="116">
        <f>COUNTIFS($A$3:A15673,A7417,$B$3:B15673,B7417)</f>
        <v>1</v>
      </c>
      <c r="G7417" s="116"/>
    </row>
    <row r="7418" spans="1:7" x14ac:dyDescent="0.2">
      <c r="A7418" s="116">
        <f>IF(ISNUMBER(Tabela2[[#This Row],[CT-e/NFS]])=TRUE,(IF(B7418&gt;30000,4,IF(B7418&lt;1000,"ND",0))),"-")</f>
        <v>0</v>
      </c>
      <c r="B7418" s="116">
        <v>22655</v>
      </c>
      <c r="C7418" s="117">
        <v>45668</v>
      </c>
      <c r="D7418" s="116">
        <v>57.42</v>
      </c>
      <c r="E7418" s="117">
        <v>45687</v>
      </c>
      <c r="F7418" s="116">
        <f>COUNTIFS($A$3:A15674,A7418,$B$3:B15674,B7418)</f>
        <v>1</v>
      </c>
      <c r="G7418" s="116"/>
    </row>
    <row r="7419" spans="1:7" x14ac:dyDescent="0.2">
      <c r="A7419" s="116">
        <f>IF(ISNUMBER(Tabela2[[#This Row],[CT-e/NFS]])=TRUE,(IF(B7419&gt;30000,4,IF(B7419&lt;1000,"ND",0))),"-")</f>
        <v>0</v>
      </c>
      <c r="B7419" s="116">
        <v>22656</v>
      </c>
      <c r="C7419" s="117">
        <v>45668</v>
      </c>
      <c r="D7419" s="116">
        <v>103.93</v>
      </c>
      <c r="E7419" s="117">
        <v>45687</v>
      </c>
      <c r="F7419" s="116">
        <f>COUNTIFS($A$3:A15675,A7419,$B$3:B15675,B7419)</f>
        <v>1</v>
      </c>
      <c r="G7419" s="116"/>
    </row>
    <row r="7420" spans="1:7" x14ac:dyDescent="0.2">
      <c r="A7420" s="116">
        <f>IF(ISNUMBER(Tabela2[[#This Row],[CT-e/NFS]])=TRUE,(IF(B7420&gt;30000,4,IF(B7420&lt;1000,"ND",0))),"-")</f>
        <v>0</v>
      </c>
      <c r="B7420" s="116">
        <v>22659</v>
      </c>
      <c r="C7420" s="117">
        <v>45668</v>
      </c>
      <c r="D7420" s="116">
        <v>77.63</v>
      </c>
      <c r="E7420" s="117">
        <v>45687</v>
      </c>
      <c r="F7420" s="116">
        <f>COUNTIFS($A$3:A15676,A7420,$B$3:B15676,B7420)</f>
        <v>1</v>
      </c>
      <c r="G7420" s="116"/>
    </row>
    <row r="7421" spans="1:7" x14ac:dyDescent="0.2">
      <c r="A7421" s="116">
        <f>IF(ISNUMBER(Tabela2[[#This Row],[CT-e/NFS]])=TRUE,(IF(B7421&gt;30000,4,IF(B7421&lt;1000,"ND",0))),"-")</f>
        <v>0</v>
      </c>
      <c r="B7421" s="116">
        <v>22660</v>
      </c>
      <c r="C7421" s="117">
        <v>45668</v>
      </c>
      <c r="D7421" s="116">
        <v>76.349999999999994</v>
      </c>
      <c r="E7421" s="117">
        <v>45687</v>
      </c>
      <c r="F7421" s="116">
        <f>COUNTIFS($A$3:A15677,A7421,$B$3:B15677,B7421)</f>
        <v>1</v>
      </c>
      <c r="G7421" s="116"/>
    </row>
    <row r="7422" spans="1:7" x14ac:dyDescent="0.2">
      <c r="A7422" s="116">
        <f>IF(ISNUMBER(Tabela2[[#This Row],[CT-e/NFS]])=TRUE,(IF(B7422&gt;30000,4,IF(B7422&lt;1000,"ND",0))),"-")</f>
        <v>0</v>
      </c>
      <c r="B7422" s="116">
        <v>22671</v>
      </c>
      <c r="C7422" s="117">
        <v>45668</v>
      </c>
      <c r="D7422" s="116">
        <v>76.41</v>
      </c>
      <c r="E7422" s="117">
        <v>45687</v>
      </c>
      <c r="F7422" s="116">
        <f>COUNTIFS($A$3:A15678,A7422,$B$3:B15678,B7422)</f>
        <v>1</v>
      </c>
      <c r="G7422" s="116"/>
    </row>
    <row r="7423" spans="1:7" x14ac:dyDescent="0.2">
      <c r="A7423" s="116">
        <f>IF(ISNUMBER(Tabela2[[#This Row],[CT-e/NFS]])=TRUE,(IF(B7423&gt;30000,4,IF(B7423&lt;1000,"ND",0))),"-")</f>
        <v>0</v>
      </c>
      <c r="B7423" s="116">
        <v>22666</v>
      </c>
      <c r="C7423" s="117">
        <v>45668</v>
      </c>
      <c r="D7423" s="116">
        <v>75.7</v>
      </c>
      <c r="E7423" s="117">
        <v>45687</v>
      </c>
      <c r="F7423" s="116">
        <f>COUNTIFS($A$3:A15679,A7423,$B$3:B15679,B7423)</f>
        <v>1</v>
      </c>
      <c r="G7423" s="116"/>
    </row>
    <row r="7424" spans="1:7" x14ac:dyDescent="0.2">
      <c r="A7424" s="116">
        <f>IF(ISNUMBER(Tabela2[[#This Row],[CT-e/NFS]])=TRUE,(IF(B7424&gt;30000,4,IF(B7424&lt;1000,"ND",0))),"-")</f>
        <v>0</v>
      </c>
      <c r="B7424" s="116">
        <v>22663</v>
      </c>
      <c r="C7424" s="117">
        <v>45668</v>
      </c>
      <c r="D7424" s="116">
        <v>75.67</v>
      </c>
      <c r="E7424" s="117">
        <v>45687</v>
      </c>
      <c r="F7424" s="116">
        <f>COUNTIFS($A$3:A15680,A7424,$B$3:B15680,B7424)</f>
        <v>1</v>
      </c>
      <c r="G7424" s="116"/>
    </row>
    <row r="7425" spans="1:7" x14ac:dyDescent="0.2">
      <c r="A7425" s="116">
        <f>IF(ISNUMBER(Tabela2[[#This Row],[CT-e/NFS]])=TRUE,(IF(B7425&gt;30000,4,IF(B7425&lt;1000,"ND",0))),"-")</f>
        <v>0</v>
      </c>
      <c r="B7425" s="116">
        <v>22667</v>
      </c>
      <c r="C7425" s="117">
        <v>45668</v>
      </c>
      <c r="D7425" s="116">
        <v>76.41</v>
      </c>
      <c r="E7425" s="117">
        <v>45687</v>
      </c>
      <c r="F7425" s="116">
        <f>COUNTIFS($A$3:A15681,A7425,$B$3:B15681,B7425)</f>
        <v>1</v>
      </c>
      <c r="G7425" s="116"/>
    </row>
    <row r="7426" spans="1:7" x14ac:dyDescent="0.2">
      <c r="A7426" s="116">
        <f>IF(ISNUMBER(Tabela2[[#This Row],[CT-e/NFS]])=TRUE,(IF(B7426&gt;30000,4,IF(B7426&lt;1000,"ND",0))),"-")</f>
        <v>0</v>
      </c>
      <c r="B7426" s="116">
        <v>22668</v>
      </c>
      <c r="C7426" s="117">
        <v>45668</v>
      </c>
      <c r="D7426" s="116">
        <v>76.41</v>
      </c>
      <c r="E7426" s="117">
        <v>45687</v>
      </c>
      <c r="F7426" s="116">
        <f>COUNTIFS($A$3:A15682,A7426,$B$3:B15682,B7426)</f>
        <v>1</v>
      </c>
      <c r="G7426" s="116"/>
    </row>
    <row r="7427" spans="1:7" x14ac:dyDescent="0.2">
      <c r="A7427" s="116">
        <f>IF(ISNUMBER(Tabela2[[#This Row],[CT-e/NFS]])=TRUE,(IF(B7427&gt;30000,4,IF(B7427&lt;1000,"ND",0))),"-")</f>
        <v>0</v>
      </c>
      <c r="B7427" s="116">
        <v>22664</v>
      </c>
      <c r="C7427" s="117">
        <v>45668</v>
      </c>
      <c r="D7427" s="116">
        <v>38.22</v>
      </c>
      <c r="E7427" s="117">
        <v>45687</v>
      </c>
      <c r="F7427" s="116">
        <f>COUNTIFS($A$3:A15683,A7427,$B$3:B15683,B7427)</f>
        <v>1</v>
      </c>
      <c r="G7427" s="116"/>
    </row>
    <row r="7428" spans="1:7" x14ac:dyDescent="0.2">
      <c r="A7428" s="116">
        <f>IF(ISNUMBER(Tabela2[[#This Row],[CT-e/NFS]])=TRUE,(IF(B7428&gt;30000,4,IF(B7428&lt;1000,"ND",0))),"-")</f>
        <v>0</v>
      </c>
      <c r="B7428" s="116">
        <v>22665</v>
      </c>
      <c r="C7428" s="117">
        <v>45668</v>
      </c>
      <c r="D7428" s="116">
        <v>68.89</v>
      </c>
      <c r="E7428" s="117">
        <v>45687</v>
      </c>
      <c r="F7428" s="116">
        <f>COUNTIFS($A$3:A15684,A7428,$B$3:B15684,B7428)</f>
        <v>1</v>
      </c>
      <c r="G7428" s="116"/>
    </row>
    <row r="7429" spans="1:7" x14ac:dyDescent="0.2">
      <c r="A7429" s="116">
        <f>IF(ISNUMBER(Tabela2[[#This Row],[CT-e/NFS]])=TRUE,(IF(B7429&gt;30000,4,IF(B7429&lt;1000,"ND",0))),"-")</f>
        <v>4</v>
      </c>
      <c r="B7429" s="116">
        <v>51005</v>
      </c>
      <c r="C7429" s="117">
        <v>45668</v>
      </c>
      <c r="D7429" s="116">
        <v>62.18</v>
      </c>
      <c r="E7429" s="117">
        <v>45687</v>
      </c>
      <c r="F7429" s="116">
        <f>COUNTIFS($A$3:A15685,A7429,$B$3:B15685,B7429)</f>
        <v>1</v>
      </c>
      <c r="G7429" s="116"/>
    </row>
    <row r="7430" spans="1:7" x14ac:dyDescent="0.2">
      <c r="A7430" s="116">
        <f>IF(ISNUMBER(Tabela2[[#This Row],[CT-e/NFS]])=TRUE,(IF(B7430&gt;30000,4,IF(B7430&lt;1000,"ND",0))),"-")</f>
        <v>4</v>
      </c>
      <c r="B7430" s="116">
        <v>51009</v>
      </c>
      <c r="C7430" s="117">
        <v>45668</v>
      </c>
      <c r="D7430" s="116">
        <v>609.22</v>
      </c>
      <c r="E7430" s="117">
        <v>45687</v>
      </c>
      <c r="F7430" s="116">
        <f>COUNTIFS($A$3:A15686,A7430,$B$3:B15686,B7430)</f>
        <v>1</v>
      </c>
      <c r="G7430" s="116"/>
    </row>
    <row r="7431" spans="1:7" x14ac:dyDescent="0.2">
      <c r="A7431" s="116">
        <f>IF(ISNUMBER(Tabela2[[#This Row],[CT-e/NFS]])=TRUE,(IF(B7431&gt;30000,4,IF(B7431&lt;1000,"ND",0))),"-")</f>
        <v>4</v>
      </c>
      <c r="B7431" s="116">
        <v>51013</v>
      </c>
      <c r="C7431" s="117">
        <v>45668</v>
      </c>
      <c r="D7431" s="116">
        <v>365.94</v>
      </c>
      <c r="E7431" s="117">
        <v>45687</v>
      </c>
      <c r="F7431" s="116">
        <f>COUNTIFS($A$3:A15687,A7431,$B$3:B15687,B7431)</f>
        <v>1</v>
      </c>
      <c r="G7431" s="116"/>
    </row>
    <row r="7432" spans="1:7" x14ac:dyDescent="0.2">
      <c r="A7432" s="116">
        <f>IF(ISNUMBER(Tabela2[[#This Row],[CT-e/NFS]])=TRUE,(IF(B7432&gt;30000,4,IF(B7432&lt;1000,"ND",0))),"-")</f>
        <v>4</v>
      </c>
      <c r="B7432" s="116">
        <v>51012</v>
      </c>
      <c r="C7432" s="117">
        <v>45668</v>
      </c>
      <c r="D7432" s="116">
        <v>341.84</v>
      </c>
      <c r="E7432" s="117">
        <v>45687</v>
      </c>
      <c r="F7432" s="116">
        <f>COUNTIFS($A$3:A15688,A7432,$B$3:B15688,B7432)</f>
        <v>1</v>
      </c>
      <c r="G7432" s="116"/>
    </row>
    <row r="7433" spans="1:7" x14ac:dyDescent="0.2">
      <c r="A7433" s="116">
        <f>IF(ISNUMBER(Tabela2[[#This Row],[CT-e/NFS]])=TRUE,(IF(B7433&gt;30000,4,IF(B7433&lt;1000,"ND",0))),"-")</f>
        <v>4</v>
      </c>
      <c r="B7433" s="116">
        <v>51015</v>
      </c>
      <c r="C7433" s="117">
        <v>45668</v>
      </c>
      <c r="D7433" s="116">
        <v>591.72</v>
      </c>
      <c r="E7433" s="117">
        <v>45687</v>
      </c>
      <c r="F7433" s="116">
        <f>COUNTIFS($A$3:A15689,A7433,$B$3:B15689,B7433)</f>
        <v>1</v>
      </c>
      <c r="G7433" s="116"/>
    </row>
    <row r="7434" spans="1:7" x14ac:dyDescent="0.2">
      <c r="A7434" s="116">
        <f>IF(ISNUMBER(Tabela2[[#This Row],[CT-e/NFS]])=TRUE,(IF(B7434&gt;30000,4,IF(B7434&lt;1000,"ND",0))),"-")</f>
        <v>4</v>
      </c>
      <c r="B7434" s="116">
        <v>51014</v>
      </c>
      <c r="C7434" s="117">
        <v>45668</v>
      </c>
      <c r="D7434" s="116">
        <v>2192.39</v>
      </c>
      <c r="E7434" s="117">
        <v>45687</v>
      </c>
      <c r="F7434" s="116">
        <f>COUNTIFS($A$3:A15690,A7434,$B$3:B15690,B7434)</f>
        <v>1</v>
      </c>
      <c r="G7434" s="116"/>
    </row>
    <row r="7435" spans="1:7" x14ac:dyDescent="0.2">
      <c r="A7435" s="116">
        <f>IF(ISNUMBER(Tabela2[[#This Row],[CT-e/NFS]])=TRUE,(IF(B7435&gt;30000,4,IF(B7435&lt;1000,"ND",0))),"-")</f>
        <v>4</v>
      </c>
      <c r="B7435" s="116">
        <v>51020</v>
      </c>
      <c r="C7435" s="117">
        <v>45668</v>
      </c>
      <c r="D7435" s="116">
        <v>1094.07</v>
      </c>
      <c r="E7435" s="117">
        <v>45687</v>
      </c>
      <c r="F7435" s="116">
        <f>COUNTIFS($A$3:A15691,A7435,$B$3:B15691,B7435)</f>
        <v>1</v>
      </c>
      <c r="G7435" s="116"/>
    </row>
    <row r="7436" spans="1:7" x14ac:dyDescent="0.2">
      <c r="A7436" s="116">
        <f>IF(ISNUMBER(Tabela2[[#This Row],[CT-e/NFS]])=TRUE,(IF(B7436&gt;30000,4,IF(B7436&lt;1000,"ND",0))),"-")</f>
        <v>4</v>
      </c>
      <c r="B7436" s="116">
        <v>51017</v>
      </c>
      <c r="C7436" s="117">
        <v>45668</v>
      </c>
      <c r="D7436" s="116">
        <v>369.5</v>
      </c>
      <c r="E7436" s="117">
        <v>45687</v>
      </c>
      <c r="F7436" s="116">
        <f>COUNTIFS($A$3:A15692,A7436,$B$3:B15692,B7436)</f>
        <v>1</v>
      </c>
      <c r="G7436" s="116"/>
    </row>
    <row r="7437" spans="1:7" x14ac:dyDescent="0.2">
      <c r="A7437" s="116">
        <f>IF(ISNUMBER(Tabela2[[#This Row],[CT-e/NFS]])=TRUE,(IF(B7437&gt;30000,4,IF(B7437&lt;1000,"ND",0))),"-")</f>
        <v>4</v>
      </c>
      <c r="B7437" s="116">
        <v>51018</v>
      </c>
      <c r="C7437" s="117">
        <v>45668</v>
      </c>
      <c r="D7437" s="116">
        <v>124.3</v>
      </c>
      <c r="E7437" s="117">
        <v>45687</v>
      </c>
      <c r="F7437" s="116">
        <f>COUNTIFS($A$3:A15693,A7437,$B$3:B15693,B7437)</f>
        <v>1</v>
      </c>
      <c r="G7437" s="116"/>
    </row>
    <row r="7438" spans="1:7" x14ac:dyDescent="0.2">
      <c r="A7438" s="116">
        <f>IF(ISNUMBER(Tabela2[[#This Row],[CT-e/NFS]])=TRUE,(IF(B7438&gt;30000,4,IF(B7438&lt;1000,"ND",0))),"-")</f>
        <v>4</v>
      </c>
      <c r="B7438" s="116">
        <v>51007</v>
      </c>
      <c r="C7438" s="117">
        <v>45668</v>
      </c>
      <c r="D7438" s="116">
        <v>149.41</v>
      </c>
      <c r="E7438" s="117">
        <v>45687</v>
      </c>
      <c r="F7438" s="116">
        <f>COUNTIFS($A$3:A15694,A7438,$B$3:B15694,B7438)</f>
        <v>1</v>
      </c>
      <c r="G7438" s="116"/>
    </row>
    <row r="7439" spans="1:7" x14ac:dyDescent="0.2">
      <c r="A7439" s="116">
        <f>IF(ISNUMBER(Tabela2[[#This Row],[CT-e/NFS]])=TRUE,(IF(B7439&gt;30000,4,IF(B7439&lt;1000,"ND",0))),"-")</f>
        <v>4</v>
      </c>
      <c r="B7439" s="116">
        <v>51008</v>
      </c>
      <c r="C7439" s="117">
        <v>45668</v>
      </c>
      <c r="D7439" s="116">
        <v>269.89</v>
      </c>
      <c r="E7439" s="117">
        <v>45687</v>
      </c>
      <c r="F7439" s="116">
        <f>COUNTIFS($A$3:A15695,A7439,$B$3:B15695,B7439)</f>
        <v>1</v>
      </c>
      <c r="G7439" s="116"/>
    </row>
    <row r="7440" spans="1:7" x14ac:dyDescent="0.2">
      <c r="A7440" s="116">
        <f>IF(ISNUMBER(Tabela2[[#This Row],[CT-e/NFS]])=TRUE,(IF(B7440&gt;30000,4,IF(B7440&lt;1000,"ND",0))),"-")</f>
        <v>4</v>
      </c>
      <c r="B7440" s="116">
        <v>51016</v>
      </c>
      <c r="C7440" s="117">
        <v>45668</v>
      </c>
      <c r="D7440" s="116">
        <v>408.02</v>
      </c>
      <c r="E7440" s="117">
        <v>45687</v>
      </c>
      <c r="F7440" s="116">
        <f>COUNTIFS($A$3:A15696,A7440,$B$3:B15696,B7440)</f>
        <v>1</v>
      </c>
      <c r="G7440" s="116"/>
    </row>
    <row r="7441" spans="1:7" x14ac:dyDescent="0.2">
      <c r="A7441" s="116">
        <f>IF(ISNUMBER(Tabela2[[#This Row],[CT-e/NFS]])=TRUE,(IF(B7441&gt;30000,4,IF(B7441&lt;1000,"ND",0))),"-")</f>
        <v>4</v>
      </c>
      <c r="B7441" s="116">
        <v>51019</v>
      </c>
      <c r="C7441" s="117">
        <v>45668</v>
      </c>
      <c r="D7441" s="116">
        <v>261.45</v>
      </c>
      <c r="E7441" s="117">
        <v>45687</v>
      </c>
      <c r="F7441" s="116">
        <f>COUNTIFS($A$3:A15697,A7441,$B$3:B15697,B7441)</f>
        <v>1</v>
      </c>
      <c r="G7441" s="116"/>
    </row>
    <row r="7442" spans="1:7" x14ac:dyDescent="0.2">
      <c r="A7442" s="116">
        <f>IF(ISNUMBER(Tabela2[[#This Row],[CT-e/NFS]])=TRUE,(IF(B7442&gt;30000,4,IF(B7442&lt;1000,"ND",0))),"-")</f>
        <v>4</v>
      </c>
      <c r="B7442" s="116">
        <v>51023</v>
      </c>
      <c r="C7442" s="117">
        <v>45668</v>
      </c>
      <c r="D7442" s="116">
        <v>220.18</v>
      </c>
      <c r="E7442" s="117">
        <v>45687</v>
      </c>
      <c r="F7442" s="116">
        <f>COUNTIFS($A$3:A15698,A7442,$B$3:B15698,B7442)</f>
        <v>1</v>
      </c>
      <c r="G7442" s="116"/>
    </row>
    <row r="7443" spans="1:7" x14ac:dyDescent="0.2">
      <c r="A7443" s="116">
        <f>IF(ISNUMBER(Tabela2[[#This Row],[CT-e/NFS]])=TRUE,(IF(B7443&gt;30000,4,IF(B7443&lt;1000,"ND",0))),"-")</f>
        <v>0</v>
      </c>
      <c r="B7443" s="116">
        <v>22676</v>
      </c>
      <c r="C7443" s="117">
        <v>45668</v>
      </c>
      <c r="D7443" s="116">
        <v>416.35</v>
      </c>
      <c r="E7443" s="117">
        <v>45687</v>
      </c>
      <c r="F7443" s="116">
        <f>COUNTIFS($A$3:A15699,A7443,$B$3:B15699,B7443)</f>
        <v>1</v>
      </c>
      <c r="G7443" s="116"/>
    </row>
    <row r="7444" spans="1:7" x14ac:dyDescent="0.2">
      <c r="A7444" s="116">
        <f>IF(ISNUMBER(Tabela2[[#This Row],[CT-e/NFS]])=TRUE,(IF(B7444&gt;30000,4,IF(B7444&lt;1000,"ND",0))),"-")</f>
        <v>0</v>
      </c>
      <c r="B7444" s="116">
        <v>22678</v>
      </c>
      <c r="C7444" s="117">
        <v>45668</v>
      </c>
      <c r="D7444" s="116">
        <v>378.34</v>
      </c>
      <c r="E7444" s="117">
        <v>45687</v>
      </c>
      <c r="F7444" s="116">
        <f>COUNTIFS($A$3:A15700,A7444,$B$3:B15700,B7444)</f>
        <v>1</v>
      </c>
      <c r="G7444" s="116"/>
    </row>
    <row r="7445" spans="1:7" x14ac:dyDescent="0.2">
      <c r="A7445" s="116">
        <f>IF(ISNUMBER(Tabela2[[#This Row],[CT-e/NFS]])=TRUE,(IF(B7445&gt;30000,4,IF(B7445&lt;1000,"ND",0))),"-")</f>
        <v>0</v>
      </c>
      <c r="B7445" s="116">
        <v>22673</v>
      </c>
      <c r="C7445" s="117">
        <v>45668</v>
      </c>
      <c r="D7445" s="116">
        <v>75.709999999999994</v>
      </c>
      <c r="E7445" s="117">
        <v>45687</v>
      </c>
      <c r="F7445" s="116">
        <f>COUNTIFS($A$3:A15701,A7445,$B$3:B15701,B7445)</f>
        <v>1</v>
      </c>
      <c r="G7445" s="116"/>
    </row>
    <row r="7446" spans="1:7" x14ac:dyDescent="0.2">
      <c r="A7446" s="116">
        <f>IF(ISNUMBER(Tabela2[[#This Row],[CT-e/NFS]])=TRUE,(IF(B7446&gt;30000,4,IF(B7446&lt;1000,"ND",0))),"-")</f>
        <v>0</v>
      </c>
      <c r="B7446" s="116">
        <v>22672</v>
      </c>
      <c r="C7446" s="117">
        <v>45668</v>
      </c>
      <c r="D7446" s="116">
        <v>75.64</v>
      </c>
      <c r="E7446" s="117">
        <v>45687</v>
      </c>
      <c r="F7446" s="116">
        <f>COUNTIFS($A$3:A15702,A7446,$B$3:B15702,B7446)</f>
        <v>1</v>
      </c>
      <c r="G7446" s="116"/>
    </row>
    <row r="7447" spans="1:7" x14ac:dyDescent="0.2">
      <c r="A7447" s="116">
        <f>IF(ISNUMBER(Tabela2[[#This Row],[CT-e/NFS]])=TRUE,(IF(B7447&gt;30000,4,IF(B7447&lt;1000,"ND",0))),"-")</f>
        <v>0</v>
      </c>
      <c r="B7447" s="116">
        <v>22677</v>
      </c>
      <c r="C7447" s="117">
        <v>45668</v>
      </c>
      <c r="D7447" s="116">
        <v>76.349999999999994</v>
      </c>
      <c r="E7447" s="117">
        <v>45687</v>
      </c>
      <c r="F7447" s="116">
        <f>COUNTIFS($A$3:A15703,A7447,$B$3:B15703,B7447)</f>
        <v>1</v>
      </c>
      <c r="G7447" s="116"/>
    </row>
    <row r="7448" spans="1:7" x14ac:dyDescent="0.2">
      <c r="A7448" s="116">
        <f>IF(ISNUMBER(Tabela2[[#This Row],[CT-e/NFS]])=TRUE,(IF(B7448&gt;30000,4,IF(B7448&lt;1000,"ND",0))),"-")</f>
        <v>0</v>
      </c>
      <c r="B7448" s="116">
        <v>22682</v>
      </c>
      <c r="C7448" s="117">
        <v>45668</v>
      </c>
      <c r="D7448" s="116">
        <v>76.34</v>
      </c>
      <c r="E7448" s="117">
        <v>45687</v>
      </c>
      <c r="F7448" s="116">
        <f>COUNTIFS($A$3:A15704,A7448,$B$3:B15704,B7448)</f>
        <v>1</v>
      </c>
      <c r="G7448" s="116"/>
    </row>
    <row r="7449" spans="1:7" x14ac:dyDescent="0.2">
      <c r="A7449" s="116">
        <f>IF(ISNUMBER(Tabela2[[#This Row],[CT-e/NFS]])=TRUE,(IF(B7449&gt;30000,4,IF(B7449&lt;1000,"ND",0))),"-")</f>
        <v>0</v>
      </c>
      <c r="B7449" s="116">
        <v>22679</v>
      </c>
      <c r="C7449" s="117">
        <v>45668</v>
      </c>
      <c r="D7449" s="116">
        <v>120.36</v>
      </c>
      <c r="E7449" s="117">
        <v>45687</v>
      </c>
      <c r="F7449" s="116">
        <f>COUNTIFS($A$3:A15705,A7449,$B$3:B15705,B7449)</f>
        <v>1</v>
      </c>
      <c r="G7449" s="116"/>
    </row>
    <row r="7450" spans="1:7" x14ac:dyDescent="0.2">
      <c r="A7450" s="116">
        <f>IF(ISNUMBER(Tabela2[[#This Row],[CT-e/NFS]])=TRUE,(IF(B7450&gt;30000,4,IF(B7450&lt;1000,"ND",0))),"-")</f>
        <v>0</v>
      </c>
      <c r="B7450" s="116">
        <v>22674</v>
      </c>
      <c r="C7450" s="117">
        <v>45668</v>
      </c>
      <c r="D7450" s="116">
        <v>77.010000000000005</v>
      </c>
      <c r="E7450" s="117">
        <v>45687</v>
      </c>
      <c r="F7450" s="116">
        <f>COUNTIFS($A$3:A15706,A7450,$B$3:B15706,B7450)</f>
        <v>1</v>
      </c>
      <c r="G7450" s="116"/>
    </row>
    <row r="7451" spans="1:7" x14ac:dyDescent="0.2">
      <c r="A7451" s="116">
        <f>IF(ISNUMBER(Tabela2[[#This Row],[CT-e/NFS]])=TRUE,(IF(B7451&gt;30000,4,IF(B7451&lt;1000,"ND",0))),"-")</f>
        <v>0</v>
      </c>
      <c r="B7451" s="116">
        <v>22675</v>
      </c>
      <c r="C7451" s="117">
        <v>45668</v>
      </c>
      <c r="D7451" s="116">
        <v>146.43</v>
      </c>
      <c r="E7451" s="117">
        <v>45687</v>
      </c>
      <c r="F7451" s="116">
        <f>COUNTIFS($A$3:A15707,A7451,$B$3:B15707,B7451)</f>
        <v>1</v>
      </c>
      <c r="G7451" s="116"/>
    </row>
    <row r="7452" spans="1:7" x14ac:dyDescent="0.2">
      <c r="A7452" s="116">
        <f>IF(ISNUMBER(Tabela2[[#This Row],[CT-e/NFS]])=TRUE,(IF(B7452&gt;30000,4,IF(B7452&lt;1000,"ND",0))),"-")</f>
        <v>0</v>
      </c>
      <c r="B7452" s="116">
        <v>22680</v>
      </c>
      <c r="C7452" s="117">
        <v>45668</v>
      </c>
      <c r="D7452" s="116">
        <v>76.8</v>
      </c>
      <c r="E7452" s="117">
        <v>45687</v>
      </c>
      <c r="F7452" s="116">
        <f>COUNTIFS($A$3:A15708,A7452,$B$3:B15708,B7452)</f>
        <v>1</v>
      </c>
      <c r="G7452" s="116"/>
    </row>
    <row r="7453" spans="1:7" x14ac:dyDescent="0.2">
      <c r="A7453" s="116">
        <f>IF(ISNUMBER(Tabela2[[#This Row],[CT-e/NFS]])=TRUE,(IF(B7453&gt;30000,4,IF(B7453&lt;1000,"ND",0))),"-")</f>
        <v>0</v>
      </c>
      <c r="B7453" s="116">
        <v>22681</v>
      </c>
      <c r="C7453" s="117">
        <v>45668</v>
      </c>
      <c r="D7453" s="116">
        <v>186.63</v>
      </c>
      <c r="E7453" s="117">
        <v>45687</v>
      </c>
      <c r="F7453" s="116">
        <f>COUNTIFS($A$3:A15709,A7453,$B$3:B15709,B7453)</f>
        <v>1</v>
      </c>
      <c r="G7453" s="116"/>
    </row>
    <row r="7454" spans="1:7" x14ac:dyDescent="0.2">
      <c r="A7454" s="116">
        <f>IF(ISNUMBER(Tabela2[[#This Row],[CT-e/NFS]])=TRUE,(IF(B7454&gt;30000,4,IF(B7454&lt;1000,"ND",0))),"-")</f>
        <v>0</v>
      </c>
      <c r="B7454" s="116">
        <v>22683</v>
      </c>
      <c r="C7454" s="117">
        <v>45668</v>
      </c>
      <c r="D7454" s="116">
        <v>241.18</v>
      </c>
      <c r="E7454" s="117">
        <v>45687</v>
      </c>
      <c r="F7454" s="116">
        <f>COUNTIFS($A$3:A15710,A7454,$B$3:B15710,B7454)</f>
        <v>1</v>
      </c>
      <c r="G7454" s="116"/>
    </row>
    <row r="7455" spans="1:7" x14ac:dyDescent="0.2">
      <c r="A7455" s="116">
        <f>IF(ISNUMBER(Tabela2[[#This Row],[CT-e/NFS]])=TRUE,(IF(B7455&gt;30000,4,IF(B7455&lt;1000,"ND",0))),"-")</f>
        <v>0</v>
      </c>
      <c r="B7455" s="116">
        <v>22684</v>
      </c>
      <c r="C7455" s="117">
        <v>45668</v>
      </c>
      <c r="D7455" s="116">
        <v>76.58</v>
      </c>
      <c r="E7455" s="117">
        <v>45687</v>
      </c>
      <c r="F7455" s="116">
        <f>COUNTIFS($A$3:A15711,A7455,$B$3:B15711,B7455)</f>
        <v>1</v>
      </c>
      <c r="G7455" s="116"/>
    </row>
    <row r="7456" spans="1:7" x14ac:dyDescent="0.2">
      <c r="A7456" s="116">
        <f>IF(ISNUMBER(Tabela2[[#This Row],[CT-e/NFS]])=TRUE,(IF(B7456&gt;30000,4,IF(B7456&lt;1000,"ND",0))),"-")</f>
        <v>0</v>
      </c>
      <c r="B7456" s="116">
        <v>22686</v>
      </c>
      <c r="C7456" s="117">
        <v>45668</v>
      </c>
      <c r="D7456" s="116">
        <v>76.44</v>
      </c>
      <c r="E7456" s="117">
        <v>45687</v>
      </c>
      <c r="F7456" s="116">
        <f>COUNTIFS($A$3:A15712,A7456,$B$3:B15712,B7456)</f>
        <v>1</v>
      </c>
      <c r="G7456" s="116"/>
    </row>
    <row r="7457" spans="1:7" x14ac:dyDescent="0.2">
      <c r="A7457" s="116">
        <f>IF(ISNUMBER(Tabela2[[#This Row],[CT-e/NFS]])=TRUE,(IF(B7457&gt;30000,4,IF(B7457&lt;1000,"ND",0))),"-")</f>
        <v>0</v>
      </c>
      <c r="B7457" s="116">
        <v>22687</v>
      </c>
      <c r="C7457" s="117">
        <v>45668</v>
      </c>
      <c r="D7457" s="116">
        <v>75.599999999999994</v>
      </c>
      <c r="E7457" s="117">
        <v>45687</v>
      </c>
      <c r="F7457" s="116">
        <f>COUNTIFS($A$3:A15713,A7457,$B$3:B15713,B7457)</f>
        <v>1</v>
      </c>
      <c r="G7457" s="116"/>
    </row>
    <row r="7458" spans="1:7" x14ac:dyDescent="0.2">
      <c r="A7458" s="116">
        <f>IF(ISNUMBER(Tabela2[[#This Row],[CT-e/NFS]])=TRUE,(IF(B7458&gt;30000,4,IF(B7458&lt;1000,"ND",0))),"-")</f>
        <v>0</v>
      </c>
      <c r="B7458" s="116">
        <v>22685</v>
      </c>
      <c r="C7458" s="117">
        <v>45668</v>
      </c>
      <c r="D7458" s="116">
        <v>153.66999999999999</v>
      </c>
      <c r="E7458" s="117">
        <v>45687</v>
      </c>
      <c r="F7458" s="116">
        <f>COUNTIFS($A$3:A15714,A7458,$B$3:B15714,B7458)</f>
        <v>1</v>
      </c>
      <c r="G7458" s="116"/>
    </row>
    <row r="7459" spans="1:7" x14ac:dyDescent="0.2">
      <c r="A7459" s="116">
        <f>IF(ISNUMBER(Tabela2[[#This Row],[CT-e/NFS]])=TRUE,(IF(B7459&gt;30000,4,IF(B7459&lt;1000,"ND",0))),"-")</f>
        <v>4</v>
      </c>
      <c r="B7459" s="116">
        <v>51026</v>
      </c>
      <c r="C7459" s="117">
        <v>45668</v>
      </c>
      <c r="D7459" s="116">
        <v>1137.73</v>
      </c>
      <c r="E7459" s="117">
        <v>45687</v>
      </c>
      <c r="F7459" s="116">
        <f>COUNTIFS($A$3:A15715,A7459,$B$3:B15715,B7459)</f>
        <v>1</v>
      </c>
      <c r="G7459" s="116"/>
    </row>
    <row r="7460" spans="1:7" x14ac:dyDescent="0.2">
      <c r="A7460" s="116">
        <f>IF(ISNUMBER(Tabela2[[#This Row],[CT-e/NFS]])=TRUE,(IF(B7460&gt;30000,4,IF(B7460&lt;1000,"ND",0))),"-")</f>
        <v>0</v>
      </c>
      <c r="B7460" s="116">
        <v>22688</v>
      </c>
      <c r="C7460" s="117">
        <v>45668</v>
      </c>
      <c r="D7460" s="116">
        <v>76.31</v>
      </c>
      <c r="E7460" s="117">
        <v>45687</v>
      </c>
      <c r="F7460" s="116">
        <f>COUNTIFS($A$3:A15716,A7460,$B$3:B15716,B7460)</f>
        <v>1</v>
      </c>
      <c r="G7460" s="116"/>
    </row>
    <row r="7461" spans="1:7" x14ac:dyDescent="0.2">
      <c r="A7461" s="116">
        <f>IF(ISNUMBER(Tabela2[[#This Row],[CT-e/NFS]])=TRUE,(IF(B7461&gt;30000,4,IF(B7461&lt;1000,"ND",0))),"-")</f>
        <v>0</v>
      </c>
      <c r="B7461" s="116">
        <v>22689</v>
      </c>
      <c r="C7461" s="117">
        <v>45668</v>
      </c>
      <c r="D7461" s="116">
        <v>76.41</v>
      </c>
      <c r="E7461" s="117">
        <v>45687</v>
      </c>
      <c r="F7461" s="116">
        <f>COUNTIFS($A$3:A15717,A7461,$B$3:B15717,B7461)</f>
        <v>1</v>
      </c>
      <c r="G7461" s="116"/>
    </row>
    <row r="7462" spans="1:7" x14ac:dyDescent="0.2">
      <c r="A7462" s="116">
        <f>IF(ISNUMBER(Tabela2[[#This Row],[CT-e/NFS]])=TRUE,(IF(B7462&gt;30000,4,IF(B7462&lt;1000,"ND",0))),"-")</f>
        <v>0</v>
      </c>
      <c r="B7462" s="116">
        <v>22690</v>
      </c>
      <c r="C7462" s="117">
        <v>45668</v>
      </c>
      <c r="D7462" s="116">
        <v>75.7</v>
      </c>
      <c r="E7462" s="117">
        <v>45687</v>
      </c>
      <c r="F7462" s="116">
        <f>COUNTIFS($A$3:A15718,A7462,$B$3:B15718,B7462)</f>
        <v>1</v>
      </c>
      <c r="G7462" s="116"/>
    </row>
    <row r="7463" spans="1:7" x14ac:dyDescent="0.2">
      <c r="A7463" s="116">
        <f>IF(ISNUMBER(Tabela2[[#This Row],[CT-e/NFS]])=TRUE,(IF(B7463&gt;30000,4,IF(B7463&lt;1000,"ND",0))),"-")</f>
        <v>4</v>
      </c>
      <c r="B7463" s="116">
        <v>51030</v>
      </c>
      <c r="C7463" s="117">
        <v>45668</v>
      </c>
      <c r="D7463" s="116">
        <v>124.69</v>
      </c>
      <c r="E7463" s="117">
        <v>45687</v>
      </c>
      <c r="F7463" s="116">
        <f>COUNTIFS($A$3:A15719,A7463,$B$3:B15719,B7463)</f>
        <v>1</v>
      </c>
      <c r="G7463" s="116"/>
    </row>
    <row r="7464" spans="1:7" x14ac:dyDescent="0.2">
      <c r="A7464" s="116">
        <f>IF(ISNUMBER(Tabela2[[#This Row],[CT-e/NFS]])=TRUE,(IF(B7464&gt;30000,4,IF(B7464&lt;1000,"ND",0))),"-")</f>
        <v>4</v>
      </c>
      <c r="B7464" s="116">
        <v>51035</v>
      </c>
      <c r="C7464" s="117">
        <v>45668</v>
      </c>
      <c r="D7464" s="116">
        <v>124.15</v>
      </c>
      <c r="E7464" s="117">
        <v>45687</v>
      </c>
      <c r="F7464" s="116">
        <f>COUNTIFS($A$3:A15720,A7464,$B$3:B15720,B7464)</f>
        <v>1</v>
      </c>
      <c r="G7464" s="116"/>
    </row>
    <row r="7465" spans="1:7" x14ac:dyDescent="0.2">
      <c r="A7465" s="116">
        <f>IF(ISNUMBER(Tabela2[[#This Row],[CT-e/NFS]])=TRUE,(IF(B7465&gt;30000,4,IF(B7465&lt;1000,"ND",0))),"-")</f>
        <v>4</v>
      </c>
      <c r="B7465" s="116">
        <v>51027</v>
      </c>
      <c r="C7465" s="117">
        <v>45668</v>
      </c>
      <c r="D7465" s="116">
        <v>125.81</v>
      </c>
      <c r="E7465" s="117">
        <v>45687</v>
      </c>
      <c r="F7465" s="116">
        <f>COUNTIFS($A$3:A15721,A7465,$B$3:B15721,B7465)</f>
        <v>1</v>
      </c>
      <c r="G7465" s="116"/>
    </row>
    <row r="7466" spans="1:7" x14ac:dyDescent="0.2">
      <c r="A7466" s="116">
        <f>IF(ISNUMBER(Tabela2[[#This Row],[CT-e/NFS]])=TRUE,(IF(B7466&gt;30000,4,IF(B7466&lt;1000,"ND",0))),"-")</f>
        <v>4</v>
      </c>
      <c r="B7466" s="116">
        <v>51033</v>
      </c>
      <c r="C7466" s="117">
        <v>45668</v>
      </c>
      <c r="D7466" s="116">
        <v>122.93</v>
      </c>
      <c r="E7466" s="117">
        <v>45687</v>
      </c>
      <c r="F7466" s="116">
        <f>COUNTIFS($A$3:A15722,A7466,$B$3:B15722,B7466)</f>
        <v>1</v>
      </c>
      <c r="G7466" s="116"/>
    </row>
    <row r="7467" spans="1:7" x14ac:dyDescent="0.2">
      <c r="A7467" s="116">
        <f>IF(ISNUMBER(Tabela2[[#This Row],[CT-e/NFS]])=TRUE,(IF(B7467&gt;30000,4,IF(B7467&lt;1000,"ND",0))),"-")</f>
        <v>4</v>
      </c>
      <c r="B7467" s="116">
        <v>51032</v>
      </c>
      <c r="C7467" s="117">
        <v>45668</v>
      </c>
      <c r="D7467" s="116">
        <v>125.07</v>
      </c>
      <c r="E7467" s="117">
        <v>45687</v>
      </c>
      <c r="F7467" s="116">
        <f>COUNTIFS($A$3:A15723,A7467,$B$3:B15723,B7467)</f>
        <v>1</v>
      </c>
      <c r="G7467" s="116"/>
    </row>
    <row r="7468" spans="1:7" x14ac:dyDescent="0.2">
      <c r="A7468" s="116">
        <f>IF(ISNUMBER(Tabela2[[#This Row],[CT-e/NFS]])=TRUE,(IF(B7468&gt;30000,4,IF(B7468&lt;1000,"ND",0))),"-")</f>
        <v>4</v>
      </c>
      <c r="B7468" s="116">
        <v>51040</v>
      </c>
      <c r="C7468" s="117">
        <v>45668</v>
      </c>
      <c r="D7468" s="116">
        <v>272.13</v>
      </c>
      <c r="E7468" s="117">
        <v>45687</v>
      </c>
      <c r="F7468" s="116">
        <f>COUNTIFS($A$3:A15724,A7468,$B$3:B15724,B7468)</f>
        <v>1</v>
      </c>
      <c r="G7468" s="116"/>
    </row>
    <row r="7469" spans="1:7" x14ac:dyDescent="0.2">
      <c r="A7469" s="116">
        <f>IF(ISNUMBER(Tabela2[[#This Row],[CT-e/NFS]])=TRUE,(IF(B7469&gt;30000,4,IF(B7469&lt;1000,"ND",0))),"-")</f>
        <v>4</v>
      </c>
      <c r="B7469" s="116">
        <v>51031</v>
      </c>
      <c r="C7469" s="117">
        <v>45668</v>
      </c>
      <c r="D7469" s="116">
        <v>216.77</v>
      </c>
      <c r="E7469" s="117">
        <v>45687</v>
      </c>
      <c r="F7469" s="116">
        <f>COUNTIFS($A$3:A15725,A7469,$B$3:B15725,B7469)</f>
        <v>1</v>
      </c>
      <c r="G7469" s="116"/>
    </row>
    <row r="7470" spans="1:7" x14ac:dyDescent="0.2">
      <c r="A7470" s="116">
        <f>IF(ISNUMBER(Tabela2[[#This Row],[CT-e/NFS]])=TRUE,(IF(B7470&gt;30000,4,IF(B7470&lt;1000,"ND",0))),"-")</f>
        <v>4</v>
      </c>
      <c r="B7470" s="116">
        <v>51037</v>
      </c>
      <c r="C7470" s="117">
        <v>45668</v>
      </c>
      <c r="D7470" s="116">
        <v>123.05</v>
      </c>
      <c r="E7470" s="117">
        <v>45687</v>
      </c>
      <c r="F7470" s="116">
        <f>COUNTIFS($A$3:A15726,A7470,$B$3:B15726,B7470)</f>
        <v>1</v>
      </c>
      <c r="G7470" s="116"/>
    </row>
    <row r="7471" spans="1:7" x14ac:dyDescent="0.2">
      <c r="A7471" s="116">
        <f>IF(ISNUMBER(Tabela2[[#This Row],[CT-e/NFS]])=TRUE,(IF(B7471&gt;30000,4,IF(B7471&lt;1000,"ND",0))),"-")</f>
        <v>4</v>
      </c>
      <c r="B7471" s="116">
        <v>51021</v>
      </c>
      <c r="C7471" s="117">
        <v>45668</v>
      </c>
      <c r="D7471" s="116">
        <v>87.02</v>
      </c>
      <c r="E7471" s="117">
        <v>45687</v>
      </c>
      <c r="F7471" s="116">
        <f>COUNTIFS($A$3:A15727,A7471,$B$3:B15727,B7471)</f>
        <v>1</v>
      </c>
      <c r="G7471" s="116"/>
    </row>
    <row r="7472" spans="1:7" x14ac:dyDescent="0.2">
      <c r="A7472" s="116">
        <f>IF(ISNUMBER(Tabela2[[#This Row],[CT-e/NFS]])=TRUE,(IF(B7472&gt;30000,4,IF(B7472&lt;1000,"ND",0))),"-")</f>
        <v>0</v>
      </c>
      <c r="B7472" s="116">
        <v>22698</v>
      </c>
      <c r="C7472" s="117">
        <v>45668</v>
      </c>
      <c r="D7472" s="116">
        <v>76.41</v>
      </c>
      <c r="E7472" s="117">
        <v>45687</v>
      </c>
      <c r="F7472" s="116">
        <f>COUNTIFS($A$3:A15728,A7472,$B$3:B15728,B7472)</f>
        <v>1</v>
      </c>
      <c r="G7472" s="116"/>
    </row>
    <row r="7473" spans="1:7" x14ac:dyDescent="0.2">
      <c r="A7473" s="116">
        <f>IF(ISNUMBER(Tabela2[[#This Row],[CT-e/NFS]])=TRUE,(IF(B7473&gt;30000,4,IF(B7473&lt;1000,"ND",0))),"-")</f>
        <v>0</v>
      </c>
      <c r="B7473" s="116">
        <v>22699</v>
      </c>
      <c r="C7473" s="117">
        <v>45668</v>
      </c>
      <c r="D7473" s="116">
        <v>76.8</v>
      </c>
      <c r="E7473" s="117">
        <v>45687</v>
      </c>
      <c r="F7473" s="116">
        <f>COUNTIFS($A$3:A15729,A7473,$B$3:B15729,B7473)</f>
        <v>1</v>
      </c>
      <c r="G7473" s="116"/>
    </row>
    <row r="7474" spans="1:7" x14ac:dyDescent="0.2">
      <c r="A7474" s="116">
        <f>IF(ISNUMBER(Tabela2[[#This Row],[CT-e/NFS]])=TRUE,(IF(B7474&gt;30000,4,IF(B7474&lt;1000,"ND",0))),"-")</f>
        <v>0</v>
      </c>
      <c r="B7474" s="116">
        <v>22700</v>
      </c>
      <c r="C7474" s="117">
        <v>45668</v>
      </c>
      <c r="D7474" s="116">
        <v>77.08</v>
      </c>
      <c r="E7474" s="117">
        <v>45687</v>
      </c>
      <c r="F7474" s="116">
        <f>COUNTIFS($A$3:A15730,A7474,$B$3:B15730,B7474)</f>
        <v>1</v>
      </c>
      <c r="G7474" s="116"/>
    </row>
    <row r="7475" spans="1:7" x14ac:dyDescent="0.2">
      <c r="A7475" s="116">
        <f>IF(ISNUMBER(Tabela2[[#This Row],[CT-e/NFS]])=TRUE,(IF(B7475&gt;30000,4,IF(B7475&lt;1000,"ND",0))),"-")</f>
        <v>0</v>
      </c>
      <c r="B7475" s="116">
        <v>22701</v>
      </c>
      <c r="C7475" s="117">
        <v>45668</v>
      </c>
      <c r="D7475" s="116">
        <v>76.47</v>
      </c>
      <c r="E7475" s="117">
        <v>45687</v>
      </c>
      <c r="F7475" s="116">
        <f>COUNTIFS($A$3:A15731,A7475,$B$3:B15731,B7475)</f>
        <v>1</v>
      </c>
      <c r="G7475" s="116"/>
    </row>
    <row r="7476" spans="1:7" x14ac:dyDescent="0.2">
      <c r="A7476" s="116">
        <f>IF(ISNUMBER(Tabela2[[#This Row],[CT-e/NFS]])=TRUE,(IF(B7476&gt;30000,4,IF(B7476&lt;1000,"ND",0))),"-")</f>
        <v>0</v>
      </c>
      <c r="B7476" s="116">
        <v>22702</v>
      </c>
      <c r="C7476" s="117">
        <v>45668</v>
      </c>
      <c r="D7476" s="116">
        <v>75.7</v>
      </c>
      <c r="E7476" s="117">
        <v>45687</v>
      </c>
      <c r="F7476" s="116">
        <f>COUNTIFS($A$3:A15732,A7476,$B$3:B15732,B7476)</f>
        <v>1</v>
      </c>
      <c r="G7476" s="116"/>
    </row>
    <row r="7477" spans="1:7" x14ac:dyDescent="0.2">
      <c r="A7477" s="116">
        <f>IF(ISNUMBER(Tabela2[[#This Row],[CT-e/NFS]])=TRUE,(IF(B7477&gt;30000,4,IF(B7477&lt;1000,"ND",0))),"-")</f>
        <v>0</v>
      </c>
      <c r="B7477" s="116">
        <v>22703</v>
      </c>
      <c r="C7477" s="117">
        <v>45668</v>
      </c>
      <c r="D7477" s="116">
        <v>76.27</v>
      </c>
      <c r="E7477" s="117">
        <v>45687</v>
      </c>
      <c r="F7477" s="116">
        <f>COUNTIFS($A$3:A15733,A7477,$B$3:B15733,B7477)</f>
        <v>1</v>
      </c>
      <c r="G7477" s="116"/>
    </row>
    <row r="7478" spans="1:7" x14ac:dyDescent="0.2">
      <c r="A7478" s="116">
        <f>IF(ISNUMBER(Tabela2[[#This Row],[CT-e/NFS]])=TRUE,(IF(B7478&gt;30000,4,IF(B7478&lt;1000,"ND",0))),"-")</f>
        <v>0</v>
      </c>
      <c r="B7478" s="116">
        <v>22704</v>
      </c>
      <c r="C7478" s="117">
        <v>45668</v>
      </c>
      <c r="D7478" s="116">
        <v>127.65</v>
      </c>
      <c r="E7478" s="117">
        <v>45687</v>
      </c>
      <c r="F7478" s="116">
        <f>COUNTIFS($A$3:A15734,A7478,$B$3:B15734,B7478)</f>
        <v>1</v>
      </c>
      <c r="G7478" s="116"/>
    </row>
    <row r="7479" spans="1:7" x14ac:dyDescent="0.2">
      <c r="A7479" s="116">
        <f>IF(ISNUMBER(Tabela2[[#This Row],[CT-e/NFS]])=TRUE,(IF(B7479&gt;30000,4,IF(B7479&lt;1000,"ND",0))),"-")</f>
        <v>0</v>
      </c>
      <c r="B7479" s="116">
        <v>22705</v>
      </c>
      <c r="C7479" s="117">
        <v>45668</v>
      </c>
      <c r="D7479" s="116">
        <v>122.89</v>
      </c>
      <c r="E7479" s="117">
        <v>45687</v>
      </c>
      <c r="F7479" s="116">
        <f>COUNTIFS($A$3:A15735,A7479,$B$3:B15735,B7479)</f>
        <v>1</v>
      </c>
      <c r="G7479" s="116"/>
    </row>
    <row r="7480" spans="1:7" x14ac:dyDescent="0.2">
      <c r="A7480" s="116">
        <f>IF(ISNUMBER(Tabela2[[#This Row],[CT-e/NFS]])=TRUE,(IF(B7480&gt;30000,4,IF(B7480&lt;1000,"ND",0))),"-")</f>
        <v>0</v>
      </c>
      <c r="B7480" s="116">
        <v>22707</v>
      </c>
      <c r="C7480" s="117">
        <v>45668</v>
      </c>
      <c r="D7480" s="116">
        <v>76</v>
      </c>
      <c r="E7480" s="117">
        <v>45687</v>
      </c>
      <c r="F7480" s="116">
        <f>COUNTIFS($A$3:A15736,A7480,$B$3:B15736,B7480)</f>
        <v>1</v>
      </c>
      <c r="G7480" s="116"/>
    </row>
    <row r="7481" spans="1:7" x14ac:dyDescent="0.2">
      <c r="A7481" s="116">
        <f>IF(ISNUMBER(Tabela2[[#This Row],[CT-e/NFS]])=TRUE,(IF(B7481&gt;30000,4,IF(B7481&lt;1000,"ND",0))),"-")</f>
        <v>0</v>
      </c>
      <c r="B7481" s="116">
        <v>22708</v>
      </c>
      <c r="C7481" s="117">
        <v>45668</v>
      </c>
      <c r="D7481" s="116">
        <v>120.73</v>
      </c>
      <c r="E7481" s="117">
        <v>45687</v>
      </c>
      <c r="F7481" s="116">
        <f>COUNTIFS($A$3:A15737,A7481,$B$3:B15737,B7481)</f>
        <v>1</v>
      </c>
      <c r="G7481" s="116"/>
    </row>
    <row r="7482" spans="1:7" x14ac:dyDescent="0.2">
      <c r="A7482" s="116">
        <f>IF(ISNUMBER(Tabela2[[#This Row],[CT-e/NFS]])=TRUE,(IF(B7482&gt;30000,4,IF(B7482&lt;1000,"ND",0))),"-")</f>
        <v>0</v>
      </c>
      <c r="B7482" s="116">
        <v>22709</v>
      </c>
      <c r="C7482" s="117">
        <v>45668</v>
      </c>
      <c r="D7482" s="116">
        <v>76.8</v>
      </c>
      <c r="E7482" s="117">
        <v>45687</v>
      </c>
      <c r="F7482" s="116">
        <f>COUNTIFS($A$3:A15738,A7482,$B$3:B15738,B7482)</f>
        <v>1</v>
      </c>
      <c r="G7482" s="116"/>
    </row>
    <row r="7483" spans="1:7" x14ac:dyDescent="0.2">
      <c r="A7483" s="116">
        <f>IF(ISNUMBER(Tabela2[[#This Row],[CT-e/NFS]])=TRUE,(IF(B7483&gt;30000,4,IF(B7483&lt;1000,"ND",0))),"-")</f>
        <v>0</v>
      </c>
      <c r="B7483" s="116">
        <v>22710</v>
      </c>
      <c r="C7483" s="117">
        <v>45668</v>
      </c>
      <c r="D7483" s="116">
        <v>75.7</v>
      </c>
      <c r="E7483" s="117">
        <v>45687</v>
      </c>
      <c r="F7483" s="116">
        <f>COUNTIFS($A$3:A15739,A7483,$B$3:B15739,B7483)</f>
        <v>1</v>
      </c>
      <c r="G7483" s="116"/>
    </row>
    <row r="7484" spans="1:7" x14ac:dyDescent="0.2">
      <c r="A7484" s="116">
        <f>IF(ISNUMBER(Tabela2[[#This Row],[CT-e/NFS]])=TRUE,(IF(B7484&gt;30000,4,IF(B7484&lt;1000,"ND",0))),"-")</f>
        <v>0</v>
      </c>
      <c r="B7484" s="116">
        <v>22713</v>
      </c>
      <c r="C7484" s="117">
        <v>45668</v>
      </c>
      <c r="D7484" s="116">
        <v>76.28</v>
      </c>
      <c r="E7484" s="117">
        <v>45687</v>
      </c>
      <c r="F7484" s="116">
        <f>COUNTIFS($A$3:A15740,A7484,$B$3:B15740,B7484)</f>
        <v>1</v>
      </c>
      <c r="G7484" s="116"/>
    </row>
    <row r="7485" spans="1:7" x14ac:dyDescent="0.2">
      <c r="A7485" s="116">
        <f>IF(ISNUMBER(Tabela2[[#This Row],[CT-e/NFS]])=TRUE,(IF(B7485&gt;30000,4,IF(B7485&lt;1000,"ND",0))),"-")</f>
        <v>0</v>
      </c>
      <c r="B7485" s="116">
        <v>22714</v>
      </c>
      <c r="C7485" s="117">
        <v>45668</v>
      </c>
      <c r="D7485" s="116">
        <v>86.83</v>
      </c>
      <c r="E7485" s="117">
        <v>45687</v>
      </c>
      <c r="F7485" s="116">
        <f>COUNTIFS($A$3:A15741,A7485,$B$3:B15741,B7485)</f>
        <v>1</v>
      </c>
      <c r="G7485" s="116"/>
    </row>
    <row r="7486" spans="1:7" x14ac:dyDescent="0.2">
      <c r="A7486" s="116">
        <f>IF(ISNUMBER(Tabela2[[#This Row],[CT-e/NFS]])=TRUE,(IF(B7486&gt;30000,4,IF(B7486&lt;1000,"ND",0))),"-")</f>
        <v>0</v>
      </c>
      <c r="B7486" s="116">
        <v>22711</v>
      </c>
      <c r="C7486" s="117">
        <v>45668</v>
      </c>
      <c r="D7486" s="116">
        <v>75.67</v>
      </c>
      <c r="E7486" s="117">
        <v>45687</v>
      </c>
      <c r="F7486" s="116">
        <f>COUNTIFS($A$3:A15742,A7486,$B$3:B15742,B7486)</f>
        <v>1</v>
      </c>
      <c r="G7486" s="116"/>
    </row>
    <row r="7487" spans="1:7" x14ac:dyDescent="0.2">
      <c r="A7487" s="116">
        <f>IF(ISNUMBER(Tabela2[[#This Row],[CT-e/NFS]])=TRUE,(IF(B7487&gt;30000,4,IF(B7487&lt;1000,"ND",0))),"-")</f>
        <v>0</v>
      </c>
      <c r="B7487" s="116">
        <v>22715</v>
      </c>
      <c r="C7487" s="117">
        <v>45668</v>
      </c>
      <c r="D7487" s="116">
        <v>77</v>
      </c>
      <c r="E7487" s="117">
        <v>45687</v>
      </c>
      <c r="F7487" s="116">
        <f>COUNTIFS($A$3:A15743,A7487,$B$3:B15743,B7487)</f>
        <v>1</v>
      </c>
      <c r="G7487" s="116"/>
    </row>
    <row r="7488" spans="1:7" x14ac:dyDescent="0.2">
      <c r="A7488" s="116">
        <f>IF(ISNUMBER(Tabela2[[#This Row],[CT-e/NFS]])=TRUE,(IF(B7488&gt;30000,4,IF(B7488&lt;1000,"ND",0))),"-")</f>
        <v>0</v>
      </c>
      <c r="B7488" s="116">
        <v>22712</v>
      </c>
      <c r="C7488" s="117">
        <v>45668</v>
      </c>
      <c r="D7488" s="116">
        <v>75.61</v>
      </c>
      <c r="E7488" s="117">
        <v>45687</v>
      </c>
      <c r="F7488" s="116">
        <f>COUNTIFS($A$3:A15744,A7488,$B$3:B15744,B7488)</f>
        <v>1</v>
      </c>
      <c r="G7488" s="116"/>
    </row>
    <row r="7489" spans="1:7" x14ac:dyDescent="0.2">
      <c r="A7489" s="116">
        <f>IF(ISNUMBER(Tabela2[[#This Row],[CT-e/NFS]])=TRUE,(IF(B7489&gt;30000,4,IF(B7489&lt;1000,"ND",0))),"-")</f>
        <v>0</v>
      </c>
      <c r="B7489" s="116">
        <v>22718</v>
      </c>
      <c r="C7489" s="117">
        <v>45668</v>
      </c>
      <c r="D7489" s="116">
        <v>75.8</v>
      </c>
      <c r="E7489" s="117">
        <v>45687</v>
      </c>
      <c r="F7489" s="116">
        <f>COUNTIFS($A$3:A15745,A7489,$B$3:B15745,B7489)</f>
        <v>1</v>
      </c>
      <c r="G7489" s="116"/>
    </row>
    <row r="7490" spans="1:7" x14ac:dyDescent="0.2">
      <c r="A7490" s="116">
        <f>IF(ISNUMBER(Tabela2[[#This Row],[CT-e/NFS]])=TRUE,(IF(B7490&gt;30000,4,IF(B7490&lt;1000,"ND",0))),"-")</f>
        <v>0</v>
      </c>
      <c r="B7490" s="116">
        <v>22720</v>
      </c>
      <c r="C7490" s="117">
        <v>45668</v>
      </c>
      <c r="D7490" s="116">
        <v>77.680000000000007</v>
      </c>
      <c r="E7490" s="117">
        <v>45687</v>
      </c>
      <c r="F7490" s="116">
        <f>COUNTIFS($A$3:A15746,A7490,$B$3:B15746,B7490)</f>
        <v>1</v>
      </c>
      <c r="G7490" s="116"/>
    </row>
    <row r="7491" spans="1:7" x14ac:dyDescent="0.2">
      <c r="A7491" s="116">
        <f>IF(ISNUMBER(Tabela2[[#This Row],[CT-e/NFS]])=TRUE,(IF(B7491&gt;30000,4,IF(B7491&lt;1000,"ND",0))),"-")</f>
        <v>0</v>
      </c>
      <c r="B7491" s="116">
        <v>22719</v>
      </c>
      <c r="C7491" s="117">
        <v>45668</v>
      </c>
      <c r="D7491" s="116">
        <v>122.46</v>
      </c>
      <c r="E7491" s="117">
        <v>45687</v>
      </c>
      <c r="F7491" s="116">
        <f>COUNTIFS($A$3:A15747,A7491,$B$3:B15747,B7491)</f>
        <v>1</v>
      </c>
      <c r="G7491" s="116"/>
    </row>
    <row r="7492" spans="1:7" x14ac:dyDescent="0.2">
      <c r="A7492" s="116">
        <f>IF(ISNUMBER(Tabela2[[#This Row],[CT-e/NFS]])=TRUE,(IF(B7492&gt;30000,4,IF(B7492&lt;1000,"ND",0))),"-")</f>
        <v>0</v>
      </c>
      <c r="B7492" s="116">
        <v>22721</v>
      </c>
      <c r="C7492" s="117">
        <v>45668</v>
      </c>
      <c r="D7492" s="116">
        <v>325.58</v>
      </c>
      <c r="E7492" s="117">
        <v>45687</v>
      </c>
      <c r="F7492" s="116">
        <f>COUNTIFS($A$3:A15748,A7492,$B$3:B15748,B7492)</f>
        <v>1</v>
      </c>
      <c r="G7492" s="116"/>
    </row>
    <row r="7493" spans="1:7" x14ac:dyDescent="0.2">
      <c r="A7493" s="116">
        <f>IF(ISNUMBER(Tabela2[[#This Row],[CT-e/NFS]])=TRUE,(IF(B7493&gt;30000,4,IF(B7493&lt;1000,"ND",0))),"-")</f>
        <v>0</v>
      </c>
      <c r="B7493" s="116">
        <v>22722</v>
      </c>
      <c r="C7493" s="117">
        <v>45668</v>
      </c>
      <c r="D7493" s="116">
        <v>450.87</v>
      </c>
      <c r="E7493" s="117">
        <v>45687</v>
      </c>
      <c r="F7493" s="116">
        <f>COUNTIFS($A$3:A15749,A7493,$B$3:B15749,B7493)</f>
        <v>1</v>
      </c>
      <c r="G7493" s="116"/>
    </row>
    <row r="7494" spans="1:7" x14ac:dyDescent="0.2">
      <c r="A7494" s="116">
        <f>IF(ISNUMBER(Tabela2[[#This Row],[CT-e/NFS]])=TRUE,(IF(B7494&gt;30000,4,IF(B7494&lt;1000,"ND",0))),"-")</f>
        <v>0</v>
      </c>
      <c r="B7494" s="116">
        <v>22723</v>
      </c>
      <c r="C7494" s="117">
        <v>45668</v>
      </c>
      <c r="D7494" s="116">
        <v>76.92</v>
      </c>
      <c r="E7494" s="117">
        <v>45687</v>
      </c>
      <c r="F7494" s="116">
        <f>COUNTIFS($A$3:A15750,A7494,$B$3:B15750,B7494)</f>
        <v>1</v>
      </c>
      <c r="G7494" s="116"/>
    </row>
    <row r="7495" spans="1:7" x14ac:dyDescent="0.2">
      <c r="A7495" s="116">
        <f>IF(ISNUMBER(Tabela2[[#This Row],[CT-e/NFS]])=TRUE,(IF(B7495&gt;30000,4,IF(B7495&lt;1000,"ND",0))),"-")</f>
        <v>0</v>
      </c>
      <c r="B7495" s="116">
        <v>22724</v>
      </c>
      <c r="C7495" s="117">
        <v>45668</v>
      </c>
      <c r="D7495" s="116">
        <v>81.400000000000006</v>
      </c>
      <c r="E7495" s="117">
        <v>45687</v>
      </c>
      <c r="F7495" s="116">
        <f>COUNTIFS($A$3:A15751,A7495,$B$3:B15751,B7495)</f>
        <v>1</v>
      </c>
      <c r="G7495" s="116"/>
    </row>
    <row r="7496" spans="1:7" x14ac:dyDescent="0.2">
      <c r="A7496" s="116">
        <f>IF(ISNUMBER(Tabela2[[#This Row],[CT-e/NFS]])=TRUE,(IF(B7496&gt;30000,4,IF(B7496&lt;1000,"ND",0))),"-")</f>
        <v>4</v>
      </c>
      <c r="B7496" s="116">
        <v>51039</v>
      </c>
      <c r="C7496" s="117">
        <v>45668</v>
      </c>
      <c r="D7496" s="116">
        <v>408.02</v>
      </c>
      <c r="E7496" s="117">
        <v>45687</v>
      </c>
      <c r="F7496" s="116">
        <f>COUNTIFS($A$3:A15752,A7496,$B$3:B15752,B7496)</f>
        <v>1</v>
      </c>
      <c r="G7496" s="116"/>
    </row>
    <row r="7497" spans="1:7" x14ac:dyDescent="0.2">
      <c r="A7497" s="116">
        <f>IF(ISNUMBER(Tabela2[[#This Row],[CT-e/NFS]])=TRUE,(IF(B7497&gt;30000,4,IF(B7497&lt;1000,"ND",0))),"-")</f>
        <v>4</v>
      </c>
      <c r="B7497" s="116">
        <v>51034</v>
      </c>
      <c r="C7497" s="117">
        <v>45668</v>
      </c>
      <c r="D7497" s="116">
        <v>123.09</v>
      </c>
      <c r="E7497" s="117">
        <v>45687</v>
      </c>
      <c r="F7497" s="116">
        <f>COUNTIFS($A$3:A15753,A7497,$B$3:B15753,B7497)</f>
        <v>1</v>
      </c>
      <c r="G7497" s="116"/>
    </row>
    <row r="7498" spans="1:7" x14ac:dyDescent="0.2">
      <c r="A7498" s="116">
        <f>IF(ISNUMBER(Tabela2[[#This Row],[CT-e/NFS]])=TRUE,(IF(B7498&gt;30000,4,IF(B7498&lt;1000,"ND",0))),"-")</f>
        <v>4</v>
      </c>
      <c r="B7498" s="116">
        <v>51044</v>
      </c>
      <c r="C7498" s="117">
        <v>45668</v>
      </c>
      <c r="D7498" s="116">
        <v>1796.03</v>
      </c>
      <c r="E7498" s="117">
        <v>45687</v>
      </c>
      <c r="F7498" s="116">
        <f>COUNTIFS($A$3:A15754,A7498,$B$3:B15754,B7498)</f>
        <v>1</v>
      </c>
      <c r="G7498" s="116"/>
    </row>
    <row r="7499" spans="1:7" x14ac:dyDescent="0.2">
      <c r="A7499" s="116">
        <f>IF(ISNUMBER(Tabela2[[#This Row],[CT-e/NFS]])=TRUE,(IF(B7499&gt;30000,4,IF(B7499&lt;1000,"ND",0))),"-")</f>
        <v>4</v>
      </c>
      <c r="B7499" s="116">
        <v>51036</v>
      </c>
      <c r="C7499" s="117">
        <v>45668</v>
      </c>
      <c r="D7499" s="116">
        <v>124.49</v>
      </c>
      <c r="E7499" s="117">
        <v>45687</v>
      </c>
      <c r="F7499" s="116">
        <f>COUNTIFS($A$3:A15755,A7499,$B$3:B15755,B7499)</f>
        <v>1</v>
      </c>
      <c r="G7499" s="116"/>
    </row>
    <row r="7500" spans="1:7" x14ac:dyDescent="0.2">
      <c r="A7500" s="116">
        <f>IF(ISNUMBER(Tabela2[[#This Row],[CT-e/NFS]])=TRUE,(IF(B7500&gt;30000,4,IF(B7500&lt;1000,"ND",0))),"-")</f>
        <v>4</v>
      </c>
      <c r="B7500" s="116">
        <v>51028</v>
      </c>
      <c r="C7500" s="117">
        <v>45668</v>
      </c>
      <c r="D7500" s="116">
        <v>123.92</v>
      </c>
      <c r="E7500" s="117">
        <v>45687</v>
      </c>
      <c r="F7500" s="116">
        <f>COUNTIFS($A$3:A15756,A7500,$B$3:B15756,B7500)</f>
        <v>1</v>
      </c>
      <c r="G7500" s="116"/>
    </row>
    <row r="7501" spans="1:7" x14ac:dyDescent="0.2">
      <c r="A7501" s="116">
        <f>IF(ISNUMBER(Tabela2[[#This Row],[CT-e/NFS]])=TRUE,(IF(B7501&gt;30000,4,IF(B7501&lt;1000,"ND",0))),"-")</f>
        <v>4</v>
      </c>
      <c r="B7501" s="116">
        <v>51029</v>
      </c>
      <c r="C7501" s="117">
        <v>45668</v>
      </c>
      <c r="D7501" s="116">
        <v>396.45</v>
      </c>
      <c r="E7501" s="117">
        <v>45687</v>
      </c>
      <c r="F7501" s="116">
        <f>COUNTIFS($A$3:A15757,A7501,$B$3:B15757,B7501)</f>
        <v>1</v>
      </c>
      <c r="G7501" s="116"/>
    </row>
    <row r="7502" spans="1:7" x14ac:dyDescent="0.2">
      <c r="A7502" s="116">
        <f>IF(ISNUMBER(Tabela2[[#This Row],[CT-e/NFS]])=TRUE,(IF(B7502&gt;30000,4,IF(B7502&lt;1000,"ND",0))),"-")</f>
        <v>4</v>
      </c>
      <c r="B7502" s="116">
        <v>51043</v>
      </c>
      <c r="C7502" s="117">
        <v>45668</v>
      </c>
      <c r="D7502" s="116">
        <v>372.45</v>
      </c>
      <c r="E7502" s="117">
        <v>45687</v>
      </c>
      <c r="F7502" s="116">
        <f>COUNTIFS($A$3:A15758,A7502,$B$3:B15758,B7502)</f>
        <v>1</v>
      </c>
      <c r="G7502" s="116"/>
    </row>
    <row r="7503" spans="1:7" x14ac:dyDescent="0.2">
      <c r="A7503" s="116">
        <f>IF(ISNUMBER(Tabela2[[#This Row],[CT-e/NFS]])=TRUE,(IF(B7503&gt;30000,4,IF(B7503&lt;1000,"ND",0))),"-")</f>
        <v>4</v>
      </c>
      <c r="B7503" s="116">
        <v>51038</v>
      </c>
      <c r="C7503" s="117">
        <v>45668</v>
      </c>
      <c r="D7503" s="116">
        <v>125.9</v>
      </c>
      <c r="E7503" s="117">
        <v>45687</v>
      </c>
      <c r="F7503" s="116">
        <f>COUNTIFS($A$3:A15759,A7503,$B$3:B15759,B7503)</f>
        <v>1</v>
      </c>
      <c r="G7503" s="116"/>
    </row>
    <row r="7504" spans="1:7" x14ac:dyDescent="0.2">
      <c r="A7504" s="116">
        <f>IF(ISNUMBER(Tabela2[[#This Row],[CT-e/NFS]])=TRUE,(IF(B7504&gt;30000,4,IF(B7504&lt;1000,"ND",0))),"-")</f>
        <v>4</v>
      </c>
      <c r="B7504" s="116">
        <v>51049</v>
      </c>
      <c r="C7504" s="117">
        <v>45668</v>
      </c>
      <c r="D7504" s="116">
        <v>123.4</v>
      </c>
      <c r="E7504" s="117">
        <v>45687</v>
      </c>
      <c r="F7504" s="116">
        <f>COUNTIFS($A$3:A15760,A7504,$B$3:B15760,B7504)</f>
        <v>1</v>
      </c>
      <c r="G7504" s="116"/>
    </row>
    <row r="7505" spans="1:7" x14ac:dyDescent="0.2">
      <c r="A7505" s="116">
        <f>IF(ISNUMBER(Tabela2[[#This Row],[CT-e/NFS]])=TRUE,(IF(B7505&gt;30000,4,IF(B7505&lt;1000,"ND",0))),"-")</f>
        <v>4</v>
      </c>
      <c r="B7505" s="116">
        <v>51048</v>
      </c>
      <c r="C7505" s="117">
        <v>45668</v>
      </c>
      <c r="D7505" s="116">
        <v>123.99</v>
      </c>
      <c r="E7505" s="117">
        <v>45687</v>
      </c>
      <c r="F7505" s="116">
        <f>COUNTIFS($A$3:A15761,A7505,$B$3:B15761,B7505)</f>
        <v>1</v>
      </c>
      <c r="G7505" s="116"/>
    </row>
    <row r="7506" spans="1:7" x14ac:dyDescent="0.2">
      <c r="A7506" s="116">
        <f>IF(ISNUMBER(Tabela2[[#This Row],[CT-e/NFS]])=TRUE,(IF(B7506&gt;30000,4,IF(B7506&lt;1000,"ND",0))),"-")</f>
        <v>4</v>
      </c>
      <c r="B7506" s="116">
        <v>51051</v>
      </c>
      <c r="C7506" s="117">
        <v>45668</v>
      </c>
      <c r="D7506" s="116">
        <v>361.39</v>
      </c>
      <c r="E7506" s="117">
        <v>45687</v>
      </c>
      <c r="F7506" s="116">
        <f>COUNTIFS($A$3:A15762,A7506,$B$3:B15762,B7506)</f>
        <v>1</v>
      </c>
      <c r="G7506" s="116"/>
    </row>
    <row r="7507" spans="1:7" x14ac:dyDescent="0.2">
      <c r="A7507" s="116">
        <f>IF(ISNUMBER(Tabela2[[#This Row],[CT-e/NFS]])=TRUE,(IF(B7507&gt;30000,4,IF(B7507&lt;1000,"ND",0))),"-")</f>
        <v>4</v>
      </c>
      <c r="B7507" s="116">
        <v>51050</v>
      </c>
      <c r="C7507" s="117">
        <v>45668</v>
      </c>
      <c r="D7507" s="116">
        <v>414.94</v>
      </c>
      <c r="E7507" s="117">
        <v>45687</v>
      </c>
      <c r="F7507" s="116">
        <f>COUNTIFS($A$3:A15763,A7507,$B$3:B15763,B7507)</f>
        <v>1</v>
      </c>
      <c r="G7507" s="116"/>
    </row>
    <row r="7508" spans="1:7" x14ac:dyDescent="0.2">
      <c r="A7508" s="116">
        <f>IF(ISNUMBER(Tabela2[[#This Row],[CT-e/NFS]])=TRUE,(IF(B7508&gt;30000,4,IF(B7508&lt;1000,"ND",0))),"-")</f>
        <v>4</v>
      </c>
      <c r="B7508" s="116">
        <v>51052</v>
      </c>
      <c r="C7508" s="117">
        <v>45668</v>
      </c>
      <c r="D7508" s="116">
        <v>361.39</v>
      </c>
      <c r="E7508" s="117">
        <v>45687</v>
      </c>
      <c r="F7508" s="116">
        <f>COUNTIFS($A$3:A15764,A7508,$B$3:B15764,B7508)</f>
        <v>1</v>
      </c>
      <c r="G7508" s="116"/>
    </row>
    <row r="7509" spans="1:7" x14ac:dyDescent="0.2">
      <c r="A7509" s="116">
        <f>IF(ISNUMBER(Tabela2[[#This Row],[CT-e/NFS]])=TRUE,(IF(B7509&gt;30000,4,IF(B7509&lt;1000,"ND",0))),"-")</f>
        <v>4</v>
      </c>
      <c r="B7509" s="116">
        <v>51053</v>
      </c>
      <c r="C7509" s="117">
        <v>45668</v>
      </c>
      <c r="D7509" s="116">
        <v>1758.3</v>
      </c>
      <c r="E7509" s="117">
        <v>45687</v>
      </c>
      <c r="F7509" s="116">
        <f>COUNTIFS($A$3:A15765,A7509,$B$3:B15765,B7509)</f>
        <v>1</v>
      </c>
      <c r="G7509" s="116"/>
    </row>
    <row r="7510" spans="1:7" x14ac:dyDescent="0.2">
      <c r="A7510" s="116">
        <f>IF(ISNUMBER(Tabela2[[#This Row],[CT-e/NFS]])=TRUE,(IF(B7510&gt;30000,4,IF(B7510&lt;1000,"ND",0))),"-")</f>
        <v>4</v>
      </c>
      <c r="B7510" s="116">
        <v>51055</v>
      </c>
      <c r="C7510" s="117">
        <v>45668</v>
      </c>
      <c r="D7510" s="116">
        <v>931.82</v>
      </c>
      <c r="E7510" s="117">
        <v>45687</v>
      </c>
      <c r="F7510" s="116">
        <f>COUNTIFS($A$3:A15766,A7510,$B$3:B15766,B7510)</f>
        <v>1</v>
      </c>
      <c r="G7510" s="116"/>
    </row>
    <row r="7511" spans="1:7" x14ac:dyDescent="0.2">
      <c r="A7511" s="116">
        <f>IF(ISNUMBER(Tabela2[[#This Row],[CT-e/NFS]])=TRUE,(IF(B7511&gt;30000,4,IF(B7511&lt;1000,"ND",0))),"-")</f>
        <v>4</v>
      </c>
      <c r="B7511" s="116">
        <v>51056</v>
      </c>
      <c r="C7511" s="117">
        <v>45668</v>
      </c>
      <c r="D7511" s="116">
        <v>542.08000000000004</v>
      </c>
      <c r="E7511" s="117">
        <v>45687</v>
      </c>
      <c r="F7511" s="116">
        <f>COUNTIFS($A$3:A15767,A7511,$B$3:B15767,B7511)</f>
        <v>1</v>
      </c>
      <c r="G7511" s="116"/>
    </row>
    <row r="7512" spans="1:7" x14ac:dyDescent="0.2">
      <c r="A7512" s="116">
        <f>IF(ISNUMBER(Tabela2[[#This Row],[CT-e/NFS]])=TRUE,(IF(B7512&gt;30000,4,IF(B7512&lt;1000,"ND",0))),"-")</f>
        <v>4</v>
      </c>
      <c r="B7512" s="116">
        <v>51060</v>
      </c>
      <c r="C7512" s="117">
        <v>45668</v>
      </c>
      <c r="D7512" s="116">
        <v>124.05</v>
      </c>
      <c r="E7512" s="117">
        <v>45687</v>
      </c>
      <c r="F7512" s="116">
        <f>COUNTIFS($A$3:A15768,A7512,$B$3:B15768,B7512)</f>
        <v>1</v>
      </c>
      <c r="G7512" s="116"/>
    </row>
    <row r="7513" spans="1:7" x14ac:dyDescent="0.2">
      <c r="A7513" s="116">
        <f>IF(ISNUMBER(Tabela2[[#This Row],[CT-e/NFS]])=TRUE,(IF(B7513&gt;30000,4,IF(B7513&lt;1000,"ND",0))),"-")</f>
        <v>4</v>
      </c>
      <c r="B7513" s="116">
        <v>51062</v>
      </c>
      <c r="C7513" s="117">
        <v>45668</v>
      </c>
      <c r="D7513" s="116">
        <v>124.49</v>
      </c>
      <c r="E7513" s="117">
        <v>45687</v>
      </c>
      <c r="F7513" s="116">
        <f>COUNTIFS($A$3:A15769,A7513,$B$3:B15769,B7513)</f>
        <v>1</v>
      </c>
      <c r="G7513" s="116"/>
    </row>
    <row r="7514" spans="1:7" x14ac:dyDescent="0.2">
      <c r="A7514" s="116">
        <f>IF(ISNUMBER(Tabela2[[#This Row],[CT-e/NFS]])=TRUE,(IF(B7514&gt;30000,4,IF(B7514&lt;1000,"ND",0))),"-")</f>
        <v>4</v>
      </c>
      <c r="B7514" s="116">
        <v>51061</v>
      </c>
      <c r="C7514" s="117">
        <v>45668</v>
      </c>
      <c r="D7514" s="116">
        <v>124.1</v>
      </c>
      <c r="E7514" s="117">
        <v>45687</v>
      </c>
      <c r="F7514" s="116">
        <f>COUNTIFS($A$3:A15770,A7514,$B$3:B15770,B7514)</f>
        <v>1</v>
      </c>
      <c r="G7514" s="116"/>
    </row>
    <row r="7515" spans="1:7" x14ac:dyDescent="0.2">
      <c r="A7515" s="116">
        <f>IF(ISNUMBER(Tabela2[[#This Row],[CT-e/NFS]])=TRUE,(IF(B7515&gt;30000,4,IF(B7515&lt;1000,"ND",0))),"-")</f>
        <v>4</v>
      </c>
      <c r="B7515" s="116">
        <v>51059</v>
      </c>
      <c r="C7515" s="117">
        <v>45668</v>
      </c>
      <c r="D7515" s="116">
        <v>125.07</v>
      </c>
      <c r="E7515" s="117">
        <v>45687</v>
      </c>
      <c r="F7515" s="116">
        <f>COUNTIFS($A$3:A15771,A7515,$B$3:B15771,B7515)</f>
        <v>1</v>
      </c>
      <c r="G7515" s="116"/>
    </row>
    <row r="7516" spans="1:7" x14ac:dyDescent="0.2">
      <c r="A7516" s="116">
        <f>IF(ISNUMBER(Tabela2[[#This Row],[CT-e/NFS]])=TRUE,(IF(B7516&gt;30000,4,IF(B7516&lt;1000,"ND",0))),"-")</f>
        <v>4</v>
      </c>
      <c r="B7516" s="116">
        <v>51058</v>
      </c>
      <c r="C7516" s="117">
        <v>45668</v>
      </c>
      <c r="D7516" s="116">
        <v>206.92</v>
      </c>
      <c r="E7516" s="117">
        <v>45687</v>
      </c>
      <c r="F7516" s="116">
        <f>COUNTIFS($A$3:A15772,A7516,$B$3:B15772,B7516)</f>
        <v>1</v>
      </c>
      <c r="G7516" s="116"/>
    </row>
    <row r="7517" spans="1:7" x14ac:dyDescent="0.2">
      <c r="A7517" s="116">
        <f>IF(ISNUMBER(Tabela2[[#This Row],[CT-e/NFS]])=TRUE,(IF(B7517&gt;30000,4,IF(B7517&lt;1000,"ND",0))),"-")</f>
        <v>4</v>
      </c>
      <c r="B7517" s="116">
        <v>51063</v>
      </c>
      <c r="C7517" s="117">
        <v>45668</v>
      </c>
      <c r="D7517" s="116">
        <v>62.24</v>
      </c>
      <c r="E7517" s="117">
        <v>45687</v>
      </c>
      <c r="F7517" s="116">
        <f>COUNTIFS($A$3:A15773,A7517,$B$3:B15773,B7517)</f>
        <v>1</v>
      </c>
      <c r="G7517" s="116"/>
    </row>
    <row r="7518" spans="1:7" x14ac:dyDescent="0.2">
      <c r="A7518" s="116">
        <f>IF(ISNUMBER(Tabela2[[#This Row],[CT-e/NFS]])=TRUE,(IF(B7518&gt;30000,4,IF(B7518&lt;1000,"ND",0))),"-")</f>
        <v>4</v>
      </c>
      <c r="B7518" s="116">
        <v>51064</v>
      </c>
      <c r="C7518" s="117">
        <v>45668</v>
      </c>
      <c r="D7518" s="116">
        <v>112.22</v>
      </c>
      <c r="E7518" s="117">
        <v>45687</v>
      </c>
      <c r="F7518" s="116">
        <f>COUNTIFS($A$3:A15774,A7518,$B$3:B15774,B7518)</f>
        <v>1</v>
      </c>
      <c r="G7518" s="116"/>
    </row>
    <row r="7519" spans="1:7" x14ac:dyDescent="0.2">
      <c r="A7519" s="116">
        <f>IF(ISNUMBER(Tabela2[[#This Row],[CT-e/NFS]])=TRUE,(IF(B7519&gt;30000,4,IF(B7519&lt;1000,"ND",0))),"-")</f>
        <v>4</v>
      </c>
      <c r="B7519" s="116">
        <v>51065</v>
      </c>
      <c r="C7519" s="117">
        <v>45668</v>
      </c>
      <c r="D7519" s="116">
        <v>229.91</v>
      </c>
      <c r="E7519" s="117">
        <v>45687</v>
      </c>
      <c r="F7519" s="116">
        <f>COUNTIFS($A$3:A15775,A7519,$B$3:B15775,B7519)</f>
        <v>1</v>
      </c>
      <c r="G7519" s="116"/>
    </row>
    <row r="7520" spans="1:7" x14ac:dyDescent="0.2">
      <c r="A7520" s="116">
        <f>IF(ISNUMBER(Tabela2[[#This Row],[CT-e/NFS]])=TRUE,(IF(B7520&gt;30000,4,IF(B7520&lt;1000,"ND",0))),"-")</f>
        <v>4</v>
      </c>
      <c r="B7520" s="116">
        <v>51066</v>
      </c>
      <c r="C7520" s="117">
        <v>45668</v>
      </c>
      <c r="D7520" s="116">
        <v>281.52999999999997</v>
      </c>
      <c r="E7520" s="117">
        <v>45687</v>
      </c>
      <c r="F7520" s="116">
        <f>COUNTIFS($A$3:A15776,A7520,$B$3:B15776,B7520)</f>
        <v>1</v>
      </c>
      <c r="G7520" s="116"/>
    </row>
    <row r="7521" spans="1:7" x14ac:dyDescent="0.2">
      <c r="A7521" s="116">
        <f>IF(ISNUMBER(Tabela2[[#This Row],[CT-e/NFS]])=TRUE,(IF(B7521&gt;30000,4,IF(B7521&lt;1000,"ND",0))),"-")</f>
        <v>4</v>
      </c>
      <c r="B7521" s="116">
        <v>51069</v>
      </c>
      <c r="C7521" s="117">
        <v>45668</v>
      </c>
      <c r="D7521" s="116">
        <v>122.93</v>
      </c>
      <c r="E7521" s="117">
        <v>45687</v>
      </c>
      <c r="F7521" s="116">
        <f>COUNTIFS($A$3:A15777,A7521,$B$3:B15777,B7521)</f>
        <v>1</v>
      </c>
      <c r="G7521" s="116"/>
    </row>
    <row r="7522" spans="1:7" x14ac:dyDescent="0.2">
      <c r="A7522" s="116">
        <f>IF(ISNUMBER(Tabela2[[#This Row],[CT-e/NFS]])=TRUE,(IF(B7522&gt;30000,4,IF(B7522&lt;1000,"ND",0))),"-")</f>
        <v>4</v>
      </c>
      <c r="B7522" s="116">
        <v>51070</v>
      </c>
      <c r="C7522" s="117">
        <v>45668</v>
      </c>
      <c r="D7522" s="116">
        <v>124.39</v>
      </c>
      <c r="E7522" s="117">
        <v>45687</v>
      </c>
      <c r="F7522" s="116">
        <f>COUNTIFS($A$3:A15778,A7522,$B$3:B15778,B7522)</f>
        <v>1</v>
      </c>
      <c r="G7522" s="116"/>
    </row>
    <row r="7523" spans="1:7" x14ac:dyDescent="0.2">
      <c r="A7523" s="116">
        <f>IF(ISNUMBER(Tabela2[[#This Row],[CT-e/NFS]])=TRUE,(IF(B7523&gt;30000,4,IF(B7523&lt;1000,"ND",0))),"-")</f>
        <v>4</v>
      </c>
      <c r="B7523" s="116">
        <v>51072</v>
      </c>
      <c r="C7523" s="117">
        <v>45668</v>
      </c>
      <c r="D7523" s="116">
        <v>547.02</v>
      </c>
      <c r="E7523" s="117">
        <v>45687</v>
      </c>
      <c r="F7523" s="116">
        <f>COUNTIFS($A$3:A15779,A7523,$B$3:B15779,B7523)</f>
        <v>1</v>
      </c>
      <c r="G7523" s="116"/>
    </row>
    <row r="7524" spans="1:7" x14ac:dyDescent="0.2">
      <c r="A7524" s="116">
        <f>IF(ISNUMBER(Tabela2[[#This Row],[CT-e/NFS]])=TRUE,(IF(B7524&gt;30000,4,IF(B7524&lt;1000,"ND",0))),"-")</f>
        <v>4</v>
      </c>
      <c r="B7524" s="116">
        <v>51074</v>
      </c>
      <c r="C7524" s="117">
        <v>45668</v>
      </c>
      <c r="D7524" s="116">
        <v>110.08</v>
      </c>
      <c r="E7524" s="117">
        <v>45687</v>
      </c>
      <c r="F7524" s="116">
        <f>COUNTIFS($A$3:A15780,A7524,$B$3:B15780,B7524)</f>
        <v>1</v>
      </c>
      <c r="G7524" s="116"/>
    </row>
    <row r="7525" spans="1:7" x14ac:dyDescent="0.2">
      <c r="A7525" s="116">
        <f>IF(ISNUMBER(Tabela2[[#This Row],[CT-e/NFS]])=TRUE,(IF(B7525&gt;30000,4,IF(B7525&lt;1000,"ND",0))),"-")</f>
        <v>4</v>
      </c>
      <c r="B7525" s="116">
        <v>51075</v>
      </c>
      <c r="C7525" s="117">
        <v>45668</v>
      </c>
      <c r="D7525" s="116">
        <v>198.85</v>
      </c>
      <c r="E7525" s="117">
        <v>45687</v>
      </c>
      <c r="F7525" s="116">
        <f>COUNTIFS($A$3:A15781,A7525,$B$3:B15781,B7525)</f>
        <v>1</v>
      </c>
      <c r="G7525" s="116"/>
    </row>
    <row r="7526" spans="1:7" x14ac:dyDescent="0.2">
      <c r="A7526" s="116">
        <f>IF(ISNUMBER(Tabela2[[#This Row],[CT-e/NFS]])=TRUE,(IF(B7526&gt;30000,4,IF(B7526&lt;1000,"ND",0))),"-")</f>
        <v>4</v>
      </c>
      <c r="B7526" s="116">
        <v>51073</v>
      </c>
      <c r="C7526" s="117">
        <v>45668</v>
      </c>
      <c r="D7526" s="116">
        <v>988.08</v>
      </c>
      <c r="E7526" s="117">
        <v>45687</v>
      </c>
      <c r="F7526" s="116">
        <f>COUNTIFS($A$3:A15782,A7526,$B$3:B15782,B7526)</f>
        <v>1</v>
      </c>
      <c r="G7526" s="116"/>
    </row>
    <row r="7527" spans="1:7" x14ac:dyDescent="0.2">
      <c r="A7527" s="116">
        <f>IF(ISNUMBER(Tabela2[[#This Row],[CT-e/NFS]])=TRUE,(IF(B7527&gt;30000,4,IF(B7527&lt;1000,"ND",0))),"-")</f>
        <v>4</v>
      </c>
      <c r="B7527" s="116">
        <v>51090</v>
      </c>
      <c r="C7527" s="117">
        <v>45668</v>
      </c>
      <c r="D7527" s="116">
        <v>125.92</v>
      </c>
      <c r="E7527" s="117">
        <v>45687</v>
      </c>
      <c r="F7527" s="116">
        <f>COUNTIFS($A$3:A15783,A7527,$B$3:B15783,B7527)</f>
        <v>1</v>
      </c>
      <c r="G7527" s="116"/>
    </row>
    <row r="7528" spans="1:7" x14ac:dyDescent="0.2">
      <c r="A7528" s="116">
        <f>IF(ISNUMBER(Tabela2[[#This Row],[CT-e/NFS]])=TRUE,(IF(B7528&gt;30000,4,IF(B7528&lt;1000,"ND",0))),"-")</f>
        <v>4</v>
      </c>
      <c r="B7528" s="116">
        <v>51091</v>
      </c>
      <c r="C7528" s="117">
        <v>45668</v>
      </c>
      <c r="D7528" s="116">
        <v>62.95</v>
      </c>
      <c r="E7528" s="117">
        <v>45687</v>
      </c>
      <c r="F7528" s="116">
        <f>COUNTIFS($A$3:A15784,A7528,$B$3:B15784,B7528)</f>
        <v>1</v>
      </c>
      <c r="G7528" s="116"/>
    </row>
    <row r="7529" spans="1:7" x14ac:dyDescent="0.2">
      <c r="A7529" s="116">
        <f>IF(ISNUMBER(Tabela2[[#This Row],[CT-e/NFS]])=TRUE,(IF(B7529&gt;30000,4,IF(B7529&lt;1000,"ND",0))),"-")</f>
        <v>4</v>
      </c>
      <c r="B7529" s="116">
        <v>51092</v>
      </c>
      <c r="C7529" s="117">
        <v>45668</v>
      </c>
      <c r="D7529" s="116">
        <v>113.65</v>
      </c>
      <c r="E7529" s="117">
        <v>45687</v>
      </c>
      <c r="F7529" s="116">
        <f>COUNTIFS($A$3:A15785,A7529,$B$3:B15785,B7529)</f>
        <v>1</v>
      </c>
      <c r="G7529" s="116"/>
    </row>
    <row r="7530" spans="1:7" x14ac:dyDescent="0.2">
      <c r="A7530" s="116">
        <f>IF(ISNUMBER(Tabela2[[#This Row],[CT-e/NFS]])=TRUE,(IF(B7530&gt;30000,4,IF(B7530&lt;1000,"ND",0))),"-")</f>
        <v>4</v>
      </c>
      <c r="B7530" s="116">
        <v>51076</v>
      </c>
      <c r="C7530" s="117">
        <v>45668</v>
      </c>
      <c r="D7530" s="116">
        <v>123.51</v>
      </c>
      <c r="E7530" s="117">
        <v>45687</v>
      </c>
      <c r="F7530" s="116">
        <f>COUNTIFS($A$3:A15786,A7530,$B$3:B15786,B7530)</f>
        <v>1</v>
      </c>
      <c r="G7530" s="116"/>
    </row>
    <row r="7531" spans="1:7" x14ac:dyDescent="0.2">
      <c r="A7531" s="116">
        <f>IF(ISNUMBER(Tabela2[[#This Row],[CT-e/NFS]])=TRUE,(IF(B7531&gt;30000,4,IF(B7531&lt;1000,"ND",0))),"-")</f>
        <v>4</v>
      </c>
      <c r="B7531" s="116">
        <v>51081</v>
      </c>
      <c r="C7531" s="117">
        <v>45668</v>
      </c>
      <c r="D7531" s="116">
        <v>124.32</v>
      </c>
      <c r="E7531" s="117">
        <v>45687</v>
      </c>
      <c r="F7531" s="116">
        <f>COUNTIFS($A$3:A15787,A7531,$B$3:B15787,B7531)</f>
        <v>1</v>
      </c>
      <c r="G7531" s="116"/>
    </row>
    <row r="7532" spans="1:7" x14ac:dyDescent="0.2">
      <c r="A7532" s="116">
        <f>IF(ISNUMBER(Tabela2[[#This Row],[CT-e/NFS]])=TRUE,(IF(B7532&gt;30000,4,IF(B7532&lt;1000,"ND",0))),"-")</f>
        <v>4</v>
      </c>
      <c r="B7532" s="116">
        <v>51089</v>
      </c>
      <c r="C7532" s="117">
        <v>45668</v>
      </c>
      <c r="D7532" s="116">
        <v>454.19</v>
      </c>
      <c r="E7532" s="117">
        <v>45687</v>
      </c>
      <c r="F7532" s="116">
        <f>COUNTIFS($A$3:A15788,A7532,$B$3:B15788,B7532)</f>
        <v>1</v>
      </c>
      <c r="G7532" s="116"/>
    </row>
    <row r="7533" spans="1:7" x14ac:dyDescent="0.2">
      <c r="A7533" s="116">
        <f>IF(ISNUMBER(Tabela2[[#This Row],[CT-e/NFS]])=TRUE,(IF(B7533&gt;30000,4,IF(B7533&lt;1000,"ND",0))),"-")</f>
        <v>4</v>
      </c>
      <c r="B7533" s="116">
        <v>51080</v>
      </c>
      <c r="C7533" s="117">
        <v>45668</v>
      </c>
      <c r="D7533" s="116">
        <v>124.18</v>
      </c>
      <c r="E7533" s="117">
        <v>45687</v>
      </c>
      <c r="F7533" s="116">
        <f>COUNTIFS($A$3:A15789,A7533,$B$3:B15789,B7533)</f>
        <v>1</v>
      </c>
      <c r="G7533" s="116"/>
    </row>
    <row r="7534" spans="1:7" x14ac:dyDescent="0.2">
      <c r="A7534" s="116">
        <f>IF(ISNUMBER(Tabela2[[#This Row],[CT-e/NFS]])=TRUE,(IF(B7534&gt;30000,4,IF(B7534&lt;1000,"ND",0))),"-")</f>
        <v>4</v>
      </c>
      <c r="B7534" s="116">
        <v>51082</v>
      </c>
      <c r="C7534" s="117">
        <v>45668</v>
      </c>
      <c r="D7534" s="116">
        <v>494.85</v>
      </c>
      <c r="E7534" s="117">
        <v>45687</v>
      </c>
      <c r="F7534" s="116">
        <f>COUNTIFS($A$3:A15790,A7534,$B$3:B15790,B7534)</f>
        <v>1</v>
      </c>
      <c r="G7534" s="116"/>
    </row>
    <row r="7535" spans="1:7" x14ac:dyDescent="0.2">
      <c r="A7535" s="116">
        <f>IF(ISNUMBER(Tabela2[[#This Row],[CT-e/NFS]])=TRUE,(IF(B7535&gt;30000,4,IF(B7535&lt;1000,"ND",0))),"-")</f>
        <v>4</v>
      </c>
      <c r="B7535" s="116">
        <v>51078</v>
      </c>
      <c r="C7535" s="117">
        <v>45668</v>
      </c>
      <c r="D7535" s="116">
        <v>250.4</v>
      </c>
      <c r="E7535" s="117">
        <v>45687</v>
      </c>
      <c r="F7535" s="116">
        <f>COUNTIFS($A$3:A15791,A7535,$B$3:B15791,B7535)</f>
        <v>1</v>
      </c>
      <c r="G7535" s="116"/>
    </row>
    <row r="7536" spans="1:7" x14ac:dyDescent="0.2">
      <c r="A7536" s="116">
        <f>IF(ISNUMBER(Tabela2[[#This Row],[CT-e/NFS]])=TRUE,(IF(B7536&gt;30000,4,IF(B7536&lt;1000,"ND",0))),"-")</f>
        <v>4</v>
      </c>
      <c r="B7536" s="116">
        <v>51079</v>
      </c>
      <c r="C7536" s="117">
        <v>45668</v>
      </c>
      <c r="D7536" s="116">
        <v>281.52999999999997</v>
      </c>
      <c r="E7536" s="117">
        <v>45687</v>
      </c>
      <c r="F7536" s="116">
        <f>COUNTIFS($A$3:A15792,A7536,$B$3:B15792,B7536)</f>
        <v>1</v>
      </c>
      <c r="G7536" s="116"/>
    </row>
    <row r="7537" spans="1:7" x14ac:dyDescent="0.2">
      <c r="A7537" s="116">
        <f>IF(ISNUMBER(Tabela2[[#This Row],[CT-e/NFS]])=TRUE,(IF(B7537&gt;30000,4,IF(B7537&lt;1000,"ND",0))),"-")</f>
        <v>4</v>
      </c>
      <c r="B7537" s="116">
        <v>51088</v>
      </c>
      <c r="C7537" s="117">
        <v>45668</v>
      </c>
      <c r="D7537" s="116">
        <v>86.77</v>
      </c>
      <c r="E7537" s="117">
        <v>45687</v>
      </c>
      <c r="F7537" s="116">
        <f>COUNTIFS($A$3:A15793,A7537,$B$3:B15793,B7537)</f>
        <v>1</v>
      </c>
      <c r="G7537" s="116"/>
    </row>
    <row r="7538" spans="1:7" x14ac:dyDescent="0.2">
      <c r="A7538" s="116">
        <f>IF(ISNUMBER(Tabela2[[#This Row],[CT-e/NFS]])=TRUE,(IF(B7538&gt;30000,4,IF(B7538&lt;1000,"ND",0))),"-")</f>
        <v>4</v>
      </c>
      <c r="B7538" s="116">
        <v>51077</v>
      </c>
      <c r="C7538" s="117">
        <v>45668</v>
      </c>
      <c r="D7538" s="116">
        <v>246.33</v>
      </c>
      <c r="E7538" s="117">
        <v>45687</v>
      </c>
      <c r="F7538" s="116">
        <f>COUNTIFS($A$3:A15794,A7538,$B$3:B15794,B7538)</f>
        <v>1</v>
      </c>
      <c r="G7538" s="116"/>
    </row>
    <row r="7539" spans="1:7" x14ac:dyDescent="0.2">
      <c r="A7539" s="116">
        <f>IF(ISNUMBER(Tabela2[[#This Row],[CT-e/NFS]])=TRUE,(IF(B7539&gt;30000,4,IF(B7539&lt;1000,"ND",0))),"-")</f>
        <v>4</v>
      </c>
      <c r="B7539" s="116">
        <v>51086</v>
      </c>
      <c r="C7539" s="117">
        <v>45668</v>
      </c>
      <c r="D7539" s="116">
        <v>123.9</v>
      </c>
      <c r="E7539" s="117">
        <v>45687</v>
      </c>
      <c r="F7539" s="116">
        <f>COUNTIFS($A$3:A15795,A7539,$B$3:B15795,B7539)</f>
        <v>1</v>
      </c>
      <c r="G7539" s="116"/>
    </row>
    <row r="7540" spans="1:7" x14ac:dyDescent="0.2">
      <c r="A7540" s="116">
        <f>IF(ISNUMBER(Tabela2[[#This Row],[CT-e/NFS]])=TRUE,(IF(B7540&gt;30000,4,IF(B7540&lt;1000,"ND",0))),"-")</f>
        <v>4</v>
      </c>
      <c r="B7540" s="116">
        <v>51084</v>
      </c>
      <c r="C7540" s="117">
        <v>45668</v>
      </c>
      <c r="D7540" s="116">
        <v>126.53</v>
      </c>
      <c r="E7540" s="117">
        <v>45687</v>
      </c>
      <c r="F7540" s="116">
        <f>COUNTIFS($A$3:A15796,A7540,$B$3:B15796,B7540)</f>
        <v>1</v>
      </c>
      <c r="G7540" s="116"/>
    </row>
    <row r="7541" spans="1:7" x14ac:dyDescent="0.2">
      <c r="A7541" s="116">
        <f>IF(ISNUMBER(Tabela2[[#This Row],[CT-e/NFS]])=TRUE,(IF(B7541&gt;30000,4,IF(B7541&lt;1000,"ND",0))),"-")</f>
        <v>4</v>
      </c>
      <c r="B7541" s="116">
        <v>51083</v>
      </c>
      <c r="C7541" s="117">
        <v>45668</v>
      </c>
      <c r="D7541" s="116">
        <v>174.31</v>
      </c>
      <c r="E7541" s="117">
        <v>45687</v>
      </c>
      <c r="F7541" s="116">
        <f>COUNTIFS($A$3:A15797,A7541,$B$3:B15797,B7541)</f>
        <v>1</v>
      </c>
      <c r="G7541" s="116"/>
    </row>
    <row r="7542" spans="1:7" x14ac:dyDescent="0.2">
      <c r="A7542" s="116">
        <f>IF(ISNUMBER(Tabela2[[#This Row],[CT-e/NFS]])=TRUE,(IF(B7542&gt;30000,4,IF(B7542&lt;1000,"ND",0))),"-")</f>
        <v>4</v>
      </c>
      <c r="B7542" s="116">
        <v>51085</v>
      </c>
      <c r="C7542" s="117">
        <v>45668</v>
      </c>
      <c r="D7542" s="116">
        <v>122.77</v>
      </c>
      <c r="E7542" s="117">
        <v>45687</v>
      </c>
      <c r="F7542" s="116">
        <f>COUNTIFS($A$3:A15798,A7542,$B$3:B15798,B7542)</f>
        <v>1</v>
      </c>
      <c r="G7542" s="116"/>
    </row>
    <row r="7543" spans="1:7" x14ac:dyDescent="0.2">
      <c r="A7543" s="116">
        <f>IF(ISNUMBER(Tabela2[[#This Row],[CT-e/NFS]])=TRUE,(IF(B7543&gt;30000,4,IF(B7543&lt;1000,"ND",0))),"-")</f>
        <v>4</v>
      </c>
      <c r="B7543" s="116">
        <v>51087</v>
      </c>
      <c r="C7543" s="117">
        <v>45668</v>
      </c>
      <c r="D7543" s="116">
        <v>124.15</v>
      </c>
      <c r="E7543" s="117">
        <v>45687</v>
      </c>
      <c r="F7543" s="116">
        <f>COUNTIFS($A$3:A15799,A7543,$B$3:B15799,B7543)</f>
        <v>1</v>
      </c>
      <c r="G7543" s="116"/>
    </row>
    <row r="7544" spans="1:7" x14ac:dyDescent="0.2">
      <c r="A7544" s="116">
        <f>IF(ISNUMBER(Tabela2[[#This Row],[CT-e/NFS]])=TRUE,(IF(B7544&gt;30000,4,IF(B7544&lt;1000,"ND",0))),"-")</f>
        <v>4</v>
      </c>
      <c r="B7544" s="116">
        <v>51097</v>
      </c>
      <c r="C7544" s="117">
        <v>45668</v>
      </c>
      <c r="D7544" s="116">
        <v>322.52</v>
      </c>
      <c r="E7544" s="117">
        <v>45687</v>
      </c>
      <c r="F7544" s="116">
        <f>COUNTIFS($A$3:A15800,A7544,$B$3:B15800,B7544)</f>
        <v>1</v>
      </c>
      <c r="G7544" s="116"/>
    </row>
    <row r="7545" spans="1:7" x14ac:dyDescent="0.2">
      <c r="A7545" s="116">
        <f>IF(ISNUMBER(Tabela2[[#This Row],[CT-e/NFS]])=TRUE,(IF(B7545&gt;30000,4,IF(B7545&lt;1000,"ND",0))),"-")</f>
        <v>4</v>
      </c>
      <c r="B7545" s="116">
        <v>51095</v>
      </c>
      <c r="C7545" s="117">
        <v>45668</v>
      </c>
      <c r="D7545" s="116">
        <v>410.78</v>
      </c>
      <c r="E7545" s="117">
        <v>45687</v>
      </c>
      <c r="F7545" s="116">
        <f>COUNTIFS($A$3:A15801,A7545,$B$3:B15801,B7545)</f>
        <v>1</v>
      </c>
      <c r="G7545" s="116"/>
    </row>
    <row r="7546" spans="1:7" x14ac:dyDescent="0.2">
      <c r="A7546" s="116">
        <f>IF(ISNUMBER(Tabela2[[#This Row],[CT-e/NFS]])=TRUE,(IF(B7546&gt;30000,4,IF(B7546&lt;1000,"ND",0))),"-")</f>
        <v>4</v>
      </c>
      <c r="B7546" s="116">
        <v>51096</v>
      </c>
      <c r="C7546" s="117">
        <v>45668</v>
      </c>
      <c r="D7546" s="116">
        <v>404.42</v>
      </c>
      <c r="E7546" s="117">
        <v>45687</v>
      </c>
      <c r="F7546" s="116">
        <f>COUNTIFS($A$3:A15802,A7546,$B$3:B15802,B7546)</f>
        <v>1</v>
      </c>
      <c r="G7546" s="116"/>
    </row>
    <row r="7547" spans="1:7" x14ac:dyDescent="0.2">
      <c r="A7547" s="116">
        <f>IF(ISNUMBER(Tabela2[[#This Row],[CT-e/NFS]])=TRUE,(IF(B7547&gt;30000,4,IF(B7547&lt;1000,"ND",0))),"-")</f>
        <v>4</v>
      </c>
      <c r="B7547" s="116">
        <v>51108</v>
      </c>
      <c r="C7547" s="117">
        <v>45668</v>
      </c>
      <c r="D7547" s="116">
        <v>785.58</v>
      </c>
      <c r="E7547" s="117">
        <v>45687</v>
      </c>
      <c r="F7547" s="116">
        <f>COUNTIFS($A$3:A15803,A7547,$B$3:B15803,B7547)</f>
        <v>1</v>
      </c>
      <c r="G7547" s="116"/>
    </row>
    <row r="7548" spans="1:7" x14ac:dyDescent="0.2">
      <c r="A7548" s="116">
        <f>IF(ISNUMBER(Tabela2[[#This Row],[CT-e/NFS]])=TRUE,(IF(B7548&gt;30000,4,IF(B7548&lt;1000,"ND",0))),"-")</f>
        <v>4</v>
      </c>
      <c r="B7548" s="116">
        <v>51101</v>
      </c>
      <c r="C7548" s="117">
        <v>45668</v>
      </c>
      <c r="D7548" s="116">
        <v>124.03</v>
      </c>
      <c r="E7548" s="117">
        <v>45687</v>
      </c>
      <c r="F7548" s="116">
        <f>COUNTIFS($A$3:A15804,A7548,$B$3:B15804,B7548)</f>
        <v>1</v>
      </c>
      <c r="G7548" s="116"/>
    </row>
    <row r="7549" spans="1:7" x14ac:dyDescent="0.2">
      <c r="A7549" s="116">
        <f>IF(ISNUMBER(Tabela2[[#This Row],[CT-e/NFS]])=TRUE,(IF(B7549&gt;30000,4,IF(B7549&lt;1000,"ND",0))),"-")</f>
        <v>4</v>
      </c>
      <c r="B7549" s="116">
        <v>51102</v>
      </c>
      <c r="C7549" s="117">
        <v>45668</v>
      </c>
      <c r="D7549" s="116">
        <v>124.32</v>
      </c>
      <c r="E7549" s="117">
        <v>45687</v>
      </c>
      <c r="F7549" s="116">
        <f>COUNTIFS($A$3:A15805,A7549,$B$3:B15805,B7549)</f>
        <v>1</v>
      </c>
      <c r="G7549" s="116"/>
    </row>
    <row r="7550" spans="1:7" x14ac:dyDescent="0.2">
      <c r="A7550" s="116">
        <f>IF(ISNUMBER(Tabela2[[#This Row],[CT-e/NFS]])=TRUE,(IF(B7550&gt;30000,4,IF(B7550&lt;1000,"ND",0))),"-")</f>
        <v>4</v>
      </c>
      <c r="B7550" s="116">
        <v>51105</v>
      </c>
      <c r="C7550" s="117">
        <v>45668</v>
      </c>
      <c r="D7550" s="116">
        <v>124.25</v>
      </c>
      <c r="E7550" s="117">
        <v>45687</v>
      </c>
      <c r="F7550" s="116">
        <f>COUNTIFS($A$3:A15806,A7550,$B$3:B15806,B7550)</f>
        <v>1</v>
      </c>
      <c r="G7550" s="116"/>
    </row>
    <row r="7551" spans="1:7" x14ac:dyDescent="0.2">
      <c r="A7551" s="116">
        <f>IF(ISNUMBER(Tabela2[[#This Row],[CT-e/NFS]])=TRUE,(IF(B7551&gt;30000,4,IF(B7551&lt;1000,"ND",0))),"-")</f>
        <v>4</v>
      </c>
      <c r="B7551" s="116">
        <v>51111</v>
      </c>
      <c r="C7551" s="117">
        <v>45668</v>
      </c>
      <c r="D7551" s="116">
        <v>286.95</v>
      </c>
      <c r="E7551" s="117">
        <v>45687</v>
      </c>
      <c r="F7551" s="116">
        <f>COUNTIFS($A$3:A15807,A7551,$B$3:B15807,B7551)</f>
        <v>1</v>
      </c>
      <c r="G7551" s="116"/>
    </row>
    <row r="7552" spans="1:7" x14ac:dyDescent="0.2">
      <c r="A7552" s="116">
        <f>IF(ISNUMBER(Tabela2[[#This Row],[CT-e/NFS]])=TRUE,(IF(B7552&gt;30000,4,IF(B7552&lt;1000,"ND",0))),"-")</f>
        <v>4</v>
      </c>
      <c r="B7552" s="116">
        <v>51100</v>
      </c>
      <c r="C7552" s="117">
        <v>45668</v>
      </c>
      <c r="D7552" s="116">
        <v>476.27</v>
      </c>
      <c r="E7552" s="117">
        <v>45687</v>
      </c>
      <c r="F7552" s="116">
        <f>COUNTIFS($A$3:A15808,A7552,$B$3:B15808,B7552)</f>
        <v>1</v>
      </c>
      <c r="G7552" s="116"/>
    </row>
    <row r="7553" spans="1:7" x14ac:dyDescent="0.2">
      <c r="A7553" s="116">
        <f>IF(ISNUMBER(Tabela2[[#This Row],[CT-e/NFS]])=TRUE,(IF(B7553&gt;30000,4,IF(B7553&lt;1000,"ND",0))),"-")</f>
        <v>4</v>
      </c>
      <c r="B7553" s="116">
        <v>51098</v>
      </c>
      <c r="C7553" s="117">
        <v>45668</v>
      </c>
      <c r="D7553" s="116">
        <v>125.67</v>
      </c>
      <c r="E7553" s="117">
        <v>45687</v>
      </c>
      <c r="F7553" s="116">
        <f>COUNTIFS($A$3:A15809,A7553,$B$3:B15809,B7553)</f>
        <v>1</v>
      </c>
      <c r="G7553" s="116"/>
    </row>
    <row r="7554" spans="1:7" x14ac:dyDescent="0.2">
      <c r="A7554" s="116">
        <f>IF(ISNUMBER(Tabela2[[#This Row],[CT-e/NFS]])=TRUE,(IF(B7554&gt;30000,4,IF(B7554&lt;1000,"ND",0))),"-")</f>
        <v>4</v>
      </c>
      <c r="B7554" s="116">
        <v>51099</v>
      </c>
      <c r="C7554" s="117">
        <v>45668</v>
      </c>
      <c r="D7554" s="116">
        <v>123.91</v>
      </c>
      <c r="E7554" s="117">
        <v>45687</v>
      </c>
      <c r="F7554" s="116">
        <f>COUNTIFS($A$3:A15810,A7554,$B$3:B15810,B7554)</f>
        <v>1</v>
      </c>
      <c r="G7554" s="116"/>
    </row>
    <row r="7555" spans="1:7" x14ac:dyDescent="0.2">
      <c r="A7555" s="116">
        <f>IF(ISNUMBER(Tabela2[[#This Row],[CT-e/NFS]])=TRUE,(IF(B7555&gt;30000,4,IF(B7555&lt;1000,"ND",0))),"-")</f>
        <v>4</v>
      </c>
      <c r="B7555" s="116">
        <v>51104</v>
      </c>
      <c r="C7555" s="117">
        <v>45668</v>
      </c>
      <c r="D7555" s="116">
        <v>125.64</v>
      </c>
      <c r="E7555" s="117">
        <v>45687</v>
      </c>
      <c r="F7555" s="116">
        <f>COUNTIFS($A$3:A15811,A7555,$B$3:B15811,B7555)</f>
        <v>1</v>
      </c>
      <c r="G7555" s="116"/>
    </row>
    <row r="7556" spans="1:7" x14ac:dyDescent="0.2">
      <c r="A7556" s="116">
        <f>IF(ISNUMBER(Tabela2[[#This Row],[CT-e/NFS]])=TRUE,(IF(B7556&gt;30000,4,IF(B7556&lt;1000,"ND",0))),"-")</f>
        <v>4</v>
      </c>
      <c r="B7556" s="116">
        <v>51103</v>
      </c>
      <c r="C7556" s="117">
        <v>45668</v>
      </c>
      <c r="D7556" s="116">
        <v>124.36</v>
      </c>
      <c r="E7556" s="117">
        <v>45687</v>
      </c>
      <c r="F7556" s="116">
        <f>COUNTIFS($A$3:A15812,A7556,$B$3:B15812,B7556)</f>
        <v>1</v>
      </c>
      <c r="G7556" s="116"/>
    </row>
    <row r="7557" spans="1:7" x14ac:dyDescent="0.2">
      <c r="A7557" s="116">
        <f>IF(ISNUMBER(Tabela2[[#This Row],[CT-e/NFS]])=TRUE,(IF(B7557&gt;30000,4,IF(B7557&lt;1000,"ND",0))),"-")</f>
        <v>4</v>
      </c>
      <c r="B7557" s="116">
        <v>51107</v>
      </c>
      <c r="C7557" s="117">
        <v>45668</v>
      </c>
      <c r="D7557" s="116">
        <v>124.18</v>
      </c>
      <c r="E7557" s="117">
        <v>45687</v>
      </c>
      <c r="F7557" s="116">
        <f>COUNTIFS($A$3:A15813,A7557,$B$3:B15813,B7557)</f>
        <v>1</v>
      </c>
      <c r="G7557" s="116"/>
    </row>
    <row r="7558" spans="1:7" x14ac:dyDescent="0.2">
      <c r="A7558" s="116">
        <f>IF(ISNUMBER(Tabela2[[#This Row],[CT-e/NFS]])=TRUE,(IF(B7558&gt;30000,4,IF(B7558&lt;1000,"ND",0))),"-")</f>
        <v>4</v>
      </c>
      <c r="B7558" s="116">
        <v>51106</v>
      </c>
      <c r="C7558" s="117">
        <v>45668</v>
      </c>
      <c r="D7558" s="116">
        <v>124.2</v>
      </c>
      <c r="E7558" s="117">
        <v>45687</v>
      </c>
      <c r="F7558" s="116">
        <f>COUNTIFS($A$3:A15814,A7558,$B$3:B15814,B7558)</f>
        <v>1</v>
      </c>
      <c r="G7558" s="116"/>
    </row>
    <row r="7559" spans="1:7" x14ac:dyDescent="0.2">
      <c r="A7559" s="116">
        <f>IF(ISNUMBER(Tabela2[[#This Row],[CT-e/NFS]])=TRUE,(IF(B7559&gt;30000,4,IF(B7559&lt;1000,"ND",0))),"-")</f>
        <v>0</v>
      </c>
      <c r="B7559" s="116">
        <v>22669</v>
      </c>
      <c r="C7559" s="117">
        <v>45668</v>
      </c>
      <c r="D7559" s="116">
        <v>63.38</v>
      </c>
      <c r="E7559" s="117">
        <v>45687</v>
      </c>
      <c r="F7559" s="116">
        <f>COUNTIFS($A$3:A15815,A7559,$B$3:B15815,B7559)</f>
        <v>1</v>
      </c>
      <c r="G7559" s="116"/>
    </row>
    <row r="7560" spans="1:7" x14ac:dyDescent="0.2">
      <c r="A7560" s="116">
        <f>IF(ISNUMBER(Tabela2[[#This Row],[CT-e/NFS]])=TRUE,(IF(B7560&gt;30000,4,IF(B7560&lt;1000,"ND",0))),"-")</f>
        <v>0</v>
      </c>
      <c r="B7560" s="116">
        <v>22670</v>
      </c>
      <c r="C7560" s="117">
        <v>45668</v>
      </c>
      <c r="D7560" s="116">
        <v>116.76</v>
      </c>
      <c r="E7560" s="117">
        <v>45687</v>
      </c>
      <c r="F7560" s="116">
        <f>COUNTIFS($A$3:A15816,A7560,$B$3:B15816,B7560)</f>
        <v>1</v>
      </c>
      <c r="G7560" s="116"/>
    </row>
    <row r="7561" spans="1:7" x14ac:dyDescent="0.2">
      <c r="A7561" s="116">
        <f>IF(ISNUMBER(Tabela2[[#This Row],[CT-e/NFS]])=TRUE,(IF(B7561&gt;30000,4,IF(B7561&lt;1000,"ND",0))),"-")</f>
        <v>0</v>
      </c>
      <c r="B7561" s="116">
        <v>22691</v>
      </c>
      <c r="C7561" s="117">
        <v>45668</v>
      </c>
      <c r="D7561" s="116">
        <v>208.17</v>
      </c>
      <c r="E7561" s="117">
        <v>45687</v>
      </c>
      <c r="F7561" s="116">
        <f>COUNTIFS($A$3:A15817,A7561,$B$3:B15817,B7561)</f>
        <v>1</v>
      </c>
      <c r="G7561" s="116"/>
    </row>
    <row r="7562" spans="1:7" x14ac:dyDescent="0.2">
      <c r="A7562" s="116">
        <f>IF(ISNUMBER(Tabela2[[#This Row],[CT-e/NFS]])=TRUE,(IF(B7562&gt;30000,4,IF(B7562&lt;1000,"ND",0))),"-")</f>
        <v>0</v>
      </c>
      <c r="B7562" s="116">
        <v>22692</v>
      </c>
      <c r="C7562" s="117">
        <v>45668</v>
      </c>
      <c r="D7562" s="116">
        <v>375.86</v>
      </c>
      <c r="E7562" s="117">
        <v>45687</v>
      </c>
      <c r="F7562" s="116">
        <f>COUNTIFS($A$3:A15818,A7562,$B$3:B15818,B7562)</f>
        <v>1</v>
      </c>
      <c r="G7562" s="116"/>
    </row>
    <row r="7563" spans="1:7" x14ac:dyDescent="0.2">
      <c r="A7563" s="116">
        <f>IF(ISNUMBER(Tabela2[[#This Row],[CT-e/NFS]])=TRUE,(IF(B7563&gt;30000,4,IF(B7563&lt;1000,"ND",0))),"-")</f>
        <v>0</v>
      </c>
      <c r="B7563" s="116">
        <v>22693</v>
      </c>
      <c r="C7563" s="117">
        <v>45668</v>
      </c>
      <c r="D7563" s="116">
        <v>76.83</v>
      </c>
      <c r="E7563" s="117">
        <v>45687</v>
      </c>
      <c r="F7563" s="116">
        <f>COUNTIFS($A$3:A15819,A7563,$B$3:B15819,B7563)</f>
        <v>1</v>
      </c>
      <c r="G7563" s="116"/>
    </row>
    <row r="7564" spans="1:7" x14ac:dyDescent="0.2">
      <c r="A7564" s="116">
        <f>IF(ISNUMBER(Tabela2[[#This Row],[CT-e/NFS]])=TRUE,(IF(B7564&gt;30000,4,IF(B7564&lt;1000,"ND",0))),"-")</f>
        <v>0</v>
      </c>
      <c r="B7564" s="116">
        <v>22694</v>
      </c>
      <c r="C7564" s="117">
        <v>45668</v>
      </c>
      <c r="D7564" s="116">
        <v>138.72999999999999</v>
      </c>
      <c r="E7564" s="117">
        <v>45687</v>
      </c>
      <c r="F7564" s="116">
        <f>COUNTIFS($A$3:A15820,A7564,$B$3:B15820,B7564)</f>
        <v>1</v>
      </c>
      <c r="G7564" s="116"/>
    </row>
    <row r="7565" spans="1:7" x14ac:dyDescent="0.2">
      <c r="A7565" s="116">
        <f>IF(ISNUMBER(Tabela2[[#This Row],[CT-e/NFS]])=TRUE,(IF(B7565&gt;30000,4,IF(B7565&lt;1000,"ND",0))),"-")</f>
        <v>0</v>
      </c>
      <c r="B7565" s="116">
        <v>22706</v>
      </c>
      <c r="C7565" s="117">
        <v>45668</v>
      </c>
      <c r="D7565" s="116">
        <v>348.37</v>
      </c>
      <c r="E7565" s="117">
        <v>45687</v>
      </c>
      <c r="F7565" s="116">
        <f>COUNTIFS($A$3:A15821,A7565,$B$3:B15821,B7565)</f>
        <v>1</v>
      </c>
      <c r="G7565" s="116"/>
    </row>
    <row r="7566" spans="1:7" x14ac:dyDescent="0.2">
      <c r="A7566" s="116">
        <f>IF(ISNUMBER(Tabela2[[#This Row],[CT-e/NFS]])=TRUE,(IF(B7566&gt;30000,4,IF(B7566&lt;1000,"ND",0))),"-")</f>
        <v>0</v>
      </c>
      <c r="B7566" s="116">
        <v>22637</v>
      </c>
      <c r="C7566" s="117">
        <v>45668</v>
      </c>
      <c r="D7566" s="116">
        <v>515.41</v>
      </c>
      <c r="E7566" s="117">
        <v>45687</v>
      </c>
      <c r="F7566" s="116">
        <f>COUNTIFS($A$3:A15822,A7566,$B$3:B15822,B7566)</f>
        <v>1</v>
      </c>
      <c r="G7566" s="116"/>
    </row>
    <row r="7567" spans="1:7" x14ac:dyDescent="0.2">
      <c r="A7567" s="116">
        <f>IF(ISNUMBER(Tabela2[[#This Row],[CT-e/NFS]])=TRUE,(IF(B7567&gt;30000,4,IF(B7567&lt;1000,"ND",0))),"-")</f>
        <v>0</v>
      </c>
      <c r="B7567" s="116">
        <v>22716</v>
      </c>
      <c r="C7567" s="117">
        <v>45668</v>
      </c>
      <c r="D7567" s="116">
        <v>844.3</v>
      </c>
      <c r="E7567" s="117">
        <v>45687</v>
      </c>
      <c r="F7567" s="116">
        <f>COUNTIFS($A$3:A15823,A7567,$B$3:B15823,B7567)</f>
        <v>1</v>
      </c>
      <c r="G7567" s="116"/>
    </row>
    <row r="7568" spans="1:7" x14ac:dyDescent="0.2">
      <c r="A7568" s="116" t="str">
        <f>IF(ISNUMBER(Tabela2[[#This Row],[CT-e/NFS]])=TRUE,(IF(B7568&gt;30000,4,IF(B7568&lt;1000,"ND",0))),"-")</f>
        <v>ND</v>
      </c>
      <c r="B7568" s="116">
        <v>245</v>
      </c>
      <c r="C7568" s="117">
        <v>45672</v>
      </c>
      <c r="D7568" s="116">
        <v>777.24</v>
      </c>
      <c r="E7568" s="117">
        <v>45687</v>
      </c>
      <c r="F7568" s="116">
        <f>COUNTIFS($A$3:A15824,A7568,$B$3:B15824,B7568)</f>
        <v>1</v>
      </c>
      <c r="G7568" s="116"/>
    </row>
    <row r="7569" spans="1:7" x14ac:dyDescent="0.2">
      <c r="A7569" s="116">
        <f>IF(ISNUMBER(Tabela2[[#This Row],[CT-e/NFS]])=TRUE,(IF(B7569&gt;30000,4,IF(B7569&lt;1000,"ND",0))),"-")</f>
        <v>0</v>
      </c>
      <c r="B7569" s="116">
        <v>22746</v>
      </c>
      <c r="C7569" s="117">
        <v>45672</v>
      </c>
      <c r="D7569" s="116">
        <v>75.62</v>
      </c>
      <c r="E7569" s="117">
        <v>45687</v>
      </c>
      <c r="F7569" s="116">
        <f>COUNTIFS($A$3:A15826,A7569,$B$3:B15826,B7569)</f>
        <v>1</v>
      </c>
      <c r="G7569" s="116"/>
    </row>
    <row r="7570" spans="1:7" x14ac:dyDescent="0.2">
      <c r="A7570" s="116">
        <f>IF(ISNUMBER(Tabela2[[#This Row],[CT-e/NFS]])=TRUE,(IF(B7570&gt;30000,4,IF(B7570&lt;1000,"ND",0))),"-")</f>
        <v>0</v>
      </c>
      <c r="B7570" s="116">
        <v>22725</v>
      </c>
      <c r="C7570" s="117">
        <v>45678</v>
      </c>
      <c r="D7570" s="116">
        <v>338.06</v>
      </c>
      <c r="E7570" s="117">
        <v>45687</v>
      </c>
      <c r="F7570" s="116">
        <f>COUNTIFS($A$3:A15827,A7570,$B$3:B15827,B7570)</f>
        <v>1</v>
      </c>
      <c r="G7570" s="116"/>
    </row>
    <row r="7571" spans="1:7" x14ac:dyDescent="0.2">
      <c r="A7571" s="116">
        <f>IF(ISNUMBER(Tabela2[[#This Row],[CT-e/NFS]])=TRUE,(IF(B7571&gt;30000,4,IF(B7571&lt;1000,"ND",0))),"-")</f>
        <v>0</v>
      </c>
      <c r="B7571" s="116">
        <v>22726</v>
      </c>
      <c r="C7571" s="117">
        <v>45678</v>
      </c>
      <c r="D7571" s="116">
        <v>76</v>
      </c>
      <c r="E7571" s="117">
        <v>45687</v>
      </c>
      <c r="F7571" s="116">
        <f>COUNTIFS($A$3:A15828,A7571,$B$3:B15828,B7571)</f>
        <v>1</v>
      </c>
      <c r="G7571" s="116"/>
    </row>
    <row r="7572" spans="1:7" x14ac:dyDescent="0.2">
      <c r="A7572" s="116">
        <f>IF(ISNUMBER(Tabela2[[#This Row],[CT-e/NFS]])=TRUE,(IF(B7572&gt;30000,4,IF(B7572&lt;1000,"ND",0))),"-")</f>
        <v>0</v>
      </c>
      <c r="B7572" s="116">
        <v>22728</v>
      </c>
      <c r="C7572" s="117">
        <v>45678</v>
      </c>
      <c r="D7572" s="116">
        <v>122.49</v>
      </c>
      <c r="E7572" s="117">
        <v>45687</v>
      </c>
      <c r="F7572" s="116">
        <f>COUNTIFS($A$3:A15829,A7572,$B$3:B15829,B7572)</f>
        <v>1</v>
      </c>
      <c r="G7572" s="116"/>
    </row>
    <row r="7573" spans="1:7" x14ac:dyDescent="0.2">
      <c r="A7573" s="116">
        <f>IF(ISNUMBER(Tabela2[[#This Row],[CT-e/NFS]])=TRUE,(IF(B7573&gt;30000,4,IF(B7573&lt;1000,"ND",0))),"-")</f>
        <v>0</v>
      </c>
      <c r="B7573" s="116">
        <v>22727</v>
      </c>
      <c r="C7573" s="117">
        <v>45678</v>
      </c>
      <c r="D7573" s="116">
        <v>76</v>
      </c>
      <c r="E7573" s="117">
        <v>45687</v>
      </c>
      <c r="F7573" s="116">
        <f>COUNTIFS($A$3:A15830,A7573,$B$3:B15830,B7573)</f>
        <v>1</v>
      </c>
      <c r="G7573" s="116"/>
    </row>
    <row r="7574" spans="1:7" x14ac:dyDescent="0.2">
      <c r="A7574" s="116">
        <f>IF(ISNUMBER(Tabela2[[#This Row],[CT-e/NFS]])=TRUE,(IF(B7574&gt;30000,4,IF(B7574&lt;1000,"ND",0))),"-")</f>
        <v>0</v>
      </c>
      <c r="B7574" s="116">
        <v>22729</v>
      </c>
      <c r="C7574" s="117">
        <v>45678</v>
      </c>
      <c r="D7574" s="116">
        <v>76.73</v>
      </c>
      <c r="E7574" s="117">
        <v>45687</v>
      </c>
      <c r="F7574" s="116">
        <f>COUNTIFS($A$3:A15831,A7574,$B$3:B15831,B7574)</f>
        <v>1</v>
      </c>
      <c r="G7574" s="116"/>
    </row>
    <row r="7575" spans="1:7" x14ac:dyDescent="0.2">
      <c r="A7575" s="116">
        <f>IF(ISNUMBER(Tabela2[[#This Row],[CT-e/NFS]])=TRUE,(IF(B7575&gt;30000,4,IF(B7575&lt;1000,"ND",0))),"-")</f>
        <v>0</v>
      </c>
      <c r="B7575" s="116">
        <v>22730</v>
      </c>
      <c r="C7575" s="117">
        <v>45678</v>
      </c>
      <c r="D7575" s="116">
        <v>128.46</v>
      </c>
      <c r="E7575" s="117">
        <v>45687</v>
      </c>
      <c r="F7575" s="116">
        <f>COUNTIFS($A$3:A15832,A7575,$B$3:B15832,B7575)</f>
        <v>1</v>
      </c>
      <c r="G7575" s="116"/>
    </row>
    <row r="7576" spans="1:7" x14ac:dyDescent="0.2">
      <c r="A7576" s="116">
        <f>IF(ISNUMBER(Tabela2[[#This Row],[CT-e/NFS]])=TRUE,(IF(B7576&gt;30000,4,IF(B7576&lt;1000,"ND",0))),"-")</f>
        <v>0</v>
      </c>
      <c r="B7576" s="116">
        <v>22731</v>
      </c>
      <c r="C7576" s="117">
        <v>45678</v>
      </c>
      <c r="D7576" s="116">
        <v>277.56</v>
      </c>
      <c r="E7576" s="117">
        <v>45687</v>
      </c>
      <c r="F7576" s="116">
        <f>COUNTIFS($A$3:A15833,A7576,$B$3:B15833,B7576)</f>
        <v>1</v>
      </c>
      <c r="G7576" s="116"/>
    </row>
    <row r="7577" spans="1:7" x14ac:dyDescent="0.2">
      <c r="A7577" s="116">
        <f>IF(ISNUMBER(Tabela2[[#This Row],[CT-e/NFS]])=TRUE,(IF(B7577&gt;30000,4,IF(B7577&lt;1000,"ND",0))),"-")</f>
        <v>4</v>
      </c>
      <c r="B7577" s="116">
        <v>51134</v>
      </c>
      <c r="C7577" s="117">
        <v>45678</v>
      </c>
      <c r="D7577" s="116">
        <v>185.68</v>
      </c>
      <c r="E7577" s="117">
        <v>45687</v>
      </c>
      <c r="F7577" s="116">
        <f>COUNTIFS($A$3:A15834,A7577,$B$3:B15834,B7577)</f>
        <v>1</v>
      </c>
      <c r="G7577" s="116"/>
    </row>
    <row r="7578" spans="1:7" x14ac:dyDescent="0.2">
      <c r="A7578" s="116">
        <f>IF(ISNUMBER(Tabela2[[#This Row],[CT-e/NFS]])=TRUE,(IF(B7578&gt;30000,4,IF(B7578&lt;1000,"ND",0))),"-")</f>
        <v>4</v>
      </c>
      <c r="B7578" s="116">
        <v>51135</v>
      </c>
      <c r="C7578" s="117">
        <v>45678</v>
      </c>
      <c r="D7578" s="116">
        <v>382.4</v>
      </c>
      <c r="E7578" s="117">
        <v>45687</v>
      </c>
      <c r="F7578" s="116">
        <f>COUNTIFS($A$3:A15835,A7578,$B$3:B15835,B7578)</f>
        <v>1</v>
      </c>
      <c r="G7578" s="116"/>
    </row>
    <row r="7579" spans="1:7" x14ac:dyDescent="0.2">
      <c r="A7579" s="116">
        <f>IF(ISNUMBER(Tabela2[[#This Row],[CT-e/NFS]])=TRUE,(IF(B7579&gt;30000,4,IF(B7579&lt;1000,"ND",0))),"-")</f>
        <v>4</v>
      </c>
      <c r="B7579" s="116">
        <v>51133</v>
      </c>
      <c r="C7579" s="117">
        <v>45678</v>
      </c>
      <c r="D7579" s="116">
        <v>185.48</v>
      </c>
      <c r="E7579" s="117">
        <v>45687</v>
      </c>
      <c r="F7579" s="116">
        <f>COUNTIFS($A$3:A15836,A7579,$B$3:B15836,B7579)</f>
        <v>1</v>
      </c>
      <c r="G7579" s="116"/>
    </row>
    <row r="7580" spans="1:7" x14ac:dyDescent="0.2">
      <c r="A7580" s="116">
        <f>IF(ISNUMBER(Tabela2[[#This Row],[CT-e/NFS]])=TRUE,(IF(B7580&gt;30000,4,IF(B7580&lt;1000,"ND",0))),"-")</f>
        <v>4</v>
      </c>
      <c r="B7580" s="116">
        <v>51136</v>
      </c>
      <c r="C7580" s="117">
        <v>45678</v>
      </c>
      <c r="D7580" s="116">
        <v>62.82</v>
      </c>
      <c r="E7580" s="117">
        <v>45687</v>
      </c>
      <c r="F7580" s="116">
        <f>COUNTIFS($A$3:A15837,A7580,$B$3:B15837,B7580)</f>
        <v>1</v>
      </c>
      <c r="G7580" s="116"/>
    </row>
    <row r="7581" spans="1:7" x14ac:dyDescent="0.2">
      <c r="A7581" s="116">
        <f>IF(ISNUMBER(Tabela2[[#This Row],[CT-e/NFS]])=TRUE,(IF(B7581&gt;30000,4,IF(B7581&lt;1000,"ND",0))),"-")</f>
        <v>4</v>
      </c>
      <c r="B7581" s="116">
        <v>51137</v>
      </c>
      <c r="C7581" s="117">
        <v>45678</v>
      </c>
      <c r="D7581" s="116">
        <v>113.36</v>
      </c>
      <c r="E7581" s="117">
        <v>45687</v>
      </c>
      <c r="F7581" s="116">
        <f>COUNTIFS($A$3:A15838,A7581,$B$3:B15838,B7581)</f>
        <v>1</v>
      </c>
      <c r="G7581" s="116"/>
    </row>
    <row r="7582" spans="1:7" x14ac:dyDescent="0.2">
      <c r="A7582" s="116">
        <f>IF(ISNUMBER(Tabela2[[#This Row],[CT-e/NFS]])=TRUE,(IF(B7582&gt;30000,4,IF(B7582&lt;1000,"ND",0))),"-")</f>
        <v>4</v>
      </c>
      <c r="B7582" s="116">
        <v>51132</v>
      </c>
      <c r="C7582" s="117">
        <v>45678</v>
      </c>
      <c r="D7582" s="116">
        <v>125.56</v>
      </c>
      <c r="E7582" s="117">
        <v>45687</v>
      </c>
      <c r="F7582" s="116">
        <f>COUNTIFS($A$3:A15839,A7582,$B$3:B15839,B7582)</f>
        <v>1</v>
      </c>
      <c r="G7582" s="116"/>
    </row>
    <row r="7583" spans="1:7" x14ac:dyDescent="0.2">
      <c r="A7583" s="116">
        <f>IF(ISNUMBER(Tabela2[[#This Row],[CT-e/NFS]])=TRUE,(IF(B7583&gt;30000,4,IF(B7583&lt;1000,"ND",0))),"-")</f>
        <v>4</v>
      </c>
      <c r="B7583" s="116">
        <v>51130</v>
      </c>
      <c r="C7583" s="117">
        <v>45678</v>
      </c>
      <c r="D7583" s="116">
        <v>122.89</v>
      </c>
      <c r="E7583" s="117">
        <v>45687</v>
      </c>
      <c r="F7583" s="116">
        <f>COUNTIFS($A$3:A15840,A7583,$B$3:B15840,B7583)</f>
        <v>1</v>
      </c>
      <c r="G7583" s="116"/>
    </row>
    <row r="7584" spans="1:7" x14ac:dyDescent="0.2">
      <c r="A7584" s="116">
        <f>IF(ISNUMBER(Tabela2[[#This Row],[CT-e/NFS]])=TRUE,(IF(B7584&gt;30000,4,IF(B7584&lt;1000,"ND",0))),"-")</f>
        <v>4</v>
      </c>
      <c r="B7584" s="116">
        <v>51128</v>
      </c>
      <c r="C7584" s="117">
        <v>45678</v>
      </c>
      <c r="D7584" s="116">
        <v>124.03</v>
      </c>
      <c r="E7584" s="117">
        <v>45687</v>
      </c>
      <c r="F7584" s="116">
        <f>COUNTIFS($A$3:A15841,A7584,$B$3:B15841,B7584)</f>
        <v>1</v>
      </c>
      <c r="G7584" s="116"/>
    </row>
    <row r="7585" spans="1:7" x14ac:dyDescent="0.2">
      <c r="A7585" s="116">
        <f>IF(ISNUMBER(Tabela2[[#This Row],[CT-e/NFS]])=TRUE,(IF(B7585&gt;30000,4,IF(B7585&lt;1000,"ND",0))),"-")</f>
        <v>4</v>
      </c>
      <c r="B7585" s="116">
        <v>51126</v>
      </c>
      <c r="C7585" s="117">
        <v>45678</v>
      </c>
      <c r="D7585" s="116">
        <v>238.84</v>
      </c>
      <c r="E7585" s="117">
        <v>45687</v>
      </c>
      <c r="F7585" s="116">
        <f>COUNTIFS($A$3:A15842,A7585,$B$3:B15842,B7585)</f>
        <v>1</v>
      </c>
      <c r="G7585" s="116"/>
    </row>
    <row r="7586" spans="1:7" x14ac:dyDescent="0.2">
      <c r="A7586" s="116">
        <f>IF(ISNUMBER(Tabela2[[#This Row],[CT-e/NFS]])=TRUE,(IF(B7586&gt;30000,4,IF(B7586&lt;1000,"ND",0))),"-")</f>
        <v>4</v>
      </c>
      <c r="B7586" s="116">
        <v>51124</v>
      </c>
      <c r="C7586" s="117">
        <v>45678</v>
      </c>
      <c r="D7586" s="116">
        <v>124.31</v>
      </c>
      <c r="E7586" s="117">
        <v>45687</v>
      </c>
      <c r="F7586" s="116">
        <f>COUNTIFS($A$3:A15843,A7586,$B$3:B15843,B7586)</f>
        <v>1</v>
      </c>
      <c r="G7586" s="116"/>
    </row>
    <row r="7587" spans="1:7" x14ac:dyDescent="0.2">
      <c r="A7587" s="116">
        <f>IF(ISNUMBER(Tabela2[[#This Row],[CT-e/NFS]])=TRUE,(IF(B7587&gt;30000,4,IF(B7587&lt;1000,"ND",0))),"-")</f>
        <v>4</v>
      </c>
      <c r="B7587" s="116">
        <v>51119</v>
      </c>
      <c r="C7587" s="117">
        <v>45678</v>
      </c>
      <c r="D7587" s="116">
        <v>454.19</v>
      </c>
      <c r="E7587" s="117">
        <v>45687</v>
      </c>
      <c r="F7587" s="116">
        <f>COUNTIFS($A$3:A15844,A7587,$B$3:B15844,B7587)</f>
        <v>1</v>
      </c>
      <c r="G7587" s="116"/>
    </row>
    <row r="7588" spans="1:7" x14ac:dyDescent="0.2">
      <c r="A7588" s="116">
        <f>IF(ISNUMBER(Tabela2[[#This Row],[CT-e/NFS]])=TRUE,(IF(B7588&gt;30000,4,IF(B7588&lt;1000,"ND",0))),"-")</f>
        <v>4</v>
      </c>
      <c r="B7588" s="116">
        <v>51123</v>
      </c>
      <c r="C7588" s="117">
        <v>45678</v>
      </c>
      <c r="D7588" s="116">
        <v>672.48</v>
      </c>
      <c r="E7588" s="117">
        <v>45687</v>
      </c>
      <c r="F7588" s="116">
        <f>COUNTIFS($A$3:A15845,A7588,$B$3:B15845,B7588)</f>
        <v>1</v>
      </c>
      <c r="G7588" s="116"/>
    </row>
    <row r="7589" spans="1:7" x14ac:dyDescent="0.2">
      <c r="A7589" s="116">
        <f>IF(ISNUMBER(Tabela2[[#This Row],[CT-e/NFS]])=TRUE,(IF(B7589&gt;30000,4,IF(B7589&lt;1000,"ND",0))),"-")</f>
        <v>4</v>
      </c>
      <c r="B7589" s="116">
        <v>51129</v>
      </c>
      <c r="C7589" s="117">
        <v>45678</v>
      </c>
      <c r="D7589" s="116">
        <v>122.91</v>
      </c>
      <c r="E7589" s="117">
        <v>45687</v>
      </c>
      <c r="F7589" s="116">
        <f>COUNTIFS($A$3:A15846,A7589,$B$3:B15846,B7589)</f>
        <v>1</v>
      </c>
      <c r="G7589" s="116"/>
    </row>
    <row r="7590" spans="1:7" x14ac:dyDescent="0.2">
      <c r="A7590" s="116">
        <f>IF(ISNUMBER(Tabela2[[#This Row],[CT-e/NFS]])=TRUE,(IF(B7590&gt;30000,4,IF(B7590&lt;1000,"ND",0))),"-")</f>
        <v>4</v>
      </c>
      <c r="B7590" s="116">
        <v>51127</v>
      </c>
      <c r="C7590" s="117">
        <v>45678</v>
      </c>
      <c r="D7590" s="116">
        <v>122.89</v>
      </c>
      <c r="E7590" s="117">
        <v>45687</v>
      </c>
      <c r="F7590" s="116">
        <f>COUNTIFS($A$3:A15847,A7590,$B$3:B15847,B7590)</f>
        <v>1</v>
      </c>
      <c r="G7590" s="116"/>
    </row>
    <row r="7591" spans="1:7" x14ac:dyDescent="0.2">
      <c r="A7591" s="116">
        <f>IF(ISNUMBER(Tabela2[[#This Row],[CT-e/NFS]])=TRUE,(IF(B7591&gt;30000,4,IF(B7591&lt;1000,"ND",0))),"-")</f>
        <v>4</v>
      </c>
      <c r="B7591" s="116">
        <v>51118</v>
      </c>
      <c r="C7591" s="117">
        <v>45678</v>
      </c>
      <c r="D7591" s="116">
        <v>396.45</v>
      </c>
      <c r="E7591" s="117">
        <v>45687</v>
      </c>
      <c r="F7591" s="116">
        <f>COUNTIFS($A$3:A15848,A7591,$B$3:B15848,B7591)</f>
        <v>1</v>
      </c>
      <c r="G7591" s="116"/>
    </row>
    <row r="7592" spans="1:7" x14ac:dyDescent="0.2">
      <c r="A7592" s="116">
        <f>IF(ISNUMBER(Tabela2[[#This Row],[CT-e/NFS]])=TRUE,(IF(B7592&gt;30000,4,IF(B7592&lt;1000,"ND",0))),"-")</f>
        <v>4</v>
      </c>
      <c r="B7592" s="116">
        <v>51121</v>
      </c>
      <c r="C7592" s="117">
        <v>45678</v>
      </c>
      <c r="D7592" s="116">
        <v>123.86</v>
      </c>
      <c r="E7592" s="117">
        <v>45687</v>
      </c>
      <c r="F7592" s="116">
        <f>COUNTIFS($A$3:A15849,A7592,$B$3:B15849,B7592)</f>
        <v>1</v>
      </c>
      <c r="G7592" s="116"/>
    </row>
    <row r="7593" spans="1:7" x14ac:dyDescent="0.2">
      <c r="A7593" s="116">
        <f>IF(ISNUMBER(Tabela2[[#This Row],[CT-e/NFS]])=TRUE,(IF(B7593&gt;30000,4,IF(B7593&lt;1000,"ND",0))),"-")</f>
        <v>4</v>
      </c>
      <c r="B7593" s="116">
        <v>51122</v>
      </c>
      <c r="C7593" s="117">
        <v>45678</v>
      </c>
      <c r="D7593" s="116">
        <v>124.49</v>
      </c>
      <c r="E7593" s="117">
        <v>45687</v>
      </c>
      <c r="F7593" s="116">
        <f>COUNTIFS($A$3:A15850,A7593,$B$3:B15850,B7593)</f>
        <v>1</v>
      </c>
      <c r="G7593" s="116"/>
    </row>
    <row r="7594" spans="1:7" x14ac:dyDescent="0.2">
      <c r="A7594" s="116">
        <f>IF(ISNUMBER(Tabela2[[#This Row],[CT-e/NFS]])=TRUE,(IF(B7594&gt;30000,4,IF(B7594&lt;1000,"ND",0))),"-")</f>
        <v>4</v>
      </c>
      <c r="B7594" s="116">
        <v>51138</v>
      </c>
      <c r="C7594" s="117">
        <v>45678</v>
      </c>
      <c r="D7594" s="116">
        <v>124.56</v>
      </c>
      <c r="E7594" s="117">
        <v>45687</v>
      </c>
      <c r="F7594" s="116">
        <f>COUNTIFS($A$3:A15851,A7594,$B$3:B15851,B7594)</f>
        <v>1</v>
      </c>
      <c r="G7594" s="116"/>
    </row>
    <row r="7595" spans="1:7" x14ac:dyDescent="0.2">
      <c r="A7595" s="116">
        <f>IF(ISNUMBER(Tabela2[[#This Row],[CT-e/NFS]])=TRUE,(IF(B7595&gt;30000,4,IF(B7595&lt;1000,"ND",0))),"-")</f>
        <v>4</v>
      </c>
      <c r="B7595" s="116">
        <v>51120</v>
      </c>
      <c r="C7595" s="117">
        <v>45678</v>
      </c>
      <c r="D7595" s="116">
        <v>369.5</v>
      </c>
      <c r="E7595" s="117">
        <v>45687</v>
      </c>
      <c r="F7595" s="116">
        <f>COUNTIFS($A$3:A15852,A7595,$B$3:B15852,B7595)</f>
        <v>1</v>
      </c>
      <c r="G7595" s="116"/>
    </row>
    <row r="7596" spans="1:7" x14ac:dyDescent="0.2">
      <c r="A7596" s="116">
        <f>IF(ISNUMBER(Tabela2[[#This Row],[CT-e/NFS]])=TRUE,(IF(B7596&gt;30000,4,IF(B7596&lt;1000,"ND",0))),"-")</f>
        <v>4</v>
      </c>
      <c r="B7596" s="116">
        <v>51139</v>
      </c>
      <c r="C7596" s="117">
        <v>45678</v>
      </c>
      <c r="D7596" s="116">
        <v>123.16</v>
      </c>
      <c r="E7596" s="117">
        <v>45687</v>
      </c>
      <c r="F7596" s="116">
        <f>COUNTIFS($A$3:A15853,A7596,$B$3:B15853,B7596)</f>
        <v>1</v>
      </c>
      <c r="G7596" s="116"/>
    </row>
    <row r="7597" spans="1:7" x14ac:dyDescent="0.2">
      <c r="A7597" s="116">
        <f>IF(ISNUMBER(Tabela2[[#This Row],[CT-e/NFS]])=TRUE,(IF(B7597&gt;30000,4,IF(B7597&lt;1000,"ND",0))),"-")</f>
        <v>4</v>
      </c>
      <c r="B7597" s="116">
        <v>51125</v>
      </c>
      <c r="C7597" s="117">
        <v>45678</v>
      </c>
      <c r="D7597" s="116">
        <v>300.27</v>
      </c>
      <c r="E7597" s="117">
        <v>45687</v>
      </c>
      <c r="F7597" s="116">
        <f>COUNTIFS($A$3:A15854,A7597,$B$3:B15854,B7597)</f>
        <v>1</v>
      </c>
      <c r="G7597" s="116"/>
    </row>
    <row r="7598" spans="1:7" x14ac:dyDescent="0.2">
      <c r="A7598" s="116">
        <f>IF(ISNUMBER(Tabela2[[#This Row],[CT-e/NFS]])=TRUE,(IF(B7598&gt;30000,4,IF(B7598&lt;1000,"ND",0))),"-")</f>
        <v>4</v>
      </c>
      <c r="B7598" s="116">
        <v>51141</v>
      </c>
      <c r="C7598" s="117">
        <v>45678</v>
      </c>
      <c r="D7598" s="116">
        <v>61.75</v>
      </c>
      <c r="E7598" s="117">
        <v>45687</v>
      </c>
      <c r="F7598" s="116">
        <f>COUNTIFS($A$3:A15855,A7598,$B$3:B15855,B7598)</f>
        <v>1</v>
      </c>
      <c r="G7598" s="116"/>
    </row>
    <row r="7599" spans="1:7" x14ac:dyDescent="0.2">
      <c r="A7599" s="116">
        <f>IF(ISNUMBER(Tabela2[[#This Row],[CT-e/NFS]])=TRUE,(IF(B7599&gt;30000,4,IF(B7599&lt;1000,"ND",0))),"-")</f>
        <v>4</v>
      </c>
      <c r="B7599" s="116">
        <v>51142</v>
      </c>
      <c r="C7599" s="117">
        <v>45678</v>
      </c>
      <c r="D7599" s="116">
        <v>111.24</v>
      </c>
      <c r="E7599" s="117">
        <v>45687</v>
      </c>
      <c r="F7599" s="116">
        <f>COUNTIFS($A$3:A15856,A7599,$B$3:B15856,B7599)</f>
        <v>1</v>
      </c>
      <c r="G7599" s="116"/>
    </row>
    <row r="7600" spans="1:7" x14ac:dyDescent="0.2">
      <c r="A7600" s="116">
        <f>IF(ISNUMBER(Tabela2[[#This Row],[CT-e/NFS]])=TRUE,(IF(B7600&gt;30000,4,IF(B7600&lt;1000,"ND",0))),"-")</f>
        <v>4</v>
      </c>
      <c r="B7600" s="116">
        <v>51112</v>
      </c>
      <c r="C7600" s="117">
        <v>45678</v>
      </c>
      <c r="D7600" s="116">
        <v>548.75</v>
      </c>
      <c r="E7600" s="117">
        <v>45687</v>
      </c>
      <c r="F7600" s="116">
        <f>COUNTIFS($A$3:A15857,A7600,$B$3:B15857,B7600)</f>
        <v>1</v>
      </c>
      <c r="G7600" s="116"/>
    </row>
    <row r="7601" spans="1:7" x14ac:dyDescent="0.2">
      <c r="A7601" s="116">
        <f>IF(ISNUMBER(Tabela2[[#This Row],[CT-e/NFS]])=TRUE,(IF(B7601&gt;30000,4,IF(B7601&lt;1000,"ND",0))),"-")</f>
        <v>4</v>
      </c>
      <c r="B7601" s="116">
        <v>51113</v>
      </c>
      <c r="C7601" s="117">
        <v>45678</v>
      </c>
      <c r="D7601" s="116">
        <v>271.11</v>
      </c>
      <c r="E7601" s="117">
        <v>45687</v>
      </c>
      <c r="F7601" s="116">
        <f>COUNTIFS($A$3:A15858,A7601,$B$3:B15858,B7601)</f>
        <v>1</v>
      </c>
      <c r="G7601" s="116"/>
    </row>
    <row r="7602" spans="1:7" x14ac:dyDescent="0.2">
      <c r="A7602" s="116">
        <f>IF(ISNUMBER(Tabela2[[#This Row],[CT-e/NFS]])=TRUE,(IF(B7602&gt;30000,4,IF(B7602&lt;1000,"ND",0))),"-")</f>
        <v>4</v>
      </c>
      <c r="B7602" s="116">
        <v>51114</v>
      </c>
      <c r="C7602" s="117">
        <v>45678</v>
      </c>
      <c r="D7602" s="116">
        <v>316.18</v>
      </c>
      <c r="E7602" s="117">
        <v>45687</v>
      </c>
      <c r="F7602" s="116">
        <f>COUNTIFS($A$3:A15859,A7602,$B$3:B15859,B7602)</f>
        <v>1</v>
      </c>
      <c r="G7602" s="116"/>
    </row>
    <row r="7603" spans="1:7" x14ac:dyDescent="0.2">
      <c r="A7603" s="116">
        <f>IF(ISNUMBER(Tabela2[[#This Row],[CT-e/NFS]])=TRUE,(IF(B7603&gt;30000,4,IF(B7603&lt;1000,"ND",0))),"-")</f>
        <v>4</v>
      </c>
      <c r="B7603" s="116">
        <v>51115</v>
      </c>
      <c r="C7603" s="117">
        <v>45678</v>
      </c>
      <c r="D7603" s="116">
        <v>322.72000000000003</v>
      </c>
      <c r="E7603" s="117">
        <v>45687</v>
      </c>
      <c r="F7603" s="116">
        <f>COUNTIFS($A$3:A15860,A7603,$B$3:B15860,B7603)</f>
        <v>1</v>
      </c>
      <c r="G7603" s="116"/>
    </row>
    <row r="7604" spans="1:7" x14ac:dyDescent="0.2">
      <c r="A7604" s="116">
        <f>IF(ISNUMBER(Tabela2[[#This Row],[CT-e/NFS]])=TRUE,(IF(B7604&gt;30000,4,IF(B7604&lt;1000,"ND",0))),"-")</f>
        <v>4</v>
      </c>
      <c r="B7604" s="116">
        <v>51116</v>
      </c>
      <c r="C7604" s="117">
        <v>45678</v>
      </c>
      <c r="D7604" s="116">
        <v>299.52</v>
      </c>
      <c r="E7604" s="117">
        <v>45687</v>
      </c>
      <c r="F7604" s="116">
        <f>COUNTIFS($A$3:A15861,A7604,$B$3:B15861,B7604)</f>
        <v>1</v>
      </c>
      <c r="G7604" s="116"/>
    </row>
    <row r="7605" spans="1:7" x14ac:dyDescent="0.2">
      <c r="A7605" s="116">
        <f>IF(ISNUMBER(Tabela2[[#This Row],[CT-e/NFS]])=TRUE,(IF(B7605&gt;30000,4,IF(B7605&lt;1000,"ND",0))),"-")</f>
        <v>0</v>
      </c>
      <c r="B7605" s="116">
        <v>22732</v>
      </c>
      <c r="C7605" s="117">
        <v>45678</v>
      </c>
      <c r="D7605" s="116">
        <v>77.25</v>
      </c>
      <c r="E7605" s="117">
        <v>45687</v>
      </c>
      <c r="F7605" s="116">
        <f>COUNTIFS($A$3:A15862,A7605,$B$3:B15862,B7605)</f>
        <v>1</v>
      </c>
      <c r="G7605" s="116"/>
    </row>
    <row r="7606" spans="1:7" x14ac:dyDescent="0.2">
      <c r="A7606" s="116">
        <f>IF(ISNUMBER(Tabela2[[#This Row],[CT-e/NFS]])=TRUE,(IF(B7606&gt;30000,4,IF(B7606&lt;1000,"ND",0))),"-")</f>
        <v>0</v>
      </c>
      <c r="B7606" s="116">
        <v>22733</v>
      </c>
      <c r="C7606" s="117">
        <v>45678</v>
      </c>
      <c r="D7606" s="116">
        <v>76</v>
      </c>
      <c r="E7606" s="117">
        <v>45687</v>
      </c>
      <c r="F7606" s="116">
        <f>COUNTIFS($A$3:A15863,A7606,$B$3:B15863,B7606)</f>
        <v>1</v>
      </c>
      <c r="G7606" s="116"/>
    </row>
    <row r="7607" spans="1:7" x14ac:dyDescent="0.2">
      <c r="A7607" s="116">
        <f>IF(ISNUMBER(Tabela2[[#This Row],[CT-e/NFS]])=TRUE,(IF(B7607&gt;30000,4,IF(B7607&lt;1000,"ND",0))),"-")</f>
        <v>0</v>
      </c>
      <c r="B7607" s="116">
        <v>22734</v>
      </c>
      <c r="C7607" s="117">
        <v>45678</v>
      </c>
      <c r="D7607" s="116">
        <v>75.849999999999994</v>
      </c>
      <c r="E7607" s="117">
        <v>45687</v>
      </c>
      <c r="F7607" s="116">
        <f>COUNTIFS($A$3:A15864,A7607,$B$3:B15864,B7607)</f>
        <v>1</v>
      </c>
      <c r="G7607" s="116"/>
    </row>
    <row r="7608" spans="1:7" x14ac:dyDescent="0.2">
      <c r="A7608" s="116">
        <f>IF(ISNUMBER(Tabela2[[#This Row],[CT-e/NFS]])=TRUE,(IF(B7608&gt;30000,4,IF(B7608&lt;1000,"ND",0))),"-")</f>
        <v>0</v>
      </c>
      <c r="B7608" s="116">
        <v>22735</v>
      </c>
      <c r="C7608" s="117">
        <v>45678</v>
      </c>
      <c r="D7608" s="116">
        <v>76.8</v>
      </c>
      <c r="E7608" s="117">
        <v>45687</v>
      </c>
      <c r="F7608" s="116">
        <f>COUNTIFS($A$3:A15865,A7608,$B$3:B15865,B7608)</f>
        <v>1</v>
      </c>
      <c r="G7608" s="116"/>
    </row>
    <row r="7609" spans="1:7" x14ac:dyDescent="0.2">
      <c r="A7609" s="116">
        <f>IF(ISNUMBER(Tabela2[[#This Row],[CT-e/NFS]])=TRUE,(IF(B7609&gt;30000,4,IF(B7609&lt;1000,"ND",0))),"-")</f>
        <v>0</v>
      </c>
      <c r="B7609" s="116">
        <v>22737</v>
      </c>
      <c r="C7609" s="117">
        <v>45678</v>
      </c>
      <c r="D7609" s="116">
        <v>75.7</v>
      </c>
      <c r="E7609" s="117">
        <v>45687</v>
      </c>
      <c r="F7609" s="116">
        <f>COUNTIFS($A$3:A15866,A7609,$B$3:B15866,B7609)</f>
        <v>1</v>
      </c>
      <c r="G7609" s="116"/>
    </row>
    <row r="7610" spans="1:7" x14ac:dyDescent="0.2">
      <c r="A7610" s="116">
        <f>IF(ISNUMBER(Tabela2[[#This Row],[CT-e/NFS]])=TRUE,(IF(B7610&gt;30000,4,IF(B7610&lt;1000,"ND",0))),"-")</f>
        <v>0</v>
      </c>
      <c r="B7610" s="116">
        <v>22736</v>
      </c>
      <c r="C7610" s="117">
        <v>45678</v>
      </c>
      <c r="D7610" s="116">
        <v>76.38</v>
      </c>
      <c r="E7610" s="117">
        <v>45687</v>
      </c>
      <c r="F7610" s="116">
        <f>COUNTIFS($A$3:A15867,A7610,$B$3:B15867,B7610)</f>
        <v>1</v>
      </c>
      <c r="G7610" s="116"/>
    </row>
    <row r="7611" spans="1:7" x14ac:dyDescent="0.2">
      <c r="A7611" s="116">
        <f>IF(ISNUMBER(Tabela2[[#This Row],[CT-e/NFS]])=TRUE,(IF(B7611&gt;30000,4,IF(B7611&lt;1000,"ND",0))),"-")</f>
        <v>0</v>
      </c>
      <c r="B7611" s="116">
        <v>22738</v>
      </c>
      <c r="C7611" s="117">
        <v>45678</v>
      </c>
      <c r="D7611" s="116">
        <v>76.28</v>
      </c>
      <c r="E7611" s="117">
        <v>45687</v>
      </c>
      <c r="F7611" s="116">
        <f>COUNTIFS($A$3:A15868,A7611,$B$3:B15868,B7611)</f>
        <v>1</v>
      </c>
      <c r="G7611" s="116"/>
    </row>
    <row r="7612" spans="1:7" x14ac:dyDescent="0.2">
      <c r="A7612" s="116">
        <f>IF(ISNUMBER(Tabela2[[#This Row],[CT-e/NFS]])=TRUE,(IF(B7612&gt;30000,4,IF(B7612&lt;1000,"ND",0))),"-")</f>
        <v>4</v>
      </c>
      <c r="B7612" s="116">
        <v>51155</v>
      </c>
      <c r="C7612" s="117">
        <v>45678</v>
      </c>
      <c r="D7612" s="116">
        <v>62.01</v>
      </c>
      <c r="E7612" s="117">
        <v>45687</v>
      </c>
      <c r="F7612" s="116">
        <f>COUNTIFS($A$3:A15869,A7612,$B$3:B15869,B7612)</f>
        <v>1</v>
      </c>
      <c r="G7612" s="116"/>
    </row>
    <row r="7613" spans="1:7" x14ac:dyDescent="0.2">
      <c r="A7613" s="116">
        <f>IF(ISNUMBER(Tabela2[[#This Row],[CT-e/NFS]])=TRUE,(IF(B7613&gt;30000,4,IF(B7613&lt;1000,"ND",0))),"-")</f>
        <v>4</v>
      </c>
      <c r="B7613" s="116">
        <v>51143</v>
      </c>
      <c r="C7613" s="117">
        <v>45678</v>
      </c>
      <c r="D7613" s="116">
        <v>247.81</v>
      </c>
      <c r="E7613" s="117">
        <v>45687</v>
      </c>
      <c r="F7613" s="116">
        <f>COUNTIFS($A$3:A15870,A7613,$B$3:B15870,B7613)</f>
        <v>1</v>
      </c>
      <c r="G7613" s="116"/>
    </row>
    <row r="7614" spans="1:7" x14ac:dyDescent="0.2">
      <c r="A7614" s="116">
        <f>IF(ISNUMBER(Tabela2[[#This Row],[CT-e/NFS]])=TRUE,(IF(B7614&gt;30000,4,IF(B7614&lt;1000,"ND",0))),"-")</f>
        <v>4</v>
      </c>
      <c r="B7614" s="116">
        <v>51144</v>
      </c>
      <c r="C7614" s="117">
        <v>45678</v>
      </c>
      <c r="D7614" s="116">
        <v>126.65</v>
      </c>
      <c r="E7614" s="117">
        <v>45687</v>
      </c>
      <c r="F7614" s="116">
        <f>COUNTIFS($A$3:A15871,A7614,$B$3:B15871,B7614)</f>
        <v>1</v>
      </c>
      <c r="G7614" s="116"/>
    </row>
    <row r="7615" spans="1:7" x14ac:dyDescent="0.2">
      <c r="A7615" s="116">
        <f>IF(ISNUMBER(Tabela2[[#This Row],[CT-e/NFS]])=TRUE,(IF(B7615&gt;30000,4,IF(B7615&lt;1000,"ND",0))),"-")</f>
        <v>4</v>
      </c>
      <c r="B7615" s="116">
        <v>51145</v>
      </c>
      <c r="C7615" s="117">
        <v>45678</v>
      </c>
      <c r="D7615" s="116">
        <v>174.74</v>
      </c>
      <c r="E7615" s="117">
        <v>45687</v>
      </c>
      <c r="F7615" s="116">
        <f>COUNTIFS($A$3:A15872,A7615,$B$3:B15872,B7615)</f>
        <v>1</v>
      </c>
      <c r="G7615" s="116"/>
    </row>
    <row r="7616" spans="1:7" x14ac:dyDescent="0.2">
      <c r="A7616" s="116">
        <f>IF(ISNUMBER(Tabela2[[#This Row],[CT-e/NFS]])=TRUE,(IF(B7616&gt;30000,4,IF(B7616&lt;1000,"ND",0))),"-")</f>
        <v>4</v>
      </c>
      <c r="B7616" s="116">
        <v>51146</v>
      </c>
      <c r="C7616" s="117">
        <v>45678</v>
      </c>
      <c r="D7616" s="116">
        <v>125.66</v>
      </c>
      <c r="E7616" s="117">
        <v>45687</v>
      </c>
      <c r="F7616" s="116">
        <f>COUNTIFS($A$3:A15873,A7616,$B$3:B15873,B7616)</f>
        <v>1</v>
      </c>
      <c r="G7616" s="116"/>
    </row>
    <row r="7617" spans="1:7" x14ac:dyDescent="0.2">
      <c r="A7617" s="116">
        <f>IF(ISNUMBER(Tabela2[[#This Row],[CT-e/NFS]])=TRUE,(IF(B7617&gt;30000,4,IF(B7617&lt;1000,"ND",0))),"-")</f>
        <v>4</v>
      </c>
      <c r="B7617" s="116">
        <v>51150</v>
      </c>
      <c r="C7617" s="117">
        <v>45678</v>
      </c>
      <c r="D7617" s="116">
        <v>238.39</v>
      </c>
      <c r="E7617" s="117">
        <v>45687</v>
      </c>
      <c r="F7617" s="116">
        <f>COUNTIFS($A$3:A15874,A7617,$B$3:B15874,B7617)</f>
        <v>1</v>
      </c>
      <c r="G7617" s="116"/>
    </row>
    <row r="7618" spans="1:7" x14ac:dyDescent="0.2">
      <c r="A7618" s="116">
        <f>IF(ISNUMBER(Tabela2[[#This Row],[CT-e/NFS]])=TRUE,(IF(B7618&gt;30000,4,IF(B7618&lt;1000,"ND",0))),"-")</f>
        <v>4</v>
      </c>
      <c r="B7618" s="116">
        <v>51149</v>
      </c>
      <c r="C7618" s="117">
        <v>45678</v>
      </c>
      <c r="D7618" s="116">
        <v>125.07</v>
      </c>
      <c r="E7618" s="117">
        <v>45687</v>
      </c>
      <c r="F7618" s="116">
        <f>COUNTIFS($A$3:A15875,A7618,$B$3:B15875,B7618)</f>
        <v>1</v>
      </c>
      <c r="G7618" s="116"/>
    </row>
    <row r="7619" spans="1:7" x14ac:dyDescent="0.2">
      <c r="A7619" s="116">
        <f>IF(ISNUMBER(Tabela2[[#This Row],[CT-e/NFS]])=TRUE,(IF(B7619&gt;30000,4,IF(B7619&lt;1000,"ND",0))),"-")</f>
        <v>4</v>
      </c>
      <c r="B7619" s="116">
        <v>51151</v>
      </c>
      <c r="C7619" s="117">
        <v>45678</v>
      </c>
      <c r="D7619" s="116">
        <v>124.3</v>
      </c>
      <c r="E7619" s="117">
        <v>45687</v>
      </c>
      <c r="F7619" s="116">
        <f>COUNTIFS($A$3:A15876,A7619,$B$3:B15876,B7619)</f>
        <v>1</v>
      </c>
      <c r="G7619" s="116"/>
    </row>
    <row r="7620" spans="1:7" x14ac:dyDescent="0.2">
      <c r="A7620" s="116">
        <f>IF(ISNUMBER(Tabela2[[#This Row],[CT-e/NFS]])=TRUE,(IF(B7620&gt;30000,4,IF(B7620&lt;1000,"ND",0))),"-")</f>
        <v>4</v>
      </c>
      <c r="B7620" s="116">
        <v>51156</v>
      </c>
      <c r="C7620" s="117">
        <v>45678</v>
      </c>
      <c r="D7620" s="116">
        <v>111.76</v>
      </c>
      <c r="E7620" s="117">
        <v>45687</v>
      </c>
      <c r="F7620" s="116">
        <f>COUNTIFS($A$3:A15877,A7620,$B$3:B15877,B7620)</f>
        <v>1</v>
      </c>
      <c r="G7620" s="116"/>
    </row>
    <row r="7621" spans="1:7" x14ac:dyDescent="0.2">
      <c r="A7621" s="116">
        <f>IF(ISNUMBER(Tabela2[[#This Row],[CT-e/NFS]])=TRUE,(IF(B7621&gt;30000,4,IF(B7621&lt;1000,"ND",0))),"-")</f>
        <v>4</v>
      </c>
      <c r="B7621" s="116">
        <v>51148</v>
      </c>
      <c r="C7621" s="117">
        <v>45678</v>
      </c>
      <c r="D7621" s="116">
        <v>129.32</v>
      </c>
      <c r="E7621" s="117">
        <v>45687</v>
      </c>
      <c r="F7621" s="116">
        <f>COUNTIFS($A$3:A15878,A7621,$B$3:B15878,B7621)</f>
        <v>1</v>
      </c>
      <c r="G7621" s="116"/>
    </row>
    <row r="7622" spans="1:7" x14ac:dyDescent="0.2">
      <c r="A7622" s="116">
        <f>IF(ISNUMBER(Tabela2[[#This Row],[CT-e/NFS]])=TRUE,(IF(B7622&gt;30000,4,IF(B7622&lt;1000,"ND",0))),"-")</f>
        <v>4</v>
      </c>
      <c r="B7622" s="116">
        <v>51147</v>
      </c>
      <c r="C7622" s="117">
        <v>45678</v>
      </c>
      <c r="D7622" s="116">
        <v>123.5</v>
      </c>
      <c r="E7622" s="117">
        <v>45687</v>
      </c>
      <c r="F7622" s="116">
        <f>COUNTIFS($A$3:A15879,A7622,$B$3:B15879,B7622)</f>
        <v>1</v>
      </c>
      <c r="G7622" s="116"/>
    </row>
    <row r="7623" spans="1:7" x14ac:dyDescent="0.2">
      <c r="A7623" s="116">
        <f>IF(ISNUMBER(Tabela2[[#This Row],[CT-e/NFS]])=TRUE,(IF(B7623&gt;30000,4,IF(B7623&lt;1000,"ND",0))),"-")</f>
        <v>4</v>
      </c>
      <c r="B7623" s="116">
        <v>51152</v>
      </c>
      <c r="C7623" s="117">
        <v>45678</v>
      </c>
      <c r="D7623" s="116">
        <v>62.82</v>
      </c>
      <c r="E7623" s="117">
        <v>45687</v>
      </c>
      <c r="F7623" s="116">
        <f>COUNTIFS($A$3:A15880,A7623,$B$3:B15880,B7623)</f>
        <v>1</v>
      </c>
      <c r="G7623" s="116"/>
    </row>
    <row r="7624" spans="1:7" x14ac:dyDescent="0.2">
      <c r="A7624" s="116">
        <f>IF(ISNUMBER(Tabela2[[#This Row],[CT-e/NFS]])=TRUE,(IF(B7624&gt;30000,4,IF(B7624&lt;1000,"ND",0))),"-")</f>
        <v>4</v>
      </c>
      <c r="B7624" s="116">
        <v>51163</v>
      </c>
      <c r="C7624" s="117">
        <v>45678</v>
      </c>
      <c r="D7624" s="116">
        <v>123.13</v>
      </c>
      <c r="E7624" s="117">
        <v>45687</v>
      </c>
      <c r="F7624" s="116">
        <f>COUNTIFS($A$3:A15881,A7624,$B$3:B15881,B7624)</f>
        <v>1</v>
      </c>
      <c r="G7624" s="116"/>
    </row>
    <row r="7625" spans="1:7" x14ac:dyDescent="0.2">
      <c r="A7625" s="116">
        <f>IF(ISNUMBER(Tabela2[[#This Row],[CT-e/NFS]])=TRUE,(IF(B7625&gt;30000,4,IF(B7625&lt;1000,"ND",0))),"-")</f>
        <v>4</v>
      </c>
      <c r="B7625" s="116">
        <v>51162</v>
      </c>
      <c r="C7625" s="117">
        <v>45678</v>
      </c>
      <c r="D7625" s="116">
        <v>150.6</v>
      </c>
      <c r="E7625" s="117">
        <v>45687</v>
      </c>
      <c r="F7625" s="116">
        <f>COUNTIFS($A$3:A15882,A7625,$B$3:B15882,B7625)</f>
        <v>1</v>
      </c>
      <c r="G7625" s="116"/>
    </row>
    <row r="7626" spans="1:7" x14ac:dyDescent="0.2">
      <c r="A7626" s="116">
        <f>IF(ISNUMBER(Tabela2[[#This Row],[CT-e/NFS]])=TRUE,(IF(B7626&gt;30000,4,IF(B7626&lt;1000,"ND",0))),"-")</f>
        <v>4</v>
      </c>
      <c r="B7626" s="116">
        <v>51161</v>
      </c>
      <c r="C7626" s="117">
        <v>45678</v>
      </c>
      <c r="D7626" s="116">
        <v>124.22</v>
      </c>
      <c r="E7626" s="117">
        <v>45687</v>
      </c>
      <c r="F7626" s="116">
        <f>COUNTIFS($A$3:A15883,A7626,$B$3:B15883,B7626)</f>
        <v>1</v>
      </c>
      <c r="G7626" s="116"/>
    </row>
    <row r="7627" spans="1:7" x14ac:dyDescent="0.2">
      <c r="A7627" s="116">
        <f>IF(ISNUMBER(Tabela2[[#This Row],[CT-e/NFS]])=TRUE,(IF(B7627&gt;30000,4,IF(B7627&lt;1000,"ND",0))),"-")</f>
        <v>4</v>
      </c>
      <c r="B7627" s="116">
        <v>51165</v>
      </c>
      <c r="C7627" s="117">
        <v>45678</v>
      </c>
      <c r="D7627" s="116">
        <v>122.93</v>
      </c>
      <c r="E7627" s="117">
        <v>45687</v>
      </c>
      <c r="F7627" s="116">
        <f>COUNTIFS($A$3:A15884,A7627,$B$3:B15884,B7627)</f>
        <v>1</v>
      </c>
      <c r="G7627" s="116"/>
    </row>
    <row r="7628" spans="1:7" x14ac:dyDescent="0.2">
      <c r="A7628" s="116">
        <f>IF(ISNUMBER(Tabela2[[#This Row],[CT-e/NFS]])=TRUE,(IF(B7628&gt;30000,4,IF(B7628&lt;1000,"ND",0))),"-")</f>
        <v>4</v>
      </c>
      <c r="B7628" s="116">
        <v>51166</v>
      </c>
      <c r="C7628" s="117">
        <v>45678</v>
      </c>
      <c r="D7628" s="116">
        <v>123.99</v>
      </c>
      <c r="E7628" s="117">
        <v>45687</v>
      </c>
      <c r="F7628" s="116">
        <f>COUNTIFS($A$3:A15885,A7628,$B$3:B15885,B7628)</f>
        <v>1</v>
      </c>
      <c r="G7628" s="116"/>
    </row>
    <row r="7629" spans="1:7" x14ac:dyDescent="0.2">
      <c r="A7629" s="116">
        <f>IF(ISNUMBER(Tabela2[[#This Row],[CT-e/NFS]])=TRUE,(IF(B7629&gt;30000,4,IF(B7629&lt;1000,"ND",0))),"-")</f>
        <v>4</v>
      </c>
      <c r="B7629" s="116">
        <v>51164</v>
      </c>
      <c r="C7629" s="117">
        <v>45678</v>
      </c>
      <c r="D7629" s="116">
        <v>124.39</v>
      </c>
      <c r="E7629" s="117">
        <v>45687</v>
      </c>
      <c r="F7629" s="116">
        <f>COUNTIFS($A$3:A15886,A7629,$B$3:B15886,B7629)</f>
        <v>1</v>
      </c>
      <c r="G7629" s="116"/>
    </row>
    <row r="7630" spans="1:7" x14ac:dyDescent="0.2">
      <c r="A7630" s="116">
        <f>IF(ISNUMBER(Tabela2[[#This Row],[CT-e/NFS]])=TRUE,(IF(B7630&gt;30000,4,IF(B7630&lt;1000,"ND",0))),"-")</f>
        <v>4</v>
      </c>
      <c r="B7630" s="116">
        <v>51153</v>
      </c>
      <c r="C7630" s="117">
        <v>45678</v>
      </c>
      <c r="D7630" s="116">
        <v>62.15</v>
      </c>
      <c r="E7630" s="117">
        <v>45687</v>
      </c>
      <c r="F7630" s="116">
        <f>COUNTIFS($A$3:A15887,A7630,$B$3:B15887,B7630)</f>
        <v>1</v>
      </c>
      <c r="G7630" s="116"/>
    </row>
    <row r="7631" spans="1:7" x14ac:dyDescent="0.2">
      <c r="A7631" s="116">
        <f>IF(ISNUMBER(Tabela2[[#This Row],[CT-e/NFS]])=TRUE,(IF(B7631&gt;30000,4,IF(B7631&lt;1000,"ND",0))),"-")</f>
        <v>4</v>
      </c>
      <c r="B7631" s="116">
        <v>51154</v>
      </c>
      <c r="C7631" s="117">
        <v>45678</v>
      </c>
      <c r="D7631" s="116">
        <v>112.03</v>
      </c>
      <c r="E7631" s="117">
        <v>45687</v>
      </c>
      <c r="F7631" s="116">
        <f>COUNTIFS($A$3:A15888,A7631,$B$3:B15888,B7631)</f>
        <v>1</v>
      </c>
      <c r="G7631" s="116"/>
    </row>
    <row r="7632" spans="1:7" x14ac:dyDescent="0.2">
      <c r="A7632" s="116">
        <f>IF(ISNUMBER(Tabela2[[#This Row],[CT-e/NFS]])=TRUE,(IF(B7632&gt;30000,4,IF(B7632&lt;1000,"ND",0))),"-")</f>
        <v>4</v>
      </c>
      <c r="B7632" s="116">
        <v>51167</v>
      </c>
      <c r="C7632" s="117">
        <v>45678</v>
      </c>
      <c r="D7632" s="116">
        <v>1234.31</v>
      </c>
      <c r="E7632" s="117">
        <v>45687</v>
      </c>
      <c r="F7632" s="116">
        <f>COUNTIFS($A$3:A15889,A7632,$B$3:B15889,B7632)</f>
        <v>1</v>
      </c>
      <c r="G7632" s="116"/>
    </row>
    <row r="7633" spans="1:7" x14ac:dyDescent="0.2">
      <c r="A7633" s="116">
        <f>IF(ISNUMBER(Tabela2[[#This Row],[CT-e/NFS]])=TRUE,(IF(B7633&gt;30000,4,IF(B7633&lt;1000,"ND",0))),"-")</f>
        <v>4</v>
      </c>
      <c r="B7633" s="116">
        <v>51168</v>
      </c>
      <c r="C7633" s="117">
        <v>45678</v>
      </c>
      <c r="D7633" s="116">
        <v>240.59</v>
      </c>
      <c r="E7633" s="117">
        <v>45687</v>
      </c>
      <c r="F7633" s="116">
        <f>COUNTIFS($A$3:A15890,A7633,$B$3:B15890,B7633)</f>
        <v>1</v>
      </c>
      <c r="G7633" s="116"/>
    </row>
    <row r="7634" spans="1:7" x14ac:dyDescent="0.2">
      <c r="A7634" s="116">
        <f>IF(ISNUMBER(Tabela2[[#This Row],[CT-e/NFS]])=TRUE,(IF(B7634&gt;30000,4,IF(B7634&lt;1000,"ND",0))),"-")</f>
        <v>4</v>
      </c>
      <c r="B7634" s="116">
        <v>51157</v>
      </c>
      <c r="C7634" s="117">
        <v>45678</v>
      </c>
      <c r="D7634" s="116">
        <v>396.45</v>
      </c>
      <c r="E7634" s="117">
        <v>45687</v>
      </c>
      <c r="F7634" s="116">
        <f>COUNTIFS($A$3:A15891,A7634,$B$3:B15891,B7634)</f>
        <v>1</v>
      </c>
      <c r="G7634" s="116"/>
    </row>
    <row r="7635" spans="1:7" x14ac:dyDescent="0.2">
      <c r="A7635" s="116">
        <f>IF(ISNUMBER(Tabela2[[#This Row],[CT-e/NFS]])=TRUE,(IF(B7635&gt;30000,4,IF(B7635&lt;1000,"ND",0))),"-")</f>
        <v>4</v>
      </c>
      <c r="B7635" s="116">
        <v>51159</v>
      </c>
      <c r="C7635" s="117">
        <v>45678</v>
      </c>
      <c r="D7635" s="116">
        <v>123.11</v>
      </c>
      <c r="E7635" s="117">
        <v>45687</v>
      </c>
      <c r="F7635" s="116">
        <f>COUNTIFS($A$3:A15892,A7635,$B$3:B15892,B7635)</f>
        <v>1</v>
      </c>
      <c r="G7635" s="116"/>
    </row>
    <row r="7636" spans="1:7" x14ac:dyDescent="0.2">
      <c r="A7636" s="116">
        <f>IF(ISNUMBER(Tabela2[[#This Row],[CT-e/NFS]])=TRUE,(IF(B7636&gt;30000,4,IF(B7636&lt;1000,"ND",0))),"-")</f>
        <v>4</v>
      </c>
      <c r="B7636" s="116">
        <v>51169</v>
      </c>
      <c r="C7636" s="117">
        <v>45678</v>
      </c>
      <c r="D7636" s="116">
        <v>125.25</v>
      </c>
      <c r="E7636" s="117">
        <v>45687</v>
      </c>
      <c r="F7636" s="116">
        <f>COUNTIFS($A$3:A15893,A7636,$B$3:B15893,B7636)</f>
        <v>1</v>
      </c>
      <c r="G7636" s="116"/>
    </row>
    <row r="7637" spans="1:7" x14ac:dyDescent="0.2">
      <c r="A7637" s="116">
        <f>IF(ISNUMBER(Tabela2[[#This Row],[CT-e/NFS]])=TRUE,(IF(B7637&gt;30000,4,IF(B7637&lt;1000,"ND",0))),"-")</f>
        <v>4</v>
      </c>
      <c r="B7637" s="116">
        <v>51160</v>
      </c>
      <c r="C7637" s="117">
        <v>45678</v>
      </c>
      <c r="D7637" s="116">
        <v>124.03</v>
      </c>
      <c r="E7637" s="117">
        <v>45687</v>
      </c>
      <c r="F7637" s="116">
        <f>COUNTIFS($A$3:A15894,A7637,$B$3:B15894,B7637)</f>
        <v>1</v>
      </c>
      <c r="G7637" s="116"/>
    </row>
    <row r="7638" spans="1:7" x14ac:dyDescent="0.2">
      <c r="A7638" s="116">
        <f>IF(ISNUMBER(Tabela2[[#This Row],[CT-e/NFS]])=TRUE,(IF(B7638&gt;30000,4,IF(B7638&lt;1000,"ND",0))),"-")</f>
        <v>4</v>
      </c>
      <c r="B7638" s="116">
        <v>51158</v>
      </c>
      <c r="C7638" s="117">
        <v>45678</v>
      </c>
      <c r="D7638" s="116">
        <v>224.65</v>
      </c>
      <c r="E7638" s="117">
        <v>45687</v>
      </c>
      <c r="F7638" s="116">
        <f>COUNTIFS($A$3:A15895,A7638,$B$3:B15895,B7638)</f>
        <v>1</v>
      </c>
      <c r="G7638" s="116"/>
    </row>
    <row r="7639" spans="1:7" x14ac:dyDescent="0.2">
      <c r="A7639" s="116">
        <f>IF(ISNUMBER(Tabela2[[#This Row],[CT-e/NFS]])=TRUE,(IF(B7639&gt;30000,4,IF(B7639&lt;1000,"ND",0))),"-")</f>
        <v>0</v>
      </c>
      <c r="B7639" s="116">
        <v>22750</v>
      </c>
      <c r="C7639" s="117">
        <v>45678</v>
      </c>
      <c r="D7639" s="116">
        <v>76.41</v>
      </c>
      <c r="E7639" s="117">
        <v>45687</v>
      </c>
      <c r="F7639" s="116">
        <f>COUNTIFS($A$3:A15896,A7639,$B$3:B15896,B7639)</f>
        <v>1</v>
      </c>
      <c r="G7639" s="116"/>
    </row>
    <row r="7640" spans="1:7" x14ac:dyDescent="0.2">
      <c r="A7640" s="116">
        <f>IF(ISNUMBER(Tabela2[[#This Row],[CT-e/NFS]])=TRUE,(IF(B7640&gt;30000,4,IF(B7640&lt;1000,"ND",0))),"-")</f>
        <v>0</v>
      </c>
      <c r="B7640" s="116">
        <v>22753</v>
      </c>
      <c r="C7640" s="117">
        <v>45678</v>
      </c>
      <c r="D7640" s="116">
        <v>76.52</v>
      </c>
      <c r="E7640" s="117">
        <v>45687</v>
      </c>
      <c r="F7640" s="116">
        <f>COUNTIFS($A$3:A15897,A7640,$B$3:B15897,B7640)</f>
        <v>1</v>
      </c>
      <c r="G7640" s="116"/>
    </row>
    <row r="7641" spans="1:7" x14ac:dyDescent="0.2">
      <c r="A7641" s="116">
        <f>IF(ISNUMBER(Tabela2[[#This Row],[CT-e/NFS]])=TRUE,(IF(B7641&gt;30000,4,IF(B7641&lt;1000,"ND",0))),"-")</f>
        <v>0</v>
      </c>
      <c r="B7641" s="116">
        <v>22751</v>
      </c>
      <c r="C7641" s="117">
        <v>45678</v>
      </c>
      <c r="D7641" s="116">
        <v>77.069999999999993</v>
      </c>
      <c r="E7641" s="117">
        <v>45687</v>
      </c>
      <c r="F7641" s="116">
        <f>COUNTIFS($A$3:A15898,A7641,$B$3:B15898,B7641)</f>
        <v>1</v>
      </c>
      <c r="G7641" s="116"/>
    </row>
    <row r="7642" spans="1:7" x14ac:dyDescent="0.2">
      <c r="A7642" s="116">
        <f>IF(ISNUMBER(Tabela2[[#This Row],[CT-e/NFS]])=TRUE,(IF(B7642&gt;30000,4,IF(B7642&lt;1000,"ND",0))),"-")</f>
        <v>0</v>
      </c>
      <c r="B7642" s="116">
        <v>22754</v>
      </c>
      <c r="C7642" s="117">
        <v>45678</v>
      </c>
      <c r="D7642" s="116">
        <v>76.34</v>
      </c>
      <c r="E7642" s="117">
        <v>45687</v>
      </c>
      <c r="F7642" s="116">
        <f>COUNTIFS($A$3:A15899,A7642,$B$3:B15899,B7642)</f>
        <v>1</v>
      </c>
      <c r="G7642" s="116"/>
    </row>
    <row r="7643" spans="1:7" x14ac:dyDescent="0.2">
      <c r="A7643" s="116">
        <f>IF(ISNUMBER(Tabela2[[#This Row],[CT-e/NFS]])=TRUE,(IF(B7643&gt;30000,4,IF(B7643&lt;1000,"ND",0))),"-")</f>
        <v>0</v>
      </c>
      <c r="B7643" s="116">
        <v>22755</v>
      </c>
      <c r="C7643" s="117">
        <v>45678</v>
      </c>
      <c r="D7643" s="116">
        <v>75.62</v>
      </c>
      <c r="E7643" s="117">
        <v>45687</v>
      </c>
      <c r="F7643" s="116">
        <f>COUNTIFS($A$3:A15900,A7643,$B$3:B15900,B7643)</f>
        <v>1</v>
      </c>
      <c r="G7643" s="116"/>
    </row>
    <row r="7644" spans="1:7" x14ac:dyDescent="0.2">
      <c r="A7644" s="116">
        <f>IF(ISNUMBER(Tabela2[[#This Row],[CT-e/NFS]])=TRUE,(IF(B7644&gt;30000,4,IF(B7644&lt;1000,"ND",0))),"-")</f>
        <v>0</v>
      </c>
      <c r="B7644" s="116">
        <v>22756</v>
      </c>
      <c r="C7644" s="117">
        <v>45678</v>
      </c>
      <c r="D7644" s="116">
        <v>76.25</v>
      </c>
      <c r="E7644" s="117">
        <v>45687</v>
      </c>
      <c r="F7644" s="116">
        <f>COUNTIFS($A$3:A15901,A7644,$B$3:B15901,B7644)</f>
        <v>1</v>
      </c>
      <c r="G7644" s="116"/>
    </row>
    <row r="7645" spans="1:7" x14ac:dyDescent="0.2">
      <c r="A7645" s="116">
        <f>IF(ISNUMBER(Tabela2[[#This Row],[CT-e/NFS]])=TRUE,(IF(B7645&gt;30000,4,IF(B7645&lt;1000,"ND",0))),"-")</f>
        <v>0</v>
      </c>
      <c r="B7645" s="116">
        <v>22757</v>
      </c>
      <c r="C7645" s="117">
        <v>45678</v>
      </c>
      <c r="D7645" s="116">
        <v>89.27</v>
      </c>
      <c r="E7645" s="117">
        <v>45687</v>
      </c>
      <c r="F7645" s="116">
        <f>COUNTIFS($A$3:A15902,A7645,$B$3:B15902,B7645)</f>
        <v>1</v>
      </c>
      <c r="G7645" s="116"/>
    </row>
    <row r="7646" spans="1:7" x14ac:dyDescent="0.2">
      <c r="A7646" s="116">
        <f>IF(ISNUMBER(Tabela2[[#This Row],[CT-e/NFS]])=TRUE,(IF(B7646&gt;30000,4,IF(B7646&lt;1000,"ND",0))),"-")</f>
        <v>4</v>
      </c>
      <c r="B7646" s="116">
        <v>51176</v>
      </c>
      <c r="C7646" s="117">
        <v>45678</v>
      </c>
      <c r="D7646" s="116">
        <v>369.42</v>
      </c>
      <c r="E7646" s="117">
        <v>45687</v>
      </c>
      <c r="F7646" s="116">
        <f>COUNTIFS($A$3:A15903,A7646,$B$3:B15903,B7646)</f>
        <v>1</v>
      </c>
      <c r="G7646" s="116"/>
    </row>
    <row r="7647" spans="1:7" x14ac:dyDescent="0.2">
      <c r="A7647" s="116">
        <f>IF(ISNUMBER(Tabela2[[#This Row],[CT-e/NFS]])=TRUE,(IF(B7647&gt;30000,4,IF(B7647&lt;1000,"ND",0))),"-")</f>
        <v>4</v>
      </c>
      <c r="B7647" s="116">
        <v>51177</v>
      </c>
      <c r="C7647" s="117">
        <v>45678</v>
      </c>
      <c r="D7647" s="116">
        <v>386.15</v>
      </c>
      <c r="E7647" s="117">
        <v>45687</v>
      </c>
      <c r="F7647" s="116">
        <f>COUNTIFS($A$3:A15904,A7647,$B$3:B15904,B7647)</f>
        <v>1</v>
      </c>
      <c r="G7647" s="116"/>
    </row>
    <row r="7648" spans="1:7" x14ac:dyDescent="0.2">
      <c r="A7648" s="116">
        <f>IF(ISNUMBER(Tabela2[[#This Row],[CT-e/NFS]])=TRUE,(IF(B7648&gt;30000,4,IF(B7648&lt;1000,"ND",0))),"-")</f>
        <v>4</v>
      </c>
      <c r="B7648" s="116">
        <v>51175</v>
      </c>
      <c r="C7648" s="117">
        <v>45678</v>
      </c>
      <c r="D7648" s="116">
        <v>382.16</v>
      </c>
      <c r="E7648" s="117">
        <v>45687</v>
      </c>
      <c r="F7648" s="116">
        <f>COUNTIFS($A$3:A15905,A7648,$B$3:B15905,B7648)</f>
        <v>1</v>
      </c>
      <c r="G7648" s="116"/>
    </row>
    <row r="7649" spans="1:7" x14ac:dyDescent="0.2">
      <c r="A7649" s="116">
        <f>IF(ISNUMBER(Tabela2[[#This Row],[CT-e/NFS]])=TRUE,(IF(B7649&gt;30000,4,IF(B7649&lt;1000,"ND",0))),"-")</f>
        <v>4</v>
      </c>
      <c r="B7649" s="116">
        <v>51189</v>
      </c>
      <c r="C7649" s="117">
        <v>45678</v>
      </c>
      <c r="D7649" s="116">
        <v>355.11</v>
      </c>
      <c r="E7649" s="117">
        <v>45687</v>
      </c>
      <c r="F7649" s="116">
        <f>COUNTIFS($A$3:A15906,A7649,$B$3:B15906,B7649)</f>
        <v>1</v>
      </c>
      <c r="G7649" s="116"/>
    </row>
    <row r="7650" spans="1:7" x14ac:dyDescent="0.2">
      <c r="A7650" s="116">
        <f>IF(ISNUMBER(Tabela2[[#This Row],[CT-e/NFS]])=TRUE,(IF(B7650&gt;30000,4,IF(B7650&lt;1000,"ND",0))),"-")</f>
        <v>4</v>
      </c>
      <c r="B7650" s="116">
        <v>51178</v>
      </c>
      <c r="C7650" s="117">
        <v>45678</v>
      </c>
      <c r="D7650" s="116">
        <v>281.52999999999997</v>
      </c>
      <c r="E7650" s="117">
        <v>45687</v>
      </c>
      <c r="F7650" s="116">
        <f>COUNTIFS($A$3:A15907,A7650,$B$3:B15907,B7650)</f>
        <v>1</v>
      </c>
      <c r="G7650" s="116"/>
    </row>
    <row r="7651" spans="1:7" x14ac:dyDescent="0.2">
      <c r="A7651" s="116">
        <f>IF(ISNUMBER(Tabela2[[#This Row],[CT-e/NFS]])=TRUE,(IF(B7651&gt;30000,4,IF(B7651&lt;1000,"ND",0))),"-")</f>
        <v>4</v>
      </c>
      <c r="B7651" s="116">
        <v>51179</v>
      </c>
      <c r="C7651" s="117">
        <v>45678</v>
      </c>
      <c r="D7651" s="116">
        <v>150.24</v>
      </c>
      <c r="E7651" s="117">
        <v>45687</v>
      </c>
      <c r="F7651" s="116">
        <f>COUNTIFS($A$3:A15908,A7651,$B$3:B15908,B7651)</f>
        <v>1</v>
      </c>
      <c r="G7651" s="116"/>
    </row>
    <row r="7652" spans="1:7" x14ac:dyDescent="0.2">
      <c r="A7652" s="116">
        <f>IF(ISNUMBER(Tabela2[[#This Row],[CT-e/NFS]])=TRUE,(IF(B7652&gt;30000,4,IF(B7652&lt;1000,"ND",0))),"-")</f>
        <v>4</v>
      </c>
      <c r="B7652" s="116">
        <v>51186</v>
      </c>
      <c r="C7652" s="117">
        <v>45678</v>
      </c>
      <c r="D7652" s="116">
        <v>124.69</v>
      </c>
      <c r="E7652" s="117">
        <v>45687</v>
      </c>
      <c r="F7652" s="116">
        <f>COUNTIFS($A$3:A15909,A7652,$B$3:B15909,B7652)</f>
        <v>1</v>
      </c>
      <c r="G7652" s="116"/>
    </row>
    <row r="7653" spans="1:7" x14ac:dyDescent="0.2">
      <c r="A7653" s="116">
        <f>IF(ISNUMBER(Tabela2[[#This Row],[CT-e/NFS]])=TRUE,(IF(B7653&gt;30000,4,IF(B7653&lt;1000,"ND",0))),"-")</f>
        <v>4</v>
      </c>
      <c r="B7653" s="116">
        <v>51187</v>
      </c>
      <c r="C7653" s="117">
        <v>45678</v>
      </c>
      <c r="D7653" s="116">
        <v>123.11</v>
      </c>
      <c r="E7653" s="117">
        <v>45687</v>
      </c>
      <c r="F7653" s="116">
        <f>COUNTIFS($A$3:A15910,A7653,$B$3:B15910,B7653)</f>
        <v>1</v>
      </c>
      <c r="G7653" s="116"/>
    </row>
    <row r="7654" spans="1:7" x14ac:dyDescent="0.2">
      <c r="A7654" s="116">
        <f>IF(ISNUMBER(Tabela2[[#This Row],[CT-e/NFS]])=TRUE,(IF(B7654&gt;30000,4,IF(B7654&lt;1000,"ND",0))),"-")</f>
        <v>4</v>
      </c>
      <c r="B7654" s="116">
        <v>51184</v>
      </c>
      <c r="C7654" s="117">
        <v>45678</v>
      </c>
      <c r="D7654" s="116">
        <v>124.18</v>
      </c>
      <c r="E7654" s="117">
        <v>45687</v>
      </c>
      <c r="F7654" s="116">
        <f>COUNTIFS($A$3:A15911,A7654,$B$3:B15911,B7654)</f>
        <v>1</v>
      </c>
      <c r="G7654" s="116"/>
    </row>
    <row r="7655" spans="1:7" x14ac:dyDescent="0.2">
      <c r="A7655" s="116">
        <f>IF(ISNUMBER(Tabela2[[#This Row],[CT-e/NFS]])=TRUE,(IF(B7655&gt;30000,4,IF(B7655&lt;1000,"ND",0))),"-")</f>
        <v>4</v>
      </c>
      <c r="B7655" s="116">
        <v>51198</v>
      </c>
      <c r="C7655" s="117">
        <v>45678</v>
      </c>
      <c r="D7655" s="116">
        <v>125.61</v>
      </c>
      <c r="E7655" s="117">
        <v>45687</v>
      </c>
      <c r="F7655" s="116">
        <f>COUNTIFS($A$3:A15912,A7655,$B$3:B15912,B7655)</f>
        <v>1</v>
      </c>
      <c r="G7655" s="116"/>
    </row>
    <row r="7656" spans="1:7" x14ac:dyDescent="0.2">
      <c r="A7656" s="116">
        <f>IF(ISNUMBER(Tabela2[[#This Row],[CT-e/NFS]])=TRUE,(IF(B7656&gt;30000,4,IF(B7656&lt;1000,"ND",0))),"-")</f>
        <v>4</v>
      </c>
      <c r="B7656" s="116">
        <v>51202</v>
      </c>
      <c r="C7656" s="117">
        <v>45678</v>
      </c>
      <c r="D7656" s="116">
        <v>120.3</v>
      </c>
      <c r="E7656" s="117">
        <v>45687</v>
      </c>
      <c r="F7656" s="116">
        <f>COUNTIFS($A$3:A15913,A7656,$B$3:B15913,B7656)</f>
        <v>1</v>
      </c>
      <c r="G7656" s="116"/>
    </row>
    <row r="7657" spans="1:7" x14ac:dyDescent="0.2">
      <c r="A7657" s="116">
        <f>IF(ISNUMBER(Tabela2[[#This Row],[CT-e/NFS]])=TRUE,(IF(B7657&gt;30000,4,IF(B7657&lt;1000,"ND",0))),"-")</f>
        <v>4</v>
      </c>
      <c r="B7657" s="116">
        <v>51191</v>
      </c>
      <c r="C7657" s="117">
        <v>45678</v>
      </c>
      <c r="D7657" s="116">
        <v>122.92</v>
      </c>
      <c r="E7657" s="117">
        <v>45687</v>
      </c>
      <c r="F7657" s="116">
        <f>COUNTIFS($A$3:A15914,A7657,$B$3:B15914,B7657)</f>
        <v>1</v>
      </c>
      <c r="G7657" s="116"/>
    </row>
    <row r="7658" spans="1:7" x14ac:dyDescent="0.2">
      <c r="A7658" s="116">
        <f>IF(ISNUMBER(Tabela2[[#This Row],[CT-e/NFS]])=TRUE,(IF(B7658&gt;30000,4,IF(B7658&lt;1000,"ND",0))),"-")</f>
        <v>4</v>
      </c>
      <c r="B7658" s="116">
        <v>51182</v>
      </c>
      <c r="C7658" s="117">
        <v>45678</v>
      </c>
      <c r="D7658" s="116">
        <v>124.16</v>
      </c>
      <c r="E7658" s="117">
        <v>45687</v>
      </c>
      <c r="F7658" s="116">
        <f>COUNTIFS($A$3:A15915,A7658,$B$3:B15915,B7658)</f>
        <v>1</v>
      </c>
      <c r="G7658" s="116"/>
    </row>
    <row r="7659" spans="1:7" x14ac:dyDescent="0.2">
      <c r="A7659" s="116">
        <f>IF(ISNUMBER(Tabela2[[#This Row],[CT-e/NFS]])=TRUE,(IF(B7659&gt;30000,4,IF(B7659&lt;1000,"ND",0))),"-")</f>
        <v>4</v>
      </c>
      <c r="B7659" s="116">
        <v>51185</v>
      </c>
      <c r="C7659" s="117">
        <v>45678</v>
      </c>
      <c r="D7659" s="116">
        <v>125.63</v>
      </c>
      <c r="E7659" s="117">
        <v>45687</v>
      </c>
      <c r="F7659" s="116">
        <f>COUNTIFS($A$3:A15916,A7659,$B$3:B15916,B7659)</f>
        <v>1</v>
      </c>
      <c r="G7659" s="116"/>
    </row>
    <row r="7660" spans="1:7" x14ac:dyDescent="0.2">
      <c r="A7660" s="116">
        <f>IF(ISNUMBER(Tabela2[[#This Row],[CT-e/NFS]])=TRUE,(IF(B7660&gt;30000,4,IF(B7660&lt;1000,"ND",0))),"-")</f>
        <v>4</v>
      </c>
      <c r="B7660" s="116">
        <v>51181</v>
      </c>
      <c r="C7660" s="117">
        <v>45678</v>
      </c>
      <c r="D7660" s="116">
        <v>126.01</v>
      </c>
      <c r="E7660" s="117">
        <v>45687</v>
      </c>
      <c r="F7660" s="116">
        <f>COUNTIFS($A$3:A15917,A7660,$B$3:B15917,B7660)</f>
        <v>1</v>
      </c>
      <c r="G7660" s="116"/>
    </row>
    <row r="7661" spans="1:7" x14ac:dyDescent="0.2">
      <c r="A7661" s="116">
        <f>IF(ISNUMBER(Tabela2[[#This Row],[CT-e/NFS]])=TRUE,(IF(B7661&gt;30000,4,IF(B7661&lt;1000,"ND",0))),"-")</f>
        <v>4</v>
      </c>
      <c r="B7661" s="116">
        <v>51180</v>
      </c>
      <c r="C7661" s="117">
        <v>45678</v>
      </c>
      <c r="D7661" s="116">
        <v>125.36</v>
      </c>
      <c r="E7661" s="117">
        <v>45687</v>
      </c>
      <c r="F7661" s="116">
        <f>COUNTIFS($A$3:A15918,A7661,$B$3:B15918,B7661)</f>
        <v>1</v>
      </c>
      <c r="G7661" s="116"/>
    </row>
    <row r="7662" spans="1:7" x14ac:dyDescent="0.2">
      <c r="A7662" s="116">
        <f>IF(ISNUMBER(Tabela2[[#This Row],[CT-e/NFS]])=TRUE,(IF(B7662&gt;30000,4,IF(B7662&lt;1000,"ND",0))),"-")</f>
        <v>4</v>
      </c>
      <c r="B7662" s="116">
        <v>51190</v>
      </c>
      <c r="C7662" s="117">
        <v>45678</v>
      </c>
      <c r="D7662" s="116">
        <v>124.56</v>
      </c>
      <c r="E7662" s="117">
        <v>45687</v>
      </c>
      <c r="F7662" s="116">
        <f>COUNTIFS($A$3:A15919,A7662,$B$3:B15919,B7662)</f>
        <v>1</v>
      </c>
      <c r="G7662" s="116"/>
    </row>
    <row r="7663" spans="1:7" x14ac:dyDescent="0.2">
      <c r="A7663" s="116">
        <f>IF(ISNUMBER(Tabela2[[#This Row],[CT-e/NFS]])=TRUE,(IF(B7663&gt;30000,4,IF(B7663&lt;1000,"ND",0))),"-")</f>
        <v>4</v>
      </c>
      <c r="B7663" s="116">
        <v>51194</v>
      </c>
      <c r="C7663" s="117">
        <v>45678</v>
      </c>
      <c r="D7663" s="116">
        <v>239.67</v>
      </c>
      <c r="E7663" s="117">
        <v>45687</v>
      </c>
      <c r="F7663" s="116">
        <f>COUNTIFS($A$3:A15920,A7663,$B$3:B15920,B7663)</f>
        <v>1</v>
      </c>
      <c r="G7663" s="116"/>
    </row>
    <row r="7664" spans="1:7" x14ac:dyDescent="0.2">
      <c r="A7664" s="116">
        <f>IF(ISNUMBER(Tabela2[[#This Row],[CT-e/NFS]])=TRUE,(IF(B7664&gt;30000,4,IF(B7664&lt;1000,"ND",0))),"-")</f>
        <v>4</v>
      </c>
      <c r="B7664" s="116">
        <v>51195</v>
      </c>
      <c r="C7664" s="117">
        <v>45678</v>
      </c>
      <c r="D7664" s="116">
        <v>396.45</v>
      </c>
      <c r="E7664" s="117">
        <v>45687</v>
      </c>
      <c r="F7664" s="116">
        <f>COUNTIFS($A$3:A15921,A7664,$B$3:B15921,B7664)</f>
        <v>1</v>
      </c>
      <c r="G7664" s="116"/>
    </row>
    <row r="7665" spans="1:7" x14ac:dyDescent="0.2">
      <c r="A7665" s="116">
        <f>IF(ISNUMBER(Tabela2[[#This Row],[CT-e/NFS]])=TRUE,(IF(B7665&gt;30000,4,IF(B7665&lt;1000,"ND",0))),"-")</f>
        <v>4</v>
      </c>
      <c r="B7665" s="116">
        <v>51192</v>
      </c>
      <c r="C7665" s="117">
        <v>45678</v>
      </c>
      <c r="D7665" s="116">
        <v>123.9</v>
      </c>
      <c r="E7665" s="117">
        <v>45687</v>
      </c>
      <c r="F7665" s="116">
        <f>COUNTIFS($A$3:A15922,A7665,$B$3:B15922,B7665)</f>
        <v>1</v>
      </c>
      <c r="G7665" s="116"/>
    </row>
    <row r="7666" spans="1:7" x14ac:dyDescent="0.2">
      <c r="A7666" s="116">
        <f>IF(ISNUMBER(Tabela2[[#This Row],[CT-e/NFS]])=TRUE,(IF(B7666&gt;30000,4,IF(B7666&lt;1000,"ND",0))),"-")</f>
        <v>4</v>
      </c>
      <c r="B7666" s="116">
        <v>51203</v>
      </c>
      <c r="C7666" s="117">
        <v>45678</v>
      </c>
      <c r="D7666" s="116">
        <v>216.73</v>
      </c>
      <c r="E7666" s="117">
        <v>45687</v>
      </c>
      <c r="F7666" s="116">
        <f>COUNTIFS($A$3:A15923,A7666,$B$3:B15923,B7666)</f>
        <v>1</v>
      </c>
      <c r="G7666" s="116"/>
    </row>
    <row r="7667" spans="1:7" x14ac:dyDescent="0.2">
      <c r="A7667" s="116">
        <f>IF(ISNUMBER(Tabela2[[#This Row],[CT-e/NFS]])=TRUE,(IF(B7667&gt;30000,4,IF(B7667&lt;1000,"ND",0))),"-")</f>
        <v>4</v>
      </c>
      <c r="B7667" s="116">
        <v>51188</v>
      </c>
      <c r="C7667" s="117">
        <v>45678</v>
      </c>
      <c r="D7667" s="116">
        <v>274.77999999999997</v>
      </c>
      <c r="E7667" s="117">
        <v>45687</v>
      </c>
      <c r="F7667" s="116">
        <f>COUNTIFS($A$3:A15924,A7667,$B$3:B15924,B7667)</f>
        <v>1</v>
      </c>
      <c r="G7667" s="116"/>
    </row>
    <row r="7668" spans="1:7" x14ac:dyDescent="0.2">
      <c r="A7668" s="116">
        <f>IF(ISNUMBER(Tabela2[[#This Row],[CT-e/NFS]])=TRUE,(IF(B7668&gt;30000,4,IF(B7668&lt;1000,"ND",0))),"-")</f>
        <v>4</v>
      </c>
      <c r="B7668" s="116">
        <v>51183</v>
      </c>
      <c r="C7668" s="117">
        <v>45678</v>
      </c>
      <c r="D7668" s="116">
        <v>124.05</v>
      </c>
      <c r="E7668" s="117">
        <v>45687</v>
      </c>
      <c r="F7668" s="116">
        <f>COUNTIFS($A$3:A15925,A7668,$B$3:B15925,B7668)</f>
        <v>1</v>
      </c>
      <c r="G7668" s="116"/>
    </row>
    <row r="7669" spans="1:7" x14ac:dyDescent="0.2">
      <c r="A7669" s="116">
        <f>IF(ISNUMBER(Tabela2[[#This Row],[CT-e/NFS]])=TRUE,(IF(B7669&gt;30000,4,IF(B7669&lt;1000,"ND",0))),"-")</f>
        <v>4</v>
      </c>
      <c r="B7669" s="116">
        <v>51193</v>
      </c>
      <c r="C7669" s="117">
        <v>45678</v>
      </c>
      <c r="D7669" s="116">
        <v>122.89</v>
      </c>
      <c r="E7669" s="117">
        <v>45687</v>
      </c>
      <c r="F7669" s="116">
        <f>COUNTIFS($A$3:A15926,A7669,$B$3:B15926,B7669)</f>
        <v>1</v>
      </c>
      <c r="G7669" s="116"/>
    </row>
    <row r="7670" spans="1:7" x14ac:dyDescent="0.2">
      <c r="A7670" s="116">
        <f>IF(ISNUMBER(Tabela2[[#This Row],[CT-e/NFS]])=TRUE,(IF(B7670&gt;30000,4,IF(B7670&lt;1000,"ND",0))),"-")</f>
        <v>4</v>
      </c>
      <c r="B7670" s="116">
        <v>51207</v>
      </c>
      <c r="C7670" s="117">
        <v>45678</v>
      </c>
      <c r="D7670" s="116">
        <v>852.85</v>
      </c>
      <c r="E7670" s="117">
        <v>45687</v>
      </c>
      <c r="F7670" s="116">
        <f>COUNTIFS($A$3:A15927,A7670,$B$3:B15927,B7670)</f>
        <v>1</v>
      </c>
      <c r="G7670" s="116"/>
    </row>
    <row r="7671" spans="1:7" x14ac:dyDescent="0.2">
      <c r="A7671" s="116">
        <f>IF(ISNUMBER(Tabela2[[#This Row],[CT-e/NFS]])=TRUE,(IF(B7671&gt;30000,4,IF(B7671&lt;1000,"ND",0))),"-")</f>
        <v>4</v>
      </c>
      <c r="B7671" s="116">
        <v>51208</v>
      </c>
      <c r="C7671" s="117">
        <v>45678</v>
      </c>
      <c r="D7671" s="116">
        <v>289.3</v>
      </c>
      <c r="E7671" s="117">
        <v>45687</v>
      </c>
      <c r="F7671" s="116">
        <f>COUNTIFS($A$3:A15928,A7671,$B$3:B15928,B7671)</f>
        <v>1</v>
      </c>
      <c r="G7671" s="116"/>
    </row>
    <row r="7672" spans="1:7" x14ac:dyDescent="0.2">
      <c r="A7672" s="116">
        <f>IF(ISNUMBER(Tabela2[[#This Row],[CT-e/NFS]])=TRUE,(IF(B7672&gt;30000,4,IF(B7672&lt;1000,"ND",0))),"-")</f>
        <v>4</v>
      </c>
      <c r="B7672" s="116">
        <v>51210</v>
      </c>
      <c r="C7672" s="117">
        <v>45678</v>
      </c>
      <c r="D7672" s="116">
        <v>326.86</v>
      </c>
      <c r="E7672" s="117">
        <v>45687</v>
      </c>
      <c r="F7672" s="116">
        <f>COUNTIFS($A$3:A15929,A7672,$B$3:B15929,B7672)</f>
        <v>1</v>
      </c>
      <c r="G7672" s="116"/>
    </row>
    <row r="7673" spans="1:7" x14ac:dyDescent="0.2">
      <c r="A7673" s="116">
        <f>IF(ISNUMBER(Tabela2[[#This Row],[CT-e/NFS]])=TRUE,(IF(B7673&gt;30000,4,IF(B7673&lt;1000,"ND",0))),"-")</f>
        <v>4</v>
      </c>
      <c r="B7673" s="116">
        <v>51209</v>
      </c>
      <c r="C7673" s="117">
        <v>45678</v>
      </c>
      <c r="D7673" s="116">
        <v>289.3</v>
      </c>
      <c r="E7673" s="117">
        <v>45687</v>
      </c>
      <c r="F7673" s="116">
        <f>COUNTIFS($A$3:A15930,A7673,$B$3:B15930,B7673)</f>
        <v>1</v>
      </c>
      <c r="G7673" s="116"/>
    </row>
    <row r="7674" spans="1:7" x14ac:dyDescent="0.2">
      <c r="A7674" s="116">
        <f>IF(ISNUMBER(Tabela2[[#This Row],[CT-e/NFS]])=TRUE,(IF(B7674&gt;30000,4,IF(B7674&lt;1000,"ND",0))),"-")</f>
        <v>0</v>
      </c>
      <c r="B7674" s="116">
        <v>22744</v>
      </c>
      <c r="C7674" s="117">
        <v>45678</v>
      </c>
      <c r="D7674" s="116">
        <v>76.47</v>
      </c>
      <c r="E7674" s="117">
        <v>45687</v>
      </c>
      <c r="F7674" s="116">
        <f>COUNTIFS($A$3:A15931,A7674,$B$3:B15931,B7674)</f>
        <v>1</v>
      </c>
      <c r="G7674" s="116"/>
    </row>
    <row r="7675" spans="1:7" x14ac:dyDescent="0.2">
      <c r="A7675" s="116">
        <f>IF(ISNUMBER(Tabela2[[#This Row],[CT-e/NFS]])=TRUE,(IF(B7675&gt;30000,4,IF(B7675&lt;1000,"ND",0))),"-")</f>
        <v>0</v>
      </c>
      <c r="B7675" s="116">
        <v>22745</v>
      </c>
      <c r="C7675" s="117">
        <v>45678</v>
      </c>
      <c r="D7675" s="116">
        <v>76.349999999999994</v>
      </c>
      <c r="E7675" s="117">
        <v>45687</v>
      </c>
      <c r="F7675" s="116">
        <f>COUNTIFS($A$3:A15932,A7675,$B$3:B15932,B7675)</f>
        <v>1</v>
      </c>
      <c r="G7675" s="116"/>
    </row>
    <row r="7676" spans="1:7" x14ac:dyDescent="0.2">
      <c r="A7676" s="116">
        <f>IF(ISNUMBER(Tabela2[[#This Row],[CT-e/NFS]])=TRUE,(IF(B7676&gt;30000,4,IF(B7676&lt;1000,"ND",0))),"-")</f>
        <v>0</v>
      </c>
      <c r="B7676" s="116">
        <v>22743</v>
      </c>
      <c r="C7676" s="117">
        <v>45678</v>
      </c>
      <c r="D7676" s="116">
        <v>76.25</v>
      </c>
      <c r="E7676" s="117">
        <v>45687</v>
      </c>
      <c r="F7676" s="116">
        <f>COUNTIFS($A$3:A15933,A7676,$B$3:B15933,B7676)</f>
        <v>1</v>
      </c>
      <c r="G7676" s="116"/>
    </row>
    <row r="7677" spans="1:7" x14ac:dyDescent="0.2">
      <c r="A7677" s="116">
        <f>IF(ISNUMBER(Tabela2[[#This Row],[CT-e/NFS]])=TRUE,(IF(B7677&gt;30000,4,IF(B7677&lt;1000,"ND",0))),"-")</f>
        <v>0</v>
      </c>
      <c r="B7677" s="116">
        <v>22747</v>
      </c>
      <c r="C7677" s="117">
        <v>45678</v>
      </c>
      <c r="D7677" s="116">
        <v>171.44</v>
      </c>
      <c r="E7677" s="117">
        <v>45687</v>
      </c>
      <c r="F7677" s="116">
        <f>COUNTIFS($A$3:A15934,A7677,$B$3:B15934,B7677)</f>
        <v>1</v>
      </c>
      <c r="G7677" s="116"/>
    </row>
    <row r="7678" spans="1:7" x14ac:dyDescent="0.2">
      <c r="A7678" s="116">
        <f>IF(ISNUMBER(Tabela2[[#This Row],[CT-e/NFS]])=TRUE,(IF(B7678&gt;30000,4,IF(B7678&lt;1000,"ND",0))),"-")</f>
        <v>0</v>
      </c>
      <c r="B7678" s="116">
        <v>22748</v>
      </c>
      <c r="C7678" s="117">
        <v>45678</v>
      </c>
      <c r="D7678" s="116">
        <v>160.38</v>
      </c>
      <c r="E7678" s="117">
        <v>45687</v>
      </c>
      <c r="F7678" s="116">
        <f>COUNTIFS($A$3:A15935,A7678,$B$3:B15935,B7678)</f>
        <v>1</v>
      </c>
      <c r="G7678" s="116"/>
    </row>
    <row r="7679" spans="1:7" x14ac:dyDescent="0.2">
      <c r="A7679" s="116">
        <f>IF(ISNUMBER(Tabela2[[#This Row],[CT-e/NFS]])=TRUE,(IF(B7679&gt;30000,4,IF(B7679&lt;1000,"ND",0))),"-")</f>
        <v>0</v>
      </c>
      <c r="B7679" s="116">
        <v>22749</v>
      </c>
      <c r="C7679" s="117">
        <v>45678</v>
      </c>
      <c r="D7679" s="116">
        <v>327.20999999999998</v>
      </c>
      <c r="E7679" s="117">
        <v>45687</v>
      </c>
      <c r="F7679" s="116">
        <f>COUNTIFS($A$3:A15936,A7679,$B$3:B15936,B7679)</f>
        <v>1</v>
      </c>
      <c r="G7679" s="116"/>
    </row>
    <row r="7680" spans="1:7" x14ac:dyDescent="0.2">
      <c r="A7680" s="116">
        <f>IF(ISNUMBER(Tabela2[[#This Row],[CT-e/NFS]])=TRUE,(IF(B7680&gt;30000,4,IF(B7680&lt;1000,"ND",0))),"-")</f>
        <v>4</v>
      </c>
      <c r="B7680" s="116">
        <v>51200</v>
      </c>
      <c r="C7680" s="117">
        <v>45678</v>
      </c>
      <c r="D7680" s="116">
        <v>198.23</v>
      </c>
      <c r="E7680" s="117">
        <v>45687</v>
      </c>
      <c r="F7680" s="116">
        <f>COUNTIFS($A$3:A15937,A7680,$B$3:B15937,B7680)</f>
        <v>1</v>
      </c>
      <c r="G7680" s="116"/>
    </row>
    <row r="7681" spans="1:7" x14ac:dyDescent="0.2">
      <c r="A7681" s="116">
        <f>IF(ISNUMBER(Tabela2[[#This Row],[CT-e/NFS]])=TRUE,(IF(B7681&gt;30000,4,IF(B7681&lt;1000,"ND",0))),"-")</f>
        <v>4</v>
      </c>
      <c r="B7681" s="116">
        <v>51201</v>
      </c>
      <c r="C7681" s="117">
        <v>45678</v>
      </c>
      <c r="D7681" s="116">
        <v>359.03</v>
      </c>
      <c r="E7681" s="117">
        <v>45687</v>
      </c>
      <c r="F7681" s="116">
        <f>COUNTIFS($A$3:A15938,A7681,$B$3:B15938,B7681)</f>
        <v>1</v>
      </c>
      <c r="G7681" s="116"/>
    </row>
    <row r="7682" spans="1:7" x14ac:dyDescent="0.2">
      <c r="A7682" s="116">
        <f>IF(ISNUMBER(Tabela2[[#This Row],[CT-e/NFS]])=TRUE,(IF(B7682&gt;30000,4,IF(B7682&lt;1000,"ND",0))),"-")</f>
        <v>4</v>
      </c>
      <c r="B7682" s="116">
        <v>51226</v>
      </c>
      <c r="C7682" s="117">
        <v>45678</v>
      </c>
      <c r="D7682" s="116">
        <v>254.25</v>
      </c>
      <c r="E7682" s="117">
        <v>45687</v>
      </c>
      <c r="F7682" s="116">
        <f>COUNTIFS($A$3:A15939,A7682,$B$3:B15939,B7682)</f>
        <v>1</v>
      </c>
      <c r="G7682" s="116"/>
    </row>
    <row r="7683" spans="1:7" x14ac:dyDescent="0.2">
      <c r="A7683" s="116">
        <f>IF(ISNUMBER(Tabela2[[#This Row],[CT-e/NFS]])=TRUE,(IF(B7683&gt;30000,4,IF(B7683&lt;1000,"ND",0))),"-")</f>
        <v>4</v>
      </c>
      <c r="B7683" s="116">
        <v>51215</v>
      </c>
      <c r="C7683" s="117">
        <v>45678</v>
      </c>
      <c r="D7683" s="116">
        <v>704.16</v>
      </c>
      <c r="E7683" s="117">
        <v>45687</v>
      </c>
      <c r="F7683" s="116">
        <f>COUNTIFS($A$3:A15940,A7683,$B$3:B15940,B7683)</f>
        <v>1</v>
      </c>
      <c r="G7683" s="116"/>
    </row>
    <row r="7684" spans="1:7" x14ac:dyDescent="0.2">
      <c r="A7684" s="116">
        <f>IF(ISNUMBER(Tabela2[[#This Row],[CT-e/NFS]])=TRUE,(IF(B7684&gt;30000,4,IF(B7684&lt;1000,"ND",0))),"-")</f>
        <v>4</v>
      </c>
      <c r="B7684" s="116">
        <v>51225</v>
      </c>
      <c r="C7684" s="117">
        <v>45678</v>
      </c>
      <c r="D7684" s="116">
        <v>140.76</v>
      </c>
      <c r="E7684" s="117">
        <v>45687</v>
      </c>
      <c r="F7684" s="116">
        <f>COUNTIFS($A$3:A15941,A7684,$B$3:B15941,B7684)</f>
        <v>1</v>
      </c>
      <c r="G7684" s="116"/>
    </row>
    <row r="7685" spans="1:7" x14ac:dyDescent="0.2">
      <c r="A7685" s="116">
        <f>IF(ISNUMBER(Tabela2[[#This Row],[CT-e/NFS]])=TRUE,(IF(B7685&gt;30000,4,IF(B7685&lt;1000,"ND",0))),"-")</f>
        <v>4</v>
      </c>
      <c r="B7685" s="116">
        <v>51223</v>
      </c>
      <c r="C7685" s="117">
        <v>45678</v>
      </c>
      <c r="D7685" s="116">
        <v>2382.4</v>
      </c>
      <c r="E7685" s="117">
        <v>45687</v>
      </c>
      <c r="F7685" s="116">
        <f>COUNTIFS($A$3:A15942,A7685,$B$3:B15942,B7685)</f>
        <v>1</v>
      </c>
      <c r="G7685" s="116"/>
    </row>
    <row r="7686" spans="1:7" x14ac:dyDescent="0.2">
      <c r="A7686" s="116">
        <f>IF(ISNUMBER(Tabela2[[#This Row],[CT-e/NFS]])=TRUE,(IF(B7686&gt;30000,4,IF(B7686&lt;1000,"ND",0))),"-")</f>
        <v>4</v>
      </c>
      <c r="B7686" s="116">
        <v>51219</v>
      </c>
      <c r="C7686" s="117">
        <v>45678</v>
      </c>
      <c r="D7686" s="116">
        <v>238.86</v>
      </c>
      <c r="E7686" s="117">
        <v>45687</v>
      </c>
      <c r="F7686" s="116">
        <f>COUNTIFS($A$3:A15943,A7686,$B$3:B15943,B7686)</f>
        <v>1</v>
      </c>
      <c r="G7686" s="116"/>
    </row>
    <row r="7687" spans="1:7" x14ac:dyDescent="0.2">
      <c r="A7687" s="116">
        <f>IF(ISNUMBER(Tabela2[[#This Row],[CT-e/NFS]])=TRUE,(IF(B7687&gt;30000,4,IF(B7687&lt;1000,"ND",0))),"-")</f>
        <v>4</v>
      </c>
      <c r="B7687" s="116">
        <v>51230</v>
      </c>
      <c r="C7687" s="117">
        <v>45678</v>
      </c>
      <c r="D7687" s="116">
        <v>111.89</v>
      </c>
      <c r="E7687" s="117">
        <v>45687</v>
      </c>
      <c r="F7687" s="116">
        <f>COUNTIFS($A$3:A15944,A7687,$B$3:B15944,B7687)</f>
        <v>1</v>
      </c>
      <c r="G7687" s="116"/>
    </row>
    <row r="7688" spans="1:7" x14ac:dyDescent="0.2">
      <c r="A7688" s="116">
        <f>IF(ISNUMBER(Tabela2[[#This Row],[CT-e/NFS]])=TRUE,(IF(B7688&gt;30000,4,IF(B7688&lt;1000,"ND",0))),"-")</f>
        <v>4</v>
      </c>
      <c r="B7688" s="116">
        <v>51228</v>
      </c>
      <c r="C7688" s="117">
        <v>45678</v>
      </c>
      <c r="D7688" s="116">
        <v>111.63</v>
      </c>
      <c r="E7688" s="117">
        <v>45687</v>
      </c>
      <c r="F7688" s="116">
        <f>COUNTIFS($A$3:A15945,A7688,$B$3:B15945,B7688)</f>
        <v>1</v>
      </c>
      <c r="G7688" s="116"/>
    </row>
    <row r="7689" spans="1:7" x14ac:dyDescent="0.2">
      <c r="A7689" s="116">
        <f>IF(ISNUMBER(Tabela2[[#This Row],[CT-e/NFS]])=TRUE,(IF(B7689&gt;30000,4,IF(B7689&lt;1000,"ND",0))),"-")</f>
        <v>4</v>
      </c>
      <c r="B7689" s="116">
        <v>51231</v>
      </c>
      <c r="C7689" s="117">
        <v>45678</v>
      </c>
      <c r="D7689" s="116">
        <v>119.83</v>
      </c>
      <c r="E7689" s="117">
        <v>45687</v>
      </c>
      <c r="F7689" s="116">
        <f>COUNTIFS($A$3:A15946,A7689,$B$3:B15946,B7689)</f>
        <v>1</v>
      </c>
      <c r="G7689" s="116"/>
    </row>
    <row r="7690" spans="1:7" x14ac:dyDescent="0.2">
      <c r="A7690" s="116">
        <f>IF(ISNUMBER(Tabela2[[#This Row],[CT-e/NFS]])=TRUE,(IF(B7690&gt;30000,4,IF(B7690&lt;1000,"ND",0))),"-")</f>
        <v>4</v>
      </c>
      <c r="B7690" s="116">
        <v>51227</v>
      </c>
      <c r="C7690" s="117">
        <v>45678</v>
      </c>
      <c r="D7690" s="116">
        <v>61.94</v>
      </c>
      <c r="E7690" s="117">
        <v>45687</v>
      </c>
      <c r="F7690" s="116">
        <f>COUNTIFS($A$3:A15947,A7690,$B$3:B15947,B7690)</f>
        <v>1</v>
      </c>
      <c r="G7690" s="116"/>
    </row>
    <row r="7691" spans="1:7" x14ac:dyDescent="0.2">
      <c r="A7691" s="116">
        <f>IF(ISNUMBER(Tabela2[[#This Row],[CT-e/NFS]])=TRUE,(IF(B7691&gt;30000,4,IF(B7691&lt;1000,"ND",0))),"-")</f>
        <v>4</v>
      </c>
      <c r="B7691" s="116">
        <v>51229</v>
      </c>
      <c r="C7691" s="117">
        <v>45678</v>
      </c>
      <c r="D7691" s="116">
        <v>62.08</v>
      </c>
      <c r="E7691" s="117">
        <v>45687</v>
      </c>
      <c r="F7691" s="116">
        <f>COUNTIFS($A$3:A15948,A7691,$B$3:B15948,B7691)</f>
        <v>1</v>
      </c>
      <c r="G7691" s="116"/>
    </row>
    <row r="7692" spans="1:7" x14ac:dyDescent="0.2">
      <c r="A7692" s="116">
        <f>IF(ISNUMBER(Tabela2[[#This Row],[CT-e/NFS]])=TRUE,(IF(B7692&gt;30000,4,IF(B7692&lt;1000,"ND",0))),"-")</f>
        <v>4</v>
      </c>
      <c r="B7692" s="116">
        <v>51232</v>
      </c>
      <c r="C7692" s="117">
        <v>45678</v>
      </c>
      <c r="D7692" s="116">
        <v>215.81</v>
      </c>
      <c r="E7692" s="117">
        <v>45687</v>
      </c>
      <c r="F7692" s="116">
        <f>COUNTIFS($A$3:A15949,A7692,$B$3:B15949,B7692)</f>
        <v>1</v>
      </c>
      <c r="G7692" s="116"/>
    </row>
    <row r="7693" spans="1:7" x14ac:dyDescent="0.2">
      <c r="A7693" s="116">
        <f>IF(ISNUMBER(Tabela2[[#This Row],[CT-e/NFS]])=TRUE,(IF(B7693&gt;30000,4,IF(B7693&lt;1000,"ND",0))),"-")</f>
        <v>4</v>
      </c>
      <c r="B7693" s="116">
        <v>51217</v>
      </c>
      <c r="C7693" s="117">
        <v>45678</v>
      </c>
      <c r="D7693" s="116">
        <v>124.52</v>
      </c>
      <c r="E7693" s="117">
        <v>45687</v>
      </c>
      <c r="F7693" s="116">
        <f>COUNTIFS($A$3:A15950,A7693,$B$3:B15950,B7693)</f>
        <v>1</v>
      </c>
      <c r="G7693" s="116"/>
    </row>
    <row r="7694" spans="1:7" x14ac:dyDescent="0.2">
      <c r="A7694" s="116">
        <f>IF(ISNUMBER(Tabela2[[#This Row],[CT-e/NFS]])=TRUE,(IF(B7694&gt;30000,4,IF(B7694&lt;1000,"ND",0))),"-")</f>
        <v>4</v>
      </c>
      <c r="B7694" s="116">
        <v>51221</v>
      </c>
      <c r="C7694" s="117">
        <v>45678</v>
      </c>
      <c r="D7694" s="116">
        <v>454.19</v>
      </c>
      <c r="E7694" s="117">
        <v>45687</v>
      </c>
      <c r="F7694" s="116">
        <f>COUNTIFS($A$3:A15951,A7694,$B$3:B15951,B7694)</f>
        <v>1</v>
      </c>
      <c r="G7694" s="116"/>
    </row>
    <row r="7695" spans="1:7" x14ac:dyDescent="0.2">
      <c r="A7695" s="116">
        <f>IF(ISNUMBER(Tabela2[[#This Row],[CT-e/NFS]])=TRUE,(IF(B7695&gt;30000,4,IF(B7695&lt;1000,"ND",0))),"-")</f>
        <v>4</v>
      </c>
      <c r="B7695" s="116">
        <v>51211</v>
      </c>
      <c r="C7695" s="117">
        <v>45678</v>
      </c>
      <c r="D7695" s="116">
        <v>131.9</v>
      </c>
      <c r="E7695" s="117">
        <v>45687</v>
      </c>
      <c r="F7695" s="116">
        <f>COUNTIFS($A$3:A15952,A7695,$B$3:B15952,B7695)</f>
        <v>1</v>
      </c>
      <c r="G7695" s="116"/>
    </row>
    <row r="7696" spans="1:7" x14ac:dyDescent="0.2">
      <c r="A7696" s="116">
        <f>IF(ISNUMBER(Tabela2[[#This Row],[CT-e/NFS]])=TRUE,(IF(B7696&gt;30000,4,IF(B7696&lt;1000,"ND",0))),"-")</f>
        <v>4</v>
      </c>
      <c r="B7696" s="116">
        <v>51212</v>
      </c>
      <c r="C7696" s="117">
        <v>45678</v>
      </c>
      <c r="D7696" s="116">
        <v>125.69</v>
      </c>
      <c r="E7696" s="117">
        <v>45687</v>
      </c>
      <c r="F7696" s="116">
        <f>COUNTIFS($A$3:A15953,A7696,$B$3:B15953,B7696)</f>
        <v>1</v>
      </c>
      <c r="G7696" s="116"/>
    </row>
    <row r="7697" spans="1:7" x14ac:dyDescent="0.2">
      <c r="A7697" s="116">
        <f>IF(ISNUMBER(Tabela2[[#This Row],[CT-e/NFS]])=TRUE,(IF(B7697&gt;30000,4,IF(B7697&lt;1000,"ND",0))),"-")</f>
        <v>4</v>
      </c>
      <c r="B7697" s="116">
        <v>51235</v>
      </c>
      <c r="C7697" s="117">
        <v>45678</v>
      </c>
      <c r="D7697" s="116">
        <v>62.01</v>
      </c>
      <c r="E7697" s="117">
        <v>45687</v>
      </c>
      <c r="F7697" s="116">
        <f>COUNTIFS($A$3:A15954,A7697,$B$3:B15954,B7697)</f>
        <v>1</v>
      </c>
      <c r="G7697" s="116"/>
    </row>
    <row r="7698" spans="1:7" x14ac:dyDescent="0.2">
      <c r="A7698" s="116">
        <f>IF(ISNUMBER(Tabela2[[#This Row],[CT-e/NFS]])=TRUE,(IF(B7698&gt;30000,4,IF(B7698&lt;1000,"ND",0))),"-")</f>
        <v>4</v>
      </c>
      <c r="B7698" s="116">
        <v>51224</v>
      </c>
      <c r="C7698" s="117">
        <v>45678</v>
      </c>
      <c r="D7698" s="116">
        <v>549.78</v>
      </c>
      <c r="E7698" s="117">
        <v>45687</v>
      </c>
      <c r="F7698" s="116">
        <f>COUNTIFS($A$3:A15955,A7698,$B$3:B15955,B7698)</f>
        <v>1</v>
      </c>
      <c r="G7698" s="116"/>
    </row>
    <row r="7699" spans="1:7" x14ac:dyDescent="0.2">
      <c r="A7699" s="116">
        <f>IF(ISNUMBER(Tabela2[[#This Row],[CT-e/NFS]])=TRUE,(IF(B7699&gt;30000,4,IF(B7699&lt;1000,"ND",0))),"-")</f>
        <v>4</v>
      </c>
      <c r="B7699" s="116">
        <v>51214</v>
      </c>
      <c r="C7699" s="117">
        <v>45678</v>
      </c>
      <c r="D7699" s="116">
        <v>129.41</v>
      </c>
      <c r="E7699" s="117">
        <v>45687</v>
      </c>
      <c r="F7699" s="116">
        <f>COUNTIFS($A$3:A15956,A7699,$B$3:B15956,B7699)</f>
        <v>1</v>
      </c>
      <c r="G7699" s="116"/>
    </row>
    <row r="7700" spans="1:7" x14ac:dyDescent="0.2">
      <c r="A7700" s="116">
        <f>IF(ISNUMBER(Tabela2[[#This Row],[CT-e/NFS]])=TRUE,(IF(B7700&gt;30000,4,IF(B7700&lt;1000,"ND",0))),"-")</f>
        <v>4</v>
      </c>
      <c r="B7700" s="116">
        <v>51213</v>
      </c>
      <c r="C7700" s="117">
        <v>45678</v>
      </c>
      <c r="D7700" s="116">
        <v>124.69</v>
      </c>
      <c r="E7700" s="117">
        <v>45687</v>
      </c>
      <c r="F7700" s="116">
        <f>COUNTIFS($A$3:A15957,A7700,$B$3:B15957,B7700)</f>
        <v>1</v>
      </c>
      <c r="G7700" s="116"/>
    </row>
    <row r="7701" spans="1:7" x14ac:dyDescent="0.2">
      <c r="A7701" s="116">
        <f>IF(ISNUMBER(Tabela2[[#This Row],[CT-e/NFS]])=TRUE,(IF(B7701&gt;30000,4,IF(B7701&lt;1000,"ND",0))),"-")</f>
        <v>4</v>
      </c>
      <c r="B7701" s="116">
        <v>51216</v>
      </c>
      <c r="C7701" s="117">
        <v>45678</v>
      </c>
      <c r="D7701" s="116">
        <v>126.51</v>
      </c>
      <c r="E7701" s="117">
        <v>45687</v>
      </c>
      <c r="F7701" s="116">
        <f>COUNTIFS($A$3:A15958,A7701,$B$3:B15958,B7701)</f>
        <v>1</v>
      </c>
      <c r="G7701" s="116"/>
    </row>
    <row r="7702" spans="1:7" x14ac:dyDescent="0.2">
      <c r="A7702" s="116">
        <f>IF(ISNUMBER(Tabela2[[#This Row],[CT-e/NFS]])=TRUE,(IF(B7702&gt;30000,4,IF(B7702&lt;1000,"ND",0))),"-")</f>
        <v>4</v>
      </c>
      <c r="B7702" s="116">
        <v>51220</v>
      </c>
      <c r="C7702" s="117">
        <v>45678</v>
      </c>
      <c r="D7702" s="116">
        <v>124.6</v>
      </c>
      <c r="E7702" s="117">
        <v>45687</v>
      </c>
      <c r="F7702" s="116">
        <f>COUNTIFS($A$3:A15959,A7702,$B$3:B15959,B7702)</f>
        <v>1</v>
      </c>
      <c r="G7702" s="116"/>
    </row>
    <row r="7703" spans="1:7" x14ac:dyDescent="0.2">
      <c r="A7703" s="116">
        <f>IF(ISNUMBER(Tabela2[[#This Row],[CT-e/NFS]])=TRUE,(IF(B7703&gt;30000,4,IF(B7703&lt;1000,"ND",0))),"-")</f>
        <v>0</v>
      </c>
      <c r="B7703" s="116">
        <v>22759</v>
      </c>
      <c r="C7703" s="117">
        <v>45678</v>
      </c>
      <c r="D7703" s="116">
        <v>75.64</v>
      </c>
      <c r="E7703" s="117">
        <v>45687</v>
      </c>
      <c r="F7703" s="116">
        <f>COUNTIFS($A$3:A15960,A7703,$B$3:B15960,B7703)</f>
        <v>1</v>
      </c>
      <c r="G7703" s="116"/>
    </row>
    <row r="7704" spans="1:7" x14ac:dyDescent="0.2">
      <c r="A7704" s="116">
        <f>IF(ISNUMBER(Tabela2[[#This Row],[CT-e/NFS]])=TRUE,(IF(B7704&gt;30000,4,IF(B7704&lt;1000,"ND",0))),"-")</f>
        <v>0</v>
      </c>
      <c r="B7704" s="116">
        <v>22760</v>
      </c>
      <c r="C7704" s="117">
        <v>45678</v>
      </c>
      <c r="D7704" s="116">
        <v>75.680000000000007</v>
      </c>
      <c r="E7704" s="117">
        <v>45687</v>
      </c>
      <c r="F7704" s="116">
        <f>COUNTIFS($A$3:A15961,A7704,$B$3:B15961,B7704)</f>
        <v>1</v>
      </c>
      <c r="G7704" s="116"/>
    </row>
    <row r="7705" spans="1:7" x14ac:dyDescent="0.2">
      <c r="A7705" s="116">
        <f>IF(ISNUMBER(Tabela2[[#This Row],[CT-e/NFS]])=TRUE,(IF(B7705&gt;30000,4,IF(B7705&lt;1000,"ND",0))),"-")</f>
        <v>4</v>
      </c>
      <c r="B7705" s="116">
        <v>51218</v>
      </c>
      <c r="C7705" s="117">
        <v>45678</v>
      </c>
      <c r="D7705" s="116">
        <v>1649.35</v>
      </c>
      <c r="E7705" s="117">
        <v>45687</v>
      </c>
      <c r="F7705" s="116">
        <f>COUNTIFS($A$3:A15962,A7705,$B$3:B15962,B7705)</f>
        <v>1</v>
      </c>
      <c r="G7705" s="116"/>
    </row>
    <row r="7706" spans="1:7" x14ac:dyDescent="0.2">
      <c r="A7706" s="116">
        <f>IF(ISNUMBER(Tabela2[[#This Row],[CT-e/NFS]])=TRUE,(IF(B7706&gt;30000,4,IF(B7706&lt;1000,"ND",0))),"-")</f>
        <v>4</v>
      </c>
      <c r="B7706" s="116">
        <v>51174</v>
      </c>
      <c r="C7706" s="117">
        <v>45678</v>
      </c>
      <c r="D7706" s="116">
        <v>112.03</v>
      </c>
      <c r="E7706" s="117">
        <v>45687</v>
      </c>
      <c r="F7706" s="116">
        <f>COUNTIFS($A$3:A15963,A7706,$B$3:B15963,B7706)</f>
        <v>1</v>
      </c>
      <c r="G7706" s="116"/>
    </row>
    <row r="7707" spans="1:7" x14ac:dyDescent="0.2">
      <c r="A7707" s="116">
        <f>IF(ISNUMBER(Tabela2[[#This Row],[CT-e/NFS]])=TRUE,(IF(B7707&gt;30000,4,IF(B7707&lt;1000,"ND",0))),"-")</f>
        <v>4</v>
      </c>
      <c r="B7707" s="116">
        <v>51173</v>
      </c>
      <c r="C7707" s="117">
        <v>45678</v>
      </c>
      <c r="D7707" s="116">
        <v>62.15</v>
      </c>
      <c r="E7707" s="117">
        <v>45687</v>
      </c>
      <c r="F7707" s="116">
        <f>COUNTIFS($A$3:A15964,A7707,$B$3:B15964,B7707)</f>
        <v>1</v>
      </c>
      <c r="G7707" s="116"/>
    </row>
    <row r="7708" spans="1:7" x14ac:dyDescent="0.2">
      <c r="A7708" s="116">
        <f>IF(ISNUMBER(Tabela2[[#This Row],[CT-e/NFS]])=TRUE,(IF(B7708&gt;30000,4,IF(B7708&lt;1000,"ND",0))),"-")</f>
        <v>0</v>
      </c>
      <c r="B7708" s="116">
        <v>22769</v>
      </c>
      <c r="C7708" s="117">
        <v>45678</v>
      </c>
      <c r="D7708" s="116">
        <v>77.209999999999994</v>
      </c>
      <c r="E7708" s="117">
        <v>45687</v>
      </c>
      <c r="F7708" s="116">
        <f>COUNTIFS($A$3:A15965,A7708,$B$3:B15965,B7708)</f>
        <v>1</v>
      </c>
      <c r="G7708" s="116"/>
    </row>
    <row r="7709" spans="1:7" x14ac:dyDescent="0.2">
      <c r="A7709" s="116">
        <f>IF(ISNUMBER(Tabela2[[#This Row],[CT-e/NFS]])=TRUE,(IF(B7709&gt;30000,4,IF(B7709&lt;1000,"ND",0))),"-")</f>
        <v>0</v>
      </c>
      <c r="B7709" s="116">
        <v>22765</v>
      </c>
      <c r="C7709" s="117">
        <v>45678</v>
      </c>
      <c r="D7709" s="116">
        <v>76.36</v>
      </c>
      <c r="E7709" s="117">
        <v>45687</v>
      </c>
      <c r="F7709" s="116">
        <f>COUNTIFS($A$3:A15966,A7709,$B$3:B15966,B7709)</f>
        <v>1</v>
      </c>
      <c r="G7709" s="116"/>
    </row>
    <row r="7710" spans="1:7" x14ac:dyDescent="0.2">
      <c r="A7710" s="116">
        <f>IF(ISNUMBER(Tabela2[[#This Row],[CT-e/NFS]])=TRUE,(IF(B7710&gt;30000,4,IF(B7710&lt;1000,"ND",0))),"-")</f>
        <v>0</v>
      </c>
      <c r="B7710" s="116">
        <v>22766</v>
      </c>
      <c r="C7710" s="117">
        <v>45678</v>
      </c>
      <c r="D7710" s="116">
        <v>76.41</v>
      </c>
      <c r="E7710" s="117">
        <v>45687</v>
      </c>
      <c r="F7710" s="116">
        <f>COUNTIFS($A$3:A15967,A7710,$B$3:B15967,B7710)</f>
        <v>1</v>
      </c>
      <c r="G7710" s="116"/>
    </row>
    <row r="7711" spans="1:7" x14ac:dyDescent="0.2">
      <c r="A7711" s="116">
        <f>IF(ISNUMBER(Tabela2[[#This Row],[CT-e/NFS]])=TRUE,(IF(B7711&gt;30000,4,IF(B7711&lt;1000,"ND",0))),"-")</f>
        <v>0</v>
      </c>
      <c r="B7711" s="116">
        <v>22767</v>
      </c>
      <c r="C7711" s="117">
        <v>45678</v>
      </c>
      <c r="D7711" s="116">
        <v>87.56</v>
      </c>
      <c r="E7711" s="117">
        <v>45687</v>
      </c>
      <c r="F7711" s="116">
        <f>COUNTIFS($A$3:A15968,A7711,$B$3:B15968,B7711)</f>
        <v>1</v>
      </c>
      <c r="G7711" s="116"/>
    </row>
    <row r="7712" spans="1:7" x14ac:dyDescent="0.2">
      <c r="A7712" s="116">
        <f>IF(ISNUMBER(Tabela2[[#This Row],[CT-e/NFS]])=TRUE,(IF(B7712&gt;30000,4,IF(B7712&lt;1000,"ND",0))),"-")</f>
        <v>4</v>
      </c>
      <c r="B7712" s="116">
        <v>51240</v>
      </c>
      <c r="C7712" s="117">
        <v>45678</v>
      </c>
      <c r="D7712" s="116">
        <v>195.6</v>
      </c>
      <c r="E7712" s="117">
        <v>45687</v>
      </c>
      <c r="F7712" s="116">
        <f>COUNTIFS($A$3:A15969,A7712,$B$3:B15969,B7712)</f>
        <v>1</v>
      </c>
      <c r="G7712" s="116"/>
    </row>
    <row r="7713" spans="1:7" x14ac:dyDescent="0.2">
      <c r="A7713" s="116">
        <f>IF(ISNUMBER(Tabela2[[#This Row],[CT-e/NFS]])=TRUE,(IF(B7713&gt;30000,4,IF(B7713&lt;1000,"ND",0))),"-")</f>
        <v>4</v>
      </c>
      <c r="B7713" s="116">
        <v>51241</v>
      </c>
      <c r="C7713" s="117">
        <v>45678</v>
      </c>
      <c r="D7713" s="116">
        <v>202.27</v>
      </c>
      <c r="E7713" s="117">
        <v>45687</v>
      </c>
      <c r="F7713" s="116">
        <f>COUNTIFS($A$3:A15970,A7713,$B$3:B15970,B7713)</f>
        <v>1</v>
      </c>
      <c r="G7713" s="116"/>
    </row>
    <row r="7714" spans="1:7" x14ac:dyDescent="0.2">
      <c r="A7714" s="116">
        <f>IF(ISNUMBER(Tabela2[[#This Row],[CT-e/NFS]])=TRUE,(IF(B7714&gt;30000,4,IF(B7714&lt;1000,"ND",0))),"-")</f>
        <v>4</v>
      </c>
      <c r="B7714" s="116">
        <v>51239</v>
      </c>
      <c r="C7714" s="117">
        <v>45678</v>
      </c>
      <c r="D7714" s="116">
        <v>326.73</v>
      </c>
      <c r="E7714" s="117">
        <v>45687</v>
      </c>
      <c r="F7714" s="116">
        <f>COUNTIFS($A$3:A15971,A7714,$B$3:B15971,B7714)</f>
        <v>1</v>
      </c>
      <c r="G7714" s="116"/>
    </row>
    <row r="7715" spans="1:7" x14ac:dyDescent="0.2">
      <c r="A7715" s="116">
        <f>IF(ISNUMBER(Tabela2[[#This Row],[CT-e/NFS]])=TRUE,(IF(B7715&gt;30000,4,IF(B7715&lt;1000,"ND",0))),"-")</f>
        <v>4</v>
      </c>
      <c r="B7715" s="116">
        <v>51242</v>
      </c>
      <c r="C7715" s="117">
        <v>45678</v>
      </c>
      <c r="D7715" s="116">
        <v>200.55</v>
      </c>
      <c r="E7715" s="117">
        <v>45687</v>
      </c>
      <c r="F7715" s="116">
        <f>COUNTIFS($A$3:A15972,A7715,$B$3:B15972,B7715)</f>
        <v>1</v>
      </c>
      <c r="G7715" s="116"/>
    </row>
    <row r="7716" spans="1:7" x14ac:dyDescent="0.2">
      <c r="A7716" s="116">
        <f>IF(ISNUMBER(Tabela2[[#This Row],[CT-e/NFS]])=TRUE,(IF(B7716&gt;30000,4,IF(B7716&lt;1000,"ND",0))),"-")</f>
        <v>4</v>
      </c>
      <c r="B7716" s="116">
        <v>51243</v>
      </c>
      <c r="C7716" s="117">
        <v>45678</v>
      </c>
      <c r="D7716" s="116">
        <v>212.58</v>
      </c>
      <c r="E7716" s="117">
        <v>45687</v>
      </c>
      <c r="F7716" s="116">
        <f>COUNTIFS($A$3:A15973,A7716,$B$3:B15973,B7716)</f>
        <v>1</v>
      </c>
      <c r="G7716" s="116"/>
    </row>
    <row r="7717" spans="1:7" x14ac:dyDescent="0.2">
      <c r="A7717" s="116">
        <f>IF(ISNUMBER(Tabela2[[#This Row],[CT-e/NFS]])=TRUE,(IF(B7717&gt;30000,4,IF(B7717&lt;1000,"ND",0))),"-")</f>
        <v>4</v>
      </c>
      <c r="B7717" s="116">
        <v>51237</v>
      </c>
      <c r="C7717" s="117">
        <v>45678</v>
      </c>
      <c r="D7717" s="116">
        <v>961.67</v>
      </c>
      <c r="E7717" s="117">
        <v>45687</v>
      </c>
      <c r="F7717" s="116">
        <f>COUNTIFS($A$3:A15974,A7717,$B$3:B15974,B7717)</f>
        <v>1</v>
      </c>
      <c r="G7717" s="116"/>
    </row>
    <row r="7718" spans="1:7" x14ac:dyDescent="0.2">
      <c r="A7718" s="116">
        <f>IF(ISNUMBER(Tabela2[[#This Row],[CT-e/NFS]])=TRUE,(IF(B7718&gt;30000,4,IF(B7718&lt;1000,"ND",0))),"-")</f>
        <v>4</v>
      </c>
      <c r="B7718" s="116">
        <v>51259</v>
      </c>
      <c r="C7718" s="117">
        <v>45678</v>
      </c>
      <c r="D7718" s="116">
        <v>123.38</v>
      </c>
      <c r="E7718" s="117">
        <v>45687</v>
      </c>
      <c r="F7718" s="116">
        <f>COUNTIFS($A$3:A15975,A7718,$B$3:B15975,B7718)</f>
        <v>1</v>
      </c>
      <c r="G7718" s="116"/>
    </row>
    <row r="7719" spans="1:7" x14ac:dyDescent="0.2">
      <c r="A7719" s="116">
        <f>IF(ISNUMBER(Tabela2[[#This Row],[CT-e/NFS]])=TRUE,(IF(B7719&gt;30000,4,IF(B7719&lt;1000,"ND",0))),"-")</f>
        <v>4</v>
      </c>
      <c r="B7719" s="116">
        <v>51251</v>
      </c>
      <c r="C7719" s="117">
        <v>45678</v>
      </c>
      <c r="D7719" s="116">
        <v>240.3</v>
      </c>
      <c r="E7719" s="117">
        <v>45687</v>
      </c>
      <c r="F7719" s="116">
        <f>COUNTIFS($A$3:A15976,A7719,$B$3:B15976,B7719)</f>
        <v>1</v>
      </c>
      <c r="G7719" s="116"/>
    </row>
    <row r="7720" spans="1:7" x14ac:dyDescent="0.2">
      <c r="A7720" s="116">
        <f>IF(ISNUMBER(Tabela2[[#This Row],[CT-e/NFS]])=TRUE,(IF(B7720&gt;30000,4,IF(B7720&lt;1000,"ND",0))),"-")</f>
        <v>4</v>
      </c>
      <c r="B7720" s="116">
        <v>51261</v>
      </c>
      <c r="C7720" s="117">
        <v>45678</v>
      </c>
      <c r="D7720" s="116">
        <v>119.09</v>
      </c>
      <c r="E7720" s="117">
        <v>45687</v>
      </c>
      <c r="F7720" s="116">
        <f>COUNTIFS($A$3:A15977,A7720,$B$3:B15977,B7720)</f>
        <v>1</v>
      </c>
      <c r="G7720" s="116"/>
    </row>
    <row r="7721" spans="1:7" x14ac:dyDescent="0.2">
      <c r="A7721" s="116">
        <f>IF(ISNUMBER(Tabela2[[#This Row],[CT-e/NFS]])=TRUE,(IF(B7721&gt;30000,4,IF(B7721&lt;1000,"ND",0))),"-")</f>
        <v>4</v>
      </c>
      <c r="B7721" s="116">
        <v>51262</v>
      </c>
      <c r="C7721" s="117">
        <v>45678</v>
      </c>
      <c r="D7721" s="116">
        <v>122.76</v>
      </c>
      <c r="E7721" s="117">
        <v>45687</v>
      </c>
      <c r="F7721" s="116">
        <f>COUNTIFS($A$3:A15978,A7721,$B$3:B15978,B7721)</f>
        <v>1</v>
      </c>
      <c r="G7721" s="116"/>
    </row>
    <row r="7722" spans="1:7" x14ac:dyDescent="0.2">
      <c r="A7722" s="116">
        <f>IF(ISNUMBER(Tabela2[[#This Row],[CT-e/NFS]])=TRUE,(IF(B7722&gt;30000,4,IF(B7722&lt;1000,"ND",0))),"-")</f>
        <v>4</v>
      </c>
      <c r="B7722" s="116">
        <v>51250</v>
      </c>
      <c r="C7722" s="117">
        <v>45678</v>
      </c>
      <c r="D7722" s="116">
        <v>123.16</v>
      </c>
      <c r="E7722" s="117">
        <v>45687</v>
      </c>
      <c r="F7722" s="116">
        <f>COUNTIFS($A$3:A15979,A7722,$B$3:B15979,B7722)</f>
        <v>1</v>
      </c>
      <c r="G7722" s="116"/>
    </row>
    <row r="7723" spans="1:7" x14ac:dyDescent="0.2">
      <c r="A7723" s="116">
        <f>IF(ISNUMBER(Tabela2[[#This Row],[CT-e/NFS]])=TRUE,(IF(B7723&gt;30000,4,IF(B7723&lt;1000,"ND",0))),"-")</f>
        <v>4</v>
      </c>
      <c r="B7723" s="116">
        <v>51245</v>
      </c>
      <c r="C7723" s="117">
        <v>45678</v>
      </c>
      <c r="D7723" s="116">
        <v>246.33</v>
      </c>
      <c r="E7723" s="117">
        <v>45687</v>
      </c>
      <c r="F7723" s="116">
        <f>COUNTIFS($A$3:A15980,A7723,$B$3:B15980,B7723)</f>
        <v>1</v>
      </c>
      <c r="G7723" s="116"/>
    </row>
    <row r="7724" spans="1:7" x14ac:dyDescent="0.2">
      <c r="A7724" s="116">
        <f>IF(ISNUMBER(Tabela2[[#This Row],[CT-e/NFS]])=TRUE,(IF(B7724&gt;30000,4,IF(B7724&lt;1000,"ND",0))),"-")</f>
        <v>4</v>
      </c>
      <c r="B7724" s="116">
        <v>51247</v>
      </c>
      <c r="C7724" s="117">
        <v>45678</v>
      </c>
      <c r="D7724" s="116">
        <v>125.08</v>
      </c>
      <c r="E7724" s="117">
        <v>45687</v>
      </c>
      <c r="F7724" s="116">
        <f>COUNTIFS($A$3:A15981,A7724,$B$3:B15981,B7724)</f>
        <v>1</v>
      </c>
      <c r="G7724" s="116"/>
    </row>
    <row r="7725" spans="1:7" x14ac:dyDescent="0.2">
      <c r="A7725" s="116">
        <f>IF(ISNUMBER(Tabela2[[#This Row],[CT-e/NFS]])=TRUE,(IF(B7725&gt;30000,4,IF(B7725&lt;1000,"ND",0))),"-")</f>
        <v>4</v>
      </c>
      <c r="B7725" s="116">
        <v>51260</v>
      </c>
      <c r="C7725" s="117">
        <v>45678</v>
      </c>
      <c r="D7725" s="116">
        <v>65.94</v>
      </c>
      <c r="E7725" s="117">
        <v>45687</v>
      </c>
      <c r="F7725" s="116">
        <f>COUNTIFS($A$3:A15982,A7725,$B$3:B15982,B7725)</f>
        <v>1</v>
      </c>
      <c r="G7725" s="116"/>
    </row>
    <row r="7726" spans="1:7" x14ac:dyDescent="0.2">
      <c r="A7726" s="116">
        <f>IF(ISNUMBER(Tabela2[[#This Row],[CT-e/NFS]])=TRUE,(IF(B7726&gt;30000,4,IF(B7726&lt;1000,"ND",0))),"-")</f>
        <v>4</v>
      </c>
      <c r="B7726" s="116">
        <v>51248</v>
      </c>
      <c r="C7726" s="117">
        <v>45678</v>
      </c>
      <c r="D7726" s="116">
        <v>124.69</v>
      </c>
      <c r="E7726" s="117">
        <v>45687</v>
      </c>
      <c r="F7726" s="116">
        <f>COUNTIFS($A$3:A15983,A7726,$B$3:B15983,B7726)</f>
        <v>1</v>
      </c>
      <c r="G7726" s="116"/>
    </row>
    <row r="7727" spans="1:7" x14ac:dyDescent="0.2">
      <c r="A7727" s="116">
        <f>IF(ISNUMBER(Tabela2[[#This Row],[CT-e/NFS]])=TRUE,(IF(B7727&gt;30000,4,IF(B7727&lt;1000,"ND",0))),"-")</f>
        <v>4</v>
      </c>
      <c r="B7727" s="116">
        <v>51246</v>
      </c>
      <c r="C7727" s="117">
        <v>45678</v>
      </c>
      <c r="D7727" s="116">
        <v>124.35</v>
      </c>
      <c r="E7727" s="117">
        <v>45687</v>
      </c>
      <c r="F7727" s="116">
        <f>COUNTIFS($A$3:A15984,A7727,$B$3:B15984,B7727)</f>
        <v>1</v>
      </c>
      <c r="G7727" s="116"/>
    </row>
    <row r="7728" spans="1:7" x14ac:dyDescent="0.2">
      <c r="A7728" s="116">
        <f>IF(ISNUMBER(Tabela2[[#This Row],[CT-e/NFS]])=TRUE,(IF(B7728&gt;30000,4,IF(B7728&lt;1000,"ND",0))),"-")</f>
        <v>4</v>
      </c>
      <c r="B7728" s="116">
        <v>51264</v>
      </c>
      <c r="C7728" s="117">
        <v>45678</v>
      </c>
      <c r="D7728" s="116">
        <v>609.98</v>
      </c>
      <c r="E7728" s="117">
        <v>45687</v>
      </c>
      <c r="F7728" s="116">
        <f>COUNTIFS($A$3:A15985,A7728,$B$3:B15985,B7728)</f>
        <v>1</v>
      </c>
      <c r="G7728" s="116"/>
    </row>
    <row r="7729" spans="1:7" x14ac:dyDescent="0.2">
      <c r="A7729" s="116">
        <f>IF(ISNUMBER(Tabela2[[#This Row],[CT-e/NFS]])=TRUE,(IF(B7729&gt;30000,4,IF(B7729&lt;1000,"ND",0))),"-")</f>
        <v>4</v>
      </c>
      <c r="B7729" s="116">
        <v>51252</v>
      </c>
      <c r="C7729" s="117">
        <v>45678</v>
      </c>
      <c r="D7729" s="116">
        <v>125.16</v>
      </c>
      <c r="E7729" s="117">
        <v>45687</v>
      </c>
      <c r="F7729" s="116">
        <f>COUNTIFS($A$3:A15986,A7729,$B$3:B15986,B7729)</f>
        <v>1</v>
      </c>
      <c r="G7729" s="116"/>
    </row>
    <row r="7730" spans="1:7" x14ac:dyDescent="0.2">
      <c r="A7730" s="116">
        <f>IF(ISNUMBER(Tabela2[[#This Row],[CT-e/NFS]])=TRUE,(IF(B7730&gt;30000,4,IF(B7730&lt;1000,"ND",0))),"-")</f>
        <v>4</v>
      </c>
      <c r="B7730" s="116">
        <v>51265</v>
      </c>
      <c r="C7730" s="117">
        <v>45678</v>
      </c>
      <c r="D7730" s="116">
        <v>126.1</v>
      </c>
      <c r="E7730" s="117">
        <v>45687</v>
      </c>
      <c r="F7730" s="116">
        <f>COUNTIFS($A$3:A15987,A7730,$B$3:B15987,B7730)</f>
        <v>1</v>
      </c>
      <c r="G7730" s="116"/>
    </row>
    <row r="7731" spans="1:7" x14ac:dyDescent="0.2">
      <c r="A7731" s="116">
        <f>IF(ISNUMBER(Tabela2[[#This Row],[CT-e/NFS]])=TRUE,(IF(B7731&gt;30000,4,IF(B7731&lt;1000,"ND",0))),"-")</f>
        <v>4</v>
      </c>
      <c r="B7731" s="116">
        <v>51266</v>
      </c>
      <c r="C7731" s="117">
        <v>45678</v>
      </c>
      <c r="D7731" s="116">
        <v>124.32</v>
      </c>
      <c r="E7731" s="117">
        <v>45687</v>
      </c>
      <c r="F7731" s="116">
        <f>COUNTIFS($A$3:A15988,A7731,$B$3:B15988,B7731)</f>
        <v>1</v>
      </c>
      <c r="G7731" s="116"/>
    </row>
    <row r="7732" spans="1:7" x14ac:dyDescent="0.2">
      <c r="A7732" s="116">
        <f>IF(ISNUMBER(Tabela2[[#This Row],[CT-e/NFS]])=TRUE,(IF(B7732&gt;30000,4,IF(B7732&lt;1000,"ND",0))),"-")</f>
        <v>4</v>
      </c>
      <c r="B7732" s="116">
        <v>51253</v>
      </c>
      <c r="C7732" s="117">
        <v>45678</v>
      </c>
      <c r="D7732" s="116">
        <v>205.91</v>
      </c>
      <c r="E7732" s="117">
        <v>45687</v>
      </c>
      <c r="F7732" s="116">
        <f>COUNTIFS($A$3:A15989,A7732,$B$3:B15989,B7732)</f>
        <v>1</v>
      </c>
      <c r="G7732" s="116"/>
    </row>
    <row r="7733" spans="1:7" x14ac:dyDescent="0.2">
      <c r="A7733" s="116">
        <f>IF(ISNUMBER(Tabela2[[#This Row],[CT-e/NFS]])=TRUE,(IF(B7733&gt;30000,4,IF(B7733&lt;1000,"ND",0))),"-")</f>
        <v>4</v>
      </c>
      <c r="B7733" s="116">
        <v>51254</v>
      </c>
      <c r="C7733" s="117">
        <v>45678</v>
      </c>
      <c r="D7733" s="116">
        <v>124.36</v>
      </c>
      <c r="E7733" s="117">
        <v>45687</v>
      </c>
      <c r="F7733" s="116">
        <f>COUNTIFS($A$3:A15990,A7733,$B$3:B15990,B7733)</f>
        <v>1</v>
      </c>
      <c r="G7733" s="116"/>
    </row>
    <row r="7734" spans="1:7" x14ac:dyDescent="0.2">
      <c r="A7734" s="116">
        <f>IF(ISNUMBER(Tabela2[[#This Row],[CT-e/NFS]])=TRUE,(IF(B7734&gt;30000,4,IF(B7734&lt;1000,"ND",0))),"-")</f>
        <v>4</v>
      </c>
      <c r="B7734" s="116">
        <v>51255</v>
      </c>
      <c r="C7734" s="117">
        <v>45678</v>
      </c>
      <c r="D7734" s="116">
        <v>123.09</v>
      </c>
      <c r="E7734" s="117">
        <v>45687</v>
      </c>
      <c r="F7734" s="116">
        <f>COUNTIFS($A$3:A15991,A7734,$B$3:B15991,B7734)</f>
        <v>1</v>
      </c>
      <c r="G7734" s="116"/>
    </row>
    <row r="7735" spans="1:7" x14ac:dyDescent="0.2">
      <c r="A7735" s="116">
        <f>IF(ISNUMBER(Tabela2[[#This Row],[CT-e/NFS]])=TRUE,(IF(B7735&gt;30000,4,IF(B7735&lt;1000,"ND",0))),"-")</f>
        <v>4</v>
      </c>
      <c r="B7735" s="116">
        <v>51268</v>
      </c>
      <c r="C7735" s="117">
        <v>45678</v>
      </c>
      <c r="D7735" s="116">
        <v>1328.41</v>
      </c>
      <c r="E7735" s="117">
        <v>45687</v>
      </c>
      <c r="F7735" s="116">
        <f>COUNTIFS($A$3:A15992,A7735,$B$3:B15992,B7735)</f>
        <v>1</v>
      </c>
      <c r="G7735" s="116"/>
    </row>
    <row r="7736" spans="1:7" x14ac:dyDescent="0.2">
      <c r="A7736" s="116">
        <f>IF(ISNUMBER(Tabela2[[#This Row],[CT-e/NFS]])=TRUE,(IF(B7736&gt;30000,4,IF(B7736&lt;1000,"ND",0))),"-")</f>
        <v>4</v>
      </c>
      <c r="B7736" s="116">
        <v>51258</v>
      </c>
      <c r="C7736" s="117">
        <v>45678</v>
      </c>
      <c r="D7736" s="116">
        <v>2015.88</v>
      </c>
      <c r="E7736" s="117">
        <v>45687</v>
      </c>
      <c r="F7736" s="116">
        <f>COUNTIFS($A$3:A15993,A7736,$B$3:B15993,B7736)</f>
        <v>1</v>
      </c>
      <c r="G7736" s="116"/>
    </row>
    <row r="7737" spans="1:7" x14ac:dyDescent="0.2">
      <c r="A7737" s="116">
        <f>IF(ISNUMBER(Tabela2[[#This Row],[CT-e/NFS]])=TRUE,(IF(B7737&gt;30000,4,IF(B7737&lt;1000,"ND",0))),"-")</f>
        <v>4</v>
      </c>
      <c r="B7737" s="116">
        <v>51244</v>
      </c>
      <c r="C7737" s="117">
        <v>45678</v>
      </c>
      <c r="D7737" s="116">
        <v>223.42</v>
      </c>
      <c r="E7737" s="117">
        <v>45687</v>
      </c>
      <c r="F7737" s="116">
        <f>COUNTIFS($A$3:A15994,A7737,$B$3:B15994,B7737)</f>
        <v>1</v>
      </c>
      <c r="G7737" s="116"/>
    </row>
    <row r="7738" spans="1:7" x14ac:dyDescent="0.2">
      <c r="A7738" s="116">
        <f>IF(ISNUMBER(Tabela2[[#This Row],[CT-e/NFS]])=TRUE,(IF(B7738&gt;30000,4,IF(B7738&lt;1000,"ND",0))),"-")</f>
        <v>4</v>
      </c>
      <c r="B7738" s="116">
        <v>51256</v>
      </c>
      <c r="C7738" s="117">
        <v>45678</v>
      </c>
      <c r="D7738" s="116">
        <v>2015.88</v>
      </c>
      <c r="E7738" s="117">
        <v>45687</v>
      </c>
      <c r="F7738" s="116">
        <f>COUNTIFS($A$3:A15995,A7738,$B$3:B15995,B7738)</f>
        <v>1</v>
      </c>
      <c r="G7738" s="116"/>
    </row>
    <row r="7739" spans="1:7" x14ac:dyDescent="0.2">
      <c r="A7739" s="116">
        <f>IF(ISNUMBER(Tabela2[[#This Row],[CT-e/NFS]])=TRUE,(IF(B7739&gt;30000,4,IF(B7739&lt;1000,"ND",0))),"-")</f>
        <v>4</v>
      </c>
      <c r="B7739" s="116">
        <v>51117</v>
      </c>
      <c r="C7739" s="117">
        <v>45678</v>
      </c>
      <c r="D7739" s="116">
        <v>2906.31</v>
      </c>
      <c r="E7739" s="117">
        <v>45687</v>
      </c>
      <c r="F7739" s="116">
        <f>COUNTIFS($A$3:A15996,A7739,$B$3:B15996,B7739)</f>
        <v>1</v>
      </c>
      <c r="G7739" s="116"/>
    </row>
    <row r="7740" spans="1:7" x14ac:dyDescent="0.2">
      <c r="A7740" s="116">
        <f>IF(ISNUMBER(Tabela2[[#This Row],[CT-e/NFS]])=TRUE,(IF(B7740&gt;30000,4,IF(B7740&lt;1000,"ND",0))),"-")</f>
        <v>4</v>
      </c>
      <c r="B7740" s="116">
        <v>51197</v>
      </c>
      <c r="C7740" s="117">
        <v>45678</v>
      </c>
      <c r="D7740" s="116">
        <v>2906.31</v>
      </c>
      <c r="E7740" s="117">
        <v>45687</v>
      </c>
      <c r="F7740" s="116">
        <f>COUNTIFS($A$3:A15997,A7740,$B$3:B15997,B7740)</f>
        <v>1</v>
      </c>
      <c r="G7740" s="116"/>
    </row>
    <row r="7741" spans="1:7" x14ac:dyDescent="0.2">
      <c r="A7741" s="116">
        <f>IF(ISNUMBER(Tabela2[[#This Row],[CT-e/NFS]])=TRUE,(IF(B7741&gt;30000,4,IF(B7741&lt;1000,"ND",0))),"-")</f>
        <v>4</v>
      </c>
      <c r="B7741" s="116">
        <v>51233</v>
      </c>
      <c r="C7741" s="117">
        <v>45678</v>
      </c>
      <c r="D7741" s="116">
        <v>1086.24</v>
      </c>
      <c r="E7741" s="117">
        <v>45687</v>
      </c>
      <c r="F7741" s="116">
        <f>COUNTIFS($A$3:A15998,A7741,$B$3:B15998,B7741)</f>
        <v>1</v>
      </c>
      <c r="G7741" s="116"/>
    </row>
    <row r="7742" spans="1:7" x14ac:dyDescent="0.2">
      <c r="A7742" s="116">
        <f>IF(ISNUMBER(Tabela2[[#This Row],[CT-e/NFS]])=TRUE,(IF(B7742&gt;30000,4,IF(B7742&lt;1000,"ND",0))),"-")</f>
        <v>4</v>
      </c>
      <c r="B7742" s="116">
        <v>51131</v>
      </c>
      <c r="C7742" s="117">
        <v>45678</v>
      </c>
      <c r="D7742" s="116">
        <v>123.13</v>
      </c>
      <c r="E7742" s="117">
        <v>45687</v>
      </c>
      <c r="F7742" s="116">
        <f>COUNTIFS($A$3:A15999,A7742,$B$3:B15999,B7742)</f>
        <v>1</v>
      </c>
      <c r="G7742" s="116"/>
    </row>
    <row r="7743" spans="1:7" x14ac:dyDescent="0.2">
      <c r="A7743" s="116">
        <f>IF(ISNUMBER(Tabela2[[#This Row],[CT-e/NFS]])=TRUE,(IF(B7743&gt;30000,4,IF(B7743&lt;1000,"ND",0))),"-")</f>
        <v>4</v>
      </c>
      <c r="B7743" s="116">
        <v>51267</v>
      </c>
      <c r="C7743" s="117">
        <v>45678</v>
      </c>
      <c r="D7743" s="116">
        <v>198.23</v>
      </c>
      <c r="E7743" s="117">
        <v>45687</v>
      </c>
      <c r="F7743" s="116">
        <f>COUNTIFS($A$3:A16000,A7743,$B$3:B16000,B7743)</f>
        <v>1</v>
      </c>
      <c r="G7743" s="116"/>
    </row>
    <row r="7744" spans="1:7" x14ac:dyDescent="0.2">
      <c r="A7744" s="116">
        <f>IF(ISNUMBER(Tabela2[[#This Row],[CT-e/NFS]])=TRUE,(IF(B7744&gt;30000,4,IF(B7744&lt;1000,"ND",0))),"-")</f>
        <v>4</v>
      </c>
      <c r="B7744" s="116">
        <v>51257</v>
      </c>
      <c r="C7744" s="117">
        <v>45678</v>
      </c>
      <c r="D7744" s="116">
        <v>231.83</v>
      </c>
      <c r="E7744" s="117">
        <v>45687</v>
      </c>
      <c r="F7744" s="116">
        <f>COUNTIFS($A$3:A16001,A7744,$B$3:B16001,B7744)</f>
        <v>1</v>
      </c>
      <c r="G7744" s="116"/>
    </row>
    <row r="7745" spans="1:7" x14ac:dyDescent="0.2">
      <c r="A7745" s="116">
        <f>IF(ISNUMBER(Tabela2[[#This Row],[CT-e/NFS]])=TRUE,(IF(B7745&gt;30000,4,IF(B7745&lt;1000,"ND",0))),"-")</f>
        <v>4</v>
      </c>
      <c r="B7745" s="116">
        <v>51249</v>
      </c>
      <c r="C7745" s="117">
        <v>45678</v>
      </c>
      <c r="D7745" s="116">
        <v>315.10000000000002</v>
      </c>
      <c r="E7745" s="117">
        <v>45687</v>
      </c>
      <c r="F7745" s="116">
        <f>COUNTIFS($A$3:A16002,A7745,$B$3:B16002,B7745)</f>
        <v>1</v>
      </c>
      <c r="G7745" s="116"/>
    </row>
    <row r="7746" spans="1:7" x14ac:dyDescent="0.2">
      <c r="A7746" s="116">
        <f>IF(ISNUMBER(Tabela2[[#This Row],[CT-e/NFS]])=TRUE,(IF(B7746&gt;30000,4,IF(B7746&lt;1000,"ND",0))),"-")</f>
        <v>4</v>
      </c>
      <c r="B7746" s="116">
        <v>51204</v>
      </c>
      <c r="C7746" s="117">
        <v>45678</v>
      </c>
      <c r="D7746" s="116">
        <v>396.45</v>
      </c>
      <c r="E7746" s="117">
        <v>45687</v>
      </c>
      <c r="F7746" s="116">
        <f>COUNTIFS($A$3:A16003,A7746,$B$3:B16003,B7746)</f>
        <v>1</v>
      </c>
      <c r="G7746" s="116"/>
    </row>
    <row r="7747" spans="1:7" x14ac:dyDescent="0.2">
      <c r="A7747" s="116">
        <f>IF(ISNUMBER(Tabela2[[#This Row],[CT-e/NFS]])=TRUE,(IF(B7747&gt;30000,4,IF(B7747&lt;1000,"ND",0))),"-")</f>
        <v>0</v>
      </c>
      <c r="B7747" s="116">
        <v>22768</v>
      </c>
      <c r="C7747" s="117">
        <v>45678</v>
      </c>
      <c r="D7747" s="116">
        <v>348.37</v>
      </c>
      <c r="E7747" s="117">
        <v>45687</v>
      </c>
      <c r="F7747" s="116">
        <f>COUNTIFS($A$3:A16004,A7747,$B$3:B16004,B7747)</f>
        <v>1</v>
      </c>
      <c r="G7747" s="116"/>
    </row>
    <row r="7748" spans="1:7" x14ac:dyDescent="0.2">
      <c r="A7748" s="116">
        <f>IF(ISNUMBER(Tabela2[[#This Row],[CT-e/NFS]])=TRUE,(IF(B7748&gt;30000,4,IF(B7748&lt;1000,"ND",0))),"-")</f>
        <v>4</v>
      </c>
      <c r="B7748" s="116">
        <v>51236</v>
      </c>
      <c r="C7748" s="117">
        <v>45678</v>
      </c>
      <c r="D7748" s="116">
        <v>396.45</v>
      </c>
      <c r="E7748" s="117">
        <v>45687</v>
      </c>
      <c r="F7748" s="116">
        <f>COUNTIFS($A$3:A16005,A7748,$B$3:B16005,B7748)</f>
        <v>1</v>
      </c>
      <c r="G7748" s="116"/>
    </row>
    <row r="7749" spans="1:7" x14ac:dyDescent="0.2">
      <c r="A7749" s="116">
        <f>IF(ISNUMBER(Tabela2[[#This Row],[CT-e/NFS]])=TRUE,(IF(B7749&gt;30000,4,IF(B7749&lt;1000,"ND",0))),"-")</f>
        <v>0</v>
      </c>
      <c r="B7749" s="116">
        <v>22752</v>
      </c>
      <c r="C7749" s="117">
        <v>45678</v>
      </c>
      <c r="D7749" s="116">
        <v>515.41</v>
      </c>
      <c r="E7749" s="117">
        <v>45687</v>
      </c>
      <c r="F7749" s="116">
        <f>COUNTIFS($A$3:A16006,A7749,$B$3:B16006,B7749)</f>
        <v>1</v>
      </c>
      <c r="G7749" s="116"/>
    </row>
    <row r="7750" spans="1:7" x14ac:dyDescent="0.2">
      <c r="A7750" s="116">
        <f>IF(ISNUMBER(Tabela2[[#This Row],[CT-e/NFS]])=TRUE,(IF(B7750&gt;30000,4,IF(B7750&lt;1000,"ND",0))),"-")</f>
        <v>0</v>
      </c>
      <c r="B7750" s="116">
        <v>22742</v>
      </c>
      <c r="C7750" s="117">
        <v>45678</v>
      </c>
      <c r="D7750" s="116">
        <v>515.41</v>
      </c>
      <c r="E7750" s="117">
        <v>45687</v>
      </c>
      <c r="F7750" s="116">
        <f>COUNTIFS($A$3:A16007,A7750,$B$3:B16007,B7750)</f>
        <v>1</v>
      </c>
      <c r="G7750" s="116"/>
    </row>
    <row r="7751" spans="1:7" x14ac:dyDescent="0.2">
      <c r="A7751" s="116">
        <f>IF(ISNUMBER(Tabela2[[#This Row],[CT-e/NFS]])=TRUE,(IF(B7751&gt;30000,4,IF(B7751&lt;1000,"ND",0))),"-")</f>
        <v>4</v>
      </c>
      <c r="B7751" s="116">
        <v>51468</v>
      </c>
      <c r="C7751" s="117">
        <v>45680</v>
      </c>
      <c r="D7751" s="116">
        <v>522.32000000000005</v>
      </c>
      <c r="E7751" s="117">
        <v>45687</v>
      </c>
      <c r="F7751" s="116">
        <f>COUNTIFS($A$3:A16008,A7751,$B$3:B16008,B7751)</f>
        <v>1</v>
      </c>
      <c r="G7751" s="116"/>
    </row>
    <row r="7752" spans="1:7" x14ac:dyDescent="0.2">
      <c r="A7752" s="116">
        <f>IF(ISNUMBER(Tabela2[[#This Row],[CT-e/NFS]])=TRUE,(IF(B7752&gt;30000,4,IF(B7752&lt;1000,"ND",0))),"-")</f>
        <v>4</v>
      </c>
      <c r="B7752" s="116">
        <v>51478</v>
      </c>
      <c r="C7752" s="117">
        <v>45680</v>
      </c>
      <c r="D7752" s="116">
        <v>671.05</v>
      </c>
      <c r="E7752" s="117">
        <v>45687</v>
      </c>
      <c r="F7752" s="116">
        <f>COUNTIFS($A$3:A16009,A7752,$B$3:B16009,B7752)</f>
        <v>1</v>
      </c>
      <c r="G7752" s="116"/>
    </row>
    <row r="7753" spans="1:7" x14ac:dyDescent="0.2">
      <c r="A7753" s="116">
        <f>IF(ISNUMBER(Tabela2[[#This Row],[CT-e/NFS]])=TRUE,(IF(B7753&gt;30000,4,IF(B7753&lt;1000,"ND",0))),"-")</f>
        <v>4</v>
      </c>
      <c r="B7753" s="116">
        <v>51562</v>
      </c>
      <c r="C7753" s="117">
        <v>45680</v>
      </c>
      <c r="D7753" s="116">
        <v>590.27</v>
      </c>
      <c r="E7753" s="117">
        <v>45687</v>
      </c>
      <c r="F7753" s="116">
        <f>COUNTIFS($A$3:A16010,A7753,$B$3:B16010,B7753)</f>
        <v>1</v>
      </c>
      <c r="G7753" s="116"/>
    </row>
    <row r="7754" spans="1:7" x14ac:dyDescent="0.2">
      <c r="A7754" s="116">
        <f>IF(ISNUMBER(Tabela2[[#This Row],[CT-e/NFS]])=TRUE,(IF(B7754&gt;30000,4,IF(B7754&lt;1000,"ND",0))),"-")</f>
        <v>0</v>
      </c>
      <c r="B7754" s="116">
        <v>22835</v>
      </c>
      <c r="C7754" s="117">
        <v>45680</v>
      </c>
      <c r="D7754" s="116">
        <v>287.39</v>
      </c>
      <c r="E7754" s="117">
        <v>45687</v>
      </c>
      <c r="F7754" s="116">
        <f>COUNTIFS($A$3:A16011,A7754,$B$3:B16011,B7754)</f>
        <v>1</v>
      </c>
      <c r="G7754" s="116"/>
    </row>
    <row r="7755" spans="1:7" x14ac:dyDescent="0.2">
      <c r="A7755" s="116">
        <f>IF(ISNUMBER(Tabela2[[#This Row],[CT-e/NFS]])=TRUE,(IF(B7755&gt;30000,4,IF(B7755&lt;1000,"ND",0))),"-")</f>
        <v>0</v>
      </c>
      <c r="B7755" s="116">
        <v>22862</v>
      </c>
      <c r="C7755" s="117">
        <v>45680</v>
      </c>
      <c r="D7755" s="116">
        <v>91.83</v>
      </c>
      <c r="E7755" s="117">
        <v>45687</v>
      </c>
      <c r="F7755" s="116">
        <f>COUNTIFS($A$3:A16012,A7755,$B$3:B16012,B7755)</f>
        <v>1</v>
      </c>
      <c r="G7755" s="116"/>
    </row>
    <row r="7756" spans="1:7" x14ac:dyDescent="0.2">
      <c r="A7756" s="116">
        <f>IF(ISNUMBER(Tabela2[[#This Row],[CT-e/NFS]])=TRUE,(IF(B7756&gt;30000,4,IF(B7756&lt;1000,"ND",0))),"-")</f>
        <v>0</v>
      </c>
      <c r="B7756" s="116">
        <v>22885</v>
      </c>
      <c r="C7756" s="117">
        <v>45680</v>
      </c>
      <c r="D7756" s="116">
        <v>287.47000000000003</v>
      </c>
      <c r="E7756" s="117">
        <v>45687</v>
      </c>
      <c r="F7756" s="116">
        <f>COUNTIFS($A$3:A16013,A7756,$B$3:B16013,B7756)</f>
        <v>1</v>
      </c>
      <c r="G7756" s="116"/>
    </row>
    <row r="7757" spans="1:7" x14ac:dyDescent="0.2">
      <c r="A7757" s="116">
        <f>IF(ISNUMBER(Tabela2[[#This Row],[CT-e/NFS]])=TRUE,(IF(B7757&gt;30000,4,IF(B7757&lt;1000,"ND",0))),"-")</f>
        <v>4</v>
      </c>
      <c r="B7757" s="116">
        <v>51707</v>
      </c>
      <c r="C7757" s="117">
        <v>45680</v>
      </c>
      <c r="D7757" s="116">
        <v>312.64999999999998</v>
      </c>
      <c r="E7757" s="117">
        <v>45687</v>
      </c>
      <c r="F7757" s="116">
        <f>COUNTIFS($A$3:A16014,A7757,$B$3:B16014,B7757)</f>
        <v>1</v>
      </c>
      <c r="G7757" s="116"/>
    </row>
    <row r="7758" spans="1:7" x14ac:dyDescent="0.2">
      <c r="A7758" s="116">
        <f>IF(ISNUMBER(Tabela2[[#This Row],[CT-e/NFS]])=TRUE,(IF(B7758&gt;30000,4,IF(B7758&lt;1000,"ND",0))),"-")</f>
        <v>4</v>
      </c>
      <c r="B7758" s="116">
        <v>51630</v>
      </c>
      <c r="C7758" s="117">
        <v>45680</v>
      </c>
      <c r="D7758" s="116">
        <v>116.84</v>
      </c>
      <c r="E7758" s="117">
        <v>45687</v>
      </c>
      <c r="F7758" s="116">
        <f>COUNTIFS($A$3:A16015,A7758,$B$3:B16015,B7758)</f>
        <v>1</v>
      </c>
      <c r="G7758" s="116"/>
    </row>
    <row r="7759" spans="1:7" x14ac:dyDescent="0.2">
      <c r="A7759" s="116">
        <f>IF(ISNUMBER(Tabela2[[#This Row],[CT-e/NFS]])=TRUE,(IF(B7759&gt;30000,4,IF(B7759&lt;1000,"ND",0))),"-")</f>
        <v>4</v>
      </c>
      <c r="B7759" s="116">
        <v>51602</v>
      </c>
      <c r="C7759" s="117">
        <v>45680</v>
      </c>
      <c r="D7759" s="116">
        <v>354.81</v>
      </c>
      <c r="E7759" s="117">
        <v>45687</v>
      </c>
      <c r="F7759" s="116">
        <f>COUNTIFS($A$3:A16016,A7759,$B$3:B16016,B7759)</f>
        <v>1</v>
      </c>
      <c r="G7759" s="116"/>
    </row>
    <row r="7760" spans="1:7" x14ac:dyDescent="0.2">
      <c r="A7760" s="116">
        <f>IF(ISNUMBER(Tabela2[[#This Row],[CT-e/NFS]])=TRUE,(IF(B7760&gt;30000,4,IF(B7760&lt;1000,"ND",0))),"-")</f>
        <v>4</v>
      </c>
      <c r="B7760" s="116">
        <v>51587</v>
      </c>
      <c r="C7760" s="117">
        <v>45680</v>
      </c>
      <c r="D7760" s="116">
        <v>590.27</v>
      </c>
      <c r="E7760" s="117">
        <v>45687</v>
      </c>
      <c r="F7760" s="116">
        <f>COUNTIFS($A$3:A16017,A7760,$B$3:B16017,B7760)</f>
        <v>1</v>
      </c>
      <c r="G7760" s="116"/>
    </row>
    <row r="7761" spans="1:7" x14ac:dyDescent="0.2">
      <c r="A7761" s="116">
        <f>IF(ISNUMBER(Tabela2[[#This Row],[CT-e/NFS]])=TRUE,(IF(B7761&gt;30000,4,IF(B7761&lt;1000,"ND",0))),"-")</f>
        <v>4</v>
      </c>
      <c r="B7761" s="116">
        <v>51586</v>
      </c>
      <c r="C7761" s="117">
        <v>45680</v>
      </c>
      <c r="D7761" s="116">
        <v>302.63</v>
      </c>
      <c r="E7761" s="117">
        <v>45687</v>
      </c>
      <c r="F7761" s="116">
        <f>COUNTIFS($A$3:A16018,A7761,$B$3:B16018,B7761)</f>
        <v>1</v>
      </c>
      <c r="G7761" s="116"/>
    </row>
    <row r="7762" spans="1:7" x14ac:dyDescent="0.2">
      <c r="A7762" s="116">
        <f>IF(ISNUMBER(Tabela2[[#This Row],[CT-e/NFS]])=TRUE,(IF(B7762&gt;30000,4,IF(B7762&lt;1000,"ND",0))),"-")</f>
        <v>4</v>
      </c>
      <c r="B7762" s="116">
        <v>51585</v>
      </c>
      <c r="C7762" s="117">
        <v>45680</v>
      </c>
      <c r="D7762" s="116">
        <v>352.82</v>
      </c>
      <c r="E7762" s="117">
        <v>45687</v>
      </c>
      <c r="F7762" s="116">
        <f>COUNTIFS($A$3:A16019,A7762,$B$3:B16019,B7762)</f>
        <v>1</v>
      </c>
      <c r="G7762" s="116"/>
    </row>
    <row r="7763" spans="1:7" x14ac:dyDescent="0.2">
      <c r="A7763" s="116">
        <f>IF(ISNUMBER(Tabela2[[#This Row],[CT-e/NFS]])=TRUE,(IF(B7763&gt;30000,4,IF(B7763&lt;1000,"ND",0))),"-")</f>
        <v>4</v>
      </c>
      <c r="B7763" s="116">
        <v>51584</v>
      </c>
      <c r="C7763" s="117">
        <v>45680</v>
      </c>
      <c r="D7763" s="116">
        <v>4249.9799999999996</v>
      </c>
      <c r="E7763" s="117">
        <v>45687</v>
      </c>
      <c r="F7763" s="116">
        <f>COUNTIFS($A$3:A16020,A7763,$B$3:B16020,B7763)</f>
        <v>1</v>
      </c>
      <c r="G7763" s="116"/>
    </row>
    <row r="7764" spans="1:7" x14ac:dyDescent="0.2">
      <c r="A7764" s="116">
        <f>IF(ISNUMBER(Tabela2[[#This Row],[CT-e/NFS]])=TRUE,(IF(B7764&gt;30000,4,IF(B7764&lt;1000,"ND",0))),"-")</f>
        <v>4</v>
      </c>
      <c r="B7764" s="116">
        <v>51583</v>
      </c>
      <c r="C7764" s="117">
        <v>45680</v>
      </c>
      <c r="D7764" s="116">
        <v>842.68</v>
      </c>
      <c r="E7764" s="117">
        <v>45687</v>
      </c>
      <c r="F7764" s="116">
        <f>COUNTIFS($A$3:A16021,A7764,$B$3:B16021,B7764)</f>
        <v>1</v>
      </c>
      <c r="G7764" s="116"/>
    </row>
    <row r="7765" spans="1:7" x14ac:dyDescent="0.2">
      <c r="A7765" s="116">
        <f>IF(ISNUMBER(Tabela2[[#This Row],[CT-e/NFS]])=TRUE,(IF(B7765&gt;30000,4,IF(B7765&lt;1000,"ND",0))),"-")</f>
        <v>4</v>
      </c>
      <c r="B7765" s="116">
        <v>49956</v>
      </c>
      <c r="C7765" s="117">
        <v>45558</v>
      </c>
      <c r="D7765" s="116">
        <v>183.73</v>
      </c>
      <c r="E7765" s="117">
        <v>45687</v>
      </c>
      <c r="F7765" s="116">
        <f>COUNTIFS($A$3:A16022,A7765,$B$3:B16022,B7765)</f>
        <v>1</v>
      </c>
      <c r="G7765" s="116"/>
    </row>
    <row r="7766" spans="1:7" x14ac:dyDescent="0.2">
      <c r="A7766" s="116">
        <f>IF(ISNUMBER(Tabela2[[#This Row],[CT-e/NFS]])=TRUE,(IF(B7766&gt;30000,4,IF(B7766&lt;1000,"ND",0))),"-")</f>
        <v>4</v>
      </c>
      <c r="B7766" s="116">
        <v>49833</v>
      </c>
      <c r="C7766" s="117">
        <v>45558</v>
      </c>
      <c r="D7766" s="116">
        <v>183.23</v>
      </c>
      <c r="E7766" s="117">
        <v>45687</v>
      </c>
      <c r="F7766" s="116">
        <f>COUNTIFS($A$3:A16023,A7766,$B$3:B16023,B7766)</f>
        <v>1</v>
      </c>
      <c r="G7766" s="116"/>
    </row>
    <row r="7767" spans="1:7" x14ac:dyDescent="0.2">
      <c r="A7767" s="116">
        <f>IF(ISNUMBER(Tabela2[[#This Row],[CT-e/NFS]])=TRUE,(IF(B7767&gt;30000,4,IF(B7767&lt;1000,"ND",0))),"-")</f>
        <v>4</v>
      </c>
      <c r="B7767" s="116">
        <v>49787</v>
      </c>
      <c r="C7767" s="117">
        <v>45558</v>
      </c>
      <c r="D7767" s="116">
        <v>196.83</v>
      </c>
      <c r="E7767" s="117">
        <v>45687</v>
      </c>
      <c r="F7767" s="116">
        <f>COUNTIFS($A$3:A16024,A7767,$B$3:B16024,B7767)</f>
        <v>1</v>
      </c>
      <c r="G7767" s="116"/>
    </row>
    <row r="7768" spans="1:7" x14ac:dyDescent="0.2">
      <c r="A7768" s="116">
        <f>IF(ISNUMBER(Tabela2[[#This Row],[CT-e/NFS]])=TRUE,(IF(B7768&gt;30000,4,IF(B7768&lt;1000,"ND",0))),"-")</f>
        <v>4</v>
      </c>
      <c r="B7768" s="116">
        <v>51206</v>
      </c>
      <c r="C7768" s="117">
        <v>45638</v>
      </c>
      <c r="D7768" s="116">
        <v>200.9</v>
      </c>
      <c r="E7768" s="117">
        <v>45687</v>
      </c>
      <c r="F7768" s="116">
        <f>COUNTIFS($A$3:A16025,A7768,$B$3:B16025,B7768)</f>
        <v>1</v>
      </c>
      <c r="G7768" s="116"/>
    </row>
    <row r="7769" spans="1:7" x14ac:dyDescent="0.2">
      <c r="A7769" s="116">
        <f>IF(ISNUMBER(Tabela2[[#This Row],[CT-e/NFS]])=TRUE,(IF(B7769&gt;30000,4,IF(B7769&lt;1000,"ND",0))),"-")</f>
        <v>4</v>
      </c>
      <c r="B7769" s="116">
        <v>51025</v>
      </c>
      <c r="C7769" s="117">
        <v>45638</v>
      </c>
      <c r="D7769" s="116">
        <v>205.36</v>
      </c>
      <c r="E7769" s="117">
        <v>45687</v>
      </c>
      <c r="F7769" s="116">
        <f>COUNTIFS($A$3:A16026,A7769,$B$3:B16026,B7769)</f>
        <v>1</v>
      </c>
      <c r="G7769" s="116"/>
    </row>
    <row r="7770" spans="1:7" x14ac:dyDescent="0.2">
      <c r="A7770" s="116">
        <f>IF(ISNUMBER(Tabela2[[#This Row],[CT-e/NFS]])=TRUE,(IF(B7770&gt;30000,4,IF(B7770&lt;1000,"ND",0))),"-")</f>
        <v>4</v>
      </c>
      <c r="B7770" s="116">
        <v>51010</v>
      </c>
      <c r="C7770" s="117">
        <v>45638</v>
      </c>
      <c r="D7770" s="116">
        <v>187.27</v>
      </c>
      <c r="E7770" s="117">
        <v>45687</v>
      </c>
      <c r="F7770" s="116">
        <f>COUNTIFS($A$3:A16027,A7770,$B$3:B16027,B7770)</f>
        <v>1</v>
      </c>
      <c r="G7770" s="116"/>
    </row>
    <row r="7771" spans="1:7" x14ac:dyDescent="0.2">
      <c r="A7771" s="116">
        <f>IF(ISNUMBER(Tabela2[[#This Row],[CT-e/NFS]])=TRUE,(IF(B7771&gt;30000,4,IF(B7771&lt;1000,"ND",0))),"-")</f>
        <v>0</v>
      </c>
      <c r="B7771" s="116">
        <v>22764</v>
      </c>
      <c r="C7771" s="117">
        <v>45652</v>
      </c>
      <c r="D7771" s="116">
        <v>313.75</v>
      </c>
      <c r="E7771" s="117">
        <v>45687</v>
      </c>
      <c r="F7771" s="116">
        <f>COUNTIFS($A$3:A16028,A7771,$B$3:B16028,B7771)</f>
        <v>1</v>
      </c>
      <c r="G7771" s="116"/>
    </row>
    <row r="7772" spans="1:7" x14ac:dyDescent="0.2">
      <c r="A7772" s="116">
        <f>IF(ISNUMBER(Tabela2[[#This Row],[CT-e/NFS]])=TRUE,(IF(B7772&gt;30000,4,IF(B7772&lt;1000,"ND",0))),"-")</f>
        <v>0</v>
      </c>
      <c r="B7772" s="116">
        <v>22789</v>
      </c>
      <c r="C7772" s="117">
        <v>45652</v>
      </c>
      <c r="D7772" s="116">
        <v>133.13999999999999</v>
      </c>
      <c r="E7772" s="117">
        <v>45687</v>
      </c>
      <c r="F7772" s="116">
        <f>COUNTIFS($A$3:A16029,A7772,$B$3:B16029,B7772)</f>
        <v>1</v>
      </c>
      <c r="G7772" s="116"/>
    </row>
    <row r="7773" spans="1:7" x14ac:dyDescent="0.2">
      <c r="A7773" s="116">
        <f>IF(ISNUMBER(Tabela2[[#This Row],[CT-e/NFS]])=TRUE,(IF(B7773&gt;30000,4,IF(B7773&lt;1000,"ND",0))),"-")</f>
        <v>0</v>
      </c>
      <c r="B7773" s="116">
        <v>22848</v>
      </c>
      <c r="C7773" s="117">
        <v>45665</v>
      </c>
      <c r="D7773" s="116">
        <v>133.13999999999999</v>
      </c>
      <c r="E7773" s="117">
        <v>45687</v>
      </c>
      <c r="F7773" s="116">
        <f>COUNTIFS($A$3:A16030,A7773,$B$3:B16030,B7773)</f>
        <v>1</v>
      </c>
      <c r="G7773" s="116"/>
    </row>
    <row r="7774" spans="1:7" x14ac:dyDescent="0.2">
      <c r="A7774" s="116">
        <f>IF(ISNUMBER(Tabela2[[#This Row],[CT-e/NFS]])=TRUE,(IF(B7774&gt;30000,4,IF(B7774&lt;1000,"ND",0))),"-")</f>
        <v>4</v>
      </c>
      <c r="B7774" s="116">
        <v>51409</v>
      </c>
      <c r="C7774" s="117">
        <v>45691</v>
      </c>
      <c r="D7774" s="116">
        <v>124.05</v>
      </c>
      <c r="E7774" s="117">
        <v>45687</v>
      </c>
      <c r="F7774" s="116">
        <f>COUNTIFS($A$3:A16031,A7774,$B$3:B16031,B7774)</f>
        <v>1</v>
      </c>
      <c r="G7774" s="116"/>
    </row>
    <row r="7775" spans="1:7" x14ac:dyDescent="0.2">
      <c r="A7775" s="116">
        <f>IF(ISNUMBER(Tabela2[[#This Row],[CT-e/NFS]])=TRUE,(IF(B7775&gt;30000,4,IF(B7775&lt;1000,"ND",0))),"-")</f>
        <v>4</v>
      </c>
      <c r="B7775" s="116">
        <v>51408</v>
      </c>
      <c r="C7775" s="117">
        <v>45691</v>
      </c>
      <c r="D7775" s="116">
        <v>122.92</v>
      </c>
      <c r="E7775" s="117">
        <v>45687</v>
      </c>
      <c r="F7775" s="116">
        <f>COUNTIFS($A$3:A16032,A7775,$B$3:B16032,B7775)</f>
        <v>1</v>
      </c>
      <c r="G7775" s="116"/>
    </row>
    <row r="7776" spans="1:7" x14ac:dyDescent="0.2">
      <c r="A7776" s="116">
        <f>IF(ISNUMBER(Tabela2[[#This Row],[CT-e/NFS]])=TRUE,(IF(B7776&gt;30000,4,IF(B7776&lt;1000,"ND",0))),"-")</f>
        <v>4</v>
      </c>
      <c r="B7776" s="116">
        <v>51407</v>
      </c>
      <c r="C7776" s="117">
        <v>45691</v>
      </c>
      <c r="D7776" s="116">
        <v>124.26</v>
      </c>
      <c r="E7776" s="117">
        <v>45687</v>
      </c>
      <c r="F7776" s="116">
        <f>COUNTIFS($A$3:A16033,A7776,$B$3:B16033,B7776)</f>
        <v>1</v>
      </c>
      <c r="G7776" s="116"/>
    </row>
    <row r="7777" spans="1:7" x14ac:dyDescent="0.2">
      <c r="A7777" s="116">
        <f>IF(ISNUMBER(Tabela2[[#This Row],[CT-e/NFS]])=TRUE,(IF(B7777&gt;30000,4,IF(B7777&lt;1000,"ND",0))),"-")</f>
        <v>4</v>
      </c>
      <c r="B7777" s="116">
        <v>51414</v>
      </c>
      <c r="C7777" s="117">
        <v>45691</v>
      </c>
      <c r="D7777" s="116">
        <v>124.26</v>
      </c>
      <c r="E7777" s="117">
        <v>45687</v>
      </c>
      <c r="F7777" s="116">
        <f>COUNTIFS($A$3:A16034,A7777,$B$3:B16034,B7777)</f>
        <v>1</v>
      </c>
      <c r="G7777" s="116"/>
    </row>
    <row r="7778" spans="1:7" x14ac:dyDescent="0.2">
      <c r="A7778" s="116">
        <f>IF(ISNUMBER(Tabela2[[#This Row],[CT-e/NFS]])=TRUE,(IF(B7778&gt;30000,4,IF(B7778&lt;1000,"ND",0))),"-")</f>
        <v>4</v>
      </c>
      <c r="B7778" s="116">
        <v>51412</v>
      </c>
      <c r="C7778" s="117">
        <v>45691</v>
      </c>
      <c r="D7778" s="116">
        <v>124.41</v>
      </c>
      <c r="E7778" s="117">
        <v>45687</v>
      </c>
      <c r="F7778" s="116">
        <f>COUNTIFS($A$3:A16035,A7778,$B$3:B16035,B7778)</f>
        <v>1</v>
      </c>
      <c r="G7778" s="116"/>
    </row>
    <row r="7779" spans="1:7" x14ac:dyDescent="0.2">
      <c r="A7779" s="116">
        <f>IF(ISNUMBER(Tabela2[[#This Row],[CT-e/NFS]])=TRUE,(IF(B7779&gt;30000,4,IF(B7779&lt;1000,"ND",0))),"-")</f>
        <v>4</v>
      </c>
      <c r="B7779" s="116">
        <v>51406</v>
      </c>
      <c r="C7779" s="117">
        <v>45691</v>
      </c>
      <c r="D7779" s="116">
        <v>126.03</v>
      </c>
      <c r="E7779" s="117">
        <v>45687</v>
      </c>
      <c r="F7779" s="116">
        <f>COUNTIFS($A$3:A16036,A7779,$B$3:B16036,B7779)</f>
        <v>1</v>
      </c>
      <c r="G7779" s="116"/>
    </row>
    <row r="7780" spans="1:7" x14ac:dyDescent="0.2">
      <c r="A7780" s="116">
        <f>IF(ISNUMBER(Tabela2[[#This Row],[CT-e/NFS]])=TRUE,(IF(B7780&gt;30000,4,IF(B7780&lt;1000,"ND",0))),"-")</f>
        <v>4</v>
      </c>
      <c r="B7780" s="116">
        <v>51405</v>
      </c>
      <c r="C7780" s="117">
        <v>45691</v>
      </c>
      <c r="D7780" s="116">
        <v>124.2</v>
      </c>
      <c r="E7780" s="117">
        <v>45687</v>
      </c>
      <c r="F7780" s="116">
        <f>COUNTIFS($A$3:A16037,A7780,$B$3:B16037,B7780)</f>
        <v>1</v>
      </c>
      <c r="G7780" s="116"/>
    </row>
    <row r="7781" spans="1:7" x14ac:dyDescent="0.2">
      <c r="A7781" s="116">
        <f>IF(ISNUMBER(Tabela2[[#This Row],[CT-e/NFS]])=TRUE,(IF(B7781&gt;30000,4,IF(B7781&lt;1000,"ND",0))),"-")</f>
        <v>4</v>
      </c>
      <c r="B7781" s="116">
        <v>51423</v>
      </c>
      <c r="C7781" s="117">
        <v>45691</v>
      </c>
      <c r="D7781" s="116">
        <v>122.76</v>
      </c>
      <c r="E7781" s="117">
        <v>45687</v>
      </c>
      <c r="F7781" s="116">
        <f>COUNTIFS($A$3:A16038,A7781,$B$3:B16038,B7781)</f>
        <v>1</v>
      </c>
      <c r="G7781" s="116"/>
    </row>
    <row r="7782" spans="1:7" x14ac:dyDescent="0.2">
      <c r="A7782" s="116">
        <f>IF(ISNUMBER(Tabela2[[#This Row],[CT-e/NFS]])=TRUE,(IF(B7782&gt;30000,4,IF(B7782&lt;1000,"ND",0))),"-")</f>
        <v>4</v>
      </c>
      <c r="B7782" s="116">
        <v>51419</v>
      </c>
      <c r="C7782" s="117">
        <v>45691</v>
      </c>
      <c r="D7782" s="116">
        <v>123.5</v>
      </c>
      <c r="E7782" s="117">
        <v>45687</v>
      </c>
      <c r="F7782" s="116">
        <f>COUNTIFS($A$3:A16039,A7782,$B$3:B16039,B7782)</f>
        <v>1</v>
      </c>
      <c r="G7782" s="116"/>
    </row>
    <row r="7783" spans="1:7" x14ac:dyDescent="0.2">
      <c r="A7783" s="116">
        <f>IF(ISNUMBER(Tabela2[[#This Row],[CT-e/NFS]])=TRUE,(IF(B7783&gt;30000,4,IF(B7783&lt;1000,"ND",0))),"-")</f>
        <v>4</v>
      </c>
      <c r="B7783" s="116">
        <v>51415</v>
      </c>
      <c r="C7783" s="117">
        <v>45691</v>
      </c>
      <c r="D7783" s="116">
        <v>124.26</v>
      </c>
      <c r="E7783" s="117">
        <v>45687</v>
      </c>
      <c r="F7783" s="116">
        <f>COUNTIFS($A$3:A16040,A7783,$B$3:B16040,B7783)</f>
        <v>1</v>
      </c>
      <c r="G7783" s="116"/>
    </row>
    <row r="7784" spans="1:7" x14ac:dyDescent="0.2">
      <c r="A7784" s="116">
        <f>IF(ISNUMBER(Tabela2[[#This Row],[CT-e/NFS]])=TRUE,(IF(B7784&gt;30000,4,IF(B7784&lt;1000,"ND",0))),"-")</f>
        <v>4</v>
      </c>
      <c r="B7784" s="116">
        <v>51417</v>
      </c>
      <c r="C7784" s="117">
        <v>45691</v>
      </c>
      <c r="D7784" s="116">
        <v>250.4</v>
      </c>
      <c r="E7784" s="117">
        <v>45687</v>
      </c>
      <c r="F7784" s="116">
        <f>COUNTIFS($A$3:A16041,A7784,$B$3:B16041,B7784)</f>
        <v>1</v>
      </c>
      <c r="G7784" s="116"/>
    </row>
    <row r="7785" spans="1:7" x14ac:dyDescent="0.2">
      <c r="A7785" s="116">
        <f>IF(ISNUMBER(Tabela2[[#This Row],[CT-e/NFS]])=TRUE,(IF(B7785&gt;30000,4,IF(B7785&lt;1000,"ND",0))),"-")</f>
        <v>4</v>
      </c>
      <c r="B7785" s="116">
        <v>51416</v>
      </c>
      <c r="C7785" s="117">
        <v>45691</v>
      </c>
      <c r="D7785" s="116">
        <v>563.05999999999995</v>
      </c>
      <c r="E7785" s="117">
        <v>45687</v>
      </c>
      <c r="F7785" s="116">
        <f>COUNTIFS($A$3:A16042,A7785,$B$3:B16042,B7785)</f>
        <v>1</v>
      </c>
      <c r="G7785" s="116"/>
    </row>
    <row r="7786" spans="1:7" x14ac:dyDescent="0.2">
      <c r="A7786" s="116">
        <f>IF(ISNUMBER(Tabela2[[#This Row],[CT-e/NFS]])=TRUE,(IF(B7786&gt;30000,4,IF(B7786&lt;1000,"ND",0))),"-")</f>
        <v>4</v>
      </c>
      <c r="B7786" s="116">
        <v>51413</v>
      </c>
      <c r="C7786" s="117">
        <v>45691</v>
      </c>
      <c r="D7786" s="116">
        <v>1070.3499999999999</v>
      </c>
      <c r="E7786" s="117">
        <v>45687</v>
      </c>
      <c r="F7786" s="116">
        <f>COUNTIFS($A$3:A16043,A7786,$B$3:B16043,B7786)</f>
        <v>1</v>
      </c>
      <c r="G7786" s="116"/>
    </row>
    <row r="7787" spans="1:7" x14ac:dyDescent="0.2">
      <c r="A7787" s="116">
        <f>IF(ISNUMBER(Tabela2[[#This Row],[CT-e/NFS]])=TRUE,(IF(B7787&gt;30000,4,IF(B7787&lt;1000,"ND",0))),"-")</f>
        <v>4</v>
      </c>
      <c r="B7787" s="116">
        <v>51403</v>
      </c>
      <c r="C7787" s="117">
        <v>45691</v>
      </c>
      <c r="D7787" s="116">
        <v>2906.31</v>
      </c>
      <c r="E7787" s="117">
        <v>45687</v>
      </c>
      <c r="F7787" s="116">
        <f>COUNTIFS($A$3:A16044,A7787,$B$3:B16044,B7787)</f>
        <v>1</v>
      </c>
      <c r="G7787" s="116"/>
    </row>
    <row r="7788" spans="1:7" x14ac:dyDescent="0.2">
      <c r="A7788" s="116">
        <f>IF(ISNUMBER(Tabela2[[#This Row],[CT-e/NFS]])=TRUE,(IF(B7788&gt;30000,4,IF(B7788&lt;1000,"ND",0))),"-")</f>
        <v>4</v>
      </c>
      <c r="B7788" s="116">
        <v>51404</v>
      </c>
      <c r="C7788" s="117">
        <v>45691</v>
      </c>
      <c r="D7788" s="116">
        <v>198.2</v>
      </c>
      <c r="E7788" s="117">
        <v>45687</v>
      </c>
      <c r="F7788" s="116">
        <f>COUNTIFS($A$3:A16045,A7788,$B$3:B16045,B7788)</f>
        <v>1</v>
      </c>
      <c r="G7788" s="116"/>
    </row>
    <row r="7789" spans="1:7" x14ac:dyDescent="0.2">
      <c r="A7789" s="116">
        <f>IF(ISNUMBER(Tabela2[[#This Row],[CT-e/NFS]])=TRUE,(IF(B7789&gt;30000,4,IF(B7789&lt;1000,"ND",0))),"-")</f>
        <v>4</v>
      </c>
      <c r="B7789" s="116">
        <v>51411</v>
      </c>
      <c r="C7789" s="117">
        <v>45691</v>
      </c>
      <c r="D7789" s="116">
        <v>282.44</v>
      </c>
      <c r="E7789" s="117">
        <v>45687</v>
      </c>
      <c r="F7789" s="116">
        <f>COUNTIFS($A$3:A16046,A7789,$B$3:B16046,B7789)</f>
        <v>1</v>
      </c>
      <c r="G7789" s="116"/>
    </row>
    <row r="7790" spans="1:7" x14ac:dyDescent="0.2">
      <c r="A7790" s="116">
        <f>IF(ISNUMBER(Tabela2[[#This Row],[CT-e/NFS]])=TRUE,(IF(B7790&gt;30000,4,IF(B7790&lt;1000,"ND",0))),"-")</f>
        <v>4</v>
      </c>
      <c r="B7790" s="116">
        <v>51422</v>
      </c>
      <c r="C7790" s="117">
        <v>45691</v>
      </c>
      <c r="D7790" s="116">
        <v>110.65</v>
      </c>
      <c r="E7790" s="117">
        <v>45687</v>
      </c>
      <c r="F7790" s="116">
        <f>COUNTIFS($A$3:A16047,A7790,$B$3:B16047,B7790)</f>
        <v>1</v>
      </c>
      <c r="G7790" s="116"/>
    </row>
    <row r="7791" spans="1:7" x14ac:dyDescent="0.2">
      <c r="A7791" s="116">
        <f>IF(ISNUMBER(Tabela2[[#This Row],[CT-e/NFS]])=TRUE,(IF(B7791&gt;30000,4,IF(B7791&lt;1000,"ND",0))),"-")</f>
        <v>4</v>
      </c>
      <c r="B7791" s="116">
        <v>51421</v>
      </c>
      <c r="C7791" s="117">
        <v>45691</v>
      </c>
      <c r="D7791" s="116">
        <v>61.45</v>
      </c>
      <c r="E7791" s="117">
        <v>45687</v>
      </c>
      <c r="F7791" s="116">
        <f>COUNTIFS($A$3:A16048,A7791,$B$3:B16048,B7791)</f>
        <v>1</v>
      </c>
      <c r="G7791" s="116"/>
    </row>
    <row r="7792" spans="1:7" x14ac:dyDescent="0.2">
      <c r="A7792" s="116">
        <f>IF(ISNUMBER(Tabela2[[#This Row],[CT-e/NFS]])=TRUE,(IF(B7792&gt;30000,4,IF(B7792&lt;1000,"ND",0))),"-")</f>
        <v>4</v>
      </c>
      <c r="B7792" s="116">
        <v>51418</v>
      </c>
      <c r="C7792" s="117">
        <v>45691</v>
      </c>
      <c r="D7792" s="116">
        <v>238.95</v>
      </c>
      <c r="E7792" s="117">
        <v>45687</v>
      </c>
      <c r="F7792" s="116">
        <f>COUNTIFS($A$3:A16049,A7792,$B$3:B16049,B7792)</f>
        <v>1</v>
      </c>
      <c r="G7792" s="116"/>
    </row>
    <row r="7793" spans="1:7" x14ac:dyDescent="0.2">
      <c r="A7793" s="116">
        <f>IF(ISNUMBER(Tabela2[[#This Row],[CT-e/NFS]])=TRUE,(IF(B7793&gt;30000,4,IF(B7793&lt;1000,"ND",0))),"-")</f>
        <v>4</v>
      </c>
      <c r="B7793" s="116">
        <v>51410</v>
      </c>
      <c r="C7793" s="117">
        <v>45691</v>
      </c>
      <c r="D7793" s="116">
        <v>240.22</v>
      </c>
      <c r="E7793" s="117">
        <v>45687</v>
      </c>
      <c r="F7793" s="116">
        <f>COUNTIFS($A$3:A16050,A7793,$B$3:B16050,B7793)</f>
        <v>1</v>
      </c>
      <c r="G7793" s="116"/>
    </row>
    <row r="7794" spans="1:7" x14ac:dyDescent="0.2">
      <c r="A7794" s="116">
        <f>IF(ISNUMBER(Tabela2[[#This Row],[CT-e/NFS]])=TRUE,(IF(B7794&gt;30000,4,IF(B7794&lt;1000,"ND",0))),"-")</f>
        <v>4</v>
      </c>
      <c r="B7794" s="116">
        <v>51394</v>
      </c>
      <c r="C7794" s="117">
        <v>45691</v>
      </c>
      <c r="D7794" s="116">
        <v>124.03</v>
      </c>
      <c r="E7794" s="117">
        <v>45687</v>
      </c>
      <c r="F7794" s="116">
        <f>COUNTIFS($A$3:A16051,A7794,$B$3:B16051,B7794)</f>
        <v>1</v>
      </c>
      <c r="G7794" s="116"/>
    </row>
    <row r="7795" spans="1:7" x14ac:dyDescent="0.2">
      <c r="A7795" s="116">
        <f>IF(ISNUMBER(Tabela2[[#This Row],[CT-e/NFS]])=TRUE,(IF(B7795&gt;30000,4,IF(B7795&lt;1000,"ND",0))),"-")</f>
        <v>4</v>
      </c>
      <c r="B7795" s="116">
        <v>51389</v>
      </c>
      <c r="C7795" s="117">
        <v>45691</v>
      </c>
      <c r="D7795" s="116">
        <v>123.99</v>
      </c>
      <c r="E7795" s="117">
        <v>45687</v>
      </c>
      <c r="F7795" s="116">
        <f>COUNTIFS($A$3:A16052,A7795,$B$3:B16052,B7795)</f>
        <v>1</v>
      </c>
      <c r="G7795" s="116"/>
    </row>
    <row r="7796" spans="1:7" x14ac:dyDescent="0.2">
      <c r="A7796" s="116">
        <f>IF(ISNUMBER(Tabela2[[#This Row],[CT-e/NFS]])=TRUE,(IF(B7796&gt;30000,4,IF(B7796&lt;1000,"ND",0))),"-")</f>
        <v>4</v>
      </c>
      <c r="B7796" s="116">
        <v>51384</v>
      </c>
      <c r="C7796" s="117">
        <v>45691</v>
      </c>
      <c r="D7796" s="116">
        <v>125.81</v>
      </c>
      <c r="E7796" s="117">
        <v>45687</v>
      </c>
      <c r="F7796" s="116">
        <f>COUNTIFS($A$3:A16053,A7796,$B$3:B16053,B7796)</f>
        <v>1</v>
      </c>
      <c r="G7796" s="116"/>
    </row>
    <row r="7797" spans="1:7" x14ac:dyDescent="0.2">
      <c r="A7797" s="116">
        <f>IF(ISNUMBER(Tabela2[[#This Row],[CT-e/NFS]])=TRUE,(IF(B7797&gt;30000,4,IF(B7797&lt;1000,"ND",0))),"-")</f>
        <v>4</v>
      </c>
      <c r="B7797" s="116">
        <v>51391</v>
      </c>
      <c r="C7797" s="117">
        <v>45691</v>
      </c>
      <c r="D7797" s="116">
        <v>122.92</v>
      </c>
      <c r="E7797" s="117">
        <v>45687</v>
      </c>
      <c r="F7797" s="116">
        <f>COUNTIFS($A$3:A16054,A7797,$B$3:B16054,B7797)</f>
        <v>1</v>
      </c>
      <c r="G7797" s="116"/>
    </row>
    <row r="7798" spans="1:7" x14ac:dyDescent="0.2">
      <c r="A7798" s="116">
        <f>IF(ISNUMBER(Tabela2[[#This Row],[CT-e/NFS]])=TRUE,(IF(B7798&gt;30000,4,IF(B7798&lt;1000,"ND",0))),"-")</f>
        <v>4</v>
      </c>
      <c r="B7798" s="116">
        <v>51390</v>
      </c>
      <c r="C7798" s="117">
        <v>45691</v>
      </c>
      <c r="D7798" s="116">
        <v>123.99</v>
      </c>
      <c r="E7798" s="117">
        <v>45687</v>
      </c>
      <c r="F7798" s="116">
        <f>COUNTIFS($A$3:A16055,A7798,$B$3:B16055,B7798)</f>
        <v>1</v>
      </c>
      <c r="G7798" s="116"/>
    </row>
    <row r="7799" spans="1:7" x14ac:dyDescent="0.2">
      <c r="A7799" s="116">
        <f>IF(ISNUMBER(Tabela2[[#This Row],[CT-e/NFS]])=TRUE,(IF(B7799&gt;30000,4,IF(B7799&lt;1000,"ND",0))),"-")</f>
        <v>4</v>
      </c>
      <c r="B7799" s="116">
        <v>51401</v>
      </c>
      <c r="C7799" s="117">
        <v>45691</v>
      </c>
      <c r="D7799" s="116">
        <v>62.7</v>
      </c>
      <c r="E7799" s="117">
        <v>45687</v>
      </c>
      <c r="F7799" s="116">
        <f>COUNTIFS($A$3:A16056,A7799,$B$3:B16056,B7799)</f>
        <v>1</v>
      </c>
      <c r="G7799" s="116"/>
    </row>
    <row r="7800" spans="1:7" x14ac:dyDescent="0.2">
      <c r="A7800" s="116">
        <f>IF(ISNUMBER(Tabela2[[#This Row],[CT-e/NFS]])=TRUE,(IF(B7800&gt;30000,4,IF(B7800&lt;1000,"ND",0))),"-")</f>
        <v>4</v>
      </c>
      <c r="B7800" s="116">
        <v>51402</v>
      </c>
      <c r="C7800" s="117">
        <v>45691</v>
      </c>
      <c r="D7800" s="116">
        <v>113.15</v>
      </c>
      <c r="E7800" s="117">
        <v>45687</v>
      </c>
      <c r="F7800" s="116">
        <f>COUNTIFS($A$3:A16057,A7800,$B$3:B16057,B7800)</f>
        <v>1</v>
      </c>
      <c r="G7800" s="116"/>
    </row>
    <row r="7801" spans="1:7" x14ac:dyDescent="0.2">
      <c r="A7801" s="116">
        <f>IF(ISNUMBER(Tabela2[[#This Row],[CT-e/NFS]])=TRUE,(IF(B7801&gt;30000,4,IF(B7801&lt;1000,"ND",0))),"-")</f>
        <v>4</v>
      </c>
      <c r="B7801" s="116">
        <v>51388</v>
      </c>
      <c r="C7801" s="117">
        <v>45691</v>
      </c>
      <c r="D7801" s="116">
        <v>238.39</v>
      </c>
      <c r="E7801" s="117">
        <v>45687</v>
      </c>
      <c r="F7801" s="116">
        <f>COUNTIFS($A$3:A16058,A7801,$B$3:B16058,B7801)</f>
        <v>1</v>
      </c>
      <c r="G7801" s="116"/>
    </row>
    <row r="7802" spans="1:7" x14ac:dyDescent="0.2">
      <c r="A7802" s="116">
        <f>IF(ISNUMBER(Tabela2[[#This Row],[CT-e/NFS]])=TRUE,(IF(B7802&gt;30000,4,IF(B7802&lt;1000,"ND",0))),"-")</f>
        <v>4</v>
      </c>
      <c r="B7802" s="116">
        <v>51386</v>
      </c>
      <c r="C7802" s="117">
        <v>45691</v>
      </c>
      <c r="D7802" s="116">
        <v>218.18</v>
      </c>
      <c r="E7802" s="117">
        <v>45687</v>
      </c>
      <c r="F7802" s="116">
        <f>COUNTIFS($A$3:A16059,A7802,$B$3:B16059,B7802)</f>
        <v>1</v>
      </c>
      <c r="G7802" s="116"/>
    </row>
    <row r="7803" spans="1:7" x14ac:dyDescent="0.2">
      <c r="A7803" s="116">
        <f>IF(ISNUMBER(Tabela2[[#This Row],[CT-e/NFS]])=TRUE,(IF(B7803&gt;30000,4,IF(B7803&lt;1000,"ND",0))),"-")</f>
        <v>4</v>
      </c>
      <c r="B7803" s="116">
        <v>51387</v>
      </c>
      <c r="C7803" s="117">
        <v>45691</v>
      </c>
      <c r="D7803" s="116">
        <v>209.28</v>
      </c>
      <c r="E7803" s="117">
        <v>45687</v>
      </c>
      <c r="F7803" s="116">
        <f>COUNTIFS($A$3:A16060,A7803,$B$3:B16060,B7803)</f>
        <v>1</v>
      </c>
      <c r="G7803" s="116"/>
    </row>
    <row r="7804" spans="1:7" x14ac:dyDescent="0.2">
      <c r="A7804" s="116">
        <f>IF(ISNUMBER(Tabela2[[#This Row],[CT-e/NFS]])=TRUE,(IF(B7804&gt;30000,4,IF(B7804&lt;1000,"ND",0))),"-")</f>
        <v>4</v>
      </c>
      <c r="B7804" s="116">
        <v>51385</v>
      </c>
      <c r="C7804" s="117">
        <v>45691</v>
      </c>
      <c r="D7804" s="116">
        <v>295.55</v>
      </c>
      <c r="E7804" s="117">
        <v>45687</v>
      </c>
      <c r="F7804" s="116">
        <f>COUNTIFS($A$3:A16061,A7804,$B$3:B16061,B7804)</f>
        <v>1</v>
      </c>
      <c r="G7804" s="116"/>
    </row>
    <row r="7805" spans="1:7" x14ac:dyDescent="0.2">
      <c r="A7805" s="116">
        <f>IF(ISNUMBER(Tabela2[[#This Row],[CT-e/NFS]])=TRUE,(IF(B7805&gt;30000,4,IF(B7805&lt;1000,"ND",0))),"-")</f>
        <v>4</v>
      </c>
      <c r="B7805" s="116">
        <v>51399</v>
      </c>
      <c r="C7805" s="117">
        <v>45691</v>
      </c>
      <c r="D7805" s="116">
        <v>62.09</v>
      </c>
      <c r="E7805" s="117">
        <v>45687</v>
      </c>
      <c r="F7805" s="116">
        <f>COUNTIFS($A$3:A16062,A7805,$B$3:B16062,B7805)</f>
        <v>1</v>
      </c>
      <c r="G7805" s="116"/>
    </row>
    <row r="7806" spans="1:7" x14ac:dyDescent="0.2">
      <c r="A7806" s="116">
        <f>IF(ISNUMBER(Tabela2[[#This Row],[CT-e/NFS]])=TRUE,(IF(B7806&gt;30000,4,IF(B7806&lt;1000,"ND",0))),"-")</f>
        <v>4</v>
      </c>
      <c r="B7806" s="116">
        <v>51400</v>
      </c>
      <c r="C7806" s="117">
        <v>45691</v>
      </c>
      <c r="D7806" s="116">
        <v>111.91</v>
      </c>
      <c r="E7806" s="117">
        <v>45687</v>
      </c>
      <c r="F7806" s="116">
        <f>COUNTIFS($A$3:A16063,A7806,$B$3:B16063,B7806)</f>
        <v>1</v>
      </c>
      <c r="G7806" s="116"/>
    </row>
    <row r="7807" spans="1:7" x14ac:dyDescent="0.2">
      <c r="A7807" s="116">
        <f>IF(ISNUMBER(Tabela2[[#This Row],[CT-e/NFS]])=TRUE,(IF(B7807&gt;30000,4,IF(B7807&lt;1000,"ND",0))),"-")</f>
        <v>4</v>
      </c>
      <c r="B7807" s="116">
        <v>51378</v>
      </c>
      <c r="C7807" s="117">
        <v>45691</v>
      </c>
      <c r="D7807" s="116">
        <v>615.58000000000004</v>
      </c>
      <c r="E7807" s="117">
        <v>45687</v>
      </c>
      <c r="F7807" s="116">
        <f>COUNTIFS($A$3:A16064,A7807,$B$3:B16064,B7807)</f>
        <v>1</v>
      </c>
      <c r="G7807" s="116"/>
    </row>
    <row r="7808" spans="1:7" x14ac:dyDescent="0.2">
      <c r="A7808" s="116">
        <f>IF(ISNUMBER(Tabela2[[#This Row],[CT-e/NFS]])=TRUE,(IF(B7808&gt;30000,4,IF(B7808&lt;1000,"ND",0))),"-")</f>
        <v>4</v>
      </c>
      <c r="B7808" s="116">
        <v>51393</v>
      </c>
      <c r="C7808" s="117">
        <v>45691</v>
      </c>
      <c r="D7808" s="116">
        <v>87.49</v>
      </c>
      <c r="E7808" s="117">
        <v>45687</v>
      </c>
      <c r="F7808" s="116">
        <f>COUNTIFS($A$3:A16065,A7808,$B$3:B16065,B7808)</f>
        <v>1</v>
      </c>
      <c r="G7808" s="116"/>
    </row>
    <row r="7809" spans="1:7" x14ac:dyDescent="0.2">
      <c r="A7809" s="116">
        <f>IF(ISNUMBER(Tabela2[[#This Row],[CT-e/NFS]])=TRUE,(IF(B7809&gt;30000,4,IF(B7809&lt;1000,"ND",0))),"-")</f>
        <v>4</v>
      </c>
      <c r="B7809" s="116">
        <v>51397</v>
      </c>
      <c r="C7809" s="117">
        <v>45691</v>
      </c>
      <c r="D7809" s="116">
        <v>62.53</v>
      </c>
      <c r="E7809" s="117">
        <v>45687</v>
      </c>
      <c r="F7809" s="116">
        <f>COUNTIFS($A$3:A16066,A7809,$B$3:B16066,B7809)</f>
        <v>1</v>
      </c>
      <c r="G7809" s="116"/>
    </row>
    <row r="7810" spans="1:7" x14ac:dyDescent="0.2">
      <c r="A7810" s="116">
        <f>IF(ISNUMBER(Tabela2[[#This Row],[CT-e/NFS]])=TRUE,(IF(B7810&gt;30000,4,IF(B7810&lt;1000,"ND",0))),"-")</f>
        <v>4</v>
      </c>
      <c r="B7810" s="116">
        <v>51398</v>
      </c>
      <c r="C7810" s="117">
        <v>45691</v>
      </c>
      <c r="D7810" s="116">
        <v>112.8</v>
      </c>
      <c r="E7810" s="117">
        <v>45687</v>
      </c>
      <c r="F7810" s="116">
        <f>COUNTIFS($A$3:A16067,A7810,$B$3:B16067,B7810)</f>
        <v>1</v>
      </c>
      <c r="G7810" s="116"/>
    </row>
    <row r="7811" spans="1:7" x14ac:dyDescent="0.2">
      <c r="A7811" s="116">
        <f>IF(ISNUMBER(Tabela2[[#This Row],[CT-e/NFS]])=TRUE,(IF(B7811&gt;30000,4,IF(B7811&lt;1000,"ND",0))),"-")</f>
        <v>4</v>
      </c>
      <c r="B7811" s="116">
        <v>51395</v>
      </c>
      <c r="C7811" s="117">
        <v>45691</v>
      </c>
      <c r="D7811" s="116">
        <v>131.9</v>
      </c>
      <c r="E7811" s="117">
        <v>45687</v>
      </c>
      <c r="F7811" s="116">
        <f>COUNTIFS($A$3:A16068,A7811,$B$3:B16068,B7811)</f>
        <v>1</v>
      </c>
      <c r="G7811" s="116"/>
    </row>
    <row r="7812" spans="1:7" x14ac:dyDescent="0.2">
      <c r="A7812" s="116">
        <f>IF(ISNUMBER(Tabela2[[#This Row],[CT-e/NFS]])=TRUE,(IF(B7812&gt;30000,4,IF(B7812&lt;1000,"ND",0))),"-")</f>
        <v>4</v>
      </c>
      <c r="B7812" s="116">
        <v>51375</v>
      </c>
      <c r="C7812" s="117">
        <v>45691</v>
      </c>
      <c r="D7812" s="116">
        <v>297.10000000000002</v>
      </c>
      <c r="E7812" s="117">
        <v>45687</v>
      </c>
      <c r="F7812" s="116">
        <f>COUNTIFS($A$3:A16069,A7812,$B$3:B16069,B7812)</f>
        <v>1</v>
      </c>
      <c r="G7812" s="116"/>
    </row>
    <row r="7813" spans="1:7" x14ac:dyDescent="0.2">
      <c r="A7813" s="116">
        <f>IF(ISNUMBER(Tabela2[[#This Row],[CT-e/NFS]])=TRUE,(IF(B7813&gt;30000,4,IF(B7813&lt;1000,"ND",0))),"-")</f>
        <v>4</v>
      </c>
      <c r="B7813" s="116">
        <v>51377</v>
      </c>
      <c r="C7813" s="117">
        <v>45691</v>
      </c>
      <c r="D7813" s="116">
        <v>547.54999999999995</v>
      </c>
      <c r="E7813" s="117">
        <v>45687</v>
      </c>
      <c r="F7813" s="116">
        <f>COUNTIFS($A$3:A16070,A7813,$B$3:B16070,B7813)</f>
        <v>1</v>
      </c>
      <c r="G7813" s="116"/>
    </row>
    <row r="7814" spans="1:7" x14ac:dyDescent="0.2">
      <c r="A7814" s="116">
        <f>IF(ISNUMBER(Tabela2[[#This Row],[CT-e/NFS]])=TRUE,(IF(B7814&gt;30000,4,IF(B7814&lt;1000,"ND",0))),"-")</f>
        <v>4</v>
      </c>
      <c r="B7814" s="116">
        <v>51376</v>
      </c>
      <c r="C7814" s="117">
        <v>45691</v>
      </c>
      <c r="D7814" s="116">
        <v>298.07</v>
      </c>
      <c r="E7814" s="117">
        <v>45687</v>
      </c>
      <c r="F7814" s="116">
        <f>COUNTIFS($A$3:A16071,A7814,$B$3:B16071,B7814)</f>
        <v>1</v>
      </c>
      <c r="G7814" s="116"/>
    </row>
    <row r="7815" spans="1:7" x14ac:dyDescent="0.2">
      <c r="A7815" s="116">
        <f>IF(ISNUMBER(Tabela2[[#This Row],[CT-e/NFS]])=TRUE,(IF(B7815&gt;30000,4,IF(B7815&lt;1000,"ND",0))),"-")</f>
        <v>4</v>
      </c>
      <c r="B7815" s="116">
        <v>51379</v>
      </c>
      <c r="C7815" s="117">
        <v>45691</v>
      </c>
      <c r="D7815" s="116">
        <v>202.66</v>
      </c>
      <c r="E7815" s="117">
        <v>45687</v>
      </c>
      <c r="F7815" s="116">
        <f>COUNTIFS($A$3:A16072,A7815,$B$3:B16072,B7815)</f>
        <v>1</v>
      </c>
      <c r="G7815" s="116"/>
    </row>
    <row r="7816" spans="1:7" x14ac:dyDescent="0.2">
      <c r="A7816" s="116">
        <f>IF(ISNUMBER(Tabela2[[#This Row],[CT-e/NFS]])=TRUE,(IF(B7816&gt;30000,4,IF(B7816&lt;1000,"ND",0))),"-")</f>
        <v>4</v>
      </c>
      <c r="B7816" s="116">
        <v>51392</v>
      </c>
      <c r="C7816" s="117">
        <v>45691</v>
      </c>
      <c r="D7816" s="116">
        <v>131.9</v>
      </c>
      <c r="E7816" s="117">
        <v>45687</v>
      </c>
      <c r="F7816" s="116">
        <f>COUNTIFS($A$3:A16073,A7816,$B$3:B16073,B7816)</f>
        <v>1</v>
      </c>
      <c r="G7816" s="116"/>
    </row>
    <row r="7817" spans="1:7" x14ac:dyDescent="0.2">
      <c r="A7817" s="116">
        <f>IF(ISNUMBER(Tabela2[[#This Row],[CT-e/NFS]])=TRUE,(IF(B7817&gt;30000,4,IF(B7817&lt;1000,"ND",0))),"-")</f>
        <v>4</v>
      </c>
      <c r="B7817" s="116">
        <v>51383</v>
      </c>
      <c r="C7817" s="117">
        <v>45691</v>
      </c>
      <c r="D7817" s="116">
        <v>178.69</v>
      </c>
      <c r="E7817" s="117">
        <v>45687</v>
      </c>
      <c r="F7817" s="116">
        <f>COUNTIFS($A$3:A16074,A7817,$B$3:B16074,B7817)</f>
        <v>1</v>
      </c>
      <c r="G7817" s="116"/>
    </row>
    <row r="7818" spans="1:7" x14ac:dyDescent="0.2">
      <c r="A7818" s="116">
        <f>IF(ISNUMBER(Tabela2[[#This Row],[CT-e/NFS]])=TRUE,(IF(B7818&gt;30000,4,IF(B7818&lt;1000,"ND",0))),"-")</f>
        <v>4</v>
      </c>
      <c r="B7818" s="116">
        <v>51382</v>
      </c>
      <c r="C7818" s="117">
        <v>45691</v>
      </c>
      <c r="D7818" s="116">
        <v>202.66</v>
      </c>
      <c r="E7818" s="117">
        <v>45687</v>
      </c>
      <c r="F7818" s="116">
        <f>COUNTIFS($A$3:A16075,A7818,$B$3:B16075,B7818)</f>
        <v>1</v>
      </c>
      <c r="G7818" s="116"/>
    </row>
    <row r="7819" spans="1:7" x14ac:dyDescent="0.2">
      <c r="A7819" s="116">
        <f>IF(ISNUMBER(Tabela2[[#This Row],[CT-e/NFS]])=TRUE,(IF(B7819&gt;30000,4,IF(B7819&lt;1000,"ND",0))),"-")</f>
        <v>4</v>
      </c>
      <c r="B7819" s="116">
        <v>51381</v>
      </c>
      <c r="C7819" s="117">
        <v>45691</v>
      </c>
      <c r="D7819" s="116">
        <v>346.48</v>
      </c>
      <c r="E7819" s="117">
        <v>45687</v>
      </c>
      <c r="F7819" s="116">
        <f>COUNTIFS($A$3:A16076,A7819,$B$3:B16076,B7819)</f>
        <v>1</v>
      </c>
      <c r="G7819" s="116"/>
    </row>
    <row r="7820" spans="1:7" x14ac:dyDescent="0.2">
      <c r="A7820" s="116">
        <f>IF(ISNUMBER(Tabela2[[#This Row],[CT-e/NFS]])=TRUE,(IF(B7820&gt;30000,4,IF(B7820&lt;1000,"ND",0))),"-")</f>
        <v>4</v>
      </c>
      <c r="B7820" s="116">
        <v>51380</v>
      </c>
      <c r="C7820" s="117">
        <v>45691</v>
      </c>
      <c r="D7820" s="116">
        <v>207.24</v>
      </c>
      <c r="E7820" s="117">
        <v>45687</v>
      </c>
      <c r="F7820" s="116">
        <f>COUNTIFS($A$3:A16077,A7820,$B$3:B16077,B7820)</f>
        <v>1</v>
      </c>
      <c r="G7820" s="116"/>
    </row>
    <row r="7821" spans="1:7" x14ac:dyDescent="0.2">
      <c r="A7821" s="116">
        <f>IF(ISNUMBER(Tabela2[[#This Row],[CT-e/NFS]])=TRUE,(IF(B7821&gt;30000,4,IF(B7821&lt;1000,"ND",0))),"-")</f>
        <v>4</v>
      </c>
      <c r="B7821" s="116">
        <v>51356</v>
      </c>
      <c r="C7821" s="117">
        <v>45691</v>
      </c>
      <c r="D7821" s="116">
        <v>124.18</v>
      </c>
      <c r="E7821" s="117">
        <v>45687</v>
      </c>
      <c r="F7821" s="116">
        <f>COUNTIFS($A$3:A16078,A7821,$B$3:B16078,B7821)</f>
        <v>1</v>
      </c>
      <c r="G7821" s="116"/>
    </row>
    <row r="7822" spans="1:7" x14ac:dyDescent="0.2">
      <c r="A7822" s="116">
        <f>IF(ISNUMBER(Tabela2[[#This Row],[CT-e/NFS]])=TRUE,(IF(B7822&gt;30000,4,IF(B7822&lt;1000,"ND",0))),"-")</f>
        <v>4</v>
      </c>
      <c r="B7822" s="116">
        <v>51367</v>
      </c>
      <c r="C7822" s="117">
        <v>45691</v>
      </c>
      <c r="D7822" s="116">
        <v>123.86</v>
      </c>
      <c r="E7822" s="117">
        <v>45687</v>
      </c>
      <c r="F7822" s="116">
        <f>COUNTIFS($A$3:A16079,A7822,$B$3:B16079,B7822)</f>
        <v>1</v>
      </c>
      <c r="G7822" s="116"/>
    </row>
    <row r="7823" spans="1:7" x14ac:dyDescent="0.2">
      <c r="A7823" s="116">
        <f>IF(ISNUMBER(Tabela2[[#This Row],[CT-e/NFS]])=TRUE,(IF(B7823&gt;30000,4,IF(B7823&lt;1000,"ND",0))),"-")</f>
        <v>4</v>
      </c>
      <c r="B7823" s="116">
        <v>51366</v>
      </c>
      <c r="C7823" s="117">
        <v>45691</v>
      </c>
      <c r="D7823" s="116">
        <v>124.3</v>
      </c>
      <c r="E7823" s="117">
        <v>45687</v>
      </c>
      <c r="F7823" s="116">
        <f>COUNTIFS($A$3:A16080,A7823,$B$3:B16080,B7823)</f>
        <v>1</v>
      </c>
      <c r="G7823" s="116"/>
    </row>
    <row r="7824" spans="1:7" x14ac:dyDescent="0.2">
      <c r="A7824" s="116">
        <f>IF(ISNUMBER(Tabela2[[#This Row],[CT-e/NFS]])=TRUE,(IF(B7824&gt;30000,4,IF(B7824&lt;1000,"ND",0))),"-")</f>
        <v>4</v>
      </c>
      <c r="B7824" s="116">
        <v>51364</v>
      </c>
      <c r="C7824" s="117">
        <v>45691</v>
      </c>
      <c r="D7824" s="116">
        <v>122.77</v>
      </c>
      <c r="E7824" s="117">
        <v>45687</v>
      </c>
      <c r="F7824" s="116">
        <f>COUNTIFS($A$3:A16081,A7824,$B$3:B16081,B7824)</f>
        <v>1</v>
      </c>
      <c r="G7824" s="116"/>
    </row>
    <row r="7825" spans="1:7" x14ac:dyDescent="0.2">
      <c r="A7825" s="116">
        <f>IF(ISNUMBER(Tabela2[[#This Row],[CT-e/NFS]])=TRUE,(IF(B7825&gt;30000,4,IF(B7825&lt;1000,"ND",0))),"-")</f>
        <v>4</v>
      </c>
      <c r="B7825" s="116">
        <v>51365</v>
      </c>
      <c r="C7825" s="117">
        <v>45691</v>
      </c>
      <c r="D7825" s="116">
        <v>124.32</v>
      </c>
      <c r="E7825" s="117">
        <v>45687</v>
      </c>
      <c r="F7825" s="116">
        <f>COUNTIFS($A$3:A16082,A7825,$B$3:B16082,B7825)</f>
        <v>1</v>
      </c>
      <c r="G7825" s="116"/>
    </row>
    <row r="7826" spans="1:7" x14ac:dyDescent="0.2">
      <c r="A7826" s="116">
        <f>IF(ISNUMBER(Tabela2[[#This Row],[CT-e/NFS]])=TRUE,(IF(B7826&gt;30000,4,IF(B7826&lt;1000,"ND",0))),"-")</f>
        <v>4</v>
      </c>
      <c r="B7826" s="116">
        <v>51369</v>
      </c>
      <c r="C7826" s="117">
        <v>45691</v>
      </c>
      <c r="D7826" s="116">
        <v>124.18</v>
      </c>
      <c r="E7826" s="117">
        <v>45687</v>
      </c>
      <c r="F7826" s="116">
        <f>COUNTIFS($A$3:A16083,A7826,$B$3:B16083,B7826)</f>
        <v>1</v>
      </c>
      <c r="G7826" s="116"/>
    </row>
    <row r="7827" spans="1:7" x14ac:dyDescent="0.2">
      <c r="A7827" s="116">
        <f>IF(ISNUMBER(Tabela2[[#This Row],[CT-e/NFS]])=TRUE,(IF(B7827&gt;30000,4,IF(B7827&lt;1000,"ND",0))),"-")</f>
        <v>4</v>
      </c>
      <c r="B7827" s="116">
        <v>51362</v>
      </c>
      <c r="C7827" s="117">
        <v>45691</v>
      </c>
      <c r="D7827" s="116">
        <v>125.6</v>
      </c>
      <c r="E7827" s="117">
        <v>45687</v>
      </c>
      <c r="F7827" s="116">
        <f>COUNTIFS($A$3:A16084,A7827,$B$3:B16084,B7827)</f>
        <v>1</v>
      </c>
      <c r="G7827" s="116"/>
    </row>
    <row r="7828" spans="1:7" x14ac:dyDescent="0.2">
      <c r="A7828" s="116">
        <f>IF(ISNUMBER(Tabela2[[#This Row],[CT-e/NFS]])=TRUE,(IF(B7828&gt;30000,4,IF(B7828&lt;1000,"ND",0))),"-")</f>
        <v>4</v>
      </c>
      <c r="B7828" s="116">
        <v>51361</v>
      </c>
      <c r="C7828" s="117">
        <v>45691</v>
      </c>
      <c r="D7828" s="116">
        <v>125.42</v>
      </c>
      <c r="E7828" s="117">
        <v>45687</v>
      </c>
      <c r="F7828" s="116">
        <f>COUNTIFS($A$3:A16085,A7828,$B$3:B16085,B7828)</f>
        <v>1</v>
      </c>
      <c r="G7828" s="116"/>
    </row>
    <row r="7829" spans="1:7" x14ac:dyDescent="0.2">
      <c r="A7829" s="116">
        <f>IF(ISNUMBER(Tabela2[[#This Row],[CT-e/NFS]])=TRUE,(IF(B7829&gt;30000,4,IF(B7829&lt;1000,"ND",0))),"-")</f>
        <v>4</v>
      </c>
      <c r="B7829" s="116">
        <v>51357</v>
      </c>
      <c r="C7829" s="117">
        <v>45691</v>
      </c>
      <c r="D7829" s="116">
        <v>125.81</v>
      </c>
      <c r="E7829" s="117">
        <v>45687</v>
      </c>
      <c r="F7829" s="116">
        <f>COUNTIFS($A$3:A16086,A7829,$B$3:B16086,B7829)</f>
        <v>1</v>
      </c>
      <c r="G7829" s="116"/>
    </row>
    <row r="7830" spans="1:7" x14ac:dyDescent="0.2">
      <c r="A7830" s="116">
        <f>IF(ISNUMBER(Tabela2[[#This Row],[CT-e/NFS]])=TRUE,(IF(B7830&gt;30000,4,IF(B7830&lt;1000,"ND",0))),"-")</f>
        <v>4</v>
      </c>
      <c r="B7830" s="116">
        <v>51372</v>
      </c>
      <c r="C7830" s="117">
        <v>45691</v>
      </c>
      <c r="D7830" s="116">
        <v>122.82</v>
      </c>
      <c r="E7830" s="117">
        <v>45687</v>
      </c>
      <c r="F7830" s="116">
        <f>COUNTIFS($A$3:A16087,A7830,$B$3:B16087,B7830)</f>
        <v>1</v>
      </c>
      <c r="G7830" s="116"/>
    </row>
    <row r="7831" spans="1:7" x14ac:dyDescent="0.2">
      <c r="A7831" s="116">
        <f>IF(ISNUMBER(Tabela2[[#This Row],[CT-e/NFS]])=TRUE,(IF(B7831&gt;30000,4,IF(B7831&lt;1000,"ND",0))),"-")</f>
        <v>4</v>
      </c>
      <c r="B7831" s="116">
        <v>51368</v>
      </c>
      <c r="C7831" s="117">
        <v>45691</v>
      </c>
      <c r="D7831" s="116">
        <v>125.07</v>
      </c>
      <c r="E7831" s="117">
        <v>45687</v>
      </c>
      <c r="F7831" s="116">
        <f>COUNTIFS($A$3:A16088,A7831,$B$3:B16088,B7831)</f>
        <v>1</v>
      </c>
      <c r="G7831" s="116"/>
    </row>
    <row r="7832" spans="1:7" x14ac:dyDescent="0.2">
      <c r="A7832" s="116">
        <f>IF(ISNUMBER(Tabela2[[#This Row],[CT-e/NFS]])=TRUE,(IF(B7832&gt;30000,4,IF(B7832&lt;1000,"ND",0))),"-")</f>
        <v>4</v>
      </c>
      <c r="B7832" s="116">
        <v>51360</v>
      </c>
      <c r="C7832" s="117">
        <v>45691</v>
      </c>
      <c r="D7832" s="116">
        <v>125.25</v>
      </c>
      <c r="E7832" s="117">
        <v>45687</v>
      </c>
      <c r="F7832" s="116">
        <f>COUNTIFS($A$3:A16089,A7832,$B$3:B16089,B7832)</f>
        <v>1</v>
      </c>
      <c r="G7832" s="116"/>
    </row>
    <row r="7833" spans="1:7" x14ac:dyDescent="0.2">
      <c r="A7833" s="116">
        <f>IF(ISNUMBER(Tabela2[[#This Row],[CT-e/NFS]])=TRUE,(IF(B7833&gt;30000,4,IF(B7833&lt;1000,"ND",0))),"-")</f>
        <v>4</v>
      </c>
      <c r="B7833" s="116">
        <v>51358</v>
      </c>
      <c r="C7833" s="117">
        <v>45691</v>
      </c>
      <c r="D7833" s="116">
        <v>306.64</v>
      </c>
      <c r="E7833" s="117">
        <v>45687</v>
      </c>
      <c r="F7833" s="116">
        <f>COUNTIFS($A$3:A16090,A7833,$B$3:B16090,B7833)</f>
        <v>1</v>
      </c>
      <c r="G7833" s="116"/>
    </row>
    <row r="7834" spans="1:7" x14ac:dyDescent="0.2">
      <c r="A7834" s="116">
        <f>IF(ISNUMBER(Tabela2[[#This Row],[CT-e/NFS]])=TRUE,(IF(B7834&gt;30000,4,IF(B7834&lt;1000,"ND",0))),"-")</f>
        <v>4</v>
      </c>
      <c r="B7834" s="116">
        <v>51359</v>
      </c>
      <c r="C7834" s="117">
        <v>45691</v>
      </c>
      <c r="D7834" s="116">
        <v>137.94</v>
      </c>
      <c r="E7834" s="117">
        <v>45687</v>
      </c>
      <c r="F7834" s="116">
        <f>COUNTIFS($A$3:A16091,A7834,$B$3:B16091,B7834)</f>
        <v>1</v>
      </c>
      <c r="G7834" s="116"/>
    </row>
    <row r="7835" spans="1:7" x14ac:dyDescent="0.2">
      <c r="A7835" s="116">
        <f>IF(ISNUMBER(Tabela2[[#This Row],[CT-e/NFS]])=TRUE,(IF(B7835&gt;30000,4,IF(B7835&lt;1000,"ND",0))),"-")</f>
        <v>4</v>
      </c>
      <c r="B7835" s="116">
        <v>51355</v>
      </c>
      <c r="C7835" s="117">
        <v>45691</v>
      </c>
      <c r="D7835" s="116">
        <v>1086.24</v>
      </c>
      <c r="E7835" s="117">
        <v>45687</v>
      </c>
      <c r="F7835" s="116">
        <f>COUNTIFS($A$3:A16092,A7835,$B$3:B16092,B7835)</f>
        <v>1</v>
      </c>
      <c r="G7835" s="116"/>
    </row>
    <row r="7836" spans="1:7" x14ac:dyDescent="0.2">
      <c r="A7836" s="116">
        <f>IF(ISNUMBER(Tabela2[[#This Row],[CT-e/NFS]])=TRUE,(IF(B7836&gt;30000,4,IF(B7836&lt;1000,"ND",0))),"-")</f>
        <v>4</v>
      </c>
      <c r="B7836" s="116">
        <v>51352</v>
      </c>
      <c r="C7836" s="117">
        <v>45691</v>
      </c>
      <c r="D7836" s="116">
        <v>372.9</v>
      </c>
      <c r="E7836" s="117">
        <v>45687</v>
      </c>
      <c r="F7836" s="116">
        <f>COUNTIFS($A$3:A16093,A7836,$B$3:B16093,B7836)</f>
        <v>1</v>
      </c>
      <c r="G7836" s="116"/>
    </row>
    <row r="7837" spans="1:7" x14ac:dyDescent="0.2">
      <c r="A7837" s="116">
        <f>IF(ISNUMBER(Tabela2[[#This Row],[CT-e/NFS]])=TRUE,(IF(B7837&gt;30000,4,IF(B7837&lt;1000,"ND",0))),"-")</f>
        <v>4</v>
      </c>
      <c r="B7837" s="116">
        <v>51353</v>
      </c>
      <c r="C7837" s="117">
        <v>45691</v>
      </c>
      <c r="D7837" s="116">
        <v>372.9</v>
      </c>
      <c r="E7837" s="117">
        <v>45687</v>
      </c>
      <c r="F7837" s="116">
        <f>COUNTIFS($A$3:A16094,A7837,$B$3:B16094,B7837)</f>
        <v>1</v>
      </c>
      <c r="G7837" s="116"/>
    </row>
    <row r="7838" spans="1:7" x14ac:dyDescent="0.2">
      <c r="A7838" s="116">
        <f>IF(ISNUMBER(Tabela2[[#This Row],[CT-e/NFS]])=TRUE,(IF(B7838&gt;30000,4,IF(B7838&lt;1000,"ND",0))),"-")</f>
        <v>4</v>
      </c>
      <c r="B7838" s="116">
        <v>51354</v>
      </c>
      <c r="C7838" s="117">
        <v>45691</v>
      </c>
      <c r="D7838" s="116">
        <v>391.92</v>
      </c>
      <c r="E7838" s="117">
        <v>45687</v>
      </c>
      <c r="F7838" s="116">
        <f>COUNTIFS($A$3:A16095,A7838,$B$3:B16095,B7838)</f>
        <v>1</v>
      </c>
      <c r="G7838" s="116"/>
    </row>
    <row r="7839" spans="1:7" x14ac:dyDescent="0.2">
      <c r="A7839" s="116">
        <f>IF(ISNUMBER(Tabela2[[#This Row],[CT-e/NFS]])=TRUE,(IF(B7839&gt;30000,4,IF(B7839&lt;1000,"ND",0))),"-")</f>
        <v>4</v>
      </c>
      <c r="B7839" s="116">
        <v>51374</v>
      </c>
      <c r="C7839" s="117">
        <v>45691</v>
      </c>
      <c r="D7839" s="116">
        <v>12485</v>
      </c>
      <c r="E7839" s="117">
        <v>45687</v>
      </c>
      <c r="F7839" s="116">
        <f>COUNTIFS($A$3:A16096,A7839,$B$3:B16096,B7839)</f>
        <v>1</v>
      </c>
      <c r="G7839" s="116"/>
    </row>
    <row r="7840" spans="1:7" x14ac:dyDescent="0.2">
      <c r="A7840" s="116">
        <f>IF(ISNUMBER(Tabela2[[#This Row],[CT-e/NFS]])=TRUE,(IF(B7840&gt;30000,4,IF(B7840&lt;1000,"ND",0))),"-")</f>
        <v>4</v>
      </c>
      <c r="B7840" s="116">
        <v>51371</v>
      </c>
      <c r="C7840" s="117">
        <v>45691</v>
      </c>
      <c r="D7840" s="116">
        <v>239.93</v>
      </c>
      <c r="E7840" s="117">
        <v>45687</v>
      </c>
      <c r="F7840" s="116">
        <f>COUNTIFS($A$3:A16097,A7840,$B$3:B16097,B7840)</f>
        <v>1</v>
      </c>
      <c r="G7840" s="116"/>
    </row>
    <row r="7841" spans="1:7" x14ac:dyDescent="0.2">
      <c r="A7841" s="116">
        <f>IF(ISNUMBER(Tabela2[[#This Row],[CT-e/NFS]])=TRUE,(IF(B7841&gt;30000,4,IF(B7841&lt;1000,"ND",0))),"-")</f>
        <v>4</v>
      </c>
      <c r="B7841" s="116">
        <v>51370</v>
      </c>
      <c r="C7841" s="117">
        <v>45691</v>
      </c>
      <c r="D7841" s="116">
        <v>242.93</v>
      </c>
      <c r="E7841" s="117">
        <v>45687</v>
      </c>
      <c r="F7841" s="116">
        <f>COUNTIFS($A$3:A16098,A7841,$B$3:B16098,B7841)</f>
        <v>1</v>
      </c>
      <c r="G7841" s="116"/>
    </row>
    <row r="7842" spans="1:7" x14ac:dyDescent="0.2">
      <c r="A7842" s="116">
        <f>IF(ISNUMBER(Tabela2[[#This Row],[CT-e/NFS]])=TRUE,(IF(B7842&gt;30000,4,IF(B7842&lt;1000,"ND",0))),"-")</f>
        <v>4</v>
      </c>
      <c r="B7842" s="116">
        <v>51363</v>
      </c>
      <c r="C7842" s="117">
        <v>45691</v>
      </c>
      <c r="D7842" s="116">
        <v>248.52</v>
      </c>
      <c r="E7842" s="117">
        <v>45687</v>
      </c>
      <c r="F7842" s="116">
        <f>COUNTIFS($A$3:A16099,A7842,$B$3:B16099,B7842)</f>
        <v>1</v>
      </c>
      <c r="G7842" s="116"/>
    </row>
    <row r="7843" spans="1:7" x14ac:dyDescent="0.2">
      <c r="A7843" s="116">
        <f>IF(ISNUMBER(Tabela2[[#This Row],[CT-e/NFS]])=TRUE,(IF(B7843&gt;30000,4,IF(B7843&lt;1000,"ND",0))),"-")</f>
        <v>4</v>
      </c>
      <c r="B7843" s="116">
        <v>51373</v>
      </c>
      <c r="C7843" s="117">
        <v>45691</v>
      </c>
      <c r="D7843" s="116">
        <v>16208.52</v>
      </c>
      <c r="E7843" s="117">
        <v>45687</v>
      </c>
      <c r="F7843" s="116">
        <f>COUNTIFS($A$3:A16100,A7843,$B$3:B16100,B7843)</f>
        <v>1</v>
      </c>
      <c r="G7843" s="116"/>
    </row>
    <row r="7844" spans="1:7" x14ac:dyDescent="0.2">
      <c r="A7844" s="116" t="str">
        <f>IF(ISNUMBER(Tabela2[[#This Row],[CT-e/NFS]])=TRUE,(IF(B7844&gt;30000,4,IF(B7844&lt;1000,"ND",0))),"-")</f>
        <v>ND</v>
      </c>
      <c r="B7844" s="116">
        <v>248</v>
      </c>
      <c r="C7844" s="117">
        <v>45691</v>
      </c>
      <c r="D7844" s="116">
        <v>676.33</v>
      </c>
      <c r="E7844" s="117">
        <v>45687</v>
      </c>
      <c r="F7844" s="116">
        <f>COUNTIFS($A$3:A16101,A7844,$B$3:B16101,B7844)</f>
        <v>1</v>
      </c>
      <c r="G7844" s="116"/>
    </row>
    <row r="7845" spans="1:7" x14ac:dyDescent="0.2">
      <c r="A7845" s="116" t="str">
        <f>IF(ISNUMBER(Tabela2[[#This Row],[CT-e/NFS]])=TRUE,(IF(B7845&gt;30000,4,IF(B7845&lt;1000,"ND",0))),"-")</f>
        <v>ND</v>
      </c>
      <c r="B7845" s="116">
        <v>247</v>
      </c>
      <c r="C7845" s="117">
        <v>45691</v>
      </c>
      <c r="D7845" s="116">
        <v>1184.3599999999999</v>
      </c>
      <c r="E7845" s="117">
        <v>45687</v>
      </c>
      <c r="F7845" s="116">
        <f>COUNTIFS($A$3:A16102,A7845,$B$3:B16102,B7845)</f>
        <v>1</v>
      </c>
      <c r="G7845" s="116"/>
    </row>
    <row r="7846" spans="1:7" x14ac:dyDescent="0.2">
      <c r="A7846" s="116">
        <f>IF(ISNUMBER(Tabela2[[#This Row],[CT-e/NFS]])=TRUE,(IF(B7846&gt;30000,4,IF(B7846&lt;1000,"ND",0))),"-")</f>
        <v>4</v>
      </c>
      <c r="B7846" s="116">
        <v>51345</v>
      </c>
      <c r="C7846" s="117">
        <v>45691</v>
      </c>
      <c r="D7846" s="116">
        <v>124.3</v>
      </c>
      <c r="E7846" s="117">
        <v>45687</v>
      </c>
      <c r="F7846" s="116">
        <f>COUNTIFS($A$3:A16103,A7846,$B$3:B16103,B7846)</f>
        <v>1</v>
      </c>
      <c r="G7846" s="116"/>
    </row>
    <row r="7847" spans="1:7" x14ac:dyDescent="0.2">
      <c r="A7847" s="116">
        <f>IF(ISNUMBER(Tabela2[[#This Row],[CT-e/NFS]])=TRUE,(IF(B7847&gt;30000,4,IF(B7847&lt;1000,"ND",0))),"-")</f>
        <v>4</v>
      </c>
      <c r="B7847" s="116">
        <v>51343</v>
      </c>
      <c r="C7847" s="117">
        <v>45691</v>
      </c>
      <c r="D7847" s="116">
        <v>123.13</v>
      </c>
      <c r="E7847" s="117">
        <v>45687</v>
      </c>
      <c r="F7847" s="116">
        <f>COUNTIFS($A$3:A16104,A7847,$B$3:B16104,B7847)</f>
        <v>1</v>
      </c>
      <c r="G7847" s="116"/>
    </row>
    <row r="7848" spans="1:7" x14ac:dyDescent="0.2">
      <c r="A7848" s="116">
        <f>IF(ISNUMBER(Tabela2[[#This Row],[CT-e/NFS]])=TRUE,(IF(B7848&gt;30000,4,IF(B7848&lt;1000,"ND",0))),"-")</f>
        <v>4</v>
      </c>
      <c r="B7848" s="116">
        <v>51342</v>
      </c>
      <c r="C7848" s="117">
        <v>45691</v>
      </c>
      <c r="D7848" s="116">
        <v>123.99</v>
      </c>
      <c r="E7848" s="117">
        <v>45687</v>
      </c>
      <c r="F7848" s="116">
        <f>COUNTIFS($A$3:A16105,A7848,$B$3:B16105,B7848)</f>
        <v>1</v>
      </c>
      <c r="G7848" s="116"/>
    </row>
    <row r="7849" spans="1:7" x14ac:dyDescent="0.2">
      <c r="A7849" s="116">
        <f>IF(ISNUMBER(Tabela2[[#This Row],[CT-e/NFS]])=TRUE,(IF(B7849&gt;30000,4,IF(B7849&lt;1000,"ND",0))),"-")</f>
        <v>4</v>
      </c>
      <c r="B7849" s="116">
        <v>51338</v>
      </c>
      <c r="C7849" s="117">
        <v>45691</v>
      </c>
      <c r="D7849" s="116">
        <v>124.69</v>
      </c>
      <c r="E7849" s="117">
        <v>45687</v>
      </c>
      <c r="F7849" s="116">
        <f>COUNTIFS($A$3:A16106,A7849,$B$3:B16106,B7849)</f>
        <v>1</v>
      </c>
      <c r="G7849" s="116"/>
    </row>
    <row r="7850" spans="1:7" x14ac:dyDescent="0.2">
      <c r="A7850" s="116">
        <f>IF(ISNUMBER(Tabela2[[#This Row],[CT-e/NFS]])=TRUE,(IF(B7850&gt;30000,4,IF(B7850&lt;1000,"ND",0))),"-")</f>
        <v>4</v>
      </c>
      <c r="B7850" s="116">
        <v>51340</v>
      </c>
      <c r="C7850" s="117">
        <v>45691</v>
      </c>
      <c r="D7850" s="116">
        <v>238.39</v>
      </c>
      <c r="E7850" s="117">
        <v>45687</v>
      </c>
      <c r="F7850" s="116">
        <f>COUNTIFS($A$3:A16107,A7850,$B$3:B16107,B7850)</f>
        <v>1</v>
      </c>
      <c r="G7850" s="116"/>
    </row>
    <row r="7851" spans="1:7" x14ac:dyDescent="0.2">
      <c r="A7851" s="116">
        <f>IF(ISNUMBER(Tabela2[[#This Row],[CT-e/NFS]])=TRUE,(IF(B7851&gt;30000,4,IF(B7851&lt;1000,"ND",0))),"-")</f>
        <v>4</v>
      </c>
      <c r="B7851" s="116">
        <v>51339</v>
      </c>
      <c r="C7851" s="117">
        <v>45691</v>
      </c>
      <c r="D7851" s="116">
        <v>1563.7</v>
      </c>
      <c r="E7851" s="117">
        <v>45687</v>
      </c>
      <c r="F7851" s="116">
        <f>COUNTIFS($A$3:A16108,A7851,$B$3:B16108,B7851)</f>
        <v>1</v>
      </c>
      <c r="G7851" s="116"/>
    </row>
    <row r="7852" spans="1:7" x14ac:dyDescent="0.2">
      <c r="A7852" s="116">
        <f>IF(ISNUMBER(Tabela2[[#This Row],[CT-e/NFS]])=TRUE,(IF(B7852&gt;30000,4,IF(B7852&lt;1000,"ND",0))),"-")</f>
        <v>4</v>
      </c>
      <c r="B7852" s="116">
        <v>51341</v>
      </c>
      <c r="C7852" s="117">
        <v>45691</v>
      </c>
      <c r="D7852" s="116">
        <v>280.92</v>
      </c>
      <c r="E7852" s="117">
        <v>45687</v>
      </c>
      <c r="F7852" s="116">
        <f>COUNTIFS($A$3:A16109,A7852,$B$3:B16109,B7852)</f>
        <v>1</v>
      </c>
      <c r="G7852" s="116"/>
    </row>
    <row r="7853" spans="1:7" x14ac:dyDescent="0.2">
      <c r="A7853" s="116">
        <f>IF(ISNUMBER(Tabela2[[#This Row],[CT-e/NFS]])=TRUE,(IF(B7853&gt;30000,4,IF(B7853&lt;1000,"ND",0))),"-")</f>
        <v>4</v>
      </c>
      <c r="B7853" s="116">
        <v>51344</v>
      </c>
      <c r="C7853" s="117">
        <v>45691</v>
      </c>
      <c r="D7853" s="116">
        <v>240.41</v>
      </c>
      <c r="E7853" s="117">
        <v>45687</v>
      </c>
      <c r="F7853" s="116">
        <f>COUNTIFS($A$3:A16110,A7853,$B$3:B16110,B7853)</f>
        <v>1</v>
      </c>
      <c r="G7853" s="116"/>
    </row>
    <row r="7854" spans="1:7" x14ac:dyDescent="0.2">
      <c r="A7854" s="116">
        <f>IF(ISNUMBER(Tabela2[[#This Row],[CT-e/NFS]])=TRUE,(IF(B7854&gt;30000,4,IF(B7854&lt;1000,"ND",0))),"-")</f>
        <v>4</v>
      </c>
      <c r="B7854" s="116">
        <v>51350</v>
      </c>
      <c r="C7854" s="117">
        <v>45691</v>
      </c>
      <c r="D7854" s="116">
        <v>63.1</v>
      </c>
      <c r="E7854" s="117">
        <v>45687</v>
      </c>
      <c r="F7854" s="116">
        <f>COUNTIFS($A$3:A16111,A7854,$B$3:B16111,B7854)</f>
        <v>1</v>
      </c>
      <c r="G7854" s="116"/>
    </row>
    <row r="7855" spans="1:7" x14ac:dyDescent="0.2">
      <c r="A7855" s="116">
        <f>IF(ISNUMBER(Tabela2[[#This Row],[CT-e/NFS]])=TRUE,(IF(B7855&gt;30000,4,IF(B7855&lt;1000,"ND",0))),"-")</f>
        <v>4</v>
      </c>
      <c r="B7855" s="116">
        <v>51351</v>
      </c>
      <c r="C7855" s="117">
        <v>45691</v>
      </c>
      <c r="D7855" s="116">
        <v>113.94</v>
      </c>
      <c r="E7855" s="117">
        <v>45687</v>
      </c>
      <c r="F7855" s="116">
        <f>COUNTIFS($A$3:A16112,A7855,$B$3:B16112,B7855)</f>
        <v>1</v>
      </c>
      <c r="G7855" s="116"/>
    </row>
    <row r="7856" spans="1:7" x14ac:dyDescent="0.2">
      <c r="A7856" s="116">
        <f>IF(ISNUMBER(Tabela2[[#This Row],[CT-e/NFS]])=TRUE,(IF(B7856&gt;30000,4,IF(B7856&lt;1000,"ND",0))),"-")</f>
        <v>4</v>
      </c>
      <c r="B7856" s="116">
        <v>51330</v>
      </c>
      <c r="C7856" s="117">
        <v>45691</v>
      </c>
      <c r="D7856" s="116">
        <v>123.52</v>
      </c>
      <c r="E7856" s="117">
        <v>45687</v>
      </c>
      <c r="F7856" s="116">
        <f>COUNTIFS($A$3:A16113,A7856,$B$3:B16113,B7856)</f>
        <v>1</v>
      </c>
      <c r="G7856" s="116"/>
    </row>
    <row r="7857" spans="1:7" x14ac:dyDescent="0.2">
      <c r="A7857" s="116">
        <f>IF(ISNUMBER(Tabela2[[#This Row],[CT-e/NFS]])=TRUE,(IF(B7857&gt;30000,4,IF(B7857&lt;1000,"ND",0))),"-")</f>
        <v>4</v>
      </c>
      <c r="B7857" s="116">
        <v>51328</v>
      </c>
      <c r="C7857" s="117">
        <v>45691</v>
      </c>
      <c r="D7857" s="116">
        <v>126.58</v>
      </c>
      <c r="E7857" s="117">
        <v>45687</v>
      </c>
      <c r="F7857" s="116">
        <f>COUNTIFS($A$3:A16114,A7857,$B$3:B16114,B7857)</f>
        <v>1</v>
      </c>
      <c r="G7857" s="116"/>
    </row>
    <row r="7858" spans="1:7" x14ac:dyDescent="0.2">
      <c r="A7858" s="116">
        <f>IF(ISNUMBER(Tabela2[[#This Row],[CT-e/NFS]])=TRUE,(IF(B7858&gt;30000,4,IF(B7858&lt;1000,"ND",0))),"-")</f>
        <v>4</v>
      </c>
      <c r="B7858" s="116">
        <v>51329</v>
      </c>
      <c r="C7858" s="117">
        <v>45691</v>
      </c>
      <c r="D7858" s="116">
        <v>125.56</v>
      </c>
      <c r="E7858" s="117">
        <v>45687</v>
      </c>
      <c r="F7858" s="116">
        <f>COUNTIFS($A$3:A16115,A7858,$B$3:B16115,B7858)</f>
        <v>1</v>
      </c>
      <c r="G7858" s="116"/>
    </row>
    <row r="7859" spans="1:7" x14ac:dyDescent="0.2">
      <c r="A7859" s="116">
        <f>IF(ISNUMBER(Tabela2[[#This Row],[CT-e/NFS]])=TRUE,(IF(B7859&gt;30000,4,IF(B7859&lt;1000,"ND",0))),"-")</f>
        <v>4</v>
      </c>
      <c r="B7859" s="116">
        <v>51332</v>
      </c>
      <c r="C7859" s="117">
        <v>45691</v>
      </c>
      <c r="D7859" s="116">
        <v>126.58</v>
      </c>
      <c r="E7859" s="117">
        <v>45687</v>
      </c>
      <c r="F7859" s="116">
        <f>COUNTIFS($A$3:A16116,A7859,$B$3:B16116,B7859)</f>
        <v>1</v>
      </c>
      <c r="G7859" s="116"/>
    </row>
    <row r="7860" spans="1:7" x14ac:dyDescent="0.2">
      <c r="A7860" s="116">
        <f>IF(ISNUMBER(Tabela2[[#This Row],[CT-e/NFS]])=TRUE,(IF(B7860&gt;30000,4,IF(B7860&lt;1000,"ND",0))),"-")</f>
        <v>4</v>
      </c>
      <c r="B7860" s="116">
        <v>51331</v>
      </c>
      <c r="C7860" s="117">
        <v>45691</v>
      </c>
      <c r="D7860" s="116">
        <v>128.43</v>
      </c>
      <c r="E7860" s="117">
        <v>45687</v>
      </c>
      <c r="F7860" s="116">
        <f>COUNTIFS($A$3:A16117,A7860,$B$3:B16117,B7860)</f>
        <v>1</v>
      </c>
      <c r="G7860" s="116"/>
    </row>
    <row r="7861" spans="1:7" x14ac:dyDescent="0.2">
      <c r="A7861" s="116">
        <f>IF(ISNUMBER(Tabela2[[#This Row],[CT-e/NFS]])=TRUE,(IF(B7861&gt;30000,4,IF(B7861&lt;1000,"ND",0))),"-")</f>
        <v>4</v>
      </c>
      <c r="B7861" s="116">
        <v>51334</v>
      </c>
      <c r="C7861" s="117">
        <v>45691</v>
      </c>
      <c r="D7861" s="116">
        <v>166.02</v>
      </c>
      <c r="E7861" s="117">
        <v>45687</v>
      </c>
      <c r="F7861" s="116">
        <f>COUNTIFS($A$3:A16118,A7861,$B$3:B16118,B7861)</f>
        <v>1</v>
      </c>
      <c r="G7861" s="116"/>
    </row>
    <row r="7862" spans="1:7" x14ac:dyDescent="0.2">
      <c r="A7862" s="116">
        <f>IF(ISNUMBER(Tabela2[[#This Row],[CT-e/NFS]])=TRUE,(IF(B7862&gt;30000,4,IF(B7862&lt;1000,"ND",0))),"-")</f>
        <v>4</v>
      </c>
      <c r="B7862" s="116">
        <v>51335</v>
      </c>
      <c r="C7862" s="117">
        <v>45691</v>
      </c>
      <c r="D7862" s="116">
        <v>563.05999999999995</v>
      </c>
      <c r="E7862" s="117">
        <v>45687</v>
      </c>
      <c r="F7862" s="116">
        <f>COUNTIFS($A$3:A16119,A7862,$B$3:B16119,B7862)</f>
        <v>1</v>
      </c>
      <c r="G7862" s="116"/>
    </row>
    <row r="7863" spans="1:7" x14ac:dyDescent="0.2">
      <c r="A7863" s="116">
        <f>IF(ISNUMBER(Tabela2[[#This Row],[CT-e/NFS]])=TRUE,(IF(B7863&gt;30000,4,IF(B7863&lt;1000,"ND",0))),"-")</f>
        <v>4</v>
      </c>
      <c r="B7863" s="116">
        <v>51336</v>
      </c>
      <c r="C7863" s="117">
        <v>45691</v>
      </c>
      <c r="D7863" s="116">
        <v>510.17</v>
      </c>
      <c r="E7863" s="117">
        <v>45687</v>
      </c>
      <c r="F7863" s="116">
        <f>COUNTIFS($A$3:A16120,A7863,$B$3:B16120,B7863)</f>
        <v>1</v>
      </c>
      <c r="G7863" s="116"/>
    </row>
    <row r="7864" spans="1:7" x14ac:dyDescent="0.2">
      <c r="A7864" s="116">
        <f>IF(ISNUMBER(Tabela2[[#This Row],[CT-e/NFS]])=TRUE,(IF(B7864&gt;30000,4,IF(B7864&lt;1000,"ND",0))),"-")</f>
        <v>4</v>
      </c>
      <c r="B7864" s="116">
        <v>51327</v>
      </c>
      <c r="C7864" s="117">
        <v>45691</v>
      </c>
      <c r="D7864" s="116">
        <v>702.1</v>
      </c>
      <c r="E7864" s="117">
        <v>45687</v>
      </c>
      <c r="F7864" s="116">
        <f>COUNTIFS($A$3:A16121,A7864,$B$3:B16121,B7864)</f>
        <v>1</v>
      </c>
      <c r="G7864" s="116"/>
    </row>
    <row r="7865" spans="1:7" x14ac:dyDescent="0.2">
      <c r="A7865" s="116">
        <f>IF(ISNUMBER(Tabela2[[#This Row],[CT-e/NFS]])=TRUE,(IF(B7865&gt;30000,4,IF(B7865&lt;1000,"ND",0))),"-")</f>
        <v>4</v>
      </c>
      <c r="B7865" s="116">
        <v>51337</v>
      </c>
      <c r="C7865" s="117">
        <v>45691</v>
      </c>
      <c r="D7865" s="116">
        <v>609.98</v>
      </c>
      <c r="E7865" s="117">
        <v>45687</v>
      </c>
      <c r="F7865" s="116">
        <f>COUNTIFS($A$3:A16122,A7865,$B$3:B16122,B7865)</f>
        <v>1</v>
      </c>
      <c r="G7865" s="116"/>
    </row>
    <row r="7866" spans="1:7" x14ac:dyDescent="0.2">
      <c r="A7866" s="116">
        <f>IF(ISNUMBER(Tabela2[[#This Row],[CT-e/NFS]])=TRUE,(IF(B7866&gt;30000,4,IF(B7866&lt;1000,"ND",0))),"-")</f>
        <v>4</v>
      </c>
      <c r="B7866" s="116">
        <v>51293</v>
      </c>
      <c r="C7866" s="117">
        <v>45691</v>
      </c>
      <c r="D7866" s="116">
        <v>124.1</v>
      </c>
      <c r="E7866" s="117">
        <v>45687</v>
      </c>
      <c r="F7866" s="116">
        <f>COUNTIFS($A$3:A16123,A7866,$B$3:B16123,B7866)</f>
        <v>1</v>
      </c>
      <c r="G7866" s="116"/>
    </row>
    <row r="7867" spans="1:7" x14ac:dyDescent="0.2">
      <c r="A7867" s="116">
        <f>IF(ISNUMBER(Tabela2[[#This Row],[CT-e/NFS]])=TRUE,(IF(B7867&gt;30000,4,IF(B7867&lt;1000,"ND",0))),"-")</f>
        <v>4</v>
      </c>
      <c r="B7867" s="116">
        <v>51298</v>
      </c>
      <c r="C7867" s="117">
        <v>45691</v>
      </c>
      <c r="D7867" s="116">
        <v>123.89</v>
      </c>
      <c r="E7867" s="117">
        <v>45687</v>
      </c>
      <c r="F7867" s="116">
        <f>COUNTIFS($A$3:A16124,A7867,$B$3:B16124,B7867)</f>
        <v>1</v>
      </c>
      <c r="G7867" s="116"/>
    </row>
    <row r="7868" spans="1:7" x14ac:dyDescent="0.2">
      <c r="A7868" s="116">
        <f>IF(ISNUMBER(Tabela2[[#This Row],[CT-e/NFS]])=TRUE,(IF(B7868&gt;30000,4,IF(B7868&lt;1000,"ND",0))),"-")</f>
        <v>4</v>
      </c>
      <c r="B7868" s="116">
        <v>51301</v>
      </c>
      <c r="C7868" s="117">
        <v>45691</v>
      </c>
      <c r="D7868" s="116">
        <v>124.22</v>
      </c>
      <c r="E7868" s="117">
        <v>45687</v>
      </c>
      <c r="F7868" s="116">
        <f>COUNTIFS($A$3:A16125,A7868,$B$3:B16125,B7868)</f>
        <v>1</v>
      </c>
      <c r="G7868" s="116"/>
    </row>
    <row r="7869" spans="1:7" x14ac:dyDescent="0.2">
      <c r="A7869" s="116">
        <f>IF(ISNUMBER(Tabela2[[#This Row],[CT-e/NFS]])=TRUE,(IF(B7869&gt;30000,4,IF(B7869&lt;1000,"ND",0))),"-")</f>
        <v>4</v>
      </c>
      <c r="B7869" s="116">
        <v>51302</v>
      </c>
      <c r="C7869" s="117">
        <v>45691</v>
      </c>
      <c r="D7869" s="116">
        <v>124.15</v>
      </c>
      <c r="E7869" s="117">
        <v>45687</v>
      </c>
      <c r="F7869" s="116">
        <f>COUNTIFS($A$3:A16126,A7869,$B$3:B16126,B7869)</f>
        <v>1</v>
      </c>
      <c r="G7869" s="116"/>
    </row>
    <row r="7870" spans="1:7" x14ac:dyDescent="0.2">
      <c r="A7870" s="116">
        <f>IF(ISNUMBER(Tabela2[[#This Row],[CT-e/NFS]])=TRUE,(IF(B7870&gt;30000,4,IF(B7870&lt;1000,"ND",0))),"-")</f>
        <v>4</v>
      </c>
      <c r="B7870" s="116">
        <v>51295</v>
      </c>
      <c r="C7870" s="117">
        <v>45691</v>
      </c>
      <c r="D7870" s="116">
        <v>122.89</v>
      </c>
      <c r="E7870" s="117">
        <v>45687</v>
      </c>
      <c r="F7870" s="116">
        <f>COUNTIFS($A$3:A16127,A7870,$B$3:B16127,B7870)</f>
        <v>1</v>
      </c>
      <c r="G7870" s="116"/>
    </row>
    <row r="7871" spans="1:7" x14ac:dyDescent="0.2">
      <c r="A7871" s="116">
        <f>IF(ISNUMBER(Tabela2[[#This Row],[CT-e/NFS]])=TRUE,(IF(B7871&gt;30000,4,IF(B7871&lt;1000,"ND",0))),"-")</f>
        <v>4</v>
      </c>
      <c r="B7871" s="116">
        <v>51290</v>
      </c>
      <c r="C7871" s="117">
        <v>45691</v>
      </c>
      <c r="D7871" s="116">
        <v>124.33</v>
      </c>
      <c r="E7871" s="117">
        <v>45687</v>
      </c>
      <c r="F7871" s="116">
        <f>COUNTIFS($A$3:A16128,A7871,$B$3:B16128,B7871)</f>
        <v>1</v>
      </c>
      <c r="G7871" s="116"/>
    </row>
    <row r="7872" spans="1:7" x14ac:dyDescent="0.2">
      <c r="A7872" s="116">
        <f>IF(ISNUMBER(Tabela2[[#This Row],[CT-e/NFS]])=TRUE,(IF(B7872&gt;30000,4,IF(B7872&lt;1000,"ND",0))),"-")</f>
        <v>4</v>
      </c>
      <c r="B7872" s="116">
        <v>51315</v>
      </c>
      <c r="C7872" s="117">
        <v>45691</v>
      </c>
      <c r="D7872" s="116">
        <v>125.41</v>
      </c>
      <c r="E7872" s="117">
        <v>45687</v>
      </c>
      <c r="F7872" s="116">
        <f>COUNTIFS($A$3:A16129,A7872,$B$3:B16129,B7872)</f>
        <v>1</v>
      </c>
      <c r="G7872" s="116"/>
    </row>
    <row r="7873" spans="1:7" x14ac:dyDescent="0.2">
      <c r="A7873" s="116">
        <f>IF(ISNUMBER(Tabela2[[#This Row],[CT-e/NFS]])=TRUE,(IF(B7873&gt;30000,4,IF(B7873&lt;1000,"ND",0))),"-")</f>
        <v>4</v>
      </c>
      <c r="B7873" s="116">
        <v>51317</v>
      </c>
      <c r="C7873" s="117">
        <v>45691</v>
      </c>
      <c r="D7873" s="116">
        <v>125.56</v>
      </c>
      <c r="E7873" s="117">
        <v>45687</v>
      </c>
      <c r="F7873" s="116">
        <f>COUNTIFS($A$3:A16130,A7873,$B$3:B16130,B7873)</f>
        <v>1</v>
      </c>
      <c r="G7873" s="116"/>
    </row>
    <row r="7874" spans="1:7" x14ac:dyDescent="0.2">
      <c r="A7874" s="116">
        <f>IF(ISNUMBER(Tabela2[[#This Row],[CT-e/NFS]])=TRUE,(IF(B7874&gt;30000,4,IF(B7874&lt;1000,"ND",0))),"-")</f>
        <v>4</v>
      </c>
      <c r="B7874" s="116">
        <v>51316</v>
      </c>
      <c r="C7874" s="117">
        <v>45691</v>
      </c>
      <c r="D7874" s="116">
        <v>125.3</v>
      </c>
      <c r="E7874" s="117">
        <v>45687</v>
      </c>
      <c r="F7874" s="116">
        <f>COUNTIFS($A$3:A16131,A7874,$B$3:B16131,B7874)</f>
        <v>1</v>
      </c>
      <c r="G7874" s="116"/>
    </row>
    <row r="7875" spans="1:7" x14ac:dyDescent="0.2">
      <c r="A7875" s="116">
        <f>IF(ISNUMBER(Tabela2[[#This Row],[CT-e/NFS]])=TRUE,(IF(B7875&gt;30000,4,IF(B7875&lt;1000,"ND",0))),"-")</f>
        <v>4</v>
      </c>
      <c r="B7875" s="116">
        <v>51289</v>
      </c>
      <c r="C7875" s="117">
        <v>45691</v>
      </c>
      <c r="D7875" s="116">
        <v>122.74</v>
      </c>
      <c r="E7875" s="117">
        <v>45687</v>
      </c>
      <c r="F7875" s="116">
        <f>COUNTIFS($A$3:A16132,A7875,$B$3:B16132,B7875)</f>
        <v>1</v>
      </c>
      <c r="G7875" s="116"/>
    </row>
    <row r="7876" spans="1:7" x14ac:dyDescent="0.2">
      <c r="A7876" s="116">
        <f>IF(ISNUMBER(Tabela2[[#This Row],[CT-e/NFS]])=TRUE,(IF(B7876&gt;30000,4,IF(B7876&lt;1000,"ND",0))),"-")</f>
        <v>4</v>
      </c>
      <c r="B7876" s="116">
        <v>51313</v>
      </c>
      <c r="C7876" s="117">
        <v>45691</v>
      </c>
      <c r="D7876" s="116">
        <v>126.22</v>
      </c>
      <c r="E7876" s="117">
        <v>45687</v>
      </c>
      <c r="F7876" s="116">
        <f>COUNTIFS($A$3:A16133,A7876,$B$3:B16133,B7876)</f>
        <v>1</v>
      </c>
      <c r="G7876" s="116"/>
    </row>
    <row r="7877" spans="1:7" x14ac:dyDescent="0.2">
      <c r="A7877" s="116">
        <f>IF(ISNUMBER(Tabela2[[#This Row],[CT-e/NFS]])=TRUE,(IF(B7877&gt;30000,4,IF(B7877&lt;1000,"ND",0))),"-")</f>
        <v>4</v>
      </c>
      <c r="B7877" s="116">
        <v>51303</v>
      </c>
      <c r="C7877" s="117">
        <v>45691</v>
      </c>
      <c r="D7877" s="116">
        <v>124.39</v>
      </c>
      <c r="E7877" s="117">
        <v>45687</v>
      </c>
      <c r="F7877" s="116">
        <f>COUNTIFS($A$3:A16134,A7877,$B$3:B16134,B7877)</f>
        <v>1</v>
      </c>
      <c r="G7877" s="116"/>
    </row>
    <row r="7878" spans="1:7" x14ac:dyDescent="0.2">
      <c r="A7878" s="116">
        <f>IF(ISNUMBER(Tabela2[[#This Row],[CT-e/NFS]])=TRUE,(IF(B7878&gt;30000,4,IF(B7878&lt;1000,"ND",0))),"-")</f>
        <v>4</v>
      </c>
      <c r="B7878" s="116">
        <v>51297</v>
      </c>
      <c r="C7878" s="117">
        <v>45691</v>
      </c>
      <c r="D7878" s="116">
        <v>123.13</v>
      </c>
      <c r="E7878" s="117">
        <v>45687</v>
      </c>
      <c r="F7878" s="116">
        <f>COUNTIFS($A$3:A16135,A7878,$B$3:B16135,B7878)</f>
        <v>1</v>
      </c>
      <c r="G7878" s="116"/>
    </row>
    <row r="7879" spans="1:7" x14ac:dyDescent="0.2">
      <c r="A7879" s="116">
        <f>IF(ISNUMBER(Tabela2[[#This Row],[CT-e/NFS]])=TRUE,(IF(B7879&gt;30000,4,IF(B7879&lt;1000,"ND",0))),"-")</f>
        <v>4</v>
      </c>
      <c r="B7879" s="116">
        <v>51296</v>
      </c>
      <c r="C7879" s="117">
        <v>45691</v>
      </c>
      <c r="D7879" s="116">
        <v>125.85</v>
      </c>
      <c r="E7879" s="117">
        <v>45687</v>
      </c>
      <c r="F7879" s="116">
        <f>COUNTIFS($A$3:A16136,A7879,$B$3:B16136,B7879)</f>
        <v>1</v>
      </c>
      <c r="G7879" s="116"/>
    </row>
    <row r="7880" spans="1:7" x14ac:dyDescent="0.2">
      <c r="A7880" s="116">
        <f>IF(ISNUMBER(Tabela2[[#This Row],[CT-e/NFS]])=TRUE,(IF(B7880&gt;30000,4,IF(B7880&lt;1000,"ND",0))),"-")</f>
        <v>4</v>
      </c>
      <c r="B7880" s="116">
        <v>51304</v>
      </c>
      <c r="C7880" s="117">
        <v>45691</v>
      </c>
      <c r="D7880" s="116">
        <v>123.05</v>
      </c>
      <c r="E7880" s="117">
        <v>45687</v>
      </c>
      <c r="F7880" s="116">
        <f>COUNTIFS($A$3:A16137,A7880,$B$3:B16137,B7880)</f>
        <v>1</v>
      </c>
      <c r="G7880" s="116"/>
    </row>
    <row r="7881" spans="1:7" x14ac:dyDescent="0.2">
      <c r="A7881" s="116">
        <f>IF(ISNUMBER(Tabela2[[#This Row],[CT-e/NFS]])=TRUE,(IF(B7881&gt;30000,4,IF(B7881&lt;1000,"ND",0))),"-")</f>
        <v>4</v>
      </c>
      <c r="B7881" s="116">
        <v>51314</v>
      </c>
      <c r="C7881" s="117">
        <v>45691</v>
      </c>
      <c r="D7881" s="116">
        <v>281.52999999999997</v>
      </c>
      <c r="E7881" s="117">
        <v>45687</v>
      </c>
      <c r="F7881" s="116">
        <f>COUNTIFS($A$3:A16138,A7881,$B$3:B16138,B7881)</f>
        <v>1</v>
      </c>
      <c r="G7881" s="116"/>
    </row>
    <row r="7882" spans="1:7" x14ac:dyDescent="0.2">
      <c r="A7882" s="116">
        <f>IF(ISNUMBER(Tabela2[[#This Row],[CT-e/NFS]])=TRUE,(IF(B7882&gt;30000,4,IF(B7882&lt;1000,"ND",0))),"-")</f>
        <v>4</v>
      </c>
      <c r="B7882" s="116">
        <v>51318</v>
      </c>
      <c r="C7882" s="117">
        <v>45691</v>
      </c>
      <c r="D7882" s="116">
        <v>226.13</v>
      </c>
      <c r="E7882" s="117">
        <v>45687</v>
      </c>
      <c r="F7882" s="116">
        <f>COUNTIFS($A$3:A16139,A7882,$B$3:B16139,B7882)</f>
        <v>1</v>
      </c>
      <c r="G7882" s="116"/>
    </row>
    <row r="7883" spans="1:7" x14ac:dyDescent="0.2">
      <c r="A7883" s="116">
        <f>IF(ISNUMBER(Tabela2[[#This Row],[CT-e/NFS]])=TRUE,(IF(B7883&gt;30000,4,IF(B7883&lt;1000,"ND",0))),"-")</f>
        <v>4</v>
      </c>
      <c r="B7883" s="116">
        <v>51319</v>
      </c>
      <c r="C7883" s="117">
        <v>45691</v>
      </c>
      <c r="D7883" s="116">
        <v>199.03</v>
      </c>
      <c r="E7883" s="117">
        <v>45687</v>
      </c>
      <c r="F7883" s="116">
        <f>COUNTIFS($A$3:A16140,A7883,$B$3:B16140,B7883)</f>
        <v>1</v>
      </c>
      <c r="G7883" s="116"/>
    </row>
    <row r="7884" spans="1:7" x14ac:dyDescent="0.2">
      <c r="A7884" s="116">
        <f>IF(ISNUMBER(Tabela2[[#This Row],[CT-e/NFS]])=TRUE,(IF(B7884&gt;30000,4,IF(B7884&lt;1000,"ND",0))),"-")</f>
        <v>4</v>
      </c>
      <c r="B7884" s="116">
        <v>51320</v>
      </c>
      <c r="C7884" s="117">
        <v>45691</v>
      </c>
      <c r="D7884" s="116">
        <v>135.51</v>
      </c>
      <c r="E7884" s="117">
        <v>45687</v>
      </c>
      <c r="F7884" s="116">
        <f>COUNTIFS($A$3:A16141,A7884,$B$3:B16141,B7884)</f>
        <v>1</v>
      </c>
      <c r="G7884" s="116"/>
    </row>
    <row r="7885" spans="1:7" x14ac:dyDescent="0.2">
      <c r="A7885" s="116">
        <f>IF(ISNUMBER(Tabela2[[#This Row],[CT-e/NFS]])=TRUE,(IF(B7885&gt;30000,4,IF(B7885&lt;1000,"ND",0))),"-")</f>
        <v>4</v>
      </c>
      <c r="B7885" s="116">
        <v>51321</v>
      </c>
      <c r="C7885" s="117">
        <v>45691</v>
      </c>
      <c r="D7885" s="116">
        <v>244.77</v>
      </c>
      <c r="E7885" s="117">
        <v>45687</v>
      </c>
      <c r="F7885" s="116">
        <f>COUNTIFS($A$3:A16142,A7885,$B$3:B16142,B7885)</f>
        <v>1</v>
      </c>
      <c r="G7885" s="116"/>
    </row>
    <row r="7886" spans="1:7" x14ac:dyDescent="0.2">
      <c r="A7886" s="116">
        <f>IF(ISNUMBER(Tabela2[[#This Row],[CT-e/NFS]])=TRUE,(IF(B7886&gt;30000,4,IF(B7886&lt;1000,"ND",0))),"-")</f>
        <v>4</v>
      </c>
      <c r="B7886" s="116">
        <v>51308</v>
      </c>
      <c r="C7886" s="117">
        <v>45691</v>
      </c>
      <c r="D7886" s="116">
        <v>620.58000000000004</v>
      </c>
      <c r="E7886" s="117">
        <v>45687</v>
      </c>
      <c r="F7886" s="116">
        <f>COUNTIFS($A$3:A16143,A7886,$B$3:B16143,B7886)</f>
        <v>1</v>
      </c>
      <c r="G7886" s="116"/>
    </row>
    <row r="7887" spans="1:7" x14ac:dyDescent="0.2">
      <c r="A7887" s="116">
        <f>IF(ISNUMBER(Tabela2[[#This Row],[CT-e/NFS]])=TRUE,(IF(B7887&gt;30000,4,IF(B7887&lt;1000,"ND",0))),"-")</f>
        <v>4</v>
      </c>
      <c r="B7887" s="116">
        <v>51299</v>
      </c>
      <c r="C7887" s="117">
        <v>45691</v>
      </c>
      <c r="D7887" s="116">
        <v>240.63</v>
      </c>
      <c r="E7887" s="117">
        <v>45687</v>
      </c>
      <c r="F7887" s="116">
        <f>COUNTIFS($A$3:A16144,A7887,$B$3:B16144,B7887)</f>
        <v>1</v>
      </c>
      <c r="G7887" s="116"/>
    </row>
    <row r="7888" spans="1:7" x14ac:dyDescent="0.2">
      <c r="A7888" s="116">
        <f>IF(ISNUMBER(Tabela2[[#This Row],[CT-e/NFS]])=TRUE,(IF(B7888&gt;30000,4,IF(B7888&lt;1000,"ND",0))),"-")</f>
        <v>4</v>
      </c>
      <c r="B7888" s="116">
        <v>51323</v>
      </c>
      <c r="C7888" s="117">
        <v>45691</v>
      </c>
      <c r="D7888" s="116">
        <v>1245.6099999999999</v>
      </c>
      <c r="E7888" s="117">
        <v>45687</v>
      </c>
      <c r="F7888" s="116">
        <f>COUNTIFS($A$3:A16145,A7888,$B$3:B16145,B7888)</f>
        <v>1</v>
      </c>
      <c r="G7888" s="116"/>
    </row>
    <row r="7889" spans="1:7" x14ac:dyDescent="0.2">
      <c r="A7889" s="116">
        <f>IF(ISNUMBER(Tabela2[[#This Row],[CT-e/NFS]])=TRUE,(IF(B7889&gt;30000,4,IF(B7889&lt;1000,"ND",0))),"-")</f>
        <v>4</v>
      </c>
      <c r="B7889" s="116">
        <v>51312</v>
      </c>
      <c r="C7889" s="117">
        <v>45691</v>
      </c>
      <c r="D7889" s="116">
        <v>111.75</v>
      </c>
      <c r="E7889" s="117">
        <v>45687</v>
      </c>
      <c r="F7889" s="116">
        <f>COUNTIFS($A$3:A16146,A7889,$B$3:B16146,B7889)</f>
        <v>1</v>
      </c>
      <c r="G7889" s="116"/>
    </row>
    <row r="7890" spans="1:7" x14ac:dyDescent="0.2">
      <c r="A7890" s="116">
        <f>IF(ISNUMBER(Tabela2[[#This Row],[CT-e/NFS]])=TRUE,(IF(B7890&gt;30000,4,IF(B7890&lt;1000,"ND",0))),"-")</f>
        <v>4</v>
      </c>
      <c r="B7890" s="116">
        <v>51324</v>
      </c>
      <c r="C7890" s="117">
        <v>45691</v>
      </c>
      <c r="D7890" s="116">
        <v>912.97</v>
      </c>
      <c r="E7890" s="117">
        <v>45687</v>
      </c>
      <c r="F7890" s="116">
        <f>COUNTIFS($A$3:A16147,A7890,$B$3:B16147,B7890)</f>
        <v>1</v>
      </c>
      <c r="G7890" s="116"/>
    </row>
    <row r="7891" spans="1:7" x14ac:dyDescent="0.2">
      <c r="A7891" s="116">
        <f>IF(ISNUMBER(Tabela2[[#This Row],[CT-e/NFS]])=TRUE,(IF(B7891&gt;30000,4,IF(B7891&lt;1000,"ND",0))),"-")</f>
        <v>4</v>
      </c>
      <c r="B7891" s="116">
        <v>51311</v>
      </c>
      <c r="C7891" s="117">
        <v>45691</v>
      </c>
      <c r="D7891" s="116">
        <v>578.57000000000005</v>
      </c>
      <c r="E7891" s="117">
        <v>45687</v>
      </c>
      <c r="F7891" s="116">
        <f>COUNTIFS($A$3:A16148,A7891,$B$3:B16148,B7891)</f>
        <v>1</v>
      </c>
      <c r="G7891" s="116"/>
    </row>
    <row r="7892" spans="1:7" x14ac:dyDescent="0.2">
      <c r="A7892" s="116">
        <f>IF(ISNUMBER(Tabela2[[#This Row],[CT-e/NFS]])=TRUE,(IF(B7892&gt;30000,4,IF(B7892&lt;1000,"ND",0))),"-")</f>
        <v>4</v>
      </c>
      <c r="B7892" s="116">
        <v>51300</v>
      </c>
      <c r="C7892" s="117">
        <v>45691</v>
      </c>
      <c r="D7892" s="116">
        <v>242.61</v>
      </c>
      <c r="E7892" s="117">
        <v>45687</v>
      </c>
      <c r="F7892" s="116">
        <f>COUNTIFS($A$3:A16149,A7892,$B$3:B16149,B7892)</f>
        <v>1</v>
      </c>
      <c r="G7892" s="116"/>
    </row>
    <row r="7893" spans="1:7" x14ac:dyDescent="0.2">
      <c r="A7893" s="116">
        <f>IF(ISNUMBER(Tabela2[[#This Row],[CT-e/NFS]])=TRUE,(IF(B7893&gt;30000,4,IF(B7893&lt;1000,"ND",0))),"-")</f>
        <v>4</v>
      </c>
      <c r="B7893" s="116">
        <v>51325</v>
      </c>
      <c r="C7893" s="117">
        <v>45691</v>
      </c>
      <c r="D7893" s="116">
        <v>224.76</v>
      </c>
      <c r="E7893" s="117">
        <v>45687</v>
      </c>
      <c r="F7893" s="116">
        <f>COUNTIFS($A$3:A16150,A7893,$B$3:B16150,B7893)</f>
        <v>1</v>
      </c>
      <c r="G7893" s="116"/>
    </row>
    <row r="7894" spans="1:7" x14ac:dyDescent="0.2">
      <c r="A7894" s="116">
        <f>IF(ISNUMBER(Tabela2[[#This Row],[CT-e/NFS]])=TRUE,(IF(B7894&gt;30000,4,IF(B7894&lt;1000,"ND",0))),"-")</f>
        <v>4</v>
      </c>
      <c r="B7894" s="116">
        <v>51322</v>
      </c>
      <c r="C7894" s="117">
        <v>45691</v>
      </c>
      <c r="D7894" s="116">
        <v>258.77</v>
      </c>
      <c r="E7894" s="117">
        <v>45687</v>
      </c>
      <c r="F7894" s="116">
        <f>COUNTIFS($A$3:A16151,A7894,$B$3:B16151,B7894)</f>
        <v>1</v>
      </c>
      <c r="G7894" s="116"/>
    </row>
    <row r="7895" spans="1:7" x14ac:dyDescent="0.2">
      <c r="A7895" s="116">
        <f>IF(ISNUMBER(Tabela2[[#This Row],[CT-e/NFS]])=TRUE,(IF(B7895&gt;30000,4,IF(B7895&lt;1000,"ND",0))),"-")</f>
        <v>4</v>
      </c>
      <c r="B7895" s="116">
        <v>51306</v>
      </c>
      <c r="C7895" s="117">
        <v>45691</v>
      </c>
      <c r="D7895" s="116">
        <v>291.83</v>
      </c>
      <c r="E7895" s="117">
        <v>45687</v>
      </c>
      <c r="F7895" s="116">
        <f>COUNTIFS($A$3:A16152,A7895,$B$3:B16152,B7895)</f>
        <v>1</v>
      </c>
      <c r="G7895" s="116"/>
    </row>
    <row r="7896" spans="1:7" x14ac:dyDescent="0.2">
      <c r="A7896" s="116">
        <f>IF(ISNUMBER(Tabela2[[#This Row],[CT-e/NFS]])=TRUE,(IF(B7896&gt;30000,4,IF(B7896&lt;1000,"ND",0))),"-")</f>
        <v>4</v>
      </c>
      <c r="B7896" s="116">
        <v>51309</v>
      </c>
      <c r="C7896" s="117">
        <v>45691</v>
      </c>
      <c r="D7896" s="116">
        <v>267.33</v>
      </c>
      <c r="E7896" s="117">
        <v>45687</v>
      </c>
      <c r="F7896" s="116">
        <f>COUNTIFS($A$3:A16153,A7896,$B$3:B16153,B7896)</f>
        <v>1</v>
      </c>
      <c r="G7896" s="116"/>
    </row>
    <row r="7897" spans="1:7" x14ac:dyDescent="0.2">
      <c r="A7897" s="116">
        <f>IF(ISNUMBER(Tabela2[[#This Row],[CT-e/NFS]])=TRUE,(IF(B7897&gt;30000,4,IF(B7897&lt;1000,"ND",0))),"-")</f>
        <v>4</v>
      </c>
      <c r="B7897" s="116">
        <v>51310</v>
      </c>
      <c r="C7897" s="117">
        <v>45691</v>
      </c>
      <c r="D7897" s="116">
        <v>62.01</v>
      </c>
      <c r="E7897" s="117">
        <v>45687</v>
      </c>
      <c r="F7897" s="116">
        <f>COUNTIFS($A$3:A16154,A7897,$B$3:B16154,B7897)</f>
        <v>1</v>
      </c>
      <c r="G7897" s="116"/>
    </row>
    <row r="7898" spans="1:7" x14ac:dyDescent="0.2">
      <c r="A7898" s="116">
        <f>IF(ISNUMBER(Tabela2[[#This Row],[CT-e/NFS]])=TRUE,(IF(B7898&gt;30000,4,IF(B7898&lt;1000,"ND",0))),"-")</f>
        <v>0</v>
      </c>
      <c r="B7898" s="116">
        <v>22787</v>
      </c>
      <c r="C7898" s="117">
        <v>45691</v>
      </c>
      <c r="D7898" s="116">
        <v>134.84</v>
      </c>
      <c r="E7898" s="117">
        <v>45687</v>
      </c>
      <c r="F7898" s="116">
        <f>COUNTIFS($A$3:A16155,A7898,$B$3:B16155,B7898)</f>
        <v>1</v>
      </c>
      <c r="G7898" s="116"/>
    </row>
    <row r="7899" spans="1:7" x14ac:dyDescent="0.2">
      <c r="A7899" s="116">
        <f>IF(ISNUMBER(Tabela2[[#This Row],[CT-e/NFS]])=TRUE,(IF(B7899&gt;30000,4,IF(B7899&lt;1000,"ND",0))),"-")</f>
        <v>0</v>
      </c>
      <c r="B7899" s="116">
        <v>22785</v>
      </c>
      <c r="C7899" s="117">
        <v>45691</v>
      </c>
      <c r="D7899" s="116">
        <v>122.75</v>
      </c>
      <c r="E7899" s="117">
        <v>45687</v>
      </c>
      <c r="F7899" s="116">
        <f>COUNTIFS($A$3:A16156,A7899,$B$3:B16156,B7899)</f>
        <v>1</v>
      </c>
      <c r="G7899" s="116"/>
    </row>
    <row r="7900" spans="1:7" x14ac:dyDescent="0.2">
      <c r="A7900" s="116">
        <f>IF(ISNUMBER(Tabela2[[#This Row],[CT-e/NFS]])=TRUE,(IF(B7900&gt;30000,4,IF(B7900&lt;1000,"ND",0))),"-")</f>
        <v>0</v>
      </c>
      <c r="B7900" s="116">
        <v>22786</v>
      </c>
      <c r="C7900" s="117">
        <v>45691</v>
      </c>
      <c r="D7900" s="116">
        <v>76.53</v>
      </c>
      <c r="E7900" s="117">
        <v>45687</v>
      </c>
      <c r="F7900" s="116">
        <f>COUNTIFS($A$3:A16157,A7900,$B$3:B16157,B7900)</f>
        <v>1</v>
      </c>
      <c r="G7900" s="116"/>
    </row>
    <row r="7901" spans="1:7" x14ac:dyDescent="0.2">
      <c r="A7901" s="116">
        <f>IF(ISNUMBER(Tabela2[[#This Row],[CT-e/NFS]])=TRUE,(IF(B7901&gt;30000,4,IF(B7901&lt;1000,"ND",0))),"-")</f>
        <v>0</v>
      </c>
      <c r="B7901" s="116">
        <v>22784</v>
      </c>
      <c r="C7901" s="117">
        <v>45691</v>
      </c>
      <c r="D7901" s="116">
        <v>76.349999999999994</v>
      </c>
      <c r="E7901" s="117">
        <v>45687</v>
      </c>
      <c r="F7901" s="116">
        <f>COUNTIFS($A$3:A16158,A7901,$B$3:B16158,B7901)</f>
        <v>1</v>
      </c>
      <c r="G7901" s="116"/>
    </row>
    <row r="7902" spans="1:7" x14ac:dyDescent="0.2">
      <c r="A7902" s="116">
        <f>IF(ISNUMBER(Tabela2[[#This Row],[CT-e/NFS]])=TRUE,(IF(B7902&gt;30000,4,IF(B7902&lt;1000,"ND",0))),"-")</f>
        <v>4</v>
      </c>
      <c r="B7902" s="116">
        <v>51273</v>
      </c>
      <c r="C7902" s="117">
        <v>45691</v>
      </c>
      <c r="D7902" s="116">
        <v>124.02</v>
      </c>
      <c r="E7902" s="117">
        <v>45687</v>
      </c>
      <c r="F7902" s="116">
        <f>COUNTIFS($A$3:A16159,A7902,$B$3:B16159,B7902)</f>
        <v>1</v>
      </c>
      <c r="G7902" s="116"/>
    </row>
    <row r="7903" spans="1:7" x14ac:dyDescent="0.2">
      <c r="A7903" s="116">
        <f>IF(ISNUMBER(Tabela2[[#This Row],[CT-e/NFS]])=TRUE,(IF(B7903&gt;30000,4,IF(B7903&lt;1000,"ND",0))),"-")</f>
        <v>4</v>
      </c>
      <c r="B7903" s="116">
        <v>51269</v>
      </c>
      <c r="C7903" s="117">
        <v>45691</v>
      </c>
      <c r="D7903" s="116">
        <v>124.15</v>
      </c>
      <c r="E7903" s="117">
        <v>45687</v>
      </c>
      <c r="F7903" s="116">
        <f>COUNTIFS($A$3:A16160,A7903,$B$3:B16160,B7903)</f>
        <v>1</v>
      </c>
      <c r="G7903" s="116"/>
    </row>
    <row r="7904" spans="1:7" x14ac:dyDescent="0.2">
      <c r="A7904" s="116">
        <f>IF(ISNUMBER(Tabela2[[#This Row],[CT-e/NFS]])=TRUE,(IF(B7904&gt;30000,4,IF(B7904&lt;1000,"ND",0))),"-")</f>
        <v>4</v>
      </c>
      <c r="B7904" s="116">
        <v>51271</v>
      </c>
      <c r="C7904" s="117">
        <v>45691</v>
      </c>
      <c r="D7904" s="116">
        <v>122.77</v>
      </c>
      <c r="E7904" s="117">
        <v>45687</v>
      </c>
      <c r="F7904" s="116">
        <f>COUNTIFS($A$3:A16161,A7904,$B$3:B16161,B7904)</f>
        <v>1</v>
      </c>
      <c r="G7904" s="116"/>
    </row>
    <row r="7905" spans="1:7" x14ac:dyDescent="0.2">
      <c r="A7905" s="116">
        <f>IF(ISNUMBER(Tabela2[[#This Row],[CT-e/NFS]])=TRUE,(IF(B7905&gt;30000,4,IF(B7905&lt;1000,"ND",0))),"-")</f>
        <v>4</v>
      </c>
      <c r="B7905" s="116">
        <v>51272</v>
      </c>
      <c r="C7905" s="117">
        <v>45691</v>
      </c>
      <c r="D7905" s="116">
        <v>124.55</v>
      </c>
      <c r="E7905" s="117">
        <v>45687</v>
      </c>
      <c r="F7905" s="116">
        <f>COUNTIFS($A$3:A16162,A7905,$B$3:B16162,B7905)</f>
        <v>1</v>
      </c>
      <c r="G7905" s="116"/>
    </row>
    <row r="7906" spans="1:7" x14ac:dyDescent="0.2">
      <c r="A7906" s="116">
        <f>IF(ISNUMBER(Tabela2[[#This Row],[CT-e/NFS]])=TRUE,(IF(B7906&gt;30000,4,IF(B7906&lt;1000,"ND",0))),"-")</f>
        <v>4</v>
      </c>
      <c r="B7906" s="116">
        <v>51274</v>
      </c>
      <c r="C7906" s="117">
        <v>45691</v>
      </c>
      <c r="D7906" s="116">
        <v>124.14</v>
      </c>
      <c r="E7906" s="117">
        <v>45687</v>
      </c>
      <c r="F7906" s="116">
        <f>COUNTIFS($A$3:A16163,A7906,$B$3:B16163,B7906)</f>
        <v>1</v>
      </c>
      <c r="G7906" s="116"/>
    </row>
    <row r="7907" spans="1:7" x14ac:dyDescent="0.2">
      <c r="A7907" s="116">
        <f>IF(ISNUMBER(Tabela2[[#This Row],[CT-e/NFS]])=TRUE,(IF(B7907&gt;30000,4,IF(B7907&lt;1000,"ND",0))),"-")</f>
        <v>4</v>
      </c>
      <c r="B7907" s="116">
        <v>51284</v>
      </c>
      <c r="C7907" s="117">
        <v>45691</v>
      </c>
      <c r="D7907" s="116">
        <v>124.75</v>
      </c>
      <c r="E7907" s="117">
        <v>45687</v>
      </c>
      <c r="F7907" s="116">
        <f>COUNTIFS($A$3:A16164,A7907,$B$3:B16164,B7907)</f>
        <v>1</v>
      </c>
      <c r="G7907" s="116"/>
    </row>
    <row r="7908" spans="1:7" x14ac:dyDescent="0.2">
      <c r="A7908" s="116">
        <f>IF(ISNUMBER(Tabela2[[#This Row],[CT-e/NFS]])=TRUE,(IF(B7908&gt;30000,4,IF(B7908&lt;1000,"ND",0))),"-")</f>
        <v>4</v>
      </c>
      <c r="B7908" s="116">
        <v>51270</v>
      </c>
      <c r="C7908" s="117">
        <v>45691</v>
      </c>
      <c r="D7908" s="116">
        <v>125.35</v>
      </c>
      <c r="E7908" s="117">
        <v>45687</v>
      </c>
      <c r="F7908" s="116">
        <f>COUNTIFS($A$3:A16165,A7908,$B$3:B16165,B7908)</f>
        <v>1</v>
      </c>
      <c r="G7908" s="116"/>
    </row>
    <row r="7909" spans="1:7" x14ac:dyDescent="0.2">
      <c r="A7909" s="116">
        <f>IF(ISNUMBER(Tabela2[[#This Row],[CT-e/NFS]])=TRUE,(IF(B7909&gt;30000,4,IF(B7909&lt;1000,"ND",0))),"-")</f>
        <v>4</v>
      </c>
      <c r="B7909" s="116">
        <v>51285</v>
      </c>
      <c r="C7909" s="117">
        <v>45691</v>
      </c>
      <c r="D7909" s="116">
        <v>271.02999999999997</v>
      </c>
      <c r="E7909" s="117">
        <v>45687</v>
      </c>
      <c r="F7909" s="116">
        <f>COUNTIFS($A$3:A16166,A7909,$B$3:B16166,B7909)</f>
        <v>1</v>
      </c>
      <c r="G7909" s="116"/>
    </row>
    <row r="7910" spans="1:7" x14ac:dyDescent="0.2">
      <c r="A7910" s="116">
        <f>IF(ISNUMBER(Tabela2[[#This Row],[CT-e/NFS]])=TRUE,(IF(B7910&gt;30000,4,IF(B7910&lt;1000,"ND",0))),"-")</f>
        <v>4</v>
      </c>
      <c r="B7910" s="116">
        <v>51283</v>
      </c>
      <c r="C7910" s="117">
        <v>45691</v>
      </c>
      <c r="D7910" s="116">
        <v>175.88</v>
      </c>
      <c r="E7910" s="117">
        <v>45687</v>
      </c>
      <c r="F7910" s="116">
        <f>COUNTIFS($A$3:A16167,A7910,$B$3:B16167,B7910)</f>
        <v>1</v>
      </c>
      <c r="G7910" s="116"/>
    </row>
    <row r="7911" spans="1:7" x14ac:dyDescent="0.2">
      <c r="A7911" s="116">
        <f>IF(ISNUMBER(Tabela2[[#This Row],[CT-e/NFS]])=TRUE,(IF(B7911&gt;30000,4,IF(B7911&lt;1000,"ND",0))),"-")</f>
        <v>4</v>
      </c>
      <c r="B7911" s="116">
        <v>51286</v>
      </c>
      <c r="C7911" s="117">
        <v>45691</v>
      </c>
      <c r="D7911" s="116">
        <v>1836.77</v>
      </c>
      <c r="E7911" s="117">
        <v>45687</v>
      </c>
      <c r="F7911" s="116">
        <f>COUNTIFS($A$3:A16168,A7911,$B$3:B16168,B7911)</f>
        <v>1</v>
      </c>
      <c r="G7911" s="116"/>
    </row>
    <row r="7912" spans="1:7" x14ac:dyDescent="0.2">
      <c r="A7912" s="116">
        <f>IF(ISNUMBER(Tabela2[[#This Row],[CT-e/NFS]])=TRUE,(IF(B7912&gt;30000,4,IF(B7912&lt;1000,"ND",0))),"-")</f>
        <v>4</v>
      </c>
      <c r="B7912" s="116">
        <v>51281</v>
      </c>
      <c r="C7912" s="117">
        <v>45691</v>
      </c>
      <c r="D7912" s="116">
        <v>178.97</v>
      </c>
      <c r="E7912" s="117">
        <v>45687</v>
      </c>
      <c r="F7912" s="116">
        <f>COUNTIFS($A$3:A16169,A7912,$B$3:B16169,B7912)</f>
        <v>1</v>
      </c>
      <c r="G7912" s="116"/>
    </row>
    <row r="7913" spans="1:7" x14ac:dyDescent="0.2">
      <c r="A7913" s="116">
        <f>IF(ISNUMBER(Tabela2[[#This Row],[CT-e/NFS]])=TRUE,(IF(B7913&gt;30000,4,IF(B7913&lt;1000,"ND",0))),"-")</f>
        <v>4</v>
      </c>
      <c r="B7913" s="116">
        <v>51280</v>
      </c>
      <c r="C7913" s="117">
        <v>45691</v>
      </c>
      <c r="D7913" s="116">
        <v>357.93</v>
      </c>
      <c r="E7913" s="117">
        <v>45687</v>
      </c>
      <c r="F7913" s="116">
        <f>COUNTIFS($A$3:A16170,A7913,$B$3:B16170,B7913)</f>
        <v>1</v>
      </c>
      <c r="G7913" s="116"/>
    </row>
    <row r="7914" spans="1:7" x14ac:dyDescent="0.2">
      <c r="A7914" s="116">
        <f>IF(ISNUMBER(Tabela2[[#This Row],[CT-e/NFS]])=TRUE,(IF(B7914&gt;30000,4,IF(B7914&lt;1000,"ND",0))),"-")</f>
        <v>4</v>
      </c>
      <c r="B7914" s="116">
        <v>51282</v>
      </c>
      <c r="C7914" s="117">
        <v>45691</v>
      </c>
      <c r="D7914" s="116">
        <v>322.95</v>
      </c>
      <c r="E7914" s="117">
        <v>45687</v>
      </c>
      <c r="F7914" s="116">
        <f>COUNTIFS($A$3:A16171,A7914,$B$3:B16171,B7914)</f>
        <v>1</v>
      </c>
      <c r="G7914" s="116"/>
    </row>
    <row r="7915" spans="1:7" x14ac:dyDescent="0.2">
      <c r="A7915" s="116">
        <f>IF(ISNUMBER(Tabela2[[#This Row],[CT-e/NFS]])=TRUE,(IF(B7915&gt;30000,4,IF(B7915&lt;1000,"ND",0))),"-")</f>
        <v>4</v>
      </c>
      <c r="B7915" s="116">
        <v>51279</v>
      </c>
      <c r="C7915" s="117">
        <v>45691</v>
      </c>
      <c r="D7915" s="116">
        <v>166.47</v>
      </c>
      <c r="E7915" s="117">
        <v>45687</v>
      </c>
      <c r="F7915" s="116">
        <f>COUNTIFS($A$3:A16172,A7915,$B$3:B16172,B7915)</f>
        <v>1</v>
      </c>
      <c r="G7915" s="116"/>
    </row>
    <row r="7916" spans="1:7" x14ac:dyDescent="0.2">
      <c r="A7916" s="116">
        <f>IF(ISNUMBER(Tabela2[[#This Row],[CT-e/NFS]])=TRUE,(IF(B7916&gt;30000,4,IF(B7916&lt;1000,"ND",0))),"-")</f>
        <v>4</v>
      </c>
      <c r="B7916" s="116">
        <v>51278</v>
      </c>
      <c r="C7916" s="117">
        <v>45691</v>
      </c>
      <c r="D7916" s="116">
        <v>240.13</v>
      </c>
      <c r="E7916" s="117">
        <v>45687</v>
      </c>
      <c r="F7916" s="116">
        <f>COUNTIFS($A$3:A16173,A7916,$B$3:B16173,B7916)</f>
        <v>1</v>
      </c>
      <c r="G7916" s="116"/>
    </row>
    <row r="7917" spans="1:7" x14ac:dyDescent="0.2">
      <c r="A7917" s="116">
        <f>IF(ISNUMBER(Tabela2[[#This Row],[CT-e/NFS]])=TRUE,(IF(B7917&gt;30000,4,IF(B7917&lt;1000,"ND",0))),"-")</f>
        <v>4</v>
      </c>
      <c r="B7917" s="116">
        <v>51277</v>
      </c>
      <c r="C7917" s="117">
        <v>45691</v>
      </c>
      <c r="D7917" s="116">
        <v>110.49</v>
      </c>
      <c r="E7917" s="117">
        <v>45687</v>
      </c>
      <c r="F7917" s="116">
        <f>COUNTIFS($A$3:A16174,A7917,$B$3:B16174,B7917)</f>
        <v>1</v>
      </c>
      <c r="G7917" s="116"/>
    </row>
    <row r="7918" spans="1:7" x14ac:dyDescent="0.2">
      <c r="A7918" s="116">
        <f>IF(ISNUMBER(Tabela2[[#This Row],[CT-e/NFS]])=TRUE,(IF(B7918&gt;30000,4,IF(B7918&lt;1000,"ND",0))),"-")</f>
        <v>4</v>
      </c>
      <c r="B7918" s="116">
        <v>51276</v>
      </c>
      <c r="C7918" s="117">
        <v>45691</v>
      </c>
      <c r="D7918" s="116">
        <v>61.38</v>
      </c>
      <c r="E7918" s="117">
        <v>45687</v>
      </c>
      <c r="F7918" s="116">
        <f>COUNTIFS($A$3:A16175,A7918,$B$3:B16175,B7918)</f>
        <v>1</v>
      </c>
      <c r="G7918" s="116"/>
    </row>
    <row r="7919" spans="1:7" x14ac:dyDescent="0.2">
      <c r="A7919" s="116">
        <f>IF(ISNUMBER(Tabela2[[#This Row],[CT-e/NFS]])=TRUE,(IF(B7919&gt;30000,4,IF(B7919&lt;1000,"ND",0))),"-")</f>
        <v>0</v>
      </c>
      <c r="B7919" s="116">
        <v>22782</v>
      </c>
      <c r="C7919" s="117">
        <v>45691</v>
      </c>
      <c r="D7919" s="116">
        <v>597.04</v>
      </c>
      <c r="E7919" s="117">
        <v>45687</v>
      </c>
      <c r="F7919" s="116">
        <f>COUNTIFS($A$3:A16176,A7919,$B$3:B16176,B7919)</f>
        <v>1</v>
      </c>
      <c r="G7919" s="116"/>
    </row>
    <row r="7920" spans="1:7" x14ac:dyDescent="0.2">
      <c r="A7920" s="116">
        <f>IF(ISNUMBER(Tabela2[[#This Row],[CT-e/NFS]])=TRUE,(IF(B7920&gt;30000,4,IF(B7920&lt;1000,"ND",0))),"-")</f>
        <v>0</v>
      </c>
      <c r="B7920" s="116">
        <v>22783</v>
      </c>
      <c r="C7920" s="117">
        <v>45691</v>
      </c>
      <c r="D7920" s="116">
        <v>515.41</v>
      </c>
      <c r="E7920" s="117">
        <v>45687</v>
      </c>
      <c r="F7920" s="116">
        <f>COUNTIFS($A$3:A16177,A7920,$B$3:B16177,B7920)</f>
        <v>1</v>
      </c>
      <c r="G7920" s="116"/>
    </row>
    <row r="7921" spans="1:7" x14ac:dyDescent="0.2">
      <c r="A7921" s="116">
        <f>IF(ISNUMBER(Tabela2[[#This Row],[CT-e/NFS]])=TRUE,(IF(B7921&gt;30000,4,IF(B7921&lt;1000,"ND",0))),"-")</f>
        <v>0</v>
      </c>
      <c r="B7921" s="116">
        <v>22776</v>
      </c>
      <c r="C7921" s="117">
        <v>45691</v>
      </c>
      <c r="D7921" s="116">
        <v>48.98</v>
      </c>
      <c r="E7921" s="117">
        <v>45687</v>
      </c>
      <c r="F7921" s="116">
        <f>COUNTIFS($A$3:A16178,A7921,$B$3:B16178,B7921)</f>
        <v>1</v>
      </c>
      <c r="G7921" s="116"/>
    </row>
    <row r="7922" spans="1:7" x14ac:dyDescent="0.2">
      <c r="A7922" s="116">
        <f>IF(ISNUMBER(Tabela2[[#This Row],[CT-e/NFS]])=TRUE,(IF(B7922&gt;30000,4,IF(B7922&lt;1000,"ND",0))),"-")</f>
        <v>0</v>
      </c>
      <c r="B7922" s="116">
        <v>22777</v>
      </c>
      <c r="C7922" s="117">
        <v>45691</v>
      </c>
      <c r="D7922" s="116">
        <v>88.43</v>
      </c>
      <c r="E7922" s="117">
        <v>45687</v>
      </c>
      <c r="F7922" s="116">
        <f>COUNTIFS($A$3:A16179,A7922,$B$3:B16179,B7922)</f>
        <v>1</v>
      </c>
      <c r="G7922" s="116"/>
    </row>
    <row r="7923" spans="1:7" x14ac:dyDescent="0.2">
      <c r="A7923" s="116">
        <f>IF(ISNUMBER(Tabela2[[#This Row],[CT-e/NFS]])=TRUE,(IF(B7923&gt;30000,4,IF(B7923&lt;1000,"ND",0))),"-")</f>
        <v>0</v>
      </c>
      <c r="B7923" s="116">
        <v>22779</v>
      </c>
      <c r="C7923" s="117">
        <v>45691</v>
      </c>
      <c r="D7923" s="116">
        <v>66.989999999999995</v>
      </c>
      <c r="E7923" s="117">
        <v>45687</v>
      </c>
      <c r="F7923" s="116">
        <f>COUNTIFS($A$3:A16180,A7923,$B$3:B16180,B7923)</f>
        <v>1</v>
      </c>
      <c r="G7923" s="116"/>
    </row>
    <row r="7924" spans="1:7" x14ac:dyDescent="0.2">
      <c r="A7924" s="116">
        <f>IF(ISNUMBER(Tabela2[[#This Row],[CT-e/NFS]])=TRUE,(IF(B7924&gt;30000,4,IF(B7924&lt;1000,"ND",0))),"-")</f>
        <v>0</v>
      </c>
      <c r="B7924" s="116">
        <v>22781</v>
      </c>
      <c r="C7924" s="117">
        <v>45691</v>
      </c>
      <c r="D7924" s="116">
        <v>120.96</v>
      </c>
      <c r="E7924" s="117">
        <v>45687</v>
      </c>
      <c r="F7924" s="116">
        <f>COUNTIFS($A$3:A16181,A7924,$B$3:B16181,B7924)</f>
        <v>1</v>
      </c>
      <c r="G7924" s="116"/>
    </row>
    <row r="7925" spans="1:7" x14ac:dyDescent="0.2">
      <c r="A7925" s="116">
        <f>IF(ISNUMBER(Tabela2[[#This Row],[CT-e/NFS]])=TRUE,(IF(B7925&gt;30000,4,IF(B7925&lt;1000,"ND",0))),"-")</f>
        <v>0</v>
      </c>
      <c r="B7925" s="116">
        <v>22775</v>
      </c>
      <c r="C7925" s="117">
        <v>45691</v>
      </c>
      <c r="D7925" s="116">
        <v>77.72</v>
      </c>
      <c r="E7925" s="117">
        <v>45687</v>
      </c>
      <c r="F7925" s="116">
        <f>COUNTIFS($A$3:A16182,A7925,$B$3:B16182,B7925)</f>
        <v>1</v>
      </c>
      <c r="G7925" s="116"/>
    </row>
    <row r="7926" spans="1:7" x14ac:dyDescent="0.2">
      <c r="A7926" s="116">
        <f>IF(ISNUMBER(Tabela2[[#This Row],[CT-e/NFS]])=TRUE,(IF(B7926&gt;30000,4,IF(B7926&lt;1000,"ND",0))),"-")</f>
        <v>0</v>
      </c>
      <c r="B7926" s="116">
        <v>22772</v>
      </c>
      <c r="C7926" s="117">
        <v>45691</v>
      </c>
      <c r="D7926" s="116">
        <v>77.09</v>
      </c>
      <c r="E7926" s="117">
        <v>45687</v>
      </c>
      <c r="F7926" s="116">
        <f>COUNTIFS($A$3:A16183,A7926,$B$3:B16183,B7926)</f>
        <v>1</v>
      </c>
      <c r="G7926" s="116"/>
    </row>
    <row r="7927" spans="1:7" x14ac:dyDescent="0.2">
      <c r="A7927" s="116">
        <f>IF(ISNUMBER(Tabela2[[#This Row],[CT-e/NFS]])=TRUE,(IF(B7927&gt;30000,4,IF(B7927&lt;1000,"ND",0))),"-")</f>
        <v>0</v>
      </c>
      <c r="B7927" s="116">
        <v>22774</v>
      </c>
      <c r="C7927" s="117">
        <v>45691</v>
      </c>
      <c r="D7927" s="116">
        <v>76.959999999999994</v>
      </c>
      <c r="E7927" s="117">
        <v>45687</v>
      </c>
      <c r="F7927" s="116">
        <f>COUNTIFS($A$3:A16184,A7927,$B$3:B16184,B7927)</f>
        <v>1</v>
      </c>
      <c r="G7927" s="116"/>
    </row>
    <row r="7928" spans="1:7" x14ac:dyDescent="0.2">
      <c r="A7928" s="116">
        <f>IF(ISNUMBER(Tabela2[[#This Row],[CT-e/NFS]])=TRUE,(IF(B7928&gt;30000,4,IF(B7928&lt;1000,"ND",0))),"-")</f>
        <v>0</v>
      </c>
      <c r="B7928" s="116">
        <v>22780</v>
      </c>
      <c r="C7928" s="117">
        <v>45691</v>
      </c>
      <c r="D7928" s="116">
        <v>76.989999999999995</v>
      </c>
      <c r="E7928" s="117">
        <v>45687</v>
      </c>
      <c r="F7928" s="116">
        <f>COUNTIFS($A$3:A16185,A7928,$B$3:B16185,B7928)</f>
        <v>1</v>
      </c>
      <c r="G7928" s="116"/>
    </row>
    <row r="7929" spans="1:7" x14ac:dyDescent="0.2">
      <c r="A7929" s="116" t="str">
        <f>IF(ISNUMBER(Tabela2[[#This Row],[CT-e/NFS]])=TRUE,(IF(B7929&gt;30000,4,IF(B7929&lt;1000,"ND",0))),"-")</f>
        <v>ND</v>
      </c>
      <c r="B7929" s="116">
        <v>246</v>
      </c>
      <c r="C7929" s="117">
        <v>45691</v>
      </c>
      <c r="D7929" s="116">
        <v>454.94</v>
      </c>
      <c r="E7929" s="117">
        <v>45687</v>
      </c>
      <c r="F7929" s="116">
        <f>COUNTIFS($A$3:A16186,A7929,$B$3:B16186,B7929)</f>
        <v>1</v>
      </c>
      <c r="G7929" s="116"/>
    </row>
    <row r="7930" spans="1:7" x14ac:dyDescent="0.2">
      <c r="A7930" s="116">
        <f>IF(ISNUMBER(Tabela2[[#This Row],[CT-e/NFS]])=TRUE,(IF(B7930&gt;30000,4,IF(B7930&lt;1000,"ND",0))),"-")</f>
        <v>0</v>
      </c>
      <c r="B7930" s="116">
        <v>22773</v>
      </c>
      <c r="C7930" s="117">
        <v>45691</v>
      </c>
      <c r="D7930" s="116">
        <v>97.96</v>
      </c>
      <c r="E7930" s="117">
        <v>45687</v>
      </c>
      <c r="F7930" s="116">
        <f>COUNTIFS($A$3:A16187,A7930,$B$3:B16187,B7930)</f>
        <v>1</v>
      </c>
      <c r="G7930" s="116"/>
    </row>
    <row r="7931" spans="1:7" x14ac:dyDescent="0.2">
      <c r="A7931" s="116">
        <f>IF(ISNUMBER(Tabela2[[#This Row],[CT-e/NFS]])=TRUE,(IF(B7931&gt;30000,4,IF(B7931&lt;1000,"ND",0))),"-")</f>
        <v>0</v>
      </c>
      <c r="B7931" s="116">
        <v>22771</v>
      </c>
      <c r="C7931" s="117">
        <v>45691</v>
      </c>
      <c r="D7931" s="116">
        <v>133.99</v>
      </c>
      <c r="E7931" s="117">
        <v>45687</v>
      </c>
      <c r="F7931" s="116">
        <f>COUNTIFS($A$3:A16188,A7931,$B$3:B16188,B7931)</f>
        <v>1</v>
      </c>
      <c r="G7931" s="116"/>
    </row>
    <row r="7932" spans="1:7" x14ac:dyDescent="0.2">
      <c r="A7932" s="116">
        <f>IF(ISNUMBER(Tabela2[[#This Row],[CT-e/NFS]])=TRUE,(IF(B7932&gt;30000,4,IF(B7932&lt;1000,"ND",0))),"-")</f>
        <v>0</v>
      </c>
      <c r="B7932" s="116">
        <v>22761</v>
      </c>
      <c r="C7932" s="117">
        <v>45691</v>
      </c>
      <c r="D7932" s="116">
        <v>98.35</v>
      </c>
      <c r="E7932" s="117">
        <v>45687</v>
      </c>
      <c r="F7932" s="116">
        <f>COUNTIFS($A$3:A16189,A7932,$B$3:B16189,B7932)</f>
        <v>1</v>
      </c>
      <c r="G7932" s="116"/>
    </row>
    <row r="7933" spans="1:7" x14ac:dyDescent="0.2">
      <c r="A7933" s="116">
        <f>IF(ISNUMBER(Tabela2[[#This Row],[CT-e/NFS]])=TRUE,(IF(B7933&gt;30000,4,IF(B7933&lt;1000,"ND",0))),"-")</f>
        <v>4</v>
      </c>
      <c r="B7933" s="116">
        <v>51140</v>
      </c>
      <c r="C7933" s="117">
        <v>45691</v>
      </c>
      <c r="D7933" s="116">
        <v>246.33</v>
      </c>
      <c r="E7933" s="117">
        <v>45687</v>
      </c>
      <c r="F7933" s="116">
        <f>COUNTIFS($A$3:A16190,A7933,$B$3:B16190,B7933)</f>
        <v>1</v>
      </c>
      <c r="G7933" s="116"/>
    </row>
    <row r="7934" spans="1:7" x14ac:dyDescent="0.2">
      <c r="A7934" s="116">
        <f>IF(ISNUMBER(Tabela2[[#This Row],[CT-e/NFS]])=TRUE,(IF(B7934&gt;30000,4,IF(B7934&lt;1000,"ND",0))),"-")</f>
        <v>4</v>
      </c>
      <c r="B7934" s="116">
        <v>51093</v>
      </c>
      <c r="C7934" s="117">
        <v>45691</v>
      </c>
      <c r="D7934" s="116">
        <v>122.74</v>
      </c>
      <c r="E7934" s="117">
        <v>45687</v>
      </c>
      <c r="F7934" s="116">
        <f>COUNTIFS($A$3:A16191,A7934,$B$3:B16191,B7934)</f>
        <v>1</v>
      </c>
      <c r="G7934" s="116"/>
    </row>
    <row r="7935" spans="1:7" x14ac:dyDescent="0.2">
      <c r="A7935" s="116">
        <f>IF(ISNUMBER(Tabela2[[#This Row],[CT-e/NFS]])=TRUE,(IF(B7935&gt;30000,4,IF(B7935&lt;1000,"ND",0))),"-")</f>
        <v>4</v>
      </c>
      <c r="B7935" s="116">
        <v>51094</v>
      </c>
      <c r="C7935" s="117">
        <v>45691</v>
      </c>
      <c r="D7935" s="116">
        <v>61.38</v>
      </c>
      <c r="E7935" s="117">
        <v>45687</v>
      </c>
      <c r="F7935" s="116">
        <f>COUNTIFS($A$3:A16192,A7935,$B$3:B16192,B7935)</f>
        <v>1</v>
      </c>
      <c r="G7935" s="116"/>
    </row>
    <row r="7936" spans="1:7" x14ac:dyDescent="0.2">
      <c r="A7936" s="116">
        <f>IF(ISNUMBER(Tabela2[[#This Row],[CT-e/NFS]])=TRUE,(IF(B7936&gt;30000,4,IF(B7936&lt;1000,"ND",0))),"-")</f>
        <v>4</v>
      </c>
      <c r="B7936" s="116">
        <v>51476</v>
      </c>
      <c r="C7936" s="117">
        <v>45692</v>
      </c>
      <c r="D7936" s="116">
        <v>506.89</v>
      </c>
      <c r="E7936" s="117">
        <v>45687</v>
      </c>
      <c r="F7936" s="116">
        <f>COUNTIFS($A$3:A16193,A7936,$B$3:B16193,B7936)</f>
        <v>1</v>
      </c>
      <c r="G7936" s="116"/>
    </row>
    <row r="7937" spans="1:7" x14ac:dyDescent="0.2">
      <c r="A7937" s="116">
        <f>IF(ISNUMBER(Tabela2[[#This Row],[CT-e/NFS]])=TRUE,(IF(B7937&gt;30000,4,IF(B7937&lt;1000,"ND",0))),"-")</f>
        <v>4</v>
      </c>
      <c r="B7937" s="116">
        <v>51477</v>
      </c>
      <c r="C7937" s="117">
        <v>45692</v>
      </c>
      <c r="D7937" s="116">
        <v>350.57</v>
      </c>
      <c r="E7937" s="117">
        <v>45687</v>
      </c>
      <c r="F7937" s="116">
        <f>COUNTIFS($A$3:A16194,A7937,$B$3:B16194,B7937)</f>
        <v>1</v>
      </c>
      <c r="G7937" s="116"/>
    </row>
    <row r="7938" spans="1:7" x14ac:dyDescent="0.2">
      <c r="A7938" s="116">
        <f>IF(ISNUMBER(Tabela2[[#This Row],[CT-e/NFS]])=TRUE,(IF(B7938&gt;30000,4,IF(B7938&lt;1000,"ND",0))),"-")</f>
        <v>4</v>
      </c>
      <c r="B7938" s="116">
        <v>51658</v>
      </c>
      <c r="C7938" s="117">
        <v>45692</v>
      </c>
      <c r="D7938" s="116">
        <v>1245.6099999999999</v>
      </c>
      <c r="E7938" s="117">
        <v>45687</v>
      </c>
      <c r="F7938" s="116">
        <f>COUNTIFS($A$3:A16195,A7938,$B$3:B16195,B7938)</f>
        <v>1</v>
      </c>
      <c r="G7938" s="116"/>
    </row>
    <row r="7939" spans="1:7" x14ac:dyDescent="0.2">
      <c r="A7939" s="116">
        <f>IF(ISNUMBER(Tabela2[[#This Row],[CT-e/NFS]])=TRUE,(IF(B7939&gt;30000,4,IF(B7939&lt;1000,"ND",0))),"-")</f>
        <v>4</v>
      </c>
      <c r="B7939" s="116">
        <v>51657</v>
      </c>
      <c r="C7939" s="117">
        <v>45692</v>
      </c>
      <c r="D7939" s="116">
        <v>311.14</v>
      </c>
      <c r="E7939" s="117">
        <v>45687</v>
      </c>
      <c r="F7939" s="116">
        <f>COUNTIFS($A$3:A16196,A7939,$B$3:B16196,B7939)</f>
        <v>1</v>
      </c>
      <c r="G7939" s="116"/>
    </row>
    <row r="7940" spans="1:7" x14ac:dyDescent="0.2">
      <c r="A7940" s="116">
        <f>IF(ISNUMBER(Tabela2[[#This Row],[CT-e/NFS]])=TRUE,(IF(B7940&gt;30000,4,IF(B7940&lt;1000,"ND",0))),"-")</f>
        <v>4</v>
      </c>
      <c r="B7940" s="116">
        <v>51680</v>
      </c>
      <c r="C7940" s="117">
        <v>45692</v>
      </c>
      <c r="D7940" s="116">
        <v>124.22</v>
      </c>
      <c r="E7940" s="117">
        <v>45687</v>
      </c>
      <c r="F7940" s="116">
        <f>COUNTIFS($A$3:A16197,A7940,$B$3:B16197,B7940)</f>
        <v>1</v>
      </c>
      <c r="G7940" s="116"/>
    </row>
    <row r="7941" spans="1:7" x14ac:dyDescent="0.2">
      <c r="A7941" s="116">
        <f>IF(ISNUMBER(Tabela2[[#This Row],[CT-e/NFS]])=TRUE,(IF(B7941&gt;30000,4,IF(B7941&lt;1000,"ND",0))),"-")</f>
        <v>4</v>
      </c>
      <c r="B7941" s="116">
        <v>51681</v>
      </c>
      <c r="C7941" s="117">
        <v>45692</v>
      </c>
      <c r="D7941" s="116">
        <v>124.41</v>
      </c>
      <c r="E7941" s="117">
        <v>45687</v>
      </c>
      <c r="F7941" s="116">
        <f>COUNTIFS($A$3:A16198,A7941,$B$3:B16198,B7941)</f>
        <v>1</v>
      </c>
      <c r="G7941" s="116"/>
    </row>
    <row r="7942" spans="1:7" x14ac:dyDescent="0.2">
      <c r="A7942" s="116">
        <f>IF(ISNUMBER(Tabela2[[#This Row],[CT-e/NFS]])=TRUE,(IF(B7942&gt;30000,4,IF(B7942&lt;1000,"ND",0))),"-")</f>
        <v>4</v>
      </c>
      <c r="B7942" s="116">
        <v>51679</v>
      </c>
      <c r="C7942" s="117">
        <v>45692</v>
      </c>
      <c r="D7942" s="116">
        <v>125.35</v>
      </c>
      <c r="E7942" s="117">
        <v>45687</v>
      </c>
      <c r="F7942" s="116">
        <f>COUNTIFS($A$3:A16199,A7942,$B$3:B16199,B7942)</f>
        <v>1</v>
      </c>
      <c r="G7942" s="116"/>
    </row>
    <row r="7943" spans="1:7" x14ac:dyDescent="0.2">
      <c r="A7943" s="116">
        <f>IF(ISNUMBER(Tabela2[[#This Row],[CT-e/NFS]])=TRUE,(IF(B7943&gt;30000,4,IF(B7943&lt;1000,"ND",0))),"-")</f>
        <v>4</v>
      </c>
      <c r="B7943" s="116">
        <v>51678</v>
      </c>
      <c r="C7943" s="117">
        <v>45692</v>
      </c>
      <c r="D7943" s="116">
        <v>131.91999999999999</v>
      </c>
      <c r="E7943" s="117">
        <v>45687</v>
      </c>
      <c r="F7943" s="116">
        <f>COUNTIFS($A$3:A16200,A7943,$B$3:B16200,B7943)</f>
        <v>1</v>
      </c>
      <c r="G7943" s="116"/>
    </row>
    <row r="7944" spans="1:7" x14ac:dyDescent="0.2">
      <c r="A7944" s="116">
        <f>IF(ISNUMBER(Tabela2[[#This Row],[CT-e/NFS]])=TRUE,(IF(B7944&gt;30000,4,IF(B7944&lt;1000,"ND",0))),"-")</f>
        <v>4</v>
      </c>
      <c r="B7944" s="116">
        <v>51670</v>
      </c>
      <c r="C7944" s="117">
        <v>45692</v>
      </c>
      <c r="D7944" s="116">
        <v>251.26</v>
      </c>
      <c r="E7944" s="117">
        <v>45687</v>
      </c>
      <c r="F7944" s="116">
        <f>COUNTIFS($A$3:A16201,A7944,$B$3:B16201,B7944)</f>
        <v>1</v>
      </c>
      <c r="G7944" s="116"/>
    </row>
    <row r="7945" spans="1:7" x14ac:dyDescent="0.2">
      <c r="A7945" s="116">
        <f>IF(ISNUMBER(Tabela2[[#This Row],[CT-e/NFS]])=TRUE,(IF(B7945&gt;30000,4,IF(B7945&lt;1000,"ND",0))),"-")</f>
        <v>4</v>
      </c>
      <c r="B7945" s="116">
        <v>51699</v>
      </c>
      <c r="C7945" s="117">
        <v>45692</v>
      </c>
      <c r="D7945" s="116">
        <v>251.26</v>
      </c>
      <c r="E7945" s="117">
        <v>45687</v>
      </c>
      <c r="F7945" s="116">
        <f>COUNTIFS($A$3:A16202,A7945,$B$3:B16202,B7945)</f>
        <v>1</v>
      </c>
      <c r="G7945" s="116"/>
    </row>
    <row r="7946" spans="1:7" x14ac:dyDescent="0.2">
      <c r="A7946" s="116">
        <f>IF(ISNUMBER(Tabela2[[#This Row],[CT-e/NFS]])=TRUE,(IF(B7946&gt;30000,4,IF(B7946&lt;1000,"ND",0))),"-")</f>
        <v>4</v>
      </c>
      <c r="B7946" s="116">
        <v>51709</v>
      </c>
      <c r="C7946" s="117">
        <v>45692</v>
      </c>
      <c r="D7946" s="116">
        <v>62.2</v>
      </c>
      <c r="E7946" s="117">
        <v>45687</v>
      </c>
      <c r="F7946" s="116">
        <f>COUNTIFS($A$3:A16203,A7946,$B$3:B16203,B7946)</f>
        <v>1</v>
      </c>
      <c r="G7946" s="116"/>
    </row>
    <row r="7947" spans="1:7" x14ac:dyDescent="0.2">
      <c r="A7947" s="116">
        <f>IF(ISNUMBER(Tabela2[[#This Row],[CT-e/NFS]])=TRUE,(IF(B7947&gt;30000,4,IF(B7947&lt;1000,"ND",0))),"-")</f>
        <v>4</v>
      </c>
      <c r="B7947" s="116">
        <v>51710</v>
      </c>
      <c r="C7947" s="117">
        <v>45692</v>
      </c>
      <c r="D7947" s="116">
        <v>112.14</v>
      </c>
      <c r="E7947" s="117">
        <v>45687</v>
      </c>
      <c r="F7947" s="116">
        <f>COUNTIFS($A$3:A16204,A7947,$B$3:B16204,B7947)</f>
        <v>1</v>
      </c>
      <c r="G7947" s="116"/>
    </row>
    <row r="7948" spans="1:7" x14ac:dyDescent="0.2">
      <c r="A7948" s="116">
        <f>IF(ISNUMBER(Tabela2[[#This Row],[CT-e/NFS]])=TRUE,(IF(B7948&gt;30000,4,IF(B7948&lt;1000,"ND",0))),"-")</f>
        <v>0</v>
      </c>
      <c r="B7948" s="116">
        <v>22959</v>
      </c>
      <c r="C7948" s="117">
        <v>45687</v>
      </c>
      <c r="D7948" s="116">
        <v>91.83</v>
      </c>
      <c r="E7948" s="117">
        <v>45716</v>
      </c>
      <c r="F7948" s="116">
        <f>COUNTIFS($A$3:A16204,A7948,$B$3:B16204,B7948)</f>
        <v>1</v>
      </c>
      <c r="G7948" s="116"/>
    </row>
    <row r="7949" spans="1:7" x14ac:dyDescent="0.2">
      <c r="A7949" s="116">
        <f>IF(ISNUMBER(Tabela2[[#This Row],[CT-e/NFS]])=TRUE,(IF(B7949&gt;30000,4,IF(B7949&lt;1000,"ND",0))),"-")</f>
        <v>4</v>
      </c>
      <c r="B7949" s="116">
        <v>51831</v>
      </c>
      <c r="C7949" s="117">
        <v>45687</v>
      </c>
      <c r="D7949" s="116">
        <v>132.77000000000001</v>
      </c>
      <c r="E7949" s="117">
        <v>45716</v>
      </c>
      <c r="F7949" s="116">
        <f>COUNTIFS($A$3:A16205,A7949,$B$3:B16205,B7949)</f>
        <v>1</v>
      </c>
      <c r="G7949" s="116"/>
    </row>
    <row r="7950" spans="1:7" x14ac:dyDescent="0.2">
      <c r="A7950" s="116">
        <f>IF(ISNUMBER(Tabela2[[#This Row],[CT-e/NFS]])=TRUE,(IF(B7950&gt;30000,4,IF(B7950&lt;1000,"ND",0))),"-")</f>
        <v>0</v>
      </c>
      <c r="B7950" s="116">
        <v>22861</v>
      </c>
      <c r="C7950" s="117">
        <v>45707</v>
      </c>
      <c r="D7950" s="116">
        <v>288.68</v>
      </c>
      <c r="E7950" s="117">
        <v>45716</v>
      </c>
      <c r="F7950" s="116">
        <f>COUNTIFS($A$3:A16206,A7950,$B$3:B16206,B7950)</f>
        <v>1</v>
      </c>
      <c r="G7950" s="116"/>
    </row>
    <row r="7951" spans="1:7" x14ac:dyDescent="0.2">
      <c r="A7951" s="116">
        <f>IF(ISNUMBER(Tabela2[[#This Row],[CT-e/NFS]])=TRUE,(IF(B7951&gt;30000,4,IF(B7951&lt;1000,"ND",0))),"-")</f>
        <v>4</v>
      </c>
      <c r="B7951" s="116">
        <v>51462</v>
      </c>
      <c r="C7951" s="117">
        <v>45707</v>
      </c>
      <c r="D7951" s="116">
        <v>122.93</v>
      </c>
      <c r="E7951" s="117">
        <v>45716</v>
      </c>
      <c r="F7951" s="116">
        <f>COUNTIFS($A$3:A16207,A7951,$B$3:B16207,B7951)</f>
        <v>1</v>
      </c>
      <c r="G7951" s="116"/>
    </row>
    <row r="7952" spans="1:7" x14ac:dyDescent="0.2">
      <c r="A7952" s="116">
        <f>IF(ISNUMBER(Tabela2[[#This Row],[CT-e/NFS]])=TRUE,(IF(B7952&gt;30000,4,IF(B7952&lt;1000,"ND",0))),"-")</f>
        <v>4</v>
      </c>
      <c r="B7952" s="116">
        <v>51461</v>
      </c>
      <c r="C7952" s="117">
        <v>45707</v>
      </c>
      <c r="D7952" s="116">
        <v>124.47</v>
      </c>
      <c r="E7952" s="117">
        <v>45716</v>
      </c>
      <c r="F7952" s="116">
        <f>COUNTIFS($A$3:A16208,A7952,$B$3:B16208,B7952)</f>
        <v>1</v>
      </c>
      <c r="G7952" s="116"/>
    </row>
    <row r="7953" spans="1:7" x14ac:dyDescent="0.2">
      <c r="A7953" s="116">
        <f>IF(ISNUMBER(Tabela2[[#This Row],[CT-e/NFS]])=TRUE,(IF(B7953&gt;30000,4,IF(B7953&lt;1000,"ND",0))),"-")</f>
        <v>4</v>
      </c>
      <c r="B7953" s="116">
        <v>51458</v>
      </c>
      <c r="C7953" s="117">
        <v>45707</v>
      </c>
      <c r="D7953" s="116">
        <v>123.99</v>
      </c>
      <c r="E7953" s="117">
        <v>45716</v>
      </c>
      <c r="F7953" s="116">
        <f>COUNTIFS($A$3:A16209,A7953,$B$3:B16209,B7953)</f>
        <v>1</v>
      </c>
      <c r="G7953" s="116"/>
    </row>
    <row r="7954" spans="1:7" x14ac:dyDescent="0.2">
      <c r="A7954" s="116">
        <f>IF(ISNUMBER(Tabela2[[#This Row],[CT-e/NFS]])=TRUE,(IF(B7954&gt;30000,4,IF(B7954&lt;1000,"ND",0))),"-")</f>
        <v>4</v>
      </c>
      <c r="B7954" s="116">
        <v>51472</v>
      </c>
      <c r="C7954" s="117">
        <v>45707</v>
      </c>
      <c r="D7954" s="116">
        <v>122.92</v>
      </c>
      <c r="E7954" s="117">
        <v>45716</v>
      </c>
      <c r="F7954" s="116">
        <f>COUNTIFS($A$3:A16210,A7954,$B$3:B16210,B7954)</f>
        <v>1</v>
      </c>
      <c r="G7954" s="116"/>
    </row>
    <row r="7955" spans="1:7" x14ac:dyDescent="0.2">
      <c r="A7955" s="116">
        <f>IF(ISNUMBER(Tabela2[[#This Row],[CT-e/NFS]])=TRUE,(IF(B7955&gt;30000,4,IF(B7955&lt;1000,"ND",0))),"-")</f>
        <v>4</v>
      </c>
      <c r="B7955" s="116">
        <v>51474</v>
      </c>
      <c r="C7955" s="117">
        <v>45707</v>
      </c>
      <c r="D7955" s="116">
        <v>119.48</v>
      </c>
      <c r="E7955" s="117">
        <v>45716</v>
      </c>
      <c r="F7955" s="116">
        <f>COUNTIFS($A$3:A16211,A7955,$B$3:B16211,B7955)</f>
        <v>1</v>
      </c>
      <c r="G7955" s="116"/>
    </row>
    <row r="7956" spans="1:7" x14ac:dyDescent="0.2">
      <c r="A7956" s="116">
        <f>IF(ISNUMBER(Tabela2[[#This Row],[CT-e/NFS]])=TRUE,(IF(B7956&gt;30000,4,IF(B7956&lt;1000,"ND",0))),"-")</f>
        <v>4</v>
      </c>
      <c r="B7956" s="116">
        <v>51469</v>
      </c>
      <c r="C7956" s="117">
        <v>45707</v>
      </c>
      <c r="D7956" s="116">
        <v>610.74</v>
      </c>
      <c r="E7956" s="117">
        <v>45716</v>
      </c>
      <c r="F7956" s="116">
        <f>COUNTIFS($A$3:A16212,A7956,$B$3:B16212,B7956)</f>
        <v>1</v>
      </c>
      <c r="G7956" s="116"/>
    </row>
    <row r="7957" spans="1:7" x14ac:dyDescent="0.2">
      <c r="A7957" s="116">
        <f>IF(ISNUMBER(Tabela2[[#This Row],[CT-e/NFS]])=TRUE,(IF(B7957&gt;30000,4,IF(B7957&lt;1000,"ND",0))),"-")</f>
        <v>0</v>
      </c>
      <c r="B7957" s="116">
        <v>22945</v>
      </c>
      <c r="C7957" s="117">
        <v>45664</v>
      </c>
      <c r="D7957" s="116">
        <v>303.31</v>
      </c>
      <c r="E7957" s="117">
        <v>45716</v>
      </c>
      <c r="F7957" s="116">
        <f>COUNTIFS($A$3:A16213,A7957,$B$3:B16213,B7957)</f>
        <v>1</v>
      </c>
      <c r="G7957" s="116"/>
    </row>
    <row r="7958" spans="1:7" x14ac:dyDescent="0.2">
      <c r="A7958" s="116">
        <f>IF(ISNUMBER(Tabela2[[#This Row],[CT-e/NFS]])=TRUE,(IF(B7958&gt;30000,4,IF(B7958&lt;1000,"ND",0))),"-")</f>
        <v>0</v>
      </c>
      <c r="B7958" s="116">
        <v>22952</v>
      </c>
      <c r="C7958" s="117">
        <v>45664</v>
      </c>
      <c r="D7958" s="116">
        <v>450.59</v>
      </c>
      <c r="E7958" s="117">
        <v>45716</v>
      </c>
      <c r="F7958" s="116">
        <f>COUNTIFS($A$3:A16214,A7958,$B$3:B16214,B7958)</f>
        <v>1</v>
      </c>
      <c r="G7958" s="116"/>
    </row>
    <row r="7959" spans="1:7" x14ac:dyDescent="0.2">
      <c r="A7959" s="116">
        <f>IF(ISNUMBER(Tabela2[[#This Row],[CT-e/NFS]])=TRUE,(IF(B7959&gt;30000,4,IF(B7959&lt;1000,"ND",0))),"-")</f>
        <v>0</v>
      </c>
      <c r="B7959" s="116">
        <v>22954</v>
      </c>
      <c r="C7959" s="117">
        <v>45664</v>
      </c>
      <c r="D7959" s="116">
        <v>451.37</v>
      </c>
      <c r="E7959" s="117">
        <v>45716</v>
      </c>
      <c r="F7959" s="116">
        <f>COUNTIFS($A$3:A16215,A7959,$B$3:B16215,B7959)</f>
        <v>1</v>
      </c>
      <c r="G7959" s="116"/>
    </row>
    <row r="7960" spans="1:7" x14ac:dyDescent="0.2">
      <c r="A7960" s="116">
        <f>IF(ISNUMBER(Tabela2[[#This Row],[CT-e/NFS]])=TRUE,(IF(B7960&gt;30000,4,IF(B7960&lt;1000,"ND",0))),"-")</f>
        <v>0</v>
      </c>
      <c r="B7960" s="116">
        <v>22960</v>
      </c>
      <c r="C7960" s="117">
        <v>45664</v>
      </c>
      <c r="D7960" s="116">
        <v>445.79</v>
      </c>
      <c r="E7960" s="117">
        <v>45716</v>
      </c>
      <c r="F7960" s="116">
        <f>COUNTIFS($A$3:A16216,A7960,$B$3:B16216,B7960)</f>
        <v>1</v>
      </c>
      <c r="G7960" s="116"/>
    </row>
    <row r="7961" spans="1:7" x14ac:dyDescent="0.2">
      <c r="A7961" s="116">
        <f>IF(ISNUMBER(Tabela2[[#This Row],[CT-e/NFS]])=TRUE,(IF(B7961&gt;30000,4,IF(B7961&lt;1000,"ND",0))),"-")</f>
        <v>4</v>
      </c>
      <c r="B7961" s="116">
        <v>51724</v>
      </c>
      <c r="C7961" s="117">
        <v>45664</v>
      </c>
      <c r="D7961" s="116">
        <v>338.99</v>
      </c>
      <c r="E7961" s="117">
        <v>45716</v>
      </c>
      <c r="F7961" s="116">
        <f>COUNTIFS($A$3:A16217,A7961,$B$3:B16217,B7961)</f>
        <v>1</v>
      </c>
      <c r="G7961" s="116"/>
    </row>
    <row r="7962" spans="1:7" x14ac:dyDescent="0.2">
      <c r="A7962" s="116">
        <f>IF(ISNUMBER(Tabela2[[#This Row],[CT-e/NFS]])=TRUE,(IF(B7962&gt;30000,4,IF(B7962&lt;1000,"ND",0))),"-")</f>
        <v>4</v>
      </c>
      <c r="B7962" s="116">
        <v>51718</v>
      </c>
      <c r="C7962" s="117">
        <v>45664</v>
      </c>
      <c r="D7962" s="116">
        <v>609.47</v>
      </c>
      <c r="E7962" s="117">
        <v>45716</v>
      </c>
      <c r="F7962" s="116">
        <f>COUNTIFS($A$3:A16218,A7962,$B$3:B16218,B7962)</f>
        <v>1</v>
      </c>
      <c r="G7962" s="116"/>
    </row>
    <row r="7963" spans="1:7" x14ac:dyDescent="0.2">
      <c r="A7963" s="116">
        <f>IF(ISNUMBER(Tabela2[[#This Row],[CT-e/NFS]])=TRUE,(IF(B7963&gt;30000,4,IF(B7963&lt;1000,"ND",0))),"-")</f>
        <v>0</v>
      </c>
      <c r="B7963" s="116">
        <v>22990</v>
      </c>
      <c r="C7963" s="117">
        <v>45701</v>
      </c>
      <c r="D7963" s="116">
        <v>707.84</v>
      </c>
      <c r="E7963" s="117">
        <v>45716</v>
      </c>
      <c r="F7963" s="116">
        <f>COUNTIFS($A$3:A16219,A7963,$B$3:B16219,B7963)</f>
        <v>1</v>
      </c>
      <c r="G7963" s="116"/>
    </row>
    <row r="7964" spans="1:7" x14ac:dyDescent="0.2">
      <c r="A7964" s="116">
        <f>IF(ISNUMBER(Tabela2[[#This Row],[CT-e/NFS]])=TRUE,(IF(B7964&gt;30000,4,IF(B7964&lt;1000,"ND",0))),"-")</f>
        <v>4</v>
      </c>
      <c r="B7964" s="116">
        <v>51959</v>
      </c>
      <c r="C7964" s="117">
        <v>45701</v>
      </c>
      <c r="D7964" s="116">
        <v>105</v>
      </c>
      <c r="E7964" s="117">
        <v>45716</v>
      </c>
      <c r="F7964" s="116">
        <f>COUNTIFS($A$3:A16220,A7964,$B$3:B16220,B7964)</f>
        <v>1</v>
      </c>
      <c r="G7964" s="116"/>
    </row>
    <row r="7965" spans="1:7" x14ac:dyDescent="0.2">
      <c r="A7965" s="116">
        <f>IF(ISNUMBER(Tabela2[[#This Row],[CT-e/NFS]])=TRUE,(IF(B7965&gt;30000,4,IF(B7965&lt;1000,"ND",0))),"-")</f>
        <v>4</v>
      </c>
      <c r="B7965" s="116">
        <v>51906</v>
      </c>
      <c r="C7965" s="117">
        <v>45701</v>
      </c>
      <c r="D7965" s="116">
        <v>244.17</v>
      </c>
      <c r="E7965" s="117">
        <v>45716</v>
      </c>
      <c r="F7965" s="116">
        <f>COUNTIFS($A$3:A16221,A7965,$B$3:B16221,B7965)</f>
        <v>1</v>
      </c>
      <c r="G7965" s="116"/>
    </row>
    <row r="7966" spans="1:7" x14ac:dyDescent="0.2">
      <c r="A7966" s="116">
        <f>IF(ISNUMBER(Tabela2[[#This Row],[CT-e/NFS]])=TRUE,(IF(B7966&gt;30000,4,IF(B7966&lt;1000,"ND",0))),"-")</f>
        <v>4</v>
      </c>
      <c r="B7966" s="116">
        <v>51903</v>
      </c>
      <c r="C7966" s="117">
        <v>45701</v>
      </c>
      <c r="D7966" s="116">
        <v>524.85</v>
      </c>
      <c r="E7966" s="117">
        <v>45716</v>
      </c>
      <c r="F7966" s="116">
        <f>COUNTIFS($A$3:A16222,A7966,$B$3:B16222,B7966)</f>
        <v>1</v>
      </c>
      <c r="G7966" s="116"/>
    </row>
    <row r="7967" spans="1:7" x14ac:dyDescent="0.2">
      <c r="A7967" s="116">
        <f>IF(ISNUMBER(Tabela2[[#This Row],[CT-e/NFS]])=TRUE,(IF(B7967&gt;30000,4,IF(B7967&lt;1000,"ND",0))),"-")</f>
        <v>4</v>
      </c>
      <c r="B7967" s="116">
        <v>51880</v>
      </c>
      <c r="C7967" s="117">
        <v>45701</v>
      </c>
      <c r="D7967" s="116">
        <v>125.58</v>
      </c>
      <c r="E7967" s="117">
        <v>45716</v>
      </c>
      <c r="F7967" s="116">
        <f>COUNTIFS($A$3:A16223,A7967,$B$3:B16223,B7967)</f>
        <v>1</v>
      </c>
      <c r="G7967" s="116"/>
    </row>
    <row r="7968" spans="1:7" x14ac:dyDescent="0.2">
      <c r="A7968" s="116">
        <f>IF(ISNUMBER(Tabela2[[#This Row],[CT-e/NFS]])=TRUE,(IF(B7968&gt;30000,4,IF(B7968&lt;1000,"ND",0))),"-")</f>
        <v>4</v>
      </c>
      <c r="B7968" s="116">
        <v>51879</v>
      </c>
      <c r="C7968" s="117">
        <v>45701</v>
      </c>
      <c r="D7968" s="116">
        <v>63.83</v>
      </c>
      <c r="E7968" s="117">
        <v>45716</v>
      </c>
      <c r="F7968" s="116">
        <f>COUNTIFS($A$3:A16224,A7968,$B$3:B16224,B7968)</f>
        <v>1</v>
      </c>
      <c r="G7968" s="116"/>
    </row>
    <row r="7969" spans="1:7" x14ac:dyDescent="0.2">
      <c r="A7969" s="116">
        <f>IF(ISNUMBER(Tabela2[[#This Row],[CT-e/NFS]])=TRUE,(IF(B7969&gt;30000,4,IF(B7969&lt;1000,"ND",0))),"-")</f>
        <v>4</v>
      </c>
      <c r="B7969" s="116">
        <v>51845</v>
      </c>
      <c r="C7969" s="117">
        <v>45701</v>
      </c>
      <c r="D7969" s="116">
        <v>125.58</v>
      </c>
      <c r="E7969" s="117">
        <v>45716</v>
      </c>
      <c r="F7969" s="116">
        <f>COUNTIFS($A$3:A16225,A7969,$B$3:B16225,B7969)</f>
        <v>1</v>
      </c>
      <c r="G7969" s="116"/>
    </row>
    <row r="7970" spans="1:7" x14ac:dyDescent="0.2">
      <c r="A7970" s="116">
        <f>IF(ISNUMBER(Tabela2[[#This Row],[CT-e/NFS]])=TRUE,(IF(B7970&gt;30000,4,IF(B7970&lt;1000,"ND",0))),"-")</f>
        <v>0</v>
      </c>
      <c r="B7970" s="116">
        <v>22763</v>
      </c>
      <c r="C7970" s="117">
        <v>45630</v>
      </c>
      <c r="D7970" s="116">
        <v>290.97000000000003</v>
      </c>
      <c r="E7970" s="117">
        <v>45716</v>
      </c>
      <c r="F7970" s="116">
        <f>COUNTIFS($A$3:A16226,A7970,$B$3:B16226,B7970)</f>
        <v>1</v>
      </c>
      <c r="G7970" s="116"/>
    </row>
    <row r="7971" spans="1:7" x14ac:dyDescent="0.2">
      <c r="A7971" s="116">
        <f>IF(ISNUMBER(Tabela2[[#This Row],[CT-e/NFS]])=TRUE,(IF(B7971&gt;30000,4,IF(B7971&lt;1000,"ND",0))),"-")</f>
        <v>0</v>
      </c>
      <c r="B7971" s="116">
        <v>22762</v>
      </c>
      <c r="C7971" s="117">
        <v>45630</v>
      </c>
      <c r="D7971" s="116">
        <v>292.57</v>
      </c>
      <c r="E7971" s="117">
        <v>45716</v>
      </c>
      <c r="F7971" s="116">
        <f>COUNTIFS($A$3:A16227,A7971,$B$3:B16227,B7971)</f>
        <v>1</v>
      </c>
      <c r="G7971" s="116"/>
    </row>
    <row r="7972" spans="1:7" x14ac:dyDescent="0.2">
      <c r="A7972" s="116">
        <f>IF(ISNUMBER(Tabela2[[#This Row],[CT-e/NFS]])=TRUE,(IF(B7972&gt;30000,4,IF(B7972&lt;1000,"ND",0))),"-")</f>
        <v>0</v>
      </c>
      <c r="B7972" s="116">
        <v>22770</v>
      </c>
      <c r="C7972" s="117">
        <v>45630</v>
      </c>
      <c r="D7972" s="116">
        <v>291.02</v>
      </c>
      <c r="E7972" s="117">
        <v>45716</v>
      </c>
      <c r="F7972" s="116">
        <f>COUNTIFS($A$3:A16228,A7972,$B$3:B16228,B7972)</f>
        <v>1</v>
      </c>
      <c r="G7972" s="116"/>
    </row>
    <row r="7973" spans="1:7" x14ac:dyDescent="0.2">
      <c r="A7973" s="116">
        <f>IF(ISNUMBER(Tabela2[[#This Row],[CT-e/NFS]])=TRUE,(IF(B7973&gt;30000,4,IF(B7973&lt;1000,"ND",0))),"-")</f>
        <v>0</v>
      </c>
      <c r="B7973" s="116">
        <v>22778</v>
      </c>
      <c r="C7973" s="117">
        <v>45630</v>
      </c>
      <c r="D7973" s="116">
        <v>290.7</v>
      </c>
      <c r="E7973" s="117">
        <v>45716</v>
      </c>
      <c r="F7973" s="116">
        <f>COUNTIFS($A$3:A16229,A7973,$B$3:B16229,B7973)</f>
        <v>1</v>
      </c>
      <c r="G7973" s="116"/>
    </row>
    <row r="7974" spans="1:7" x14ac:dyDescent="0.2">
      <c r="A7974" s="116">
        <f>IF(ISNUMBER(Tabela2[[#This Row],[CT-e/NFS]])=TRUE,(IF(B7974&gt;30000,4,IF(B7974&lt;1000,"ND",0))),"-")</f>
        <v>0</v>
      </c>
      <c r="B7974" s="116">
        <v>22788</v>
      </c>
      <c r="C7974" s="117">
        <v>45630</v>
      </c>
      <c r="D7974" s="116">
        <v>90.52</v>
      </c>
      <c r="E7974" s="117">
        <v>45716</v>
      </c>
      <c r="F7974" s="116">
        <f>COUNTIFS($A$3:A16230,A7974,$B$3:B16230,B7974)</f>
        <v>1</v>
      </c>
      <c r="G7974" s="116"/>
    </row>
    <row r="7975" spans="1:7" x14ac:dyDescent="0.2">
      <c r="A7975" s="116">
        <f>IF(ISNUMBER(Tabela2[[#This Row],[CT-e/NFS]])=TRUE,(IF(B7975&gt;30000,4,IF(B7975&lt;1000,"ND",0))),"-")</f>
        <v>0</v>
      </c>
      <c r="B7975" s="116">
        <v>22790</v>
      </c>
      <c r="C7975" s="117">
        <v>45630</v>
      </c>
      <c r="D7975" s="116">
        <v>130.15</v>
      </c>
      <c r="E7975" s="117">
        <v>45716</v>
      </c>
      <c r="F7975" s="116">
        <f>COUNTIFS($A$3:A16231,A7975,$B$3:B16231,B7975)</f>
        <v>1</v>
      </c>
      <c r="G7975" s="116"/>
    </row>
    <row r="7976" spans="1:7" x14ac:dyDescent="0.2">
      <c r="A7976" s="116">
        <f>IF(ISNUMBER(Tabela2[[#This Row],[CT-e/NFS]])=TRUE,(IF(B7976&gt;30000,4,IF(B7976&lt;1000,"ND",0))),"-")</f>
        <v>0</v>
      </c>
      <c r="B7976" s="116">
        <v>22791</v>
      </c>
      <c r="C7976" s="117">
        <v>45630</v>
      </c>
      <c r="D7976" s="116">
        <v>291.58</v>
      </c>
      <c r="E7976" s="117">
        <v>45716</v>
      </c>
      <c r="F7976" s="116">
        <f>COUNTIFS($A$3:A16232,A7976,$B$3:B16232,B7976)</f>
        <v>1</v>
      </c>
      <c r="G7976" s="116"/>
    </row>
    <row r="7977" spans="1:7" x14ac:dyDescent="0.2">
      <c r="A7977" s="116">
        <f>IF(ISNUMBER(Tabela2[[#This Row],[CT-e/NFS]])=TRUE,(IF(B7977&gt;30000,4,IF(B7977&lt;1000,"ND",0))),"-")</f>
        <v>4</v>
      </c>
      <c r="B7977" s="116">
        <v>51234</v>
      </c>
      <c r="C7977" s="117">
        <v>45630</v>
      </c>
      <c r="D7977" s="116">
        <v>122.42</v>
      </c>
      <c r="E7977" s="117">
        <v>45716</v>
      </c>
      <c r="F7977" s="116">
        <f>COUNTIFS($A$3:A16233,A7977,$B$3:B16233,B7977)</f>
        <v>1</v>
      </c>
      <c r="G7977" s="116"/>
    </row>
    <row r="7978" spans="1:7" x14ac:dyDescent="0.2">
      <c r="A7978" s="116">
        <f>IF(ISNUMBER(Tabela2[[#This Row],[CT-e/NFS]])=TRUE,(IF(B7978&gt;30000,4,IF(B7978&lt;1000,"ND",0))),"-")</f>
        <v>4</v>
      </c>
      <c r="B7978" s="116">
        <v>51263</v>
      </c>
      <c r="C7978" s="117">
        <v>45630</v>
      </c>
      <c r="D7978" s="116">
        <v>587.41999999999996</v>
      </c>
      <c r="E7978" s="117">
        <v>45716</v>
      </c>
      <c r="F7978" s="116">
        <f>COUNTIFS($A$3:A16234,A7978,$B$3:B16234,B7978)</f>
        <v>1</v>
      </c>
      <c r="G7978" s="116"/>
    </row>
    <row r="7979" spans="1:7" x14ac:dyDescent="0.2">
      <c r="A7979" s="116">
        <f>IF(ISNUMBER(Tabela2[[#This Row],[CT-e/NFS]])=TRUE,(IF(B7979&gt;30000,4,IF(B7979&lt;1000,"ND",0))),"-")</f>
        <v>4</v>
      </c>
      <c r="B7979" s="116">
        <v>51291</v>
      </c>
      <c r="C7979" s="117">
        <v>45630</v>
      </c>
      <c r="D7979" s="116">
        <v>125.73</v>
      </c>
      <c r="E7979" s="117">
        <v>45716</v>
      </c>
      <c r="F7979" s="116">
        <f>COUNTIFS($A$3:A16235,A7979,$B$3:B16235,B7979)</f>
        <v>1</v>
      </c>
      <c r="G7979" s="116"/>
    </row>
    <row r="7980" spans="1:7" x14ac:dyDescent="0.2">
      <c r="A7980" s="116">
        <f>IF(ISNUMBER(Tabela2[[#This Row],[CT-e/NFS]])=TRUE,(IF(B7980&gt;30000,4,IF(B7980&lt;1000,"ND",0))),"-")</f>
        <v>4</v>
      </c>
      <c r="B7980" s="116">
        <v>51305</v>
      </c>
      <c r="C7980" s="117">
        <v>45630</v>
      </c>
      <c r="D7980" s="116">
        <v>574.80999999999995</v>
      </c>
      <c r="E7980" s="117">
        <v>45716</v>
      </c>
      <c r="F7980" s="116">
        <f>COUNTIFS($A$3:A16236,A7980,$B$3:B16236,B7980)</f>
        <v>1</v>
      </c>
      <c r="G7980" s="116"/>
    </row>
    <row r="7981" spans="1:7" x14ac:dyDescent="0.2">
      <c r="A7981" s="116">
        <f>IF(ISNUMBER(Tabela2[[#This Row],[CT-e/NFS]])=TRUE,(IF(B7981&gt;30000,4,IF(B7981&lt;1000,"ND",0))),"-")</f>
        <v>4</v>
      </c>
      <c r="B7981" s="116">
        <v>51307</v>
      </c>
      <c r="C7981" s="117">
        <v>45630</v>
      </c>
      <c r="D7981" s="116">
        <v>150.85</v>
      </c>
      <c r="E7981" s="117">
        <v>45716</v>
      </c>
      <c r="F7981" s="116">
        <f>COUNTIFS($A$3:A16237,A7981,$B$3:B16237,B7981)</f>
        <v>1</v>
      </c>
      <c r="G7981" s="116"/>
    </row>
    <row r="7982" spans="1:7" x14ac:dyDescent="0.2">
      <c r="A7982" s="116">
        <f>IF(ISNUMBER(Tabela2[[#This Row],[CT-e/NFS]])=TRUE,(IF(B7982&gt;30000,4,IF(B7982&lt;1000,"ND",0))),"-")</f>
        <v>4</v>
      </c>
      <c r="B7982" s="116">
        <v>51348</v>
      </c>
      <c r="C7982" s="117">
        <v>45630</v>
      </c>
      <c r="D7982" s="116">
        <v>108.67</v>
      </c>
      <c r="E7982" s="117">
        <v>45716</v>
      </c>
      <c r="F7982" s="116">
        <f>COUNTIFS($A$3:A16238,A7982,$B$3:B16238,B7982)</f>
        <v>1</v>
      </c>
      <c r="G7982" s="116"/>
    </row>
    <row r="7983" spans="1:7" x14ac:dyDescent="0.2">
      <c r="A7983" s="116">
        <f>IF(ISNUMBER(Tabela2[[#This Row],[CT-e/NFS]])=TRUE,(IF(B7983&gt;30000,4,IF(B7983&lt;1000,"ND",0))),"-")</f>
        <v>4</v>
      </c>
      <c r="B7983" s="116">
        <v>51349</v>
      </c>
      <c r="C7983" s="117">
        <v>45630</v>
      </c>
      <c r="D7983" s="116">
        <v>114.05</v>
      </c>
      <c r="E7983" s="117">
        <v>45716</v>
      </c>
      <c r="F7983" s="116">
        <f>COUNTIFS($A$3:A16239,A7983,$B$3:B16239,B7983)</f>
        <v>1</v>
      </c>
      <c r="G7983" s="116"/>
    </row>
    <row r="7984" spans="1:7" x14ac:dyDescent="0.2">
      <c r="A7984" s="116">
        <f>IF(ISNUMBER(Tabela2[[#This Row],[CT-e/NFS]])=TRUE,(IF(B7984&gt;30000,4,IF(B7984&lt;1000,"ND",0))),"-")</f>
        <v>4</v>
      </c>
      <c r="B7984" s="116">
        <v>51420</v>
      </c>
      <c r="C7984" s="117">
        <v>45630</v>
      </c>
      <c r="D7984" s="116">
        <v>509.05</v>
      </c>
      <c r="E7984" s="117">
        <v>45716</v>
      </c>
      <c r="F7984" s="116">
        <f>COUNTIFS($A$3:A16240,A7984,$B$3:B16240,B7984)</f>
        <v>1</v>
      </c>
      <c r="G7984" s="116"/>
    </row>
    <row r="7985" spans="1:7" x14ac:dyDescent="0.2">
      <c r="A7985" s="116">
        <f>IF(ISNUMBER(Tabela2[[#This Row],[CT-e/NFS]])=TRUE,(IF(B7985&gt;30000,4,IF(B7985&lt;1000,"ND",0))),"-")</f>
        <v>0</v>
      </c>
      <c r="B7985" s="116">
        <v>22834</v>
      </c>
      <c r="C7985" s="117">
        <v>45656</v>
      </c>
      <c r="D7985" s="116">
        <v>310.42</v>
      </c>
      <c r="E7985" s="117">
        <v>45716</v>
      </c>
      <c r="F7985" s="116">
        <f>COUNTIFS($A$3:A16241,A7985,$B$3:B16241,B7985)</f>
        <v>1</v>
      </c>
      <c r="G7985" s="116"/>
    </row>
    <row r="7986" spans="1:7" x14ac:dyDescent="0.2">
      <c r="A7986" s="116">
        <f>IF(ISNUMBER(Tabela2[[#This Row],[CT-e/NFS]])=TRUE,(IF(B7986&gt;30000,4,IF(B7986&lt;1000,"ND",0))),"-")</f>
        <v>0</v>
      </c>
      <c r="B7986" s="116">
        <v>22847</v>
      </c>
      <c r="C7986" s="117">
        <v>45656</v>
      </c>
      <c r="D7986" s="116">
        <v>99.26</v>
      </c>
      <c r="E7986" s="117">
        <v>45716</v>
      </c>
      <c r="F7986" s="116">
        <f>COUNTIFS($A$3:A16242,A7986,$B$3:B16242,B7986)</f>
        <v>1</v>
      </c>
      <c r="G7986" s="116"/>
    </row>
    <row r="7987" spans="1:7" x14ac:dyDescent="0.2">
      <c r="A7987" s="116">
        <f>IF(ISNUMBER(Tabela2[[#This Row],[CT-e/NFS]])=TRUE,(IF(B7987&gt;30000,4,IF(B7987&lt;1000,"ND",0))),"-")</f>
        <v>0</v>
      </c>
      <c r="B7987" s="116">
        <v>22857</v>
      </c>
      <c r="C7987" s="117">
        <v>45656</v>
      </c>
      <c r="D7987" s="116">
        <v>290.97000000000003</v>
      </c>
      <c r="E7987" s="117">
        <v>45716</v>
      </c>
      <c r="F7987" s="116">
        <f>COUNTIFS($A$3:A16243,A7987,$B$3:B16243,B7987)</f>
        <v>1</v>
      </c>
      <c r="G7987" s="116"/>
    </row>
    <row r="7988" spans="1:7" x14ac:dyDescent="0.2">
      <c r="A7988" s="116">
        <f>IF(ISNUMBER(Tabela2[[#This Row],[CT-e/NFS]])=TRUE,(IF(B7988&gt;30000,4,IF(B7988&lt;1000,"ND",0))),"-")</f>
        <v>0</v>
      </c>
      <c r="B7988" s="116">
        <v>22884</v>
      </c>
      <c r="C7988" s="117">
        <v>45656</v>
      </c>
      <c r="D7988" s="116">
        <v>309.01</v>
      </c>
      <c r="E7988" s="117">
        <v>45716</v>
      </c>
      <c r="F7988" s="116">
        <f>COUNTIFS($A$3:A16244,A7988,$B$3:B16244,B7988)</f>
        <v>1</v>
      </c>
      <c r="G7988" s="116"/>
    </row>
    <row r="7989" spans="1:7" x14ac:dyDescent="0.2">
      <c r="A7989" s="116">
        <f>IF(ISNUMBER(Tabela2[[#This Row],[CT-e/NFS]])=TRUE,(IF(B7989&gt;30000,4,IF(B7989&lt;1000,"ND",0))),"-")</f>
        <v>0</v>
      </c>
      <c r="B7989" s="116">
        <v>22900</v>
      </c>
      <c r="C7989" s="117">
        <v>45656</v>
      </c>
      <c r="D7989" s="116">
        <v>287.64</v>
      </c>
      <c r="E7989" s="117">
        <v>45716</v>
      </c>
      <c r="F7989" s="116">
        <f>COUNTIFS($A$3:A16245,A7989,$B$3:B16245,B7989)</f>
        <v>1</v>
      </c>
      <c r="G7989" s="116"/>
    </row>
    <row r="7990" spans="1:7" x14ac:dyDescent="0.2">
      <c r="A7990" s="116">
        <f>IF(ISNUMBER(Tabela2[[#This Row],[CT-e/NFS]])=TRUE,(IF(B7990&gt;30000,4,IF(B7990&lt;1000,"ND",0))),"-")</f>
        <v>0</v>
      </c>
      <c r="B7990" s="116">
        <v>22906</v>
      </c>
      <c r="C7990" s="117">
        <v>45656</v>
      </c>
      <c r="D7990" s="116">
        <v>291.33</v>
      </c>
      <c r="E7990" s="117">
        <v>45716</v>
      </c>
      <c r="F7990" s="116">
        <f>COUNTIFS($A$3:A16246,A7990,$B$3:B16246,B7990)</f>
        <v>1</v>
      </c>
      <c r="G7990" s="116"/>
    </row>
    <row r="7991" spans="1:7" x14ac:dyDescent="0.2">
      <c r="A7991" s="116">
        <f>IF(ISNUMBER(Tabela2[[#This Row],[CT-e/NFS]])=TRUE,(IF(B7991&gt;30000,4,IF(B7991&lt;1000,"ND",0))),"-")</f>
        <v>0</v>
      </c>
      <c r="B7991" s="116">
        <v>22908</v>
      </c>
      <c r="C7991" s="117">
        <v>45656</v>
      </c>
      <c r="D7991" s="116">
        <v>286.95999999999998</v>
      </c>
      <c r="E7991" s="117">
        <v>45716</v>
      </c>
      <c r="F7991" s="116">
        <f>COUNTIFS($A$3:A16247,A7991,$B$3:B16247,B7991)</f>
        <v>1</v>
      </c>
      <c r="G7991" s="116"/>
    </row>
    <row r="7992" spans="1:7" x14ac:dyDescent="0.2">
      <c r="A7992" s="116">
        <f>IF(ISNUMBER(Tabela2[[#This Row],[CT-e/NFS]])=TRUE,(IF(B7992&gt;30000,4,IF(B7992&lt;1000,"ND",0))),"-")</f>
        <v>0</v>
      </c>
      <c r="B7992" s="116">
        <v>22918</v>
      </c>
      <c r="C7992" s="117">
        <v>45656</v>
      </c>
      <c r="D7992" s="116">
        <v>115.31</v>
      </c>
      <c r="E7992" s="117">
        <v>45716</v>
      </c>
      <c r="F7992" s="116">
        <f>COUNTIFS($A$3:A16248,A7992,$B$3:B16248,B7992)</f>
        <v>1</v>
      </c>
      <c r="G7992" s="116"/>
    </row>
    <row r="7993" spans="1:7" x14ac:dyDescent="0.2">
      <c r="A7993" s="116">
        <f>IF(ISNUMBER(Tabela2[[#This Row],[CT-e/NFS]])=TRUE,(IF(B7993&gt;30000,4,IF(B7993&lt;1000,"ND",0))),"-")</f>
        <v>0</v>
      </c>
      <c r="B7993" s="116">
        <v>22933</v>
      </c>
      <c r="C7993" s="117">
        <v>45656</v>
      </c>
      <c r="D7993" s="116">
        <v>290.97000000000003</v>
      </c>
      <c r="E7993" s="117">
        <v>45716</v>
      </c>
      <c r="F7993" s="116">
        <f>COUNTIFS($A$3:A16249,A7993,$B$3:B16249,B7993)</f>
        <v>1</v>
      </c>
      <c r="G7993" s="116"/>
    </row>
    <row r="7994" spans="1:7" x14ac:dyDescent="0.2">
      <c r="A7994" s="116">
        <f>IF(ISNUMBER(Tabela2[[#This Row],[CT-e/NFS]])=TRUE,(IF(B7994&gt;30000,4,IF(B7994&lt;1000,"ND",0))),"-")</f>
        <v>4</v>
      </c>
      <c r="B7994" s="116">
        <v>51444</v>
      </c>
      <c r="C7994" s="117">
        <v>45656</v>
      </c>
      <c r="D7994" s="116">
        <v>573.33000000000004</v>
      </c>
      <c r="E7994" s="117">
        <v>45716</v>
      </c>
      <c r="F7994" s="116">
        <f>COUNTIFS($A$3:A16250,A7994,$B$3:B16250,B7994)</f>
        <v>1</v>
      </c>
      <c r="G7994" s="116"/>
    </row>
    <row r="7995" spans="1:7" x14ac:dyDescent="0.2">
      <c r="A7995" s="116">
        <f>IF(ISNUMBER(Tabela2[[#This Row],[CT-e/NFS]])=TRUE,(IF(B7995&gt;30000,4,IF(B7995&lt;1000,"ND",0))),"-")</f>
        <v>4</v>
      </c>
      <c r="B7995" s="116">
        <v>51445</v>
      </c>
      <c r="C7995" s="117">
        <v>45656</v>
      </c>
      <c r="D7995" s="116">
        <v>332.74</v>
      </c>
      <c r="E7995" s="117">
        <v>45716</v>
      </c>
      <c r="F7995" s="116">
        <f>COUNTIFS($A$3:A16251,A7995,$B$3:B16251,B7995)</f>
        <v>1</v>
      </c>
      <c r="G7995" s="116"/>
    </row>
    <row r="7996" spans="1:7" x14ac:dyDescent="0.2">
      <c r="A7996" s="116">
        <f>IF(ISNUMBER(Tabela2[[#This Row],[CT-e/NFS]])=TRUE,(IF(B7996&gt;30000,4,IF(B7996&lt;1000,"ND",0))),"-")</f>
        <v>4</v>
      </c>
      <c r="B7996" s="116">
        <v>51708</v>
      </c>
      <c r="C7996" s="117">
        <v>45656</v>
      </c>
      <c r="D7996" s="116">
        <v>549.91999999999996</v>
      </c>
      <c r="E7996" s="117">
        <v>45716</v>
      </c>
      <c r="F7996" s="116">
        <f>COUNTIFS($A$3:A16252,A7996,$B$3:B16252,B7996)</f>
        <v>1</v>
      </c>
      <c r="G7996" s="116"/>
    </row>
    <row r="7997" spans="1:7" x14ac:dyDescent="0.2">
      <c r="A7997" s="116">
        <f>IF(ISNUMBER(Tabela2[[#This Row],[CT-e/NFS]])=TRUE,(IF(B7997&gt;30000,4,IF(B7997&lt;1000,"ND",0))),"-")</f>
        <v>0</v>
      </c>
      <c r="B7997" s="116">
        <v>22938</v>
      </c>
      <c r="C7997" s="117">
        <v>45703</v>
      </c>
      <c r="D7997" s="116">
        <v>515.41</v>
      </c>
      <c r="E7997" s="117">
        <v>45716</v>
      </c>
      <c r="F7997" s="116">
        <f>COUNTIFS($A$3:A16253,A7997,$B$3:B16253,B7997)</f>
        <v>1</v>
      </c>
      <c r="G7997" s="116"/>
    </row>
    <row r="7998" spans="1:7" x14ac:dyDescent="0.2">
      <c r="A7998" s="116">
        <f>IF(ISNUMBER(Tabela2[[#This Row],[CT-e/NFS]])=TRUE,(IF(B7998&gt;30000,4,IF(B7998&lt;1000,"ND",0))),"-")</f>
        <v>0</v>
      </c>
      <c r="B7998" s="116">
        <v>22924</v>
      </c>
      <c r="C7998" s="117">
        <v>45703</v>
      </c>
      <c r="D7998" s="116">
        <v>348.37</v>
      </c>
      <c r="E7998" s="117">
        <v>45716</v>
      </c>
      <c r="F7998" s="116">
        <f>COUNTIFS($A$3:A16254,A7998,$B$3:B16254,B7998)</f>
        <v>1</v>
      </c>
      <c r="G7998" s="116"/>
    </row>
    <row r="7999" spans="1:7" x14ac:dyDescent="0.2">
      <c r="A7999" s="116" t="str">
        <f>IF(ISNUMBER(Tabela2[[#This Row],[CT-e/NFS]])=TRUE,(IF(B7999&gt;30000,4,IF(B7999&lt;1000,"ND",0))),"-")</f>
        <v>ND</v>
      </c>
      <c r="B7999" s="116">
        <v>249</v>
      </c>
      <c r="C7999" s="117">
        <v>45705</v>
      </c>
      <c r="D7999" s="116">
        <v>893.13</v>
      </c>
      <c r="E7999" s="117">
        <v>45716</v>
      </c>
      <c r="F7999" s="116">
        <f>COUNTIFS($A$3:A16255,A7999,$B$3:B16255,B7999)</f>
        <v>1</v>
      </c>
      <c r="G7999" s="116"/>
    </row>
    <row r="8000" spans="1:7" x14ac:dyDescent="0.2">
      <c r="A8000" s="116">
        <f>IF(ISNUMBER(Tabela2[[#This Row],[CT-e/NFS]])=TRUE,(IF(B8000&gt;30000,4,IF(B8000&lt;1000,"ND",0))),"-")</f>
        <v>4</v>
      </c>
      <c r="B8000" s="116">
        <v>51634</v>
      </c>
      <c r="C8000" s="117">
        <v>45703</v>
      </c>
      <c r="D8000" s="116">
        <v>1374.52</v>
      </c>
      <c r="E8000" s="117">
        <v>45716</v>
      </c>
      <c r="F8000" s="116">
        <f>COUNTIFS($A$3:A16256,A8000,$B$3:B16256,B8000)</f>
        <v>1</v>
      </c>
      <c r="G8000" s="116"/>
    </row>
    <row r="8001" spans="1:7" x14ac:dyDescent="0.2">
      <c r="A8001" s="116">
        <f>IF(ISNUMBER(Tabela2[[#This Row],[CT-e/NFS]])=TRUE,(IF(B8001&gt;30000,4,IF(B8001&lt;1000,"ND",0))),"-")</f>
        <v>4</v>
      </c>
      <c r="B8001" s="116">
        <v>51637</v>
      </c>
      <c r="C8001" s="117">
        <v>45709</v>
      </c>
      <c r="D8001" s="116">
        <v>235.14</v>
      </c>
      <c r="E8001" s="117">
        <v>45716</v>
      </c>
      <c r="F8001" s="116">
        <f>COUNTIFS($A$3:A16257,A8001,$B$3:B16257,B8001)</f>
        <v>1</v>
      </c>
      <c r="G8001" s="116"/>
    </row>
    <row r="8002" spans="1:7" x14ac:dyDescent="0.2">
      <c r="A8002" s="116">
        <f>IF(ISNUMBER(Tabela2[[#This Row],[CT-e/NFS]])=TRUE,(IF(B8002&gt;30000,4,IF(B8002&lt;1000,"ND",0))),"-")</f>
        <v>4</v>
      </c>
      <c r="B8002" s="116">
        <v>51635</v>
      </c>
      <c r="C8002" s="117">
        <v>45709</v>
      </c>
      <c r="D8002" s="116">
        <v>263.99</v>
      </c>
      <c r="E8002" s="117">
        <v>45716</v>
      </c>
      <c r="F8002" s="116">
        <f>COUNTIFS($A$3:A16258,A8002,$B$3:B16258,B8002)</f>
        <v>1</v>
      </c>
      <c r="G8002" s="116"/>
    </row>
    <row r="8003" spans="1:7" x14ac:dyDescent="0.2">
      <c r="A8003" s="116">
        <f>IF(ISNUMBER(Tabela2[[#This Row],[CT-e/NFS]])=TRUE,(IF(B8003&gt;30000,4,IF(B8003&lt;1000,"ND",0))),"-")</f>
        <v>4</v>
      </c>
      <c r="B8003" s="116">
        <v>51636</v>
      </c>
      <c r="C8003" s="117">
        <v>45709</v>
      </c>
      <c r="D8003" s="116">
        <v>638.6</v>
      </c>
      <c r="E8003" s="117">
        <v>45716</v>
      </c>
      <c r="F8003" s="116">
        <f>COUNTIFS($A$3:A16259,A8003,$B$3:B16259,B8003)</f>
        <v>1</v>
      </c>
      <c r="G8003" s="116"/>
    </row>
    <row r="8004" spans="1:7" x14ac:dyDescent="0.2">
      <c r="A8004" s="116">
        <f>IF(ISNUMBER(Tabela2[[#This Row],[CT-e/NFS]])=TRUE,(IF(B8004&gt;30000,4,IF(B8004&lt;1000,"ND",0))),"-")</f>
        <v>4</v>
      </c>
      <c r="B8004" s="116">
        <v>51652</v>
      </c>
      <c r="C8004" s="117">
        <v>45709</v>
      </c>
      <c r="D8004" s="116">
        <v>753.77</v>
      </c>
      <c r="E8004" s="117">
        <v>45716</v>
      </c>
      <c r="F8004" s="116">
        <f>COUNTIFS($A$3:A16260,A8004,$B$3:B16260,B8004)</f>
        <v>1</v>
      </c>
      <c r="G8004" s="116"/>
    </row>
    <row r="8005" spans="1:7" x14ac:dyDescent="0.2">
      <c r="A8005" s="116">
        <f>IF(ISNUMBER(Tabela2[[#This Row],[CT-e/NFS]])=TRUE,(IF(B8005&gt;30000,4,IF(B8005&lt;1000,"ND",0))),"-")</f>
        <v>4</v>
      </c>
      <c r="B8005" s="116">
        <v>51647</v>
      </c>
      <c r="C8005" s="117">
        <v>45709</v>
      </c>
      <c r="D8005" s="116">
        <v>366.52</v>
      </c>
      <c r="E8005" s="117">
        <v>45716</v>
      </c>
      <c r="F8005" s="116">
        <f>COUNTIFS($A$3:A16261,A8005,$B$3:B16261,B8005)</f>
        <v>1</v>
      </c>
      <c r="G8005" s="116"/>
    </row>
    <row r="8006" spans="1:7" x14ac:dyDescent="0.2">
      <c r="A8006" s="116">
        <f>IF(ISNUMBER(Tabela2[[#This Row],[CT-e/NFS]])=TRUE,(IF(B8006&gt;30000,4,IF(B8006&lt;1000,"ND",0))),"-")</f>
        <v>4</v>
      </c>
      <c r="B8006" s="116">
        <v>51648</v>
      </c>
      <c r="C8006" s="117">
        <v>45709</v>
      </c>
      <c r="D8006" s="116">
        <v>125.58</v>
      </c>
      <c r="E8006" s="117">
        <v>45716</v>
      </c>
      <c r="F8006" s="116">
        <f>COUNTIFS($A$3:A16262,A8006,$B$3:B16262,B8006)</f>
        <v>1</v>
      </c>
      <c r="G8006" s="116"/>
    </row>
    <row r="8007" spans="1:7" x14ac:dyDescent="0.2">
      <c r="A8007" s="116">
        <f>IF(ISNUMBER(Tabela2[[#This Row],[CT-e/NFS]])=TRUE,(IF(B8007&gt;30000,4,IF(B8007&lt;1000,"ND",0))),"-")</f>
        <v>4</v>
      </c>
      <c r="B8007" s="116">
        <v>51638</v>
      </c>
      <c r="C8007" s="117">
        <v>45709</v>
      </c>
      <c r="D8007" s="116">
        <v>959.44</v>
      </c>
      <c r="E8007" s="117">
        <v>45716</v>
      </c>
      <c r="F8007" s="116">
        <f>COUNTIFS($A$3:A16263,A8007,$B$3:B16263,B8007)</f>
        <v>1</v>
      </c>
      <c r="G8007" s="116"/>
    </row>
    <row r="8008" spans="1:7" x14ac:dyDescent="0.2">
      <c r="A8008" s="116">
        <f>IF(ISNUMBER(Tabela2[[#This Row],[CT-e/NFS]])=TRUE,(IF(B8008&gt;30000,4,IF(B8008&lt;1000,"ND",0))),"-")</f>
        <v>4</v>
      </c>
      <c r="B8008" s="116">
        <v>51639</v>
      </c>
      <c r="C8008" s="117">
        <v>45709</v>
      </c>
      <c r="D8008" s="116">
        <v>959.44</v>
      </c>
      <c r="E8008" s="117">
        <v>45716</v>
      </c>
      <c r="F8008" s="116">
        <f>COUNTIFS($A$3:A16264,A8008,$B$3:B16264,B8008)</f>
        <v>1</v>
      </c>
      <c r="G8008" s="116"/>
    </row>
    <row r="8009" spans="1:7" x14ac:dyDescent="0.2">
      <c r="A8009" s="116">
        <f>IF(ISNUMBER(Tabela2[[#This Row],[CT-e/NFS]])=TRUE,(IF(B8009&gt;30000,4,IF(B8009&lt;1000,"ND",0))),"-")</f>
        <v>4</v>
      </c>
      <c r="B8009" s="116">
        <v>51662</v>
      </c>
      <c r="C8009" s="117">
        <v>45709</v>
      </c>
      <c r="D8009" s="116">
        <v>61.5</v>
      </c>
      <c r="E8009" s="117">
        <v>45716</v>
      </c>
      <c r="F8009" s="116">
        <f>COUNTIFS($A$3:A16265,A8009,$B$3:B16265,B8009)</f>
        <v>1</v>
      </c>
      <c r="G8009" s="116"/>
    </row>
    <row r="8010" spans="1:7" x14ac:dyDescent="0.2">
      <c r="A8010" s="116">
        <f>IF(ISNUMBER(Tabela2[[#This Row],[CT-e/NFS]])=TRUE,(IF(B8010&gt;30000,4,IF(B8010&lt;1000,"ND",0))),"-")</f>
        <v>4</v>
      </c>
      <c r="B8010" s="116">
        <v>51651</v>
      </c>
      <c r="C8010" s="117">
        <v>45709</v>
      </c>
      <c r="D8010" s="116">
        <v>126.53</v>
      </c>
      <c r="E8010" s="117">
        <v>45716</v>
      </c>
      <c r="F8010" s="116">
        <f>COUNTIFS($A$3:A16266,A8010,$B$3:B16266,B8010)</f>
        <v>1</v>
      </c>
      <c r="G8010" s="116"/>
    </row>
    <row r="8011" spans="1:7" x14ac:dyDescent="0.2">
      <c r="A8011" s="116">
        <f>IF(ISNUMBER(Tabela2[[#This Row],[CT-e/NFS]])=TRUE,(IF(B8011&gt;30000,4,IF(B8011&lt;1000,"ND",0))),"-")</f>
        <v>4</v>
      </c>
      <c r="B8011" s="116">
        <v>51650</v>
      </c>
      <c r="C8011" s="117">
        <v>45709</v>
      </c>
      <c r="D8011" s="116">
        <v>125.86</v>
      </c>
      <c r="E8011" s="117">
        <v>45716</v>
      </c>
      <c r="F8011" s="116">
        <f>COUNTIFS($A$3:A16267,A8011,$B$3:B16267,B8011)</f>
        <v>1</v>
      </c>
      <c r="G8011" s="116"/>
    </row>
    <row r="8012" spans="1:7" x14ac:dyDescent="0.2">
      <c r="A8012" s="116">
        <f>IF(ISNUMBER(Tabela2[[#This Row],[CT-e/NFS]])=TRUE,(IF(B8012&gt;30000,4,IF(B8012&lt;1000,"ND",0))),"-")</f>
        <v>4</v>
      </c>
      <c r="B8012" s="116">
        <v>51649</v>
      </c>
      <c r="C8012" s="117">
        <v>45709</v>
      </c>
      <c r="D8012" s="116">
        <v>133.99</v>
      </c>
      <c r="E8012" s="117">
        <v>45716</v>
      </c>
      <c r="F8012" s="116">
        <f>COUNTIFS($A$3:A16268,A8012,$B$3:B16268,B8012)</f>
        <v>1</v>
      </c>
      <c r="G8012" s="116"/>
    </row>
    <row r="8013" spans="1:7" x14ac:dyDescent="0.2">
      <c r="A8013" s="116">
        <f>IF(ISNUMBER(Tabela2[[#This Row],[CT-e/NFS]])=TRUE,(IF(B8013&gt;30000,4,IF(B8013&lt;1000,"ND",0))),"-")</f>
        <v>4</v>
      </c>
      <c r="B8013" s="116">
        <v>51656</v>
      </c>
      <c r="C8013" s="117">
        <v>45709</v>
      </c>
      <c r="D8013" s="116">
        <v>122.82</v>
      </c>
      <c r="E8013" s="117">
        <v>45716</v>
      </c>
      <c r="F8013" s="116">
        <f>COUNTIFS($A$3:A16269,A8013,$B$3:B16269,B8013)</f>
        <v>1</v>
      </c>
      <c r="G8013" s="116"/>
    </row>
    <row r="8014" spans="1:7" x14ac:dyDescent="0.2">
      <c r="A8014" s="116">
        <f>IF(ISNUMBER(Tabela2[[#This Row],[CT-e/NFS]])=TRUE,(IF(B8014&gt;30000,4,IF(B8014&lt;1000,"ND",0))),"-")</f>
        <v>4</v>
      </c>
      <c r="B8014" s="116">
        <v>51655</v>
      </c>
      <c r="C8014" s="117">
        <v>45709</v>
      </c>
      <c r="D8014" s="116">
        <v>126.51</v>
      </c>
      <c r="E8014" s="117">
        <v>45716</v>
      </c>
      <c r="F8014" s="116">
        <f>COUNTIFS($A$3:A16270,A8014,$B$3:B16270,B8014)</f>
        <v>1</v>
      </c>
      <c r="G8014" s="116"/>
    </row>
    <row r="8015" spans="1:7" x14ac:dyDescent="0.2">
      <c r="A8015" s="116">
        <f>IF(ISNUMBER(Tabela2[[#This Row],[CT-e/NFS]])=TRUE,(IF(B8015&gt;30000,4,IF(B8015&lt;1000,"ND",0))),"-")</f>
        <v>4</v>
      </c>
      <c r="B8015" s="116">
        <v>51663</v>
      </c>
      <c r="C8015" s="117">
        <v>45709</v>
      </c>
      <c r="D8015" s="116">
        <v>110.74</v>
      </c>
      <c r="E8015" s="117">
        <v>45716</v>
      </c>
      <c r="F8015" s="116">
        <f>COUNTIFS($A$3:A16271,A8015,$B$3:B16271,B8015)</f>
        <v>1</v>
      </c>
      <c r="G8015" s="116"/>
    </row>
    <row r="8016" spans="1:7" x14ac:dyDescent="0.2">
      <c r="A8016" s="116">
        <f>IF(ISNUMBER(Tabela2[[#This Row],[CT-e/NFS]])=TRUE,(IF(B8016&gt;30000,4,IF(B8016&lt;1000,"ND",0))),"-")</f>
        <v>4</v>
      </c>
      <c r="B8016" s="116">
        <v>51644</v>
      </c>
      <c r="C8016" s="117">
        <v>45709</v>
      </c>
      <c r="D8016" s="116">
        <v>126.19</v>
      </c>
      <c r="E8016" s="117">
        <v>45716</v>
      </c>
      <c r="F8016" s="116">
        <f>COUNTIFS($A$3:A16272,A8016,$B$3:B16272,B8016)</f>
        <v>1</v>
      </c>
      <c r="G8016" s="116"/>
    </row>
    <row r="8017" spans="1:7" x14ac:dyDescent="0.2">
      <c r="A8017" s="116">
        <f>IF(ISNUMBER(Tabela2[[#This Row],[CT-e/NFS]])=TRUE,(IF(B8017&gt;30000,4,IF(B8017&lt;1000,"ND",0))),"-")</f>
        <v>4</v>
      </c>
      <c r="B8017" s="116">
        <v>51653</v>
      </c>
      <c r="C8017" s="117">
        <v>45709</v>
      </c>
      <c r="D8017" s="116">
        <v>122.92</v>
      </c>
      <c r="E8017" s="117">
        <v>45716</v>
      </c>
      <c r="F8017" s="116">
        <f>COUNTIFS($A$3:A16273,A8017,$B$3:B16273,B8017)</f>
        <v>1</v>
      </c>
      <c r="G8017" s="116"/>
    </row>
    <row r="8018" spans="1:7" x14ac:dyDescent="0.2">
      <c r="A8018" s="116">
        <f>IF(ISNUMBER(Tabela2[[#This Row],[CT-e/NFS]])=TRUE,(IF(B8018&gt;30000,4,IF(B8018&lt;1000,"ND",0))),"-")</f>
        <v>4</v>
      </c>
      <c r="B8018" s="116">
        <v>51659</v>
      </c>
      <c r="C8018" s="117">
        <v>45709</v>
      </c>
      <c r="D8018" s="116">
        <v>125.35</v>
      </c>
      <c r="E8018" s="117">
        <v>45716</v>
      </c>
      <c r="F8018" s="116">
        <f>COUNTIFS($A$3:A16274,A8018,$B$3:B16274,B8018)</f>
        <v>1</v>
      </c>
      <c r="G8018" s="116"/>
    </row>
    <row r="8019" spans="1:7" x14ac:dyDescent="0.2">
      <c r="A8019" s="116">
        <f>IF(ISNUMBER(Tabela2[[#This Row],[CT-e/NFS]])=TRUE,(IF(B8019&gt;30000,4,IF(B8019&lt;1000,"ND",0))),"-")</f>
        <v>4</v>
      </c>
      <c r="B8019" s="116">
        <v>51643</v>
      </c>
      <c r="C8019" s="117">
        <v>45709</v>
      </c>
      <c r="D8019" s="116">
        <v>123.13</v>
      </c>
      <c r="E8019" s="117">
        <v>45716</v>
      </c>
      <c r="F8019" s="116">
        <f>COUNTIFS($A$3:A16275,A8019,$B$3:B16275,B8019)</f>
        <v>1</v>
      </c>
      <c r="G8019" s="116"/>
    </row>
    <row r="8020" spans="1:7" x14ac:dyDescent="0.2">
      <c r="A8020" s="116">
        <f>IF(ISNUMBER(Tabela2[[#This Row],[CT-e/NFS]])=TRUE,(IF(B8020&gt;30000,4,IF(B8020&lt;1000,"ND",0))),"-")</f>
        <v>4</v>
      </c>
      <c r="B8020" s="116">
        <v>51660</v>
      </c>
      <c r="C8020" s="117">
        <v>45709</v>
      </c>
      <c r="D8020" s="116">
        <v>347.81</v>
      </c>
      <c r="E8020" s="117">
        <v>45716</v>
      </c>
      <c r="F8020" s="116">
        <f>COUNTIFS($A$3:A16276,A8020,$B$3:B16276,B8020)</f>
        <v>1</v>
      </c>
      <c r="G8020" s="116"/>
    </row>
    <row r="8021" spans="1:7" x14ac:dyDescent="0.2">
      <c r="A8021" s="116">
        <f>IF(ISNUMBER(Tabela2[[#This Row],[CT-e/NFS]])=TRUE,(IF(B8021&gt;30000,4,IF(B8021&lt;1000,"ND",0))),"-")</f>
        <v>4</v>
      </c>
      <c r="B8021" s="116">
        <v>51642</v>
      </c>
      <c r="C8021" s="117">
        <v>45709</v>
      </c>
      <c r="D8021" s="116">
        <v>124.18</v>
      </c>
      <c r="E8021" s="117">
        <v>45716</v>
      </c>
      <c r="F8021" s="116">
        <f>COUNTIFS($A$3:A16277,A8021,$B$3:B16277,B8021)</f>
        <v>1</v>
      </c>
      <c r="G8021" s="116"/>
    </row>
    <row r="8022" spans="1:7" x14ac:dyDescent="0.2">
      <c r="A8022" s="116">
        <f>IF(ISNUMBER(Tabela2[[#This Row],[CT-e/NFS]])=TRUE,(IF(B8022&gt;30000,4,IF(B8022&lt;1000,"ND",0))),"-")</f>
        <v>4</v>
      </c>
      <c r="B8022" s="116">
        <v>51641</v>
      </c>
      <c r="C8022" s="117">
        <v>45709</v>
      </c>
      <c r="D8022" s="116">
        <v>148.78</v>
      </c>
      <c r="E8022" s="117">
        <v>45716</v>
      </c>
      <c r="F8022" s="116">
        <f>COUNTIFS($A$3:A16278,A8022,$B$3:B16278,B8022)</f>
        <v>1</v>
      </c>
      <c r="G8022" s="116"/>
    </row>
    <row r="8023" spans="1:7" x14ac:dyDescent="0.2">
      <c r="A8023" s="116">
        <f>IF(ISNUMBER(Tabela2[[#This Row],[CT-e/NFS]])=TRUE,(IF(B8023&gt;30000,4,IF(B8023&lt;1000,"ND",0))),"-")</f>
        <v>4</v>
      </c>
      <c r="B8023" s="116">
        <v>51646</v>
      </c>
      <c r="C8023" s="117">
        <v>45709</v>
      </c>
      <c r="D8023" s="116">
        <v>506.76</v>
      </c>
      <c r="E8023" s="117">
        <v>45716</v>
      </c>
      <c r="F8023" s="116">
        <f>COUNTIFS($A$3:A16281,A8023,$B$3:B16281,B8023)</f>
        <v>1</v>
      </c>
      <c r="G8023" s="116"/>
    </row>
    <row r="8024" spans="1:7" x14ac:dyDescent="0.2">
      <c r="A8024" s="116">
        <f>IF(ISNUMBER(Tabela2[[#This Row],[CT-e/NFS]])=TRUE,(IF(B8024&gt;30000,4,IF(B8024&lt;1000,"ND",0))),"-")</f>
        <v>0</v>
      </c>
      <c r="B8024" s="116">
        <v>22911</v>
      </c>
      <c r="C8024" s="117">
        <v>45709</v>
      </c>
      <c r="D8024" s="116">
        <v>77.599999999999994</v>
      </c>
      <c r="E8024" s="117">
        <v>45716</v>
      </c>
      <c r="F8024" s="116">
        <f>COUNTIFS($A$3:A16282,A8024,$B$3:B16282,B8024)</f>
        <v>1</v>
      </c>
      <c r="G8024" s="116"/>
    </row>
    <row r="8025" spans="1:7" x14ac:dyDescent="0.2">
      <c r="A8025" s="116">
        <f>IF(ISNUMBER(Tabela2[[#This Row],[CT-e/NFS]])=TRUE,(IF(B8025&gt;30000,4,IF(B8025&lt;1000,"ND",0))),"-")</f>
        <v>0</v>
      </c>
      <c r="B8025" s="116">
        <v>22912</v>
      </c>
      <c r="C8025" s="117">
        <v>45709</v>
      </c>
      <c r="D8025" s="116">
        <v>75.900000000000006</v>
      </c>
      <c r="E8025" s="117">
        <v>45716</v>
      </c>
      <c r="F8025" s="116">
        <f>COUNTIFS($A$3:A16283,A8025,$B$3:B16283,B8025)</f>
        <v>1</v>
      </c>
      <c r="G8025" s="116"/>
    </row>
    <row r="8026" spans="1:7" x14ac:dyDescent="0.2">
      <c r="A8026" s="116">
        <f>IF(ISNUMBER(Tabela2[[#This Row],[CT-e/NFS]])=TRUE,(IF(B8026&gt;30000,4,IF(B8026&lt;1000,"ND",0))),"-")</f>
        <v>0</v>
      </c>
      <c r="B8026" s="116">
        <v>22909</v>
      </c>
      <c r="C8026" s="117">
        <v>45709</v>
      </c>
      <c r="D8026" s="116">
        <v>77.040000000000006</v>
      </c>
      <c r="E8026" s="117">
        <v>45716</v>
      </c>
      <c r="F8026" s="116">
        <f>COUNTIFS($A$3:A16284,A8026,$B$3:B16284,B8026)</f>
        <v>1</v>
      </c>
      <c r="G8026" s="116"/>
    </row>
    <row r="8027" spans="1:7" x14ac:dyDescent="0.2">
      <c r="A8027" s="116">
        <f>IF(ISNUMBER(Tabela2[[#This Row],[CT-e/NFS]])=TRUE,(IF(B8027&gt;30000,4,IF(B8027&lt;1000,"ND",0))),"-")</f>
        <v>0</v>
      </c>
      <c r="B8027" s="116">
        <v>22913</v>
      </c>
      <c r="C8027" s="117">
        <v>45709</v>
      </c>
      <c r="D8027" s="116">
        <v>76.41</v>
      </c>
      <c r="E8027" s="117">
        <v>45716</v>
      </c>
      <c r="F8027" s="116">
        <f>COUNTIFS($A$3:A16285,A8027,$B$3:B16285,B8027)</f>
        <v>1</v>
      </c>
      <c r="G8027" s="116"/>
    </row>
    <row r="8028" spans="1:7" x14ac:dyDescent="0.2">
      <c r="A8028" s="116">
        <f>IF(ISNUMBER(Tabela2[[#This Row],[CT-e/NFS]])=TRUE,(IF(B8028&gt;30000,4,IF(B8028&lt;1000,"ND",0))),"-")</f>
        <v>0</v>
      </c>
      <c r="B8028" s="116">
        <v>22910</v>
      </c>
      <c r="C8028" s="117">
        <v>45709</v>
      </c>
      <c r="D8028" s="116">
        <v>76.28</v>
      </c>
      <c r="E8028" s="117">
        <v>45716</v>
      </c>
      <c r="F8028" s="116">
        <f>COUNTIFS($A$3:A16286,A8028,$B$3:B16286,B8028)</f>
        <v>1</v>
      </c>
      <c r="G8028" s="116"/>
    </row>
    <row r="8029" spans="1:7" x14ac:dyDescent="0.2">
      <c r="A8029" s="116">
        <f>IF(ISNUMBER(Tabela2[[#This Row],[CT-e/NFS]])=TRUE,(IF(B8029&gt;30000,4,IF(B8029&lt;1000,"ND",0))),"-")</f>
        <v>0</v>
      </c>
      <c r="B8029" s="116">
        <v>22914</v>
      </c>
      <c r="C8029" s="117">
        <v>45709</v>
      </c>
      <c r="D8029" s="116">
        <v>76.58</v>
      </c>
      <c r="E8029" s="117">
        <v>45716</v>
      </c>
      <c r="F8029" s="116">
        <f>COUNTIFS($A$3:A16287,A8029,$B$3:B16287,B8029)</f>
        <v>1</v>
      </c>
      <c r="G8029" s="116"/>
    </row>
    <row r="8030" spans="1:7" x14ac:dyDescent="0.2">
      <c r="A8030" s="116">
        <f>IF(ISNUMBER(Tabela2[[#This Row],[CT-e/NFS]])=TRUE,(IF(B8030&gt;30000,4,IF(B8030&lt;1000,"ND",0))),"-")</f>
        <v>0</v>
      </c>
      <c r="B8030" s="116">
        <v>22915</v>
      </c>
      <c r="C8030" s="117">
        <v>45709</v>
      </c>
      <c r="D8030" s="116">
        <v>76.36</v>
      </c>
      <c r="E8030" s="117">
        <v>45716</v>
      </c>
      <c r="F8030" s="116">
        <f>COUNTIFS($A$3:A16288,A8030,$B$3:B16288,B8030)</f>
        <v>1</v>
      </c>
      <c r="G8030" s="116"/>
    </row>
    <row r="8031" spans="1:7" x14ac:dyDescent="0.2">
      <c r="A8031" s="116">
        <f>IF(ISNUMBER(Tabela2[[#This Row],[CT-e/NFS]])=TRUE,(IF(B8031&gt;30000,4,IF(B8031&lt;1000,"ND",0))),"-")</f>
        <v>0</v>
      </c>
      <c r="B8031" s="116">
        <v>22916</v>
      </c>
      <c r="C8031" s="117">
        <v>45709</v>
      </c>
      <c r="D8031" s="116">
        <v>77.62</v>
      </c>
      <c r="E8031" s="117">
        <v>45716</v>
      </c>
      <c r="F8031" s="116">
        <f>COUNTIFS($A$3:A16289,A8031,$B$3:B16289,B8031)</f>
        <v>1</v>
      </c>
      <c r="G8031" s="116"/>
    </row>
    <row r="8032" spans="1:7" x14ac:dyDescent="0.2">
      <c r="A8032" s="116">
        <f>IF(ISNUMBER(Tabela2[[#This Row],[CT-e/NFS]])=TRUE,(IF(B8032&gt;30000,4,IF(B8032&lt;1000,"ND",0))),"-")</f>
        <v>0</v>
      </c>
      <c r="B8032" s="116">
        <v>22917</v>
      </c>
      <c r="C8032" s="117">
        <v>45709</v>
      </c>
      <c r="D8032" s="116">
        <v>110.6</v>
      </c>
      <c r="E8032" s="117">
        <v>45716</v>
      </c>
      <c r="F8032" s="116">
        <f>COUNTIFS($A$3:A16290,A8032,$B$3:B16290,B8032)</f>
        <v>1</v>
      </c>
      <c r="G8032" s="116"/>
    </row>
    <row r="8033" spans="1:7" x14ac:dyDescent="0.2">
      <c r="A8033" s="116">
        <f>IF(ISNUMBER(Tabela2[[#This Row],[CT-e/NFS]])=TRUE,(IF(B8033&gt;30000,4,IF(B8033&lt;1000,"ND",0))),"-")</f>
        <v>4</v>
      </c>
      <c r="B8033" s="116">
        <v>51640</v>
      </c>
      <c r="C8033" s="117">
        <v>45709</v>
      </c>
      <c r="D8033" s="116">
        <v>1374.52</v>
      </c>
      <c r="E8033" s="117">
        <v>45716</v>
      </c>
      <c r="F8033" s="116">
        <f>COUNTIFS($A$3:A16291,A8033,$B$3:B16291,B8033)</f>
        <v>1</v>
      </c>
      <c r="G8033" s="116"/>
    </row>
    <row r="8034" spans="1:7" x14ac:dyDescent="0.2">
      <c r="A8034" s="116">
        <f>IF(ISNUMBER(Tabela2[[#This Row],[CT-e/NFS]])=TRUE,(IF(B8034&gt;30000,4,IF(B8034&lt;1000,"ND",0))),"-")</f>
        <v>4</v>
      </c>
      <c r="B8034" s="116">
        <v>51667</v>
      </c>
      <c r="C8034" s="117">
        <v>45709</v>
      </c>
      <c r="D8034" s="116">
        <v>2906.31</v>
      </c>
      <c r="E8034" s="117">
        <v>45716</v>
      </c>
      <c r="F8034" s="116">
        <f>COUNTIFS($A$3:A16292,A8034,$B$3:B16292,B8034)</f>
        <v>1</v>
      </c>
      <c r="G8034" s="116"/>
    </row>
    <row r="8035" spans="1:7" x14ac:dyDescent="0.2">
      <c r="A8035" s="116">
        <f>IF(ISNUMBER(Tabela2[[#This Row],[CT-e/NFS]])=TRUE,(IF(B8035&gt;30000,4,IF(B8035&lt;1000,"ND",0))),"-")</f>
        <v>4</v>
      </c>
      <c r="B8035" s="116">
        <v>51686</v>
      </c>
      <c r="C8035" s="117">
        <v>45709</v>
      </c>
      <c r="D8035" s="116">
        <v>1137.73</v>
      </c>
      <c r="E8035" s="117">
        <v>45716</v>
      </c>
      <c r="F8035" s="116">
        <f>COUNTIFS($A$3:A16293,A8035,$B$3:B16293,B8035)</f>
        <v>1</v>
      </c>
      <c r="G8035" s="116"/>
    </row>
    <row r="8036" spans="1:7" x14ac:dyDescent="0.2">
      <c r="A8036" s="116">
        <f>IF(ISNUMBER(Tabela2[[#This Row],[CT-e/NFS]])=TRUE,(IF(B8036&gt;30000,4,IF(B8036&lt;1000,"ND",0))),"-")</f>
        <v>4</v>
      </c>
      <c r="B8036" s="116">
        <v>51661</v>
      </c>
      <c r="C8036" s="117">
        <v>45709</v>
      </c>
      <c r="D8036" s="116">
        <v>408.1</v>
      </c>
      <c r="E8036" s="117">
        <v>45716</v>
      </c>
      <c r="F8036" s="116">
        <f>COUNTIFS($A$3:A16294,A8036,$B$3:B16294,B8036)</f>
        <v>1</v>
      </c>
      <c r="G8036" s="116"/>
    </row>
    <row r="8037" spans="1:7" x14ac:dyDescent="0.2">
      <c r="A8037" s="116">
        <f>IF(ISNUMBER(Tabela2[[#This Row],[CT-e/NFS]])=TRUE,(IF(B8037&gt;30000,4,IF(B8037&lt;1000,"ND",0))),"-")</f>
        <v>4</v>
      </c>
      <c r="B8037" s="116">
        <v>51687</v>
      </c>
      <c r="C8037" s="117">
        <v>45709</v>
      </c>
      <c r="D8037" s="116">
        <v>125.67</v>
      </c>
      <c r="E8037" s="117">
        <v>45716</v>
      </c>
      <c r="F8037" s="116">
        <f>COUNTIFS($A$3:A16295,A8037,$B$3:B16295,B8037)</f>
        <v>1</v>
      </c>
      <c r="G8037" s="116"/>
    </row>
    <row r="8038" spans="1:7" x14ac:dyDescent="0.2">
      <c r="A8038" s="116">
        <f>IF(ISNUMBER(Tabela2[[#This Row],[CT-e/NFS]])=TRUE,(IF(B8038&gt;30000,4,IF(B8038&lt;1000,"ND",0))),"-")</f>
        <v>4</v>
      </c>
      <c r="B8038" s="116">
        <v>51645</v>
      </c>
      <c r="C8038" s="117">
        <v>45709</v>
      </c>
      <c r="D8038" s="116">
        <v>125.43</v>
      </c>
      <c r="E8038" s="117">
        <v>45716</v>
      </c>
      <c r="F8038" s="116">
        <f>COUNTIFS($A$3:A16296,A8038,$B$3:B16296,B8038)</f>
        <v>1</v>
      </c>
      <c r="G8038" s="116"/>
    </row>
    <row r="8039" spans="1:7" x14ac:dyDescent="0.2">
      <c r="A8039" s="116">
        <f>IF(ISNUMBER(Tabela2[[#This Row],[CT-e/NFS]])=TRUE,(IF(B8039&gt;30000,4,IF(B8039&lt;1000,"ND",0))),"-")</f>
        <v>4</v>
      </c>
      <c r="B8039" s="116">
        <v>51689</v>
      </c>
      <c r="C8039" s="117">
        <v>45709</v>
      </c>
      <c r="D8039" s="116">
        <v>113.4</v>
      </c>
      <c r="E8039" s="117">
        <v>45716</v>
      </c>
      <c r="F8039" s="116">
        <f>COUNTIFS($A$3:A16297,A8039,$B$3:B16297,B8039)</f>
        <v>1</v>
      </c>
      <c r="G8039" s="116"/>
    </row>
    <row r="8040" spans="1:7" x14ac:dyDescent="0.2">
      <c r="A8040" s="116">
        <f>IF(ISNUMBER(Tabela2[[#This Row],[CT-e/NFS]])=TRUE,(IF(B8040&gt;30000,4,IF(B8040&lt;1000,"ND",0))),"-")</f>
        <v>4</v>
      </c>
      <c r="B8040" s="116">
        <v>51675</v>
      </c>
      <c r="C8040" s="117">
        <v>45709</v>
      </c>
      <c r="D8040" s="116">
        <v>125.35</v>
      </c>
      <c r="E8040" s="117">
        <v>45716</v>
      </c>
      <c r="F8040" s="116">
        <f>COUNTIFS($A$3:A16298,A8040,$B$3:B16298,B8040)</f>
        <v>1</v>
      </c>
      <c r="G8040" s="116"/>
    </row>
    <row r="8041" spans="1:7" x14ac:dyDescent="0.2">
      <c r="A8041" s="116">
        <f>IF(ISNUMBER(Tabela2[[#This Row],[CT-e/NFS]])=TRUE,(IF(B8041&gt;30000,4,IF(B8041&lt;1000,"ND",0))),"-")</f>
        <v>4</v>
      </c>
      <c r="B8041" s="116">
        <v>51654</v>
      </c>
      <c r="C8041" s="117">
        <v>45709</v>
      </c>
      <c r="D8041" s="116">
        <v>222.05</v>
      </c>
      <c r="E8041" s="117">
        <v>45716</v>
      </c>
      <c r="F8041" s="116">
        <f>COUNTIFS($A$3:A16299,A8041,$B$3:B16299,B8041)</f>
        <v>1</v>
      </c>
      <c r="G8041" s="116"/>
    </row>
    <row r="8042" spans="1:7" x14ac:dyDescent="0.2">
      <c r="A8042" s="116">
        <f>IF(ISNUMBER(Tabela2[[#This Row],[CT-e/NFS]])=TRUE,(IF(B8042&gt;30000,4,IF(B8042&lt;1000,"ND",0))),"-")</f>
        <v>4</v>
      </c>
      <c r="B8042" s="116">
        <v>51676</v>
      </c>
      <c r="C8042" s="117">
        <v>45709</v>
      </c>
      <c r="D8042" s="116">
        <v>124.33</v>
      </c>
      <c r="E8042" s="117">
        <v>45716</v>
      </c>
      <c r="F8042" s="116">
        <f>COUNTIFS($A$3:A16300,A8042,$B$3:B16300,B8042)</f>
        <v>1</v>
      </c>
      <c r="G8042" s="116"/>
    </row>
    <row r="8043" spans="1:7" x14ac:dyDescent="0.2">
      <c r="A8043" s="116">
        <f>IF(ISNUMBER(Tabela2[[#This Row],[CT-e/NFS]])=TRUE,(IF(B8043&gt;30000,4,IF(B8043&lt;1000,"ND",0))),"-")</f>
        <v>4</v>
      </c>
      <c r="B8043" s="116">
        <v>51693</v>
      </c>
      <c r="C8043" s="117">
        <v>45709</v>
      </c>
      <c r="D8043" s="116">
        <v>200.53</v>
      </c>
      <c r="E8043" s="117">
        <v>45716</v>
      </c>
      <c r="F8043" s="116">
        <f>COUNTIFS($A$3:A16301,A8043,$B$3:B16301,B8043)</f>
        <v>1</v>
      </c>
      <c r="G8043" s="116"/>
    </row>
    <row r="8044" spans="1:7" x14ac:dyDescent="0.2">
      <c r="A8044" s="116">
        <f>IF(ISNUMBER(Tabela2[[#This Row],[CT-e/NFS]])=TRUE,(IF(B8044&gt;30000,4,IF(B8044&lt;1000,"ND",0))),"-")</f>
        <v>4</v>
      </c>
      <c r="B8044" s="116">
        <v>51691</v>
      </c>
      <c r="C8044" s="117">
        <v>45709</v>
      </c>
      <c r="D8044" s="116">
        <v>113.16</v>
      </c>
      <c r="E8044" s="117">
        <v>45716</v>
      </c>
      <c r="F8044" s="116">
        <f>COUNTIFS($A$3:A16302,A8044,$B$3:B16302,B8044)</f>
        <v>1</v>
      </c>
      <c r="G8044" s="116"/>
    </row>
    <row r="8045" spans="1:7" x14ac:dyDescent="0.2">
      <c r="A8045" s="116">
        <f>IF(ISNUMBER(Tabela2[[#This Row],[CT-e/NFS]])=TRUE,(IF(B8045&gt;30000,4,IF(B8045&lt;1000,"ND",0))),"-")</f>
        <v>4</v>
      </c>
      <c r="B8045" s="116">
        <v>51674</v>
      </c>
      <c r="C8045" s="117">
        <v>45709</v>
      </c>
      <c r="D8045" s="116">
        <v>181.33</v>
      </c>
      <c r="E8045" s="117">
        <v>45716</v>
      </c>
      <c r="F8045" s="116">
        <f>COUNTIFS($A$3:A16303,A8045,$B$3:B16303,B8045)</f>
        <v>1</v>
      </c>
      <c r="G8045" s="116"/>
    </row>
    <row r="8046" spans="1:7" x14ac:dyDescent="0.2">
      <c r="A8046" s="116">
        <f>IF(ISNUMBER(Tabela2[[#This Row],[CT-e/NFS]])=TRUE,(IF(B8046&gt;30000,4,IF(B8046&lt;1000,"ND",0))),"-")</f>
        <v>4</v>
      </c>
      <c r="B8046" s="116">
        <v>51672</v>
      </c>
      <c r="C8046" s="117">
        <v>45709</v>
      </c>
      <c r="D8046" s="116">
        <v>126.6</v>
      </c>
      <c r="E8046" s="117">
        <v>45716</v>
      </c>
      <c r="F8046" s="116">
        <f>COUNTIFS($A$3:A16304,A8046,$B$3:B16304,B8046)</f>
        <v>1</v>
      </c>
      <c r="G8046" s="116"/>
    </row>
    <row r="8047" spans="1:7" x14ac:dyDescent="0.2">
      <c r="A8047" s="116">
        <f>IF(ISNUMBER(Tabela2[[#This Row],[CT-e/NFS]])=TRUE,(IF(B8047&gt;30000,4,IF(B8047&lt;1000,"ND",0))),"-")</f>
        <v>4</v>
      </c>
      <c r="B8047" s="116">
        <v>51671</v>
      </c>
      <c r="C8047" s="117">
        <v>45709</v>
      </c>
      <c r="D8047" s="116">
        <v>126.58</v>
      </c>
      <c r="E8047" s="117">
        <v>45716</v>
      </c>
      <c r="F8047" s="116">
        <f>COUNTIFS($A$3:A16305,A8047,$B$3:B16305,B8047)</f>
        <v>1</v>
      </c>
      <c r="G8047" s="116"/>
    </row>
    <row r="8048" spans="1:7" x14ac:dyDescent="0.2">
      <c r="A8048" s="116">
        <f>IF(ISNUMBER(Tabela2[[#This Row],[CT-e/NFS]])=TRUE,(IF(B8048&gt;30000,4,IF(B8048&lt;1000,"ND",0))),"-")</f>
        <v>4</v>
      </c>
      <c r="B8048" s="116">
        <v>51668</v>
      </c>
      <c r="C8048" s="117">
        <v>45709</v>
      </c>
      <c r="D8048" s="116">
        <v>178.74</v>
      </c>
      <c r="E8048" s="117">
        <v>45716</v>
      </c>
      <c r="F8048" s="116">
        <f>COUNTIFS($A$3:A16306,A8048,$B$3:B16306,B8048)</f>
        <v>1</v>
      </c>
      <c r="G8048" s="116"/>
    </row>
    <row r="8049" spans="1:7" x14ac:dyDescent="0.2">
      <c r="A8049" s="116">
        <f>IF(ISNUMBER(Tabela2[[#This Row],[CT-e/NFS]])=TRUE,(IF(B8049&gt;30000,4,IF(B8049&lt;1000,"ND",0))),"-")</f>
        <v>4</v>
      </c>
      <c r="B8049" s="116">
        <v>51692</v>
      </c>
      <c r="C8049" s="117">
        <v>45709</v>
      </c>
      <c r="D8049" s="116">
        <v>111.02</v>
      </c>
      <c r="E8049" s="117">
        <v>45716</v>
      </c>
      <c r="F8049" s="116">
        <f>COUNTIFS($A$3:A16307,A8049,$B$3:B16307,B8049)</f>
        <v>1</v>
      </c>
      <c r="G8049" s="116"/>
    </row>
    <row r="8050" spans="1:7" x14ac:dyDescent="0.2">
      <c r="A8050" s="116">
        <f>IF(ISNUMBER(Tabela2[[#This Row],[CT-e/NFS]])=TRUE,(IF(B8050&gt;30000,4,IF(B8050&lt;1000,"ND",0))),"-")</f>
        <v>4</v>
      </c>
      <c r="B8050" s="116">
        <v>51673</v>
      </c>
      <c r="C8050" s="117">
        <v>45709</v>
      </c>
      <c r="D8050" s="116">
        <v>125.39</v>
      </c>
      <c r="E8050" s="117">
        <v>45716</v>
      </c>
      <c r="F8050" s="116">
        <f>COUNTIFS($A$3:A16308,A8050,$B$3:B16308,B8050)</f>
        <v>1</v>
      </c>
      <c r="G8050" s="116"/>
    </row>
    <row r="8051" spans="1:7" x14ac:dyDescent="0.2">
      <c r="A8051" s="116">
        <f>IF(ISNUMBER(Tabela2[[#This Row],[CT-e/NFS]])=TRUE,(IF(B8051&gt;30000,4,IF(B8051&lt;1000,"ND",0))),"-")</f>
        <v>4</v>
      </c>
      <c r="B8051" s="116">
        <v>51695</v>
      </c>
      <c r="C8051" s="117">
        <v>45709</v>
      </c>
      <c r="D8051" s="116">
        <v>111.91</v>
      </c>
      <c r="E8051" s="117">
        <v>45716</v>
      </c>
      <c r="F8051" s="116">
        <f>COUNTIFS($A$3:A16309,A8051,$B$3:B16309,B8051)</f>
        <v>1</v>
      </c>
      <c r="G8051" s="116"/>
    </row>
    <row r="8052" spans="1:7" x14ac:dyDescent="0.2">
      <c r="A8052" s="116">
        <f>IF(ISNUMBER(Tabela2[[#This Row],[CT-e/NFS]])=TRUE,(IF(B8052&gt;30000,4,IF(B8052&lt;1000,"ND",0))),"-")</f>
        <v>4</v>
      </c>
      <c r="B8052" s="116">
        <v>51684</v>
      </c>
      <c r="C8052" s="117">
        <v>45709</v>
      </c>
      <c r="D8052" s="116">
        <v>240.5</v>
      </c>
      <c r="E8052" s="117">
        <v>45716</v>
      </c>
      <c r="F8052" s="116">
        <f>COUNTIFS($A$3:A16312,A8052,$B$3:B16312,B8052)</f>
        <v>1</v>
      </c>
      <c r="G8052" s="116"/>
    </row>
    <row r="8053" spans="1:7" x14ac:dyDescent="0.2">
      <c r="A8053" s="116">
        <f>IF(ISNUMBER(Tabela2[[#This Row],[CT-e/NFS]])=TRUE,(IF(B8053&gt;30000,4,IF(B8053&lt;1000,"ND",0))),"-")</f>
        <v>4</v>
      </c>
      <c r="B8053" s="116">
        <v>51694</v>
      </c>
      <c r="C8053" s="117">
        <v>45709</v>
      </c>
      <c r="D8053" s="116">
        <v>62.09</v>
      </c>
      <c r="E8053" s="117">
        <v>45716</v>
      </c>
      <c r="F8053" s="116">
        <f>COUNTIFS($A$3:A16313,A8053,$B$3:B16313,B8053)</f>
        <v>1</v>
      </c>
      <c r="G8053" s="116"/>
    </row>
    <row r="8054" spans="1:7" x14ac:dyDescent="0.2">
      <c r="A8054" s="116">
        <f>IF(ISNUMBER(Tabela2[[#This Row],[CT-e/NFS]])=TRUE,(IF(B8054&gt;30000,4,IF(B8054&lt;1000,"ND",0))),"-")</f>
        <v>4</v>
      </c>
      <c r="B8054" s="116">
        <v>51682</v>
      </c>
      <c r="C8054" s="117">
        <v>45709</v>
      </c>
      <c r="D8054" s="116">
        <v>182.94</v>
      </c>
      <c r="E8054" s="117">
        <v>45716</v>
      </c>
      <c r="F8054" s="116">
        <f>COUNTIFS($A$3:A16315,A8054,$B$3:B16315,B8054)</f>
        <v>1</v>
      </c>
      <c r="G8054" s="116"/>
    </row>
    <row r="8055" spans="1:7" x14ac:dyDescent="0.2">
      <c r="A8055" s="116">
        <f>IF(ISNUMBER(Tabela2[[#This Row],[CT-e/NFS]])=TRUE,(IF(B8055&gt;30000,4,IF(B8055&lt;1000,"ND",0))),"-")</f>
        <v>4</v>
      </c>
      <c r="B8055" s="116">
        <v>51677</v>
      </c>
      <c r="C8055" s="117">
        <v>45709</v>
      </c>
      <c r="D8055" s="116">
        <v>122.91</v>
      </c>
      <c r="E8055" s="117">
        <v>45716</v>
      </c>
      <c r="F8055" s="116">
        <f>COUNTIFS($A$3:A16318,A8055,$B$3:B16318,B8055)</f>
        <v>1</v>
      </c>
      <c r="G8055" s="116"/>
    </row>
    <row r="8056" spans="1:7" x14ac:dyDescent="0.2">
      <c r="A8056" s="116">
        <f>IF(ISNUMBER(Tabela2[[#This Row],[CT-e/NFS]])=TRUE,(IF(B8056&gt;30000,4,IF(B8056&lt;1000,"ND",0))),"-")</f>
        <v>4</v>
      </c>
      <c r="B8056" s="116">
        <v>51683</v>
      </c>
      <c r="C8056" s="117">
        <v>45709</v>
      </c>
      <c r="D8056" s="116">
        <v>240.26</v>
      </c>
      <c r="E8056" s="117">
        <v>45716</v>
      </c>
      <c r="F8056" s="116">
        <f>COUNTIFS($A$3:A16319,A8056,$B$3:B16319,B8056)</f>
        <v>1</v>
      </c>
      <c r="G8056" s="116"/>
    </row>
    <row r="8057" spans="1:7" x14ac:dyDescent="0.2">
      <c r="A8057" s="116">
        <f>IF(ISNUMBER(Tabela2[[#This Row],[CT-e/NFS]])=TRUE,(IF(B8057&gt;30000,4,IF(B8057&lt;1000,"ND",0))),"-")</f>
        <v>4</v>
      </c>
      <c r="B8057" s="116">
        <v>51685</v>
      </c>
      <c r="C8057" s="117">
        <v>45709</v>
      </c>
      <c r="D8057" s="116">
        <v>160.07</v>
      </c>
      <c r="E8057" s="117">
        <v>45716</v>
      </c>
      <c r="F8057" s="116">
        <f>COUNTIFS($A$3:A16320,A8057,$B$3:B16320,B8057)</f>
        <v>1</v>
      </c>
      <c r="G8057" s="116"/>
    </row>
    <row r="8058" spans="1:7" x14ac:dyDescent="0.2">
      <c r="A8058" s="116">
        <f>IF(ISNUMBER(Tabela2[[#This Row],[CT-e/NFS]])=TRUE,(IF(B8058&gt;30000,4,IF(B8058&lt;1000,"ND",0))),"-")</f>
        <v>0</v>
      </c>
      <c r="B8058" s="116">
        <v>22922</v>
      </c>
      <c r="C8058" s="117">
        <v>45709</v>
      </c>
      <c r="D8058" s="116">
        <v>76.28</v>
      </c>
      <c r="E8058" s="117">
        <v>45716</v>
      </c>
      <c r="F8058" s="116">
        <f>COUNTIFS($A$3:A16321,A8058,$B$3:B16321,B8058)</f>
        <v>1</v>
      </c>
      <c r="G8058" s="116"/>
    </row>
    <row r="8059" spans="1:7" x14ac:dyDescent="0.2">
      <c r="A8059" s="116">
        <f>IF(ISNUMBER(Tabela2[[#This Row],[CT-e/NFS]])=TRUE,(IF(B8059&gt;30000,4,IF(B8059&lt;1000,"ND",0))),"-")</f>
        <v>0</v>
      </c>
      <c r="B8059" s="116">
        <v>22923</v>
      </c>
      <c r="C8059" s="117">
        <v>45709</v>
      </c>
      <c r="D8059" s="116">
        <v>76.44</v>
      </c>
      <c r="E8059" s="117">
        <v>45716</v>
      </c>
      <c r="F8059" s="116">
        <f>COUNTIFS($A$3:A16322,A8059,$B$3:B16322,B8059)</f>
        <v>1</v>
      </c>
      <c r="G8059" s="116"/>
    </row>
    <row r="8060" spans="1:7" x14ac:dyDescent="0.2">
      <c r="A8060" s="116">
        <f>IF(ISNUMBER(Tabela2[[#This Row],[CT-e/NFS]])=TRUE,(IF(B8060&gt;30000,4,IF(B8060&lt;1000,"ND",0))),"-")</f>
        <v>4</v>
      </c>
      <c r="B8060" s="116">
        <v>51701</v>
      </c>
      <c r="C8060" s="117">
        <v>45709</v>
      </c>
      <c r="D8060" s="116">
        <v>838.01</v>
      </c>
      <c r="E8060" s="117">
        <v>45716</v>
      </c>
      <c r="F8060" s="116">
        <f>COUNTIFS($A$3:A16324,A8060,$B$3:B16324,B8060)</f>
        <v>1</v>
      </c>
      <c r="G8060" s="116"/>
    </row>
    <row r="8061" spans="1:7" x14ac:dyDescent="0.2">
      <c r="A8061" s="116">
        <f>IF(ISNUMBER(Tabela2[[#This Row],[CT-e/NFS]])=TRUE,(IF(B8061&gt;30000,4,IF(B8061&lt;1000,"ND",0))),"-")</f>
        <v>4</v>
      </c>
      <c r="B8061" s="116">
        <v>51705</v>
      </c>
      <c r="C8061" s="117">
        <v>45709</v>
      </c>
      <c r="D8061" s="116">
        <v>240.43</v>
      </c>
      <c r="E8061" s="117">
        <v>45716</v>
      </c>
      <c r="F8061" s="116">
        <f>COUNTIFS($A$3:A16325,A8061,$B$3:B16325,B8061)</f>
        <v>1</v>
      </c>
      <c r="G8061" s="116"/>
    </row>
    <row r="8062" spans="1:7" x14ac:dyDescent="0.2">
      <c r="A8062" s="116">
        <f>IF(ISNUMBER(Tabela2[[#This Row],[CT-e/NFS]])=TRUE,(IF(B8062&gt;30000,4,IF(B8062&lt;1000,"ND",0))),"-")</f>
        <v>4</v>
      </c>
      <c r="B8062" s="116">
        <v>51704</v>
      </c>
      <c r="C8062" s="117">
        <v>45709</v>
      </c>
      <c r="D8062" s="116">
        <v>125.25</v>
      </c>
      <c r="E8062" s="117">
        <v>45716</v>
      </c>
      <c r="F8062" s="116">
        <f>COUNTIFS($A$3:A16326,A8062,$B$3:B16326,B8062)</f>
        <v>1</v>
      </c>
      <c r="G8062" s="116"/>
    </row>
    <row r="8063" spans="1:7" x14ac:dyDescent="0.2">
      <c r="A8063" s="116">
        <f>IF(ISNUMBER(Tabela2[[#This Row],[CT-e/NFS]])=TRUE,(IF(B8063&gt;30000,4,IF(B8063&lt;1000,"ND",0))),"-")</f>
        <v>4</v>
      </c>
      <c r="B8063" s="116">
        <v>51703</v>
      </c>
      <c r="C8063" s="117">
        <v>45709</v>
      </c>
      <c r="D8063" s="116">
        <v>122.92</v>
      </c>
      <c r="E8063" s="117">
        <v>45716</v>
      </c>
      <c r="F8063" s="116">
        <f>COUNTIFS($A$3:A16327,A8063,$B$3:B16327,B8063)</f>
        <v>1</v>
      </c>
      <c r="G8063" s="116"/>
    </row>
    <row r="8064" spans="1:7" x14ac:dyDescent="0.2">
      <c r="A8064" s="116">
        <f>IF(ISNUMBER(Tabela2[[#This Row],[CT-e/NFS]])=TRUE,(IF(B8064&gt;30000,4,IF(B8064&lt;1000,"ND",0))),"-")</f>
        <v>4</v>
      </c>
      <c r="B8064" s="116">
        <v>51702</v>
      </c>
      <c r="C8064" s="117">
        <v>45709</v>
      </c>
      <c r="D8064" s="116">
        <v>125.41</v>
      </c>
      <c r="E8064" s="117">
        <v>45716</v>
      </c>
      <c r="F8064" s="116">
        <f>COUNTIFS($A$3:A16328,A8064,$B$3:B16328,B8064)</f>
        <v>1</v>
      </c>
      <c r="G8064" s="116"/>
    </row>
    <row r="8065" spans="1:7" x14ac:dyDescent="0.2">
      <c r="A8065" s="116">
        <f>IF(ISNUMBER(Tabela2[[#This Row],[CT-e/NFS]])=TRUE,(IF(B8065&gt;30000,4,IF(B8065&lt;1000,"ND",0))),"-")</f>
        <v>4</v>
      </c>
      <c r="B8065" s="116">
        <v>51700</v>
      </c>
      <c r="C8065" s="117">
        <v>45709</v>
      </c>
      <c r="D8065" s="116">
        <v>171.35</v>
      </c>
      <c r="E8065" s="117">
        <v>45716</v>
      </c>
      <c r="F8065" s="116">
        <f>COUNTIFS($A$3:A16329,A8065,$B$3:B16329,B8065)</f>
        <v>1</v>
      </c>
      <c r="G8065" s="116"/>
    </row>
    <row r="8066" spans="1:7" x14ac:dyDescent="0.2">
      <c r="A8066" s="116">
        <f>IF(ISNUMBER(Tabela2[[#This Row],[CT-e/NFS]])=TRUE,(IF(B8066&gt;30000,4,IF(B8066&lt;1000,"ND",0))),"-")</f>
        <v>4</v>
      </c>
      <c r="B8066" s="116">
        <v>51697</v>
      </c>
      <c r="C8066" s="117">
        <v>45709</v>
      </c>
      <c r="D8066" s="116">
        <v>383.81</v>
      </c>
      <c r="E8066" s="117">
        <v>45716</v>
      </c>
      <c r="F8066" s="116">
        <f>COUNTIFS($A$3:A16330,A8066,$B$3:B16330,B8066)</f>
        <v>1</v>
      </c>
      <c r="G8066" s="116"/>
    </row>
    <row r="8067" spans="1:7" x14ac:dyDescent="0.2">
      <c r="A8067" s="116">
        <f>IF(ISNUMBER(Tabela2[[#This Row],[CT-e/NFS]])=TRUE,(IF(B8067&gt;30000,4,IF(B8067&lt;1000,"ND",0))),"-")</f>
        <v>4</v>
      </c>
      <c r="B8067" s="116">
        <v>51698</v>
      </c>
      <c r="C8067" s="117">
        <v>45709</v>
      </c>
      <c r="D8067" s="116">
        <v>402.09</v>
      </c>
      <c r="E8067" s="117">
        <v>45716</v>
      </c>
      <c r="F8067" s="116">
        <f>COUNTIFS($A$3:A16331,A8067,$B$3:B16331,B8067)</f>
        <v>1</v>
      </c>
      <c r="G8067" s="116"/>
    </row>
    <row r="8068" spans="1:7" x14ac:dyDescent="0.2">
      <c r="A8068" s="116">
        <f>IF(ISNUMBER(Tabela2[[#This Row],[CT-e/NFS]])=TRUE,(IF(B8068&gt;30000,4,IF(B8068&lt;1000,"ND",0))),"-")</f>
        <v>4</v>
      </c>
      <c r="B8068" s="116">
        <v>51696</v>
      </c>
      <c r="C8068" s="117">
        <v>45709</v>
      </c>
      <c r="D8068" s="116">
        <v>351.83</v>
      </c>
      <c r="E8068" s="117">
        <v>45716</v>
      </c>
      <c r="F8068" s="116">
        <f>COUNTIFS($A$3:A16332,A8068,$B$3:B16332,B8068)</f>
        <v>1</v>
      </c>
      <c r="G8068" s="116"/>
    </row>
    <row r="8069" spans="1:7" x14ac:dyDescent="0.2">
      <c r="A8069" s="116">
        <f>IF(ISNUMBER(Tabela2[[#This Row],[CT-e/NFS]])=TRUE,(IF(B8069&gt;30000,4,IF(B8069&lt;1000,"ND",0))),"-")</f>
        <v>4</v>
      </c>
      <c r="B8069" s="116">
        <v>51664</v>
      </c>
      <c r="C8069" s="117">
        <v>45709</v>
      </c>
      <c r="D8069" s="116">
        <v>120.52</v>
      </c>
      <c r="E8069" s="117">
        <v>45716</v>
      </c>
      <c r="F8069" s="116">
        <f>COUNTIFS($A$3:A16333,A8069,$B$3:B16333,B8069)</f>
        <v>1</v>
      </c>
      <c r="G8069" s="116"/>
    </row>
    <row r="8070" spans="1:7" x14ac:dyDescent="0.2">
      <c r="A8070" s="116">
        <f>IF(ISNUMBER(Tabela2[[#This Row],[CT-e/NFS]])=TRUE,(IF(B8070&gt;30000,4,IF(B8070&lt;1000,"ND",0))),"-")</f>
        <v>4</v>
      </c>
      <c r="B8070" s="116">
        <v>51665</v>
      </c>
      <c r="C8070" s="117">
        <v>45709</v>
      </c>
      <c r="D8070" s="116">
        <v>120.41</v>
      </c>
      <c r="E8070" s="117">
        <v>45716</v>
      </c>
      <c r="F8070" s="116">
        <f>COUNTIFS($A$3:A16334,A8070,$B$3:B16334,B8070)</f>
        <v>1</v>
      </c>
      <c r="G8070" s="116"/>
    </row>
    <row r="8071" spans="1:7" x14ac:dyDescent="0.2">
      <c r="A8071" s="116">
        <f>IF(ISNUMBER(Tabela2[[#This Row],[CT-e/NFS]])=TRUE,(IF(B8071&gt;30000,4,IF(B8071&lt;1000,"ND",0))),"-")</f>
        <v>4</v>
      </c>
      <c r="B8071" s="116">
        <v>51666</v>
      </c>
      <c r="C8071" s="117">
        <v>45709</v>
      </c>
      <c r="D8071" s="116">
        <v>119.42</v>
      </c>
      <c r="E8071" s="117">
        <v>45716</v>
      </c>
      <c r="F8071" s="116">
        <f>COUNTIFS($A$3:A16335,A8071,$B$3:B16335,B8071)</f>
        <v>1</v>
      </c>
      <c r="G8071" s="116"/>
    </row>
    <row r="8072" spans="1:7" x14ac:dyDescent="0.2">
      <c r="A8072" s="116">
        <f>IF(ISNUMBER(Tabela2[[#This Row],[CT-e/NFS]])=TRUE,(IF(B8072&gt;30000,4,IF(B8072&lt;1000,"ND",0))),"-")</f>
        <v>4</v>
      </c>
      <c r="B8072" s="116">
        <v>51706</v>
      </c>
      <c r="C8072" s="117">
        <v>45709</v>
      </c>
      <c r="D8072" s="116">
        <v>135.97999999999999</v>
      </c>
      <c r="E8072" s="117">
        <v>45716</v>
      </c>
      <c r="F8072" s="116">
        <f>COUNTIFS($A$3:A16336,A8072,$B$3:B16336,B8072)</f>
        <v>1</v>
      </c>
      <c r="G8072" s="116"/>
    </row>
    <row r="8073" spans="1:7" x14ac:dyDescent="0.2">
      <c r="A8073" s="116">
        <f>IF(ISNUMBER(Tabela2[[#This Row],[CT-e/NFS]])=TRUE,(IF(B8073&gt;30000,4,IF(B8073&lt;1000,"ND",0))),"-")</f>
        <v>4</v>
      </c>
      <c r="B8073" s="116">
        <v>51712</v>
      </c>
      <c r="C8073" s="117">
        <v>45709</v>
      </c>
      <c r="D8073" s="116">
        <v>3933.44</v>
      </c>
      <c r="E8073" s="117">
        <v>45716</v>
      </c>
      <c r="F8073" s="116">
        <f>COUNTIFS($A$3:A16339,A8073,$B$3:B16339,B8073)</f>
        <v>1</v>
      </c>
      <c r="G8073" s="116"/>
    </row>
    <row r="8074" spans="1:7" x14ac:dyDescent="0.2">
      <c r="A8074" s="116">
        <f>IF(ISNUMBER(Tabela2[[#This Row],[CT-e/NFS]])=TRUE,(IF(B8074&gt;30000,4,IF(B8074&lt;1000,"ND",0))),"-")</f>
        <v>4</v>
      </c>
      <c r="B8074" s="116">
        <v>51716</v>
      </c>
      <c r="C8074" s="117">
        <v>45709</v>
      </c>
      <c r="D8074" s="116">
        <v>2950.08</v>
      </c>
      <c r="E8074" s="117">
        <v>45716</v>
      </c>
      <c r="F8074" s="116">
        <f>COUNTIFS($A$3:A16340,A8074,$B$3:B16340,B8074)</f>
        <v>1</v>
      </c>
      <c r="G8074" s="116"/>
    </row>
    <row r="8075" spans="1:7" x14ac:dyDescent="0.2">
      <c r="A8075" s="116">
        <f>IF(ISNUMBER(Tabela2[[#This Row],[CT-e/NFS]])=TRUE,(IF(B8075&gt;30000,4,IF(B8075&lt;1000,"ND",0))),"-")</f>
        <v>4</v>
      </c>
      <c r="B8075" s="116">
        <v>51714</v>
      </c>
      <c r="C8075" s="117">
        <v>45709</v>
      </c>
      <c r="D8075" s="116">
        <v>4916.78</v>
      </c>
      <c r="E8075" s="117">
        <v>45716</v>
      </c>
      <c r="F8075" s="116">
        <f>COUNTIFS($A$3:A16341,A8075,$B$3:B16341,B8075)</f>
        <v>1</v>
      </c>
      <c r="G8075" s="116"/>
    </row>
    <row r="8076" spans="1:7" x14ac:dyDescent="0.2">
      <c r="A8076" s="116">
        <f>IF(ISNUMBER(Tabela2[[#This Row],[CT-e/NFS]])=TRUE,(IF(B8076&gt;30000,4,IF(B8076&lt;1000,"ND",0))),"-")</f>
        <v>4</v>
      </c>
      <c r="B8076" s="116">
        <v>51715</v>
      </c>
      <c r="C8076" s="117">
        <v>45709</v>
      </c>
      <c r="D8076" s="116">
        <v>3933.44</v>
      </c>
      <c r="E8076" s="117">
        <v>45716</v>
      </c>
      <c r="F8076" s="116">
        <f>COUNTIFS($A$3:A16342,A8076,$B$3:B16342,B8076)</f>
        <v>1</v>
      </c>
      <c r="G8076" s="116"/>
    </row>
    <row r="8077" spans="1:7" x14ac:dyDescent="0.2">
      <c r="A8077" s="116">
        <f>IF(ISNUMBER(Tabela2[[#This Row],[CT-e/NFS]])=TRUE,(IF(B8077&gt;30000,4,IF(B8077&lt;1000,"ND",0))),"-")</f>
        <v>4</v>
      </c>
      <c r="B8077" s="116">
        <v>51713</v>
      </c>
      <c r="C8077" s="117">
        <v>45709</v>
      </c>
      <c r="D8077" s="116">
        <v>2950.08</v>
      </c>
      <c r="E8077" s="117">
        <v>45716</v>
      </c>
      <c r="F8077" s="116">
        <f>COUNTIFS($A$3:A16343,A8077,$B$3:B16343,B8077)</f>
        <v>1</v>
      </c>
      <c r="G8077" s="116"/>
    </row>
    <row r="8078" spans="1:7" x14ac:dyDescent="0.2">
      <c r="A8078" s="116">
        <f>IF(ISNUMBER(Tabela2[[#This Row],[CT-e/NFS]])=TRUE,(IF(B8078&gt;30000,4,IF(B8078&lt;1000,"ND",0))),"-")</f>
        <v>4</v>
      </c>
      <c r="B8078" s="116">
        <v>51688</v>
      </c>
      <c r="C8078" s="117">
        <v>45709</v>
      </c>
      <c r="D8078" s="116">
        <v>62.83</v>
      </c>
      <c r="E8078" s="117">
        <v>45716</v>
      </c>
      <c r="F8078" s="116">
        <f>COUNTIFS($A$3:A16344,A8078,$B$3:B16344,B8078)</f>
        <v>1</v>
      </c>
      <c r="G8078" s="116"/>
    </row>
    <row r="8079" spans="1:7" x14ac:dyDescent="0.2">
      <c r="A8079" s="116">
        <f>IF(ISNUMBER(Tabela2[[#This Row],[CT-e/NFS]])=TRUE,(IF(B8079&gt;30000,4,IF(B8079&lt;1000,"ND",0))),"-")</f>
        <v>4</v>
      </c>
      <c r="B8079" s="116">
        <v>51690</v>
      </c>
      <c r="C8079" s="117">
        <v>45709</v>
      </c>
      <c r="D8079" s="116">
        <v>62.72</v>
      </c>
      <c r="E8079" s="117">
        <v>45716</v>
      </c>
      <c r="F8079" s="116">
        <f>COUNTIFS($A$3:A16345,A8079,$B$3:B16345,B8079)</f>
        <v>1</v>
      </c>
      <c r="G8079" s="116"/>
    </row>
    <row r="8080" spans="1:7" x14ac:dyDescent="0.2">
      <c r="A8080" s="116">
        <f>IF(ISNUMBER(Tabela2[[#This Row],[CT-e/NFS]])=TRUE,(IF(B8080&gt;30000,4,IF(B8080&lt;1000,"ND",0))),"-")</f>
        <v>0</v>
      </c>
      <c r="B8080" s="116">
        <v>22925</v>
      </c>
      <c r="C8080" s="117">
        <v>45709</v>
      </c>
      <c r="D8080" s="116">
        <v>76.2</v>
      </c>
      <c r="E8080" s="117">
        <v>45716</v>
      </c>
      <c r="F8080" s="116">
        <f>COUNTIFS($A$3:A16346,A8080,$B$3:B16346,B8080)</f>
        <v>1</v>
      </c>
      <c r="G8080" s="116"/>
    </row>
    <row r="8081" spans="1:7" x14ac:dyDescent="0.2">
      <c r="A8081" s="116">
        <f>IF(ISNUMBER(Tabela2[[#This Row],[CT-e/NFS]])=TRUE,(IF(B8081&gt;30000,4,IF(B8081&lt;1000,"ND",0))),"-")</f>
        <v>0</v>
      </c>
      <c r="B8081" s="116">
        <v>22926</v>
      </c>
      <c r="C8081" s="117">
        <v>45709</v>
      </c>
      <c r="D8081" s="116">
        <v>76</v>
      </c>
      <c r="E8081" s="117">
        <v>45716</v>
      </c>
      <c r="F8081" s="116">
        <f>COUNTIFS($A$3:A16347,A8081,$B$3:B16347,B8081)</f>
        <v>1</v>
      </c>
      <c r="G8081" s="116"/>
    </row>
    <row r="8082" spans="1:7" x14ac:dyDescent="0.2">
      <c r="A8082" s="116">
        <f>IF(ISNUMBER(Tabela2[[#This Row],[CT-e/NFS]])=TRUE,(IF(B8082&gt;30000,4,IF(B8082&lt;1000,"ND",0))),"-")</f>
        <v>0</v>
      </c>
      <c r="B8082" s="116">
        <v>22927</v>
      </c>
      <c r="C8082" s="117">
        <v>45709</v>
      </c>
      <c r="D8082" s="116">
        <v>77.72</v>
      </c>
      <c r="E8082" s="117">
        <v>45716</v>
      </c>
      <c r="F8082" s="116">
        <f>COUNTIFS($A$3:A16348,A8082,$B$3:B16348,B8082)</f>
        <v>1</v>
      </c>
      <c r="G8082" s="116"/>
    </row>
    <row r="8083" spans="1:7" x14ac:dyDescent="0.2">
      <c r="A8083" s="116">
        <f>IF(ISNUMBER(Tabela2[[#This Row],[CT-e/NFS]])=TRUE,(IF(B8083&gt;30000,4,IF(B8083&lt;1000,"ND",0))),"-")</f>
        <v>0</v>
      </c>
      <c r="B8083" s="116">
        <v>22928</v>
      </c>
      <c r="C8083" s="117">
        <v>45709</v>
      </c>
      <c r="D8083" s="116">
        <v>76.8</v>
      </c>
      <c r="E8083" s="117">
        <v>45716</v>
      </c>
      <c r="F8083" s="116">
        <f>COUNTIFS($A$3:A16349,A8083,$B$3:B16349,B8083)</f>
        <v>1</v>
      </c>
      <c r="G8083" s="116"/>
    </row>
    <row r="8084" spans="1:7" x14ac:dyDescent="0.2">
      <c r="A8084" s="116">
        <f>IF(ISNUMBER(Tabela2[[#This Row],[CT-e/NFS]])=TRUE,(IF(B8084&gt;30000,4,IF(B8084&lt;1000,"ND",0))),"-")</f>
        <v>0</v>
      </c>
      <c r="B8084" s="116">
        <v>22931</v>
      </c>
      <c r="C8084" s="117">
        <v>45709</v>
      </c>
      <c r="D8084" s="116">
        <v>76.03</v>
      </c>
      <c r="E8084" s="117">
        <v>45716</v>
      </c>
      <c r="F8084" s="116">
        <f>COUNTIFS($A$3:A16350,A8084,$B$3:B16350,B8084)</f>
        <v>1</v>
      </c>
      <c r="G8084" s="116"/>
    </row>
    <row r="8085" spans="1:7" x14ac:dyDescent="0.2">
      <c r="A8085" s="116">
        <f>IF(ISNUMBER(Tabela2[[#This Row],[CT-e/NFS]])=TRUE,(IF(B8085&gt;30000,4,IF(B8085&lt;1000,"ND",0))),"-")</f>
        <v>0</v>
      </c>
      <c r="B8085" s="116">
        <v>22929</v>
      </c>
      <c r="C8085" s="117">
        <v>45709</v>
      </c>
      <c r="D8085" s="116">
        <v>75.81</v>
      </c>
      <c r="E8085" s="117">
        <v>45716</v>
      </c>
      <c r="F8085" s="116">
        <f>COUNTIFS($A$3:A16351,A8085,$B$3:B16351,B8085)</f>
        <v>1</v>
      </c>
      <c r="G8085" s="116"/>
    </row>
    <row r="8086" spans="1:7" x14ac:dyDescent="0.2">
      <c r="A8086" s="116">
        <f>IF(ISNUMBER(Tabela2[[#This Row],[CT-e/NFS]])=TRUE,(IF(B8086&gt;30000,4,IF(B8086&lt;1000,"ND",0))),"-")</f>
        <v>0</v>
      </c>
      <c r="B8086" s="116">
        <v>22930</v>
      </c>
      <c r="C8086" s="117">
        <v>45709</v>
      </c>
      <c r="D8086" s="116">
        <v>76.34</v>
      </c>
      <c r="E8086" s="117">
        <v>45716</v>
      </c>
      <c r="F8086" s="116">
        <f>COUNTIFS($A$3:A16352,A8086,$B$3:B16352,B8086)</f>
        <v>1</v>
      </c>
      <c r="G8086" s="116"/>
    </row>
    <row r="8087" spans="1:7" x14ac:dyDescent="0.2">
      <c r="A8087" s="116">
        <f>IF(ISNUMBER(Tabela2[[#This Row],[CT-e/NFS]])=TRUE,(IF(B8087&gt;30000,4,IF(B8087&lt;1000,"ND",0))),"-")</f>
        <v>0</v>
      </c>
      <c r="B8087" s="116">
        <v>22932</v>
      </c>
      <c r="C8087" s="117">
        <v>45709</v>
      </c>
      <c r="D8087" s="116">
        <v>76.41</v>
      </c>
      <c r="E8087" s="117">
        <v>45716</v>
      </c>
      <c r="F8087" s="116">
        <f>COUNTIFS($A$3:A16353,A8087,$B$3:B16353,B8087)</f>
        <v>1</v>
      </c>
      <c r="G8087" s="116"/>
    </row>
    <row r="8088" spans="1:7" x14ac:dyDescent="0.2">
      <c r="A8088" s="116">
        <f>IF(ISNUMBER(Tabela2[[#This Row],[CT-e/NFS]])=TRUE,(IF(B8088&gt;30000,4,IF(B8088&lt;1000,"ND",0))),"-")</f>
        <v>4</v>
      </c>
      <c r="B8088" s="116">
        <v>51669</v>
      </c>
      <c r="C8088" s="117">
        <v>45709</v>
      </c>
      <c r="D8088" s="116">
        <v>454.19</v>
      </c>
      <c r="E8088" s="117">
        <v>45716</v>
      </c>
      <c r="F8088" s="116">
        <f>COUNTIFS($A$3:A16354,A8088,$B$3:B16354,B8088)</f>
        <v>1</v>
      </c>
      <c r="G8088" s="116"/>
    </row>
    <row r="8089" spans="1:7" x14ac:dyDescent="0.2">
      <c r="A8089" s="116">
        <f>IF(ISNUMBER(Tabela2[[#This Row],[CT-e/NFS]])=TRUE,(IF(B8089&gt;30000,4,IF(B8089&lt;1000,"ND",0))),"-")</f>
        <v>4</v>
      </c>
      <c r="B8089" s="116">
        <v>51711</v>
      </c>
      <c r="C8089" s="117">
        <v>45709</v>
      </c>
      <c r="D8089" s="116">
        <v>62.83</v>
      </c>
      <c r="E8089" s="117">
        <v>45716</v>
      </c>
      <c r="F8089" s="116">
        <f>COUNTIFS($A$3:A16355,A8089,$B$3:B16355,B8089)</f>
        <v>1</v>
      </c>
      <c r="G8089" s="116"/>
    </row>
    <row r="8090" spans="1:7" x14ac:dyDescent="0.2">
      <c r="A8090" s="116">
        <f>IF(ISNUMBER(Tabela2[[#This Row],[CT-e/NFS]])=TRUE,(IF(B8090&gt;30000,4,IF(B8090&lt;1000,"ND",0))),"-")</f>
        <v>4</v>
      </c>
      <c r="B8090" s="116">
        <v>51721</v>
      </c>
      <c r="C8090" s="117">
        <v>45709</v>
      </c>
      <c r="D8090" s="116">
        <v>124.15</v>
      </c>
      <c r="E8090" s="117">
        <v>45716</v>
      </c>
      <c r="F8090" s="116">
        <f>COUNTIFS($A$3:A16356,A8090,$B$3:B16356,B8090)</f>
        <v>1</v>
      </c>
      <c r="G8090" s="116"/>
    </row>
    <row r="8091" spans="1:7" x14ac:dyDescent="0.2">
      <c r="A8091" s="116">
        <f>IF(ISNUMBER(Tabela2[[#This Row],[CT-e/NFS]])=TRUE,(IF(B8091&gt;30000,4,IF(B8091&lt;1000,"ND",0))),"-")</f>
        <v>4</v>
      </c>
      <c r="B8091" s="116">
        <v>51720</v>
      </c>
      <c r="C8091" s="117">
        <v>45709</v>
      </c>
      <c r="D8091" s="116">
        <v>124.73</v>
      </c>
      <c r="E8091" s="117">
        <v>45716</v>
      </c>
      <c r="F8091" s="116">
        <f>COUNTIFS($A$3:A16357,A8091,$B$3:B16357,B8091)</f>
        <v>1</v>
      </c>
      <c r="G8091" s="116"/>
    </row>
    <row r="8092" spans="1:7" x14ac:dyDescent="0.2">
      <c r="A8092" s="116">
        <f>IF(ISNUMBER(Tabela2[[#This Row],[CT-e/NFS]])=TRUE,(IF(B8092&gt;30000,4,IF(B8092&lt;1000,"ND",0))),"-")</f>
        <v>4</v>
      </c>
      <c r="B8092" s="116">
        <v>51719</v>
      </c>
      <c r="C8092" s="117">
        <v>45709</v>
      </c>
      <c r="D8092" s="116">
        <v>123.13</v>
      </c>
      <c r="E8092" s="117">
        <v>45716</v>
      </c>
      <c r="F8092" s="116">
        <f>COUNTIFS($A$3:A16358,A8092,$B$3:B16358,B8092)</f>
        <v>1</v>
      </c>
      <c r="G8092" s="116"/>
    </row>
    <row r="8093" spans="1:7" x14ac:dyDescent="0.2">
      <c r="A8093" s="116">
        <f>IF(ISNUMBER(Tabela2[[#This Row],[CT-e/NFS]])=TRUE,(IF(B8093&gt;30000,4,IF(B8093&lt;1000,"ND",0))),"-")</f>
        <v>4</v>
      </c>
      <c r="B8093" s="116">
        <v>51727</v>
      </c>
      <c r="C8093" s="117">
        <v>45709</v>
      </c>
      <c r="D8093" s="116">
        <v>241.63</v>
      </c>
      <c r="E8093" s="117">
        <v>45716</v>
      </c>
      <c r="F8093" s="116">
        <f>COUNTIFS($A$3:A16359,A8093,$B$3:B16359,B8093)</f>
        <v>1</v>
      </c>
      <c r="G8093" s="116"/>
    </row>
    <row r="8094" spans="1:7" x14ac:dyDescent="0.2">
      <c r="A8094" s="116">
        <f>IF(ISNUMBER(Tabela2[[#This Row],[CT-e/NFS]])=TRUE,(IF(B8094&gt;30000,4,IF(B8094&lt;1000,"ND",0))),"-")</f>
        <v>4</v>
      </c>
      <c r="B8094" s="116">
        <v>51726</v>
      </c>
      <c r="C8094" s="117">
        <v>45709</v>
      </c>
      <c r="D8094" s="116">
        <v>240.3</v>
      </c>
      <c r="E8094" s="117">
        <v>45716</v>
      </c>
      <c r="F8094" s="116">
        <f>COUNTIFS($A$3:A16360,A8094,$B$3:B16360,B8094)</f>
        <v>1</v>
      </c>
      <c r="G8094" s="116"/>
    </row>
    <row r="8095" spans="1:7" x14ac:dyDescent="0.2">
      <c r="A8095" s="116">
        <f>IF(ISNUMBER(Tabela2[[#This Row],[CT-e/NFS]])=TRUE,(IF(B8095&gt;30000,4,IF(B8095&lt;1000,"ND",0))),"-")</f>
        <v>4</v>
      </c>
      <c r="B8095" s="116">
        <v>51728</v>
      </c>
      <c r="C8095" s="117">
        <v>45709</v>
      </c>
      <c r="D8095" s="116">
        <v>235.4</v>
      </c>
      <c r="E8095" s="117">
        <v>45716</v>
      </c>
      <c r="F8095" s="116">
        <f>COUNTIFS($A$3:A16361,A8095,$B$3:B16361,B8095)</f>
        <v>1</v>
      </c>
      <c r="G8095" s="116"/>
    </row>
    <row r="8096" spans="1:7" x14ac:dyDescent="0.2">
      <c r="A8096" s="116">
        <f>IF(ISNUMBER(Tabela2[[#This Row],[CT-e/NFS]])=TRUE,(IF(B8096&gt;30000,4,IF(B8096&lt;1000,"ND",0))),"-")</f>
        <v>4</v>
      </c>
      <c r="B8096" s="116">
        <v>51730</v>
      </c>
      <c r="C8096" s="117">
        <v>45709</v>
      </c>
      <c r="D8096" s="116">
        <v>328.2</v>
      </c>
      <c r="E8096" s="117">
        <v>45716</v>
      </c>
      <c r="F8096" s="116">
        <f>COUNTIFS($A$3:A16362,A8096,$B$3:B16362,B8096)</f>
        <v>1</v>
      </c>
      <c r="G8096" s="116"/>
    </row>
    <row r="8097" spans="1:7" x14ac:dyDescent="0.2">
      <c r="A8097" s="116">
        <f>IF(ISNUMBER(Tabela2[[#This Row],[CT-e/NFS]])=TRUE,(IF(B8097&gt;30000,4,IF(B8097&lt;1000,"ND",0))),"-")</f>
        <v>4</v>
      </c>
      <c r="B8097" s="116">
        <v>51729</v>
      </c>
      <c r="C8097" s="117">
        <v>45709</v>
      </c>
      <c r="D8097" s="116">
        <v>246.33</v>
      </c>
      <c r="E8097" s="117">
        <v>45716</v>
      </c>
      <c r="F8097" s="116">
        <f>COUNTIFS($A$3:A16363,A8097,$B$3:B16363,B8097)</f>
        <v>1</v>
      </c>
      <c r="G8097" s="116"/>
    </row>
    <row r="8098" spans="1:7" x14ac:dyDescent="0.2">
      <c r="A8098" s="116">
        <f>IF(ISNUMBER(Tabela2[[#This Row],[CT-e/NFS]])=TRUE,(IF(B8098&gt;30000,4,IF(B8098&lt;1000,"ND",0))),"-")</f>
        <v>4</v>
      </c>
      <c r="B8098" s="116">
        <v>51723</v>
      </c>
      <c r="C8098" s="117">
        <v>45709</v>
      </c>
      <c r="D8098" s="116">
        <v>239.5</v>
      </c>
      <c r="E8098" s="117">
        <v>45716</v>
      </c>
      <c r="F8098" s="116">
        <f>COUNTIFS($A$3:A16364,A8098,$B$3:B16364,B8098)</f>
        <v>1</v>
      </c>
      <c r="G8098" s="116"/>
    </row>
    <row r="8099" spans="1:7" x14ac:dyDescent="0.2">
      <c r="A8099" s="116">
        <f>IF(ISNUMBER(Tabela2[[#This Row],[CT-e/NFS]])=TRUE,(IF(B8099&gt;30000,4,IF(B8099&lt;1000,"ND",0))),"-")</f>
        <v>4</v>
      </c>
      <c r="B8099" s="116">
        <v>51722</v>
      </c>
      <c r="C8099" s="117">
        <v>45709</v>
      </c>
      <c r="D8099" s="116">
        <v>123.91</v>
      </c>
      <c r="E8099" s="117">
        <v>45716</v>
      </c>
      <c r="F8099" s="116">
        <f>COUNTIFS($A$3:A16365,A8099,$B$3:B16365,B8099)</f>
        <v>1</v>
      </c>
      <c r="G8099" s="116"/>
    </row>
    <row r="8100" spans="1:7" x14ac:dyDescent="0.2">
      <c r="A8100" s="116">
        <f>IF(ISNUMBER(Tabela2[[#This Row],[CT-e/NFS]])=TRUE,(IF(B8100&gt;30000,4,IF(B8100&lt;1000,"ND",0))),"-")</f>
        <v>4</v>
      </c>
      <c r="B8100" s="116">
        <v>51725</v>
      </c>
      <c r="C8100" s="117">
        <v>45709</v>
      </c>
      <c r="D8100" s="116">
        <v>122.77</v>
      </c>
      <c r="E8100" s="117">
        <v>45716</v>
      </c>
      <c r="F8100" s="116">
        <f>COUNTIFS($A$3:A16366,A8100,$B$3:B16366,B8100)</f>
        <v>1</v>
      </c>
      <c r="G8100" s="116"/>
    </row>
    <row r="8101" spans="1:7" x14ac:dyDescent="0.2">
      <c r="A8101" s="116">
        <f>IF(ISNUMBER(Tabela2[[#This Row],[CT-e/NFS]])=TRUE,(IF(B8101&gt;30000,4,IF(B8101&lt;1000,"ND",0))),"-")</f>
        <v>0</v>
      </c>
      <c r="B8101" s="116">
        <v>22921</v>
      </c>
      <c r="C8101" s="117">
        <v>45709</v>
      </c>
      <c r="D8101" s="116">
        <v>76.44</v>
      </c>
      <c r="E8101" s="117">
        <v>45716</v>
      </c>
      <c r="F8101" s="116">
        <f>COUNTIFS($A$3:A16367,A8101,$B$3:B16367,B8101)</f>
        <v>1</v>
      </c>
      <c r="G8101" s="116"/>
    </row>
    <row r="8102" spans="1:7" x14ac:dyDescent="0.2">
      <c r="A8102" s="116">
        <f>IF(ISNUMBER(Tabela2[[#This Row],[CT-e/NFS]])=TRUE,(IF(B8102&gt;30000,4,IF(B8102&lt;1000,"ND",0))),"-")</f>
        <v>4</v>
      </c>
      <c r="B8102" s="116">
        <v>51731</v>
      </c>
      <c r="C8102" s="117">
        <v>45709</v>
      </c>
      <c r="D8102" s="116">
        <v>3128.52</v>
      </c>
      <c r="E8102" s="117">
        <v>45716</v>
      </c>
      <c r="F8102" s="116">
        <f>COUNTIFS($A$3:A16368,A8102,$B$3:B16368,B8102)</f>
        <v>1</v>
      </c>
      <c r="G8102" s="116"/>
    </row>
    <row r="8103" spans="1:7" x14ac:dyDescent="0.2">
      <c r="A8103" s="116">
        <f>IF(ISNUMBER(Tabela2[[#This Row],[CT-e/NFS]])=TRUE,(IF(B8103&gt;30000,4,IF(B8103&lt;1000,"ND",0))),"-")</f>
        <v>4</v>
      </c>
      <c r="B8103" s="116">
        <v>51732</v>
      </c>
      <c r="C8103" s="117">
        <v>45709</v>
      </c>
      <c r="D8103" s="116">
        <v>3127.4</v>
      </c>
      <c r="E8103" s="117">
        <v>45716</v>
      </c>
      <c r="F8103" s="116">
        <f>COUNTIFS($A$3:A16369,A8103,$B$3:B16369,B8103)</f>
        <v>1</v>
      </c>
      <c r="G8103" s="116"/>
    </row>
    <row r="8104" spans="1:7" x14ac:dyDescent="0.2">
      <c r="A8104" s="116">
        <f>IF(ISNUMBER(Tabela2[[#This Row],[CT-e/NFS]])=TRUE,(IF(B8104&gt;30000,4,IF(B8104&lt;1000,"ND",0))),"-")</f>
        <v>0</v>
      </c>
      <c r="B8104" s="116">
        <v>22934</v>
      </c>
      <c r="C8104" s="117">
        <v>45709</v>
      </c>
      <c r="D8104" s="116">
        <v>604.67999999999995</v>
      </c>
      <c r="E8104" s="117">
        <v>45716</v>
      </c>
      <c r="F8104" s="116">
        <f>COUNTIFS($A$3:A16370,A8104,$B$3:B16370,B8104)</f>
        <v>1</v>
      </c>
      <c r="G8104" s="116"/>
    </row>
    <row r="8105" spans="1:7" x14ac:dyDescent="0.2">
      <c r="A8105" s="116">
        <f>IF(ISNUMBER(Tabela2[[#This Row],[CT-e/NFS]])=TRUE,(IF(B8105&gt;30000,4,IF(B8105&lt;1000,"ND",0))),"-")</f>
        <v>0</v>
      </c>
      <c r="B8105" s="116">
        <v>22936</v>
      </c>
      <c r="C8105" s="117">
        <v>45709</v>
      </c>
      <c r="D8105" s="116">
        <v>76.099999999999994</v>
      </c>
      <c r="E8105" s="117">
        <v>45716</v>
      </c>
      <c r="F8105" s="116">
        <f>COUNTIFS($A$3:A16371,A8105,$B$3:B16371,B8105)</f>
        <v>1</v>
      </c>
      <c r="G8105" s="116"/>
    </row>
    <row r="8106" spans="1:7" x14ac:dyDescent="0.2">
      <c r="A8106" s="116">
        <f>IF(ISNUMBER(Tabela2[[#This Row],[CT-e/NFS]])=TRUE,(IF(B8106&gt;30000,4,IF(B8106&lt;1000,"ND",0))),"-")</f>
        <v>0</v>
      </c>
      <c r="B8106" s="116">
        <v>22935</v>
      </c>
      <c r="C8106" s="117">
        <v>45709</v>
      </c>
      <c r="D8106" s="116">
        <v>76</v>
      </c>
      <c r="E8106" s="117">
        <v>45716</v>
      </c>
      <c r="F8106" s="116">
        <f>COUNTIFS($A$3:A16372,A8106,$B$3:B16372,B8106)</f>
        <v>1</v>
      </c>
      <c r="G8106" s="116"/>
    </row>
    <row r="8107" spans="1:7" x14ac:dyDescent="0.2">
      <c r="A8107" s="116">
        <f>IF(ISNUMBER(Tabela2[[#This Row],[CT-e/NFS]])=TRUE,(IF(B8107&gt;30000,4,IF(B8107&lt;1000,"ND",0))),"-")</f>
        <v>0</v>
      </c>
      <c r="B8107" s="116">
        <v>22937</v>
      </c>
      <c r="C8107" s="117">
        <v>45709</v>
      </c>
      <c r="D8107" s="116">
        <v>348.37</v>
      </c>
      <c r="E8107" s="117">
        <v>45716</v>
      </c>
      <c r="F8107" s="116">
        <f>COUNTIFS($A$3:A16373,A8107,$B$3:B16373,B8107)</f>
        <v>1</v>
      </c>
      <c r="G8107" s="116"/>
    </row>
    <row r="8108" spans="1:7" x14ac:dyDescent="0.2">
      <c r="A8108" s="116">
        <f>IF(ISNUMBER(Tabela2[[#This Row],[CT-e/NFS]])=TRUE,(IF(B8108&gt;30000,4,IF(B8108&lt;1000,"ND",0))),"-")</f>
        <v>4</v>
      </c>
      <c r="B8108" s="116">
        <v>51748</v>
      </c>
      <c r="C8108" s="117">
        <v>45709</v>
      </c>
      <c r="D8108" s="116">
        <v>61.56</v>
      </c>
      <c r="E8108" s="117">
        <v>45716</v>
      </c>
      <c r="F8108" s="116">
        <f>COUNTIFS($A$3:A16374,A8108,$B$3:B16374,B8108)</f>
        <v>1</v>
      </c>
      <c r="G8108" s="116"/>
    </row>
    <row r="8109" spans="1:7" x14ac:dyDescent="0.2">
      <c r="A8109" s="116">
        <f>IF(ISNUMBER(Tabela2[[#This Row],[CT-e/NFS]])=TRUE,(IF(B8109&gt;30000,4,IF(B8109&lt;1000,"ND",0))),"-")</f>
        <v>4</v>
      </c>
      <c r="B8109" s="116">
        <v>51717</v>
      </c>
      <c r="C8109" s="117">
        <v>45709</v>
      </c>
      <c r="D8109" s="116">
        <v>1086.24</v>
      </c>
      <c r="E8109" s="117">
        <v>45716</v>
      </c>
      <c r="F8109" s="116">
        <f>COUNTIFS($A$3:A16375,A8109,$B$3:B16375,B8109)</f>
        <v>1</v>
      </c>
      <c r="G8109" s="116"/>
    </row>
    <row r="8110" spans="1:7" x14ac:dyDescent="0.2">
      <c r="A8110" s="116">
        <f>IF(ISNUMBER(Tabela2[[#This Row],[CT-e/NFS]])=TRUE,(IF(B8110&gt;30000,4,IF(B8110&lt;1000,"ND",0))),"-")</f>
        <v>4</v>
      </c>
      <c r="B8110" s="116">
        <v>51751</v>
      </c>
      <c r="C8110" s="117">
        <v>45709</v>
      </c>
      <c r="D8110" s="116">
        <v>215.3</v>
      </c>
      <c r="E8110" s="117">
        <v>45716</v>
      </c>
      <c r="F8110" s="116">
        <f>COUNTIFS($A$3:A16376,A8110,$B$3:B16376,B8110)</f>
        <v>1</v>
      </c>
      <c r="G8110" s="116"/>
    </row>
    <row r="8111" spans="1:7" x14ac:dyDescent="0.2">
      <c r="A8111" s="116">
        <f>IF(ISNUMBER(Tabela2[[#This Row],[CT-e/NFS]])=TRUE,(IF(B8111&gt;30000,4,IF(B8111&lt;1000,"ND",0))),"-")</f>
        <v>4</v>
      </c>
      <c r="B8111" s="116">
        <v>51750</v>
      </c>
      <c r="C8111" s="117">
        <v>45709</v>
      </c>
      <c r="D8111" s="116">
        <v>502.1</v>
      </c>
      <c r="E8111" s="117">
        <v>45716</v>
      </c>
      <c r="F8111" s="116">
        <f>COUNTIFS($A$3:A16377,A8111,$B$3:B16377,B8111)</f>
        <v>1</v>
      </c>
      <c r="G8111" s="116"/>
    </row>
    <row r="8112" spans="1:7" x14ac:dyDescent="0.2">
      <c r="A8112" s="116">
        <f>IF(ISNUMBER(Tabela2[[#This Row],[CT-e/NFS]])=TRUE,(IF(B8112&gt;30000,4,IF(B8112&lt;1000,"ND",0))),"-")</f>
        <v>4</v>
      </c>
      <c r="B8112" s="116">
        <v>51752</v>
      </c>
      <c r="C8112" s="117">
        <v>45709</v>
      </c>
      <c r="D8112" s="116">
        <v>212.73</v>
      </c>
      <c r="E8112" s="117">
        <v>45716</v>
      </c>
      <c r="F8112" s="116">
        <f>COUNTIFS($A$3:A16378,A8112,$B$3:B16378,B8112)</f>
        <v>1</v>
      </c>
      <c r="G8112" s="116"/>
    </row>
    <row r="8113" spans="1:7" x14ac:dyDescent="0.2">
      <c r="A8113" s="116">
        <f>IF(ISNUMBER(Tabela2[[#This Row],[CT-e/NFS]])=TRUE,(IF(B8113&gt;30000,4,IF(B8113&lt;1000,"ND",0))),"-")</f>
        <v>4</v>
      </c>
      <c r="B8113" s="116">
        <v>51736</v>
      </c>
      <c r="C8113" s="117">
        <v>45709</v>
      </c>
      <c r="D8113" s="116">
        <v>355.36</v>
      </c>
      <c r="E8113" s="117">
        <v>45716</v>
      </c>
      <c r="F8113" s="116">
        <f>COUNTIFS($A$3:A16379,A8113,$B$3:B16379,B8113)</f>
        <v>1</v>
      </c>
      <c r="G8113" s="116"/>
    </row>
    <row r="8114" spans="1:7" x14ac:dyDescent="0.2">
      <c r="A8114" s="116">
        <f>IF(ISNUMBER(Tabela2[[#This Row],[CT-e/NFS]])=TRUE,(IF(B8114&gt;30000,4,IF(B8114&lt;1000,"ND",0))),"-")</f>
        <v>4</v>
      </c>
      <c r="B8114" s="116">
        <v>51733</v>
      </c>
      <c r="C8114" s="117">
        <v>45709</v>
      </c>
      <c r="D8114" s="116">
        <v>344.86</v>
      </c>
      <c r="E8114" s="117">
        <v>45716</v>
      </c>
      <c r="F8114" s="116">
        <f>COUNTIFS($A$3:A16380,A8114,$B$3:B16380,B8114)</f>
        <v>1</v>
      </c>
      <c r="G8114" s="116"/>
    </row>
    <row r="8115" spans="1:7" x14ac:dyDescent="0.2">
      <c r="A8115" s="116">
        <f>IF(ISNUMBER(Tabela2[[#This Row],[CT-e/NFS]])=TRUE,(IF(B8115&gt;30000,4,IF(B8115&lt;1000,"ND",0))),"-")</f>
        <v>4</v>
      </c>
      <c r="B8115" s="116">
        <v>51739</v>
      </c>
      <c r="C8115" s="117">
        <v>45709</v>
      </c>
      <c r="D8115" s="116">
        <v>124.17</v>
      </c>
      <c r="E8115" s="117">
        <v>45716</v>
      </c>
      <c r="F8115" s="116">
        <f>COUNTIFS($A$3:A16381,A8115,$B$3:B16381,B8115)</f>
        <v>1</v>
      </c>
      <c r="G8115" s="116"/>
    </row>
    <row r="8116" spans="1:7" x14ac:dyDescent="0.2">
      <c r="A8116" s="116">
        <f>IF(ISNUMBER(Tabela2[[#This Row],[CT-e/NFS]])=TRUE,(IF(B8116&gt;30000,4,IF(B8116&lt;1000,"ND",0))),"-")</f>
        <v>4</v>
      </c>
      <c r="B8116" s="116">
        <v>51743</v>
      </c>
      <c r="C8116" s="117">
        <v>45709</v>
      </c>
      <c r="D8116" s="116">
        <v>124.05</v>
      </c>
      <c r="E8116" s="117">
        <v>45716</v>
      </c>
      <c r="F8116" s="116">
        <f>COUNTIFS($A$3:A16382,A8116,$B$3:B16382,B8116)</f>
        <v>1</v>
      </c>
      <c r="G8116" s="116"/>
    </row>
    <row r="8117" spans="1:7" x14ac:dyDescent="0.2">
      <c r="A8117" s="116">
        <f>IF(ISNUMBER(Tabela2[[#This Row],[CT-e/NFS]])=TRUE,(IF(B8117&gt;30000,4,IF(B8117&lt;1000,"ND",0))),"-")</f>
        <v>4</v>
      </c>
      <c r="B8117" s="116">
        <v>51744</v>
      </c>
      <c r="C8117" s="117">
        <v>45709</v>
      </c>
      <c r="D8117" s="116">
        <v>124.38</v>
      </c>
      <c r="E8117" s="117">
        <v>45716</v>
      </c>
      <c r="F8117" s="116">
        <f>COUNTIFS($A$3:A16383,A8117,$B$3:B16383,B8117)</f>
        <v>1</v>
      </c>
      <c r="G8117" s="116"/>
    </row>
    <row r="8118" spans="1:7" x14ac:dyDescent="0.2">
      <c r="A8118" s="116">
        <f>IF(ISNUMBER(Tabela2[[#This Row],[CT-e/NFS]])=TRUE,(IF(B8118&gt;30000,4,IF(B8118&lt;1000,"ND",0))),"-")</f>
        <v>4</v>
      </c>
      <c r="B8118" s="116">
        <v>51742</v>
      </c>
      <c r="C8118" s="117">
        <v>45709</v>
      </c>
      <c r="D8118" s="116">
        <v>125.67</v>
      </c>
      <c r="E8118" s="117">
        <v>45716</v>
      </c>
      <c r="F8118" s="116">
        <f>COUNTIFS($A$3:A16384,A8118,$B$3:B16384,B8118)</f>
        <v>1</v>
      </c>
      <c r="G8118" s="116"/>
    </row>
    <row r="8119" spans="1:7" x14ac:dyDescent="0.2">
      <c r="A8119" s="116">
        <f>IF(ISNUMBER(Tabela2[[#This Row],[CT-e/NFS]])=TRUE,(IF(B8119&gt;30000,4,IF(B8119&lt;1000,"ND",0))),"-")</f>
        <v>4</v>
      </c>
      <c r="B8119" s="116">
        <v>51745</v>
      </c>
      <c r="C8119" s="117">
        <v>45709</v>
      </c>
      <c r="D8119" s="116">
        <v>127.15</v>
      </c>
      <c r="E8119" s="117">
        <v>45716</v>
      </c>
      <c r="F8119" s="116">
        <f>COUNTIFS($A$3:A16385,A8119,$B$3:B16385,B8119)</f>
        <v>1</v>
      </c>
      <c r="G8119" s="116"/>
    </row>
    <row r="8120" spans="1:7" x14ac:dyDescent="0.2">
      <c r="A8120" s="116">
        <f>IF(ISNUMBER(Tabela2[[#This Row],[CT-e/NFS]])=TRUE,(IF(B8120&gt;30000,4,IF(B8120&lt;1000,"ND",0))),"-")</f>
        <v>4</v>
      </c>
      <c r="B8120" s="116">
        <v>51753</v>
      </c>
      <c r="C8120" s="117">
        <v>45709</v>
      </c>
      <c r="D8120" s="116">
        <v>303.48</v>
      </c>
      <c r="E8120" s="117">
        <v>45716</v>
      </c>
      <c r="F8120" s="116">
        <f>COUNTIFS($A$3:A16386,A8120,$B$3:B16386,B8120)</f>
        <v>1</v>
      </c>
      <c r="G8120" s="116"/>
    </row>
    <row r="8121" spans="1:7" x14ac:dyDescent="0.2">
      <c r="A8121" s="116">
        <f>IF(ISNUMBER(Tabela2[[#This Row],[CT-e/NFS]])=TRUE,(IF(B8121&gt;30000,4,IF(B8121&lt;1000,"ND",0))),"-")</f>
        <v>4</v>
      </c>
      <c r="B8121" s="116">
        <v>51740</v>
      </c>
      <c r="C8121" s="117">
        <v>45709</v>
      </c>
      <c r="D8121" s="116">
        <v>124.33</v>
      </c>
      <c r="E8121" s="117">
        <v>45716</v>
      </c>
      <c r="F8121" s="116">
        <f>COUNTIFS($A$3:A16387,A8121,$B$3:B16387,B8121)</f>
        <v>1</v>
      </c>
      <c r="G8121" s="116"/>
    </row>
    <row r="8122" spans="1:7" x14ac:dyDescent="0.2">
      <c r="A8122" s="116">
        <f>IF(ISNUMBER(Tabela2[[#This Row],[CT-e/NFS]])=TRUE,(IF(B8122&gt;30000,4,IF(B8122&lt;1000,"ND",0))),"-")</f>
        <v>4</v>
      </c>
      <c r="B8122" s="116">
        <v>51737</v>
      </c>
      <c r="C8122" s="117">
        <v>45709</v>
      </c>
      <c r="D8122" s="116">
        <v>124.03</v>
      </c>
      <c r="E8122" s="117">
        <v>45716</v>
      </c>
      <c r="F8122" s="116">
        <f>COUNTIFS($A$3:A16388,A8122,$B$3:B16388,B8122)</f>
        <v>1</v>
      </c>
      <c r="G8122" s="116"/>
    </row>
    <row r="8123" spans="1:7" x14ac:dyDescent="0.2">
      <c r="A8123" s="116">
        <f>IF(ISNUMBER(Tabela2[[#This Row],[CT-e/NFS]])=TRUE,(IF(B8123&gt;30000,4,IF(B8123&lt;1000,"ND",0))),"-")</f>
        <v>4</v>
      </c>
      <c r="B8123" s="116">
        <v>51749</v>
      </c>
      <c r="C8123" s="117">
        <v>45709</v>
      </c>
      <c r="D8123" s="116">
        <v>110.85</v>
      </c>
      <c r="E8123" s="117">
        <v>45716</v>
      </c>
      <c r="F8123" s="116">
        <f>COUNTIFS($A$3:A16389,A8123,$B$3:B16389,B8123)</f>
        <v>1</v>
      </c>
      <c r="G8123" s="116"/>
    </row>
    <row r="8124" spans="1:7" x14ac:dyDescent="0.2">
      <c r="A8124" s="116">
        <f>IF(ISNUMBER(Tabela2[[#This Row],[CT-e/NFS]])=TRUE,(IF(B8124&gt;30000,4,IF(B8124&lt;1000,"ND",0))),"-")</f>
        <v>4</v>
      </c>
      <c r="B8124" s="116">
        <v>51738</v>
      </c>
      <c r="C8124" s="117">
        <v>45709</v>
      </c>
      <c r="D8124" s="116">
        <v>124.24</v>
      </c>
      <c r="E8124" s="117">
        <v>45716</v>
      </c>
      <c r="F8124" s="116">
        <f>COUNTIFS($A$3:A16390,A8124,$B$3:B16390,B8124)</f>
        <v>1</v>
      </c>
      <c r="G8124" s="116"/>
    </row>
    <row r="8125" spans="1:7" x14ac:dyDescent="0.2">
      <c r="A8125" s="116">
        <f>IF(ISNUMBER(Tabela2[[#This Row],[CT-e/NFS]])=TRUE,(IF(B8125&gt;30000,4,IF(B8125&lt;1000,"ND",0))),"-")</f>
        <v>4</v>
      </c>
      <c r="B8125" s="116">
        <v>51735</v>
      </c>
      <c r="C8125" s="117">
        <v>45709</v>
      </c>
      <c r="D8125" s="116">
        <v>168.09</v>
      </c>
      <c r="E8125" s="117">
        <v>45716</v>
      </c>
      <c r="F8125" s="116">
        <f>COUNTIFS($A$3:A16391,A8125,$B$3:B16391,B8125)</f>
        <v>1</v>
      </c>
      <c r="G8125" s="116"/>
    </row>
    <row r="8126" spans="1:7" x14ac:dyDescent="0.2">
      <c r="A8126" s="116">
        <f>IF(ISNUMBER(Tabela2[[#This Row],[CT-e/NFS]])=TRUE,(IF(B8126&gt;30000,4,IF(B8126&lt;1000,"ND",0))),"-")</f>
        <v>4</v>
      </c>
      <c r="B8126" s="116">
        <v>51734</v>
      </c>
      <c r="C8126" s="117">
        <v>45709</v>
      </c>
      <c r="D8126" s="116">
        <v>246.33</v>
      </c>
      <c r="E8126" s="117">
        <v>45716</v>
      </c>
      <c r="F8126" s="116">
        <f>COUNTIFS($A$3:A16392,A8126,$B$3:B16392,B8126)</f>
        <v>1</v>
      </c>
      <c r="G8126" s="116"/>
    </row>
    <row r="8127" spans="1:7" x14ac:dyDescent="0.2">
      <c r="A8127" s="116">
        <f>IF(ISNUMBER(Tabela2[[#This Row],[CT-e/NFS]])=TRUE,(IF(B8127&gt;30000,4,IF(B8127&lt;1000,"ND",0))),"-")</f>
        <v>4</v>
      </c>
      <c r="B8127" s="116">
        <v>51741</v>
      </c>
      <c r="C8127" s="117">
        <v>45709</v>
      </c>
      <c r="D8127" s="116">
        <v>124.28</v>
      </c>
      <c r="E8127" s="117">
        <v>45716</v>
      </c>
      <c r="F8127" s="116">
        <f>COUNTIFS($A$3:A16393,A8127,$B$3:B16393,B8127)</f>
        <v>1</v>
      </c>
      <c r="G8127" s="116"/>
    </row>
    <row r="8128" spans="1:7" x14ac:dyDescent="0.2">
      <c r="A8128" s="116">
        <f>IF(ISNUMBER(Tabela2[[#This Row],[CT-e/NFS]])=TRUE,(IF(B8128&gt;30000,4,IF(B8128&lt;1000,"ND",0))),"-")</f>
        <v>0</v>
      </c>
      <c r="B8128" s="116">
        <v>22940</v>
      </c>
      <c r="C8128" s="117">
        <v>45709</v>
      </c>
      <c r="D8128" s="116">
        <v>76.34</v>
      </c>
      <c r="E8128" s="117">
        <v>45716</v>
      </c>
      <c r="F8128" s="116">
        <f>COUNTIFS($A$3:A16394,A8128,$B$3:B16394,B8128)</f>
        <v>1</v>
      </c>
      <c r="G8128" s="116"/>
    </row>
    <row r="8129" spans="1:7" x14ac:dyDescent="0.2">
      <c r="A8129" s="116">
        <f>IF(ISNUMBER(Tabela2[[#This Row],[CT-e/NFS]])=TRUE,(IF(B8129&gt;30000,4,IF(B8129&lt;1000,"ND",0))),"-")</f>
        <v>0</v>
      </c>
      <c r="B8129" s="116">
        <v>22939</v>
      </c>
      <c r="C8129" s="117">
        <v>45709</v>
      </c>
      <c r="D8129" s="116">
        <v>75.81</v>
      </c>
      <c r="E8129" s="117">
        <v>45716</v>
      </c>
      <c r="F8129" s="116">
        <f>COUNTIFS($A$3:A16395,A8129,$B$3:B16395,B8129)</f>
        <v>1</v>
      </c>
      <c r="G8129" s="116"/>
    </row>
    <row r="8130" spans="1:7" x14ac:dyDescent="0.2">
      <c r="A8130" s="116">
        <f>IF(ISNUMBER(Tabela2[[#This Row],[CT-e/NFS]])=TRUE,(IF(B8130&gt;30000,4,IF(B8130&lt;1000,"ND",0))),"-")</f>
        <v>0</v>
      </c>
      <c r="B8130" s="116">
        <v>22941</v>
      </c>
      <c r="C8130" s="117">
        <v>45709</v>
      </c>
      <c r="D8130" s="116">
        <v>76.36</v>
      </c>
      <c r="E8130" s="117">
        <v>45716</v>
      </c>
      <c r="F8130" s="116">
        <f>COUNTIFS($A$3:A16396,A8130,$B$3:B16396,B8130)</f>
        <v>1</v>
      </c>
      <c r="G8130" s="116"/>
    </row>
    <row r="8131" spans="1:7" x14ac:dyDescent="0.2">
      <c r="A8131" s="116">
        <f>IF(ISNUMBER(Tabela2[[#This Row],[CT-e/NFS]])=TRUE,(IF(B8131&gt;30000,4,IF(B8131&lt;1000,"ND",0))),"-")</f>
        <v>0</v>
      </c>
      <c r="B8131" s="116">
        <v>22942</v>
      </c>
      <c r="C8131" s="117">
        <v>45709</v>
      </c>
      <c r="D8131" s="116">
        <v>77.069999999999993</v>
      </c>
      <c r="E8131" s="117">
        <v>45716</v>
      </c>
      <c r="F8131" s="116">
        <f>COUNTIFS($A$3:A16397,A8131,$B$3:B16397,B8131)</f>
        <v>1</v>
      </c>
      <c r="G8131" s="116"/>
    </row>
    <row r="8132" spans="1:7" x14ac:dyDescent="0.2">
      <c r="A8132" s="116">
        <f>IF(ISNUMBER(Tabela2[[#This Row],[CT-e/NFS]])=TRUE,(IF(B8132&gt;30000,4,IF(B8132&lt;1000,"ND",0))),"-")</f>
        <v>0</v>
      </c>
      <c r="B8132" s="116">
        <v>22943</v>
      </c>
      <c r="C8132" s="117">
        <v>45709</v>
      </c>
      <c r="D8132" s="116">
        <v>182.69</v>
      </c>
      <c r="E8132" s="117">
        <v>45716</v>
      </c>
      <c r="F8132" s="116">
        <f>COUNTIFS($A$3:A16398,A8132,$B$3:B16398,B8132)</f>
        <v>1</v>
      </c>
      <c r="G8132" s="116"/>
    </row>
    <row r="8133" spans="1:7" x14ac:dyDescent="0.2">
      <c r="A8133" s="116">
        <f>IF(ISNUMBER(Tabela2[[#This Row],[CT-e/NFS]])=TRUE,(IF(B8133&gt;30000,4,IF(B8133&lt;1000,"ND",0))),"-")</f>
        <v>4</v>
      </c>
      <c r="B8133" s="116">
        <v>51769</v>
      </c>
      <c r="C8133" s="117">
        <v>45709</v>
      </c>
      <c r="D8133" s="116">
        <v>702.11</v>
      </c>
      <c r="E8133" s="117">
        <v>45716</v>
      </c>
      <c r="F8133" s="116">
        <f>COUNTIFS($A$3:A16399,A8133,$B$3:B16399,B8133)</f>
        <v>1</v>
      </c>
      <c r="G8133" s="116"/>
    </row>
    <row r="8134" spans="1:7" x14ac:dyDescent="0.2">
      <c r="A8134" s="116">
        <f>IF(ISNUMBER(Tabela2[[#This Row],[CT-e/NFS]])=TRUE,(IF(B8134&gt;30000,4,IF(B8134&lt;1000,"ND",0))),"-")</f>
        <v>4</v>
      </c>
      <c r="B8134" s="116">
        <v>51757</v>
      </c>
      <c r="C8134" s="117">
        <v>45709</v>
      </c>
      <c r="D8134" s="116">
        <v>380.6</v>
      </c>
      <c r="E8134" s="117">
        <v>45716</v>
      </c>
      <c r="F8134" s="116">
        <f>COUNTIFS($A$3:A16400,A8134,$B$3:B16400,B8134)</f>
        <v>1</v>
      </c>
      <c r="G8134" s="116"/>
    </row>
    <row r="8135" spans="1:7" x14ac:dyDescent="0.2">
      <c r="A8135" s="116">
        <f>IF(ISNUMBER(Tabela2[[#This Row],[CT-e/NFS]])=TRUE,(IF(B8135&gt;30000,4,IF(B8135&lt;1000,"ND",0))),"-")</f>
        <v>4</v>
      </c>
      <c r="B8135" s="116">
        <v>51755</v>
      </c>
      <c r="C8135" s="117">
        <v>45709</v>
      </c>
      <c r="D8135" s="116">
        <v>365.66</v>
      </c>
      <c r="E8135" s="117">
        <v>45716</v>
      </c>
      <c r="F8135" s="116">
        <f>COUNTIFS($A$3:A16401,A8135,$B$3:B16401,B8135)</f>
        <v>1</v>
      </c>
      <c r="G8135" s="116"/>
    </row>
    <row r="8136" spans="1:7" x14ac:dyDescent="0.2">
      <c r="A8136" s="116">
        <f>IF(ISNUMBER(Tabela2[[#This Row],[CT-e/NFS]])=TRUE,(IF(B8136&gt;30000,4,IF(B8136&lt;1000,"ND",0))),"-")</f>
        <v>4</v>
      </c>
      <c r="B8136" s="116">
        <v>51756</v>
      </c>
      <c r="C8136" s="117">
        <v>45709</v>
      </c>
      <c r="D8136" s="116">
        <v>390.82</v>
      </c>
      <c r="E8136" s="117">
        <v>45716</v>
      </c>
      <c r="F8136" s="116">
        <f>COUNTIFS($A$3:A16402,A8136,$B$3:B16402,B8136)</f>
        <v>1</v>
      </c>
      <c r="G8136" s="116"/>
    </row>
    <row r="8137" spans="1:7" x14ac:dyDescent="0.2">
      <c r="A8137" s="116">
        <f>IF(ISNUMBER(Tabela2[[#This Row],[CT-e/NFS]])=TRUE,(IF(B8137&gt;30000,4,IF(B8137&lt;1000,"ND",0))),"-")</f>
        <v>4</v>
      </c>
      <c r="B8137" s="116">
        <v>51754</v>
      </c>
      <c r="C8137" s="117">
        <v>45709</v>
      </c>
      <c r="D8137" s="116">
        <v>621.23</v>
      </c>
      <c r="E8137" s="117">
        <v>45716</v>
      </c>
      <c r="F8137" s="116">
        <f>COUNTIFS($A$3:A16403,A8137,$B$3:B16403,B8137)</f>
        <v>1</v>
      </c>
      <c r="G8137" s="116"/>
    </row>
    <row r="8138" spans="1:7" x14ac:dyDescent="0.2">
      <c r="A8138" s="116">
        <f>IF(ISNUMBER(Tabela2[[#This Row],[CT-e/NFS]])=TRUE,(IF(B8138&gt;30000,4,IF(B8138&lt;1000,"ND",0))),"-")</f>
        <v>4</v>
      </c>
      <c r="B8138" s="116">
        <v>51759</v>
      </c>
      <c r="C8138" s="117">
        <v>45709</v>
      </c>
      <c r="D8138" s="116">
        <v>125.92</v>
      </c>
      <c r="E8138" s="117">
        <v>45716</v>
      </c>
      <c r="F8138" s="116">
        <f>COUNTIFS($A$3:A16404,A8138,$B$3:B16404,B8138)</f>
        <v>1</v>
      </c>
      <c r="G8138" s="116"/>
    </row>
    <row r="8139" spans="1:7" x14ac:dyDescent="0.2">
      <c r="A8139" s="116">
        <f>IF(ISNUMBER(Tabela2[[#This Row],[CT-e/NFS]])=TRUE,(IF(B8139&gt;30000,4,IF(B8139&lt;1000,"ND",0))),"-")</f>
        <v>4</v>
      </c>
      <c r="B8139" s="116">
        <v>51762</v>
      </c>
      <c r="C8139" s="117">
        <v>45709</v>
      </c>
      <c r="D8139" s="116">
        <v>469.5</v>
      </c>
      <c r="E8139" s="117">
        <v>45716</v>
      </c>
      <c r="F8139" s="116">
        <f>COUNTIFS($A$3:A16405,A8139,$B$3:B16405,B8139)</f>
        <v>1</v>
      </c>
      <c r="G8139" s="116"/>
    </row>
    <row r="8140" spans="1:7" x14ac:dyDescent="0.2">
      <c r="A8140" s="116">
        <f>IF(ISNUMBER(Tabela2[[#This Row],[CT-e/NFS]])=TRUE,(IF(B8140&gt;30000,4,IF(B8140&lt;1000,"ND",0))),"-")</f>
        <v>4</v>
      </c>
      <c r="B8140" s="116">
        <v>51770</v>
      </c>
      <c r="C8140" s="117">
        <v>45709</v>
      </c>
      <c r="D8140" s="116">
        <v>124.05</v>
      </c>
      <c r="E8140" s="117">
        <v>45716</v>
      </c>
      <c r="F8140" s="116">
        <f>COUNTIFS($A$3:A16406,A8140,$B$3:B16406,B8140)</f>
        <v>1</v>
      </c>
      <c r="G8140" s="116"/>
    </row>
    <row r="8141" spans="1:7" x14ac:dyDescent="0.2">
      <c r="A8141" s="116">
        <f>IF(ISNUMBER(Tabela2[[#This Row],[CT-e/NFS]])=TRUE,(IF(B8141&gt;30000,4,IF(B8141&lt;1000,"ND",0))),"-")</f>
        <v>4</v>
      </c>
      <c r="B8141" s="116">
        <v>51768</v>
      </c>
      <c r="C8141" s="117">
        <v>45709</v>
      </c>
      <c r="D8141" s="116">
        <v>1245.6099999999999</v>
      </c>
      <c r="E8141" s="117">
        <v>45716</v>
      </c>
      <c r="F8141" s="116">
        <f>COUNTIFS($A$3:A16407,A8141,$B$3:B16407,B8141)</f>
        <v>1</v>
      </c>
      <c r="G8141" s="116"/>
    </row>
    <row r="8142" spans="1:7" x14ac:dyDescent="0.2">
      <c r="A8142" s="116">
        <f>IF(ISNUMBER(Tabela2[[#This Row],[CT-e/NFS]])=TRUE,(IF(B8142&gt;30000,4,IF(B8142&lt;1000,"ND",0))),"-")</f>
        <v>4</v>
      </c>
      <c r="B8142" s="116">
        <v>51761</v>
      </c>
      <c r="C8142" s="117">
        <v>45709</v>
      </c>
      <c r="D8142" s="116">
        <v>278.64999999999998</v>
      </c>
      <c r="E8142" s="117">
        <v>45716</v>
      </c>
      <c r="F8142" s="116">
        <f>COUNTIFS($A$3:A16408,A8142,$B$3:B16408,B8142)</f>
        <v>1</v>
      </c>
      <c r="G8142" s="116"/>
    </row>
    <row r="8143" spans="1:7" x14ac:dyDescent="0.2">
      <c r="A8143" s="116">
        <f>IF(ISNUMBER(Tabela2[[#This Row],[CT-e/NFS]])=TRUE,(IF(B8143&gt;30000,4,IF(B8143&lt;1000,"ND",0))),"-")</f>
        <v>4</v>
      </c>
      <c r="B8143" s="116">
        <v>51760</v>
      </c>
      <c r="C8143" s="117">
        <v>45709</v>
      </c>
      <c r="D8143" s="116">
        <v>680.02</v>
      </c>
      <c r="E8143" s="117">
        <v>45716</v>
      </c>
      <c r="F8143" s="116">
        <f>COUNTIFS($A$3:A16409,A8143,$B$3:B16409,B8143)</f>
        <v>1</v>
      </c>
      <c r="G8143" s="116"/>
    </row>
    <row r="8144" spans="1:7" x14ac:dyDescent="0.2">
      <c r="A8144" s="116">
        <f>IF(ISNUMBER(Tabela2[[#This Row],[CT-e/NFS]])=TRUE,(IF(B8144&gt;30000,4,IF(B8144&lt;1000,"ND",0))),"-")</f>
        <v>4</v>
      </c>
      <c r="B8144" s="116">
        <v>51766</v>
      </c>
      <c r="C8144" s="117">
        <v>45709</v>
      </c>
      <c r="D8144" s="116">
        <v>125.67</v>
      </c>
      <c r="E8144" s="117">
        <v>45716</v>
      </c>
      <c r="F8144" s="116">
        <f>COUNTIFS($A$3:A16410,A8144,$B$3:B16410,B8144)</f>
        <v>1</v>
      </c>
      <c r="G8144" s="116"/>
    </row>
    <row r="8145" spans="1:7" x14ac:dyDescent="0.2">
      <c r="A8145" s="116">
        <f>IF(ISNUMBER(Tabela2[[#This Row],[CT-e/NFS]])=TRUE,(IF(B8145&gt;30000,4,IF(B8145&lt;1000,"ND",0))),"-")</f>
        <v>0</v>
      </c>
      <c r="B8145" s="116">
        <v>22944</v>
      </c>
      <c r="C8145" s="117">
        <v>45709</v>
      </c>
      <c r="D8145" s="116">
        <v>76.28</v>
      </c>
      <c r="E8145" s="117">
        <v>45716</v>
      </c>
      <c r="F8145" s="116">
        <f>COUNTIFS($A$3:A16411,A8145,$B$3:B16411,B8145)</f>
        <v>1</v>
      </c>
      <c r="G8145" s="116"/>
    </row>
    <row r="8146" spans="1:7" x14ac:dyDescent="0.2">
      <c r="A8146" s="116">
        <f>IF(ISNUMBER(Tabela2[[#This Row],[CT-e/NFS]])=TRUE,(IF(B8146&gt;30000,4,IF(B8146&lt;1000,"ND",0))),"-")</f>
        <v>0</v>
      </c>
      <c r="B8146" s="116">
        <v>22946</v>
      </c>
      <c r="C8146" s="117">
        <v>45709</v>
      </c>
      <c r="D8146" s="116">
        <v>77.16</v>
      </c>
      <c r="E8146" s="117">
        <v>45716</v>
      </c>
      <c r="F8146" s="116">
        <f>COUNTIFS($A$3:A16412,A8146,$B$3:B16412,B8146)</f>
        <v>1</v>
      </c>
      <c r="G8146" s="116"/>
    </row>
    <row r="8147" spans="1:7" x14ac:dyDescent="0.2">
      <c r="A8147" s="116">
        <f>IF(ISNUMBER(Tabela2[[#This Row],[CT-e/NFS]])=TRUE,(IF(B8147&gt;30000,4,IF(B8147&lt;1000,"ND",0))),"-")</f>
        <v>4</v>
      </c>
      <c r="B8147" s="116">
        <v>51758</v>
      </c>
      <c r="C8147" s="117">
        <v>45709</v>
      </c>
      <c r="D8147" s="116">
        <v>238.83</v>
      </c>
      <c r="E8147" s="117">
        <v>45716</v>
      </c>
      <c r="F8147" s="116">
        <f>COUNTIFS($A$3:A16413,A8147,$B$3:B16413,B8147)</f>
        <v>1</v>
      </c>
      <c r="G8147" s="116"/>
    </row>
    <row r="8148" spans="1:7" x14ac:dyDescent="0.2">
      <c r="A8148" s="116">
        <f>IF(ISNUMBER(Tabela2[[#This Row],[CT-e/NFS]])=TRUE,(IF(B8148&gt;30000,4,IF(B8148&lt;1000,"ND",0))),"-")</f>
        <v>4</v>
      </c>
      <c r="B8148" s="116">
        <v>51764</v>
      </c>
      <c r="C8148" s="117">
        <v>45709</v>
      </c>
      <c r="D8148" s="116">
        <v>125.59</v>
      </c>
      <c r="E8148" s="117">
        <v>45716</v>
      </c>
      <c r="F8148" s="116">
        <f>COUNTIFS($A$3:A16414,A8148,$B$3:B16414,B8148)</f>
        <v>1</v>
      </c>
      <c r="G8148" s="116"/>
    </row>
    <row r="8149" spans="1:7" x14ac:dyDescent="0.2">
      <c r="A8149" s="116">
        <f>IF(ISNUMBER(Tabela2[[#This Row],[CT-e/NFS]])=TRUE,(IF(B8149&gt;30000,4,IF(B8149&lt;1000,"ND",0))),"-")</f>
        <v>4</v>
      </c>
      <c r="B8149" s="116">
        <v>51763</v>
      </c>
      <c r="C8149" s="117">
        <v>45709</v>
      </c>
      <c r="D8149" s="116">
        <v>124.2</v>
      </c>
      <c r="E8149" s="117">
        <v>45716</v>
      </c>
      <c r="F8149" s="116">
        <f>COUNTIFS($A$3:A16415,A8149,$B$3:B16415,B8149)</f>
        <v>1</v>
      </c>
      <c r="G8149" s="116"/>
    </row>
    <row r="8150" spans="1:7" x14ac:dyDescent="0.2">
      <c r="A8150" s="116">
        <f>IF(ISNUMBER(Tabela2[[#This Row],[CT-e/NFS]])=TRUE,(IF(B8150&gt;30000,4,IF(B8150&lt;1000,"ND",0))),"-")</f>
        <v>4</v>
      </c>
      <c r="B8150" s="116">
        <v>51765</v>
      </c>
      <c r="C8150" s="117">
        <v>45709</v>
      </c>
      <c r="D8150" s="116">
        <v>200.32</v>
      </c>
      <c r="E8150" s="117">
        <v>45716</v>
      </c>
      <c r="F8150" s="116">
        <f>COUNTIFS($A$3:A16416,A8150,$B$3:B16416,B8150)</f>
        <v>1</v>
      </c>
      <c r="G8150" s="116"/>
    </row>
    <row r="8151" spans="1:7" x14ac:dyDescent="0.2">
      <c r="A8151" s="116">
        <f>IF(ISNUMBER(Tabela2[[#This Row],[CT-e/NFS]])=TRUE,(IF(B8151&gt;30000,4,IF(B8151&lt;1000,"ND",0))),"-")</f>
        <v>4</v>
      </c>
      <c r="B8151" s="116">
        <v>51778</v>
      </c>
      <c r="C8151" s="117">
        <v>45709</v>
      </c>
      <c r="D8151" s="116">
        <v>355.11</v>
      </c>
      <c r="E8151" s="117">
        <v>45716</v>
      </c>
      <c r="F8151" s="116">
        <f>COUNTIFS($A$3:A16417,A8151,$B$3:B16417,B8151)</f>
        <v>1</v>
      </c>
      <c r="G8151" s="116"/>
    </row>
    <row r="8152" spans="1:7" x14ac:dyDescent="0.2">
      <c r="A8152" s="116">
        <f>IF(ISNUMBER(Tabela2[[#This Row],[CT-e/NFS]])=TRUE,(IF(B8152&gt;30000,4,IF(B8152&lt;1000,"ND",0))),"-")</f>
        <v>4</v>
      </c>
      <c r="B8152" s="116">
        <v>51767</v>
      </c>
      <c r="C8152" s="117">
        <v>45709</v>
      </c>
      <c r="D8152" s="116">
        <v>286.95</v>
      </c>
      <c r="E8152" s="117">
        <v>45716</v>
      </c>
      <c r="F8152" s="116">
        <f>COUNTIFS($A$3:A16418,A8152,$B$3:B16418,B8152)</f>
        <v>1</v>
      </c>
      <c r="G8152" s="116"/>
    </row>
    <row r="8153" spans="1:7" x14ac:dyDescent="0.2">
      <c r="A8153" s="116">
        <f>IF(ISNUMBER(Tabela2[[#This Row],[CT-e/NFS]])=TRUE,(IF(B8153&gt;30000,4,IF(B8153&lt;1000,"ND",0))),"-")</f>
        <v>4</v>
      </c>
      <c r="B8153" s="116">
        <v>51777</v>
      </c>
      <c r="C8153" s="117">
        <v>45709</v>
      </c>
      <c r="D8153" s="116">
        <v>680.02</v>
      </c>
      <c r="E8153" s="117">
        <v>45716</v>
      </c>
      <c r="F8153" s="116">
        <f>COUNTIFS($A$3:A16419,A8153,$B$3:B16419,B8153)</f>
        <v>1</v>
      </c>
      <c r="G8153" s="116"/>
    </row>
    <row r="8154" spans="1:7" x14ac:dyDescent="0.2">
      <c r="A8154" s="116">
        <f>IF(ISNUMBER(Tabela2[[#This Row],[CT-e/NFS]])=TRUE,(IF(B8154&gt;30000,4,IF(B8154&lt;1000,"ND",0))),"-")</f>
        <v>4</v>
      </c>
      <c r="B8154" s="116">
        <v>51779</v>
      </c>
      <c r="C8154" s="117">
        <v>45709</v>
      </c>
      <c r="D8154" s="116">
        <v>506.89</v>
      </c>
      <c r="E8154" s="117">
        <v>45716</v>
      </c>
      <c r="F8154" s="116">
        <f>COUNTIFS($A$3:A16420,A8154,$B$3:B16420,B8154)</f>
        <v>1</v>
      </c>
      <c r="G8154" s="116"/>
    </row>
    <row r="8155" spans="1:7" x14ac:dyDescent="0.2">
      <c r="A8155" s="116">
        <f>IF(ISNUMBER(Tabela2[[#This Row],[CT-e/NFS]])=TRUE,(IF(B8155&gt;30000,4,IF(B8155&lt;1000,"ND",0))),"-")</f>
        <v>4</v>
      </c>
      <c r="B8155" s="116">
        <v>51782</v>
      </c>
      <c r="C8155" s="117">
        <v>45709</v>
      </c>
      <c r="D8155" s="116">
        <v>100.15</v>
      </c>
      <c r="E8155" s="117">
        <v>45716</v>
      </c>
      <c r="F8155" s="116">
        <f>COUNTIFS($A$3:A16421,A8155,$B$3:B16421,B8155)</f>
        <v>1</v>
      </c>
      <c r="G8155" s="116"/>
    </row>
    <row r="8156" spans="1:7" x14ac:dyDescent="0.2">
      <c r="A8156" s="116">
        <f>IF(ISNUMBER(Tabela2[[#This Row],[CT-e/NFS]])=TRUE,(IF(B8156&gt;30000,4,IF(B8156&lt;1000,"ND",0))),"-")</f>
        <v>4</v>
      </c>
      <c r="B8156" s="116">
        <v>51774</v>
      </c>
      <c r="C8156" s="117">
        <v>45709</v>
      </c>
      <c r="D8156" s="116">
        <v>125.69</v>
      </c>
      <c r="E8156" s="117">
        <v>45716</v>
      </c>
      <c r="F8156" s="116">
        <f>COUNTIFS($A$3:A16422,A8156,$B$3:B16422,B8156)</f>
        <v>1</v>
      </c>
      <c r="G8156" s="116"/>
    </row>
    <row r="8157" spans="1:7" x14ac:dyDescent="0.2">
      <c r="A8157" s="116">
        <f>IF(ISNUMBER(Tabela2[[#This Row],[CT-e/NFS]])=TRUE,(IF(B8157&gt;30000,4,IF(B8157&lt;1000,"ND",0))),"-")</f>
        <v>4</v>
      </c>
      <c r="B8157" s="116">
        <v>51780</v>
      </c>
      <c r="C8157" s="117">
        <v>45709</v>
      </c>
      <c r="D8157" s="116">
        <v>574.44000000000005</v>
      </c>
      <c r="E8157" s="117">
        <v>45716</v>
      </c>
      <c r="F8157" s="116">
        <f>COUNTIFS($A$3:A16423,A8157,$B$3:B16423,B8157)</f>
        <v>1</v>
      </c>
      <c r="G8157" s="116"/>
    </row>
    <row r="8158" spans="1:7" x14ac:dyDescent="0.2">
      <c r="A8158" s="116">
        <f>IF(ISNUMBER(Tabela2[[#This Row],[CT-e/NFS]])=TRUE,(IF(B8158&gt;30000,4,IF(B8158&lt;1000,"ND",0))),"-")</f>
        <v>4</v>
      </c>
      <c r="B8158" s="116">
        <v>51775</v>
      </c>
      <c r="C8158" s="117">
        <v>45709</v>
      </c>
      <c r="D8158" s="116">
        <v>124.2</v>
      </c>
      <c r="E8158" s="117">
        <v>45716</v>
      </c>
      <c r="F8158" s="116">
        <f>COUNTIFS($A$3:A16424,A8158,$B$3:B16424,B8158)</f>
        <v>1</v>
      </c>
      <c r="G8158" s="116"/>
    </row>
    <row r="8159" spans="1:7" x14ac:dyDescent="0.2">
      <c r="A8159" s="116">
        <f>IF(ISNUMBER(Tabela2[[#This Row],[CT-e/NFS]])=TRUE,(IF(B8159&gt;30000,4,IF(B8159&lt;1000,"ND",0))),"-")</f>
        <v>4</v>
      </c>
      <c r="B8159" s="116">
        <v>51773</v>
      </c>
      <c r="C8159" s="117">
        <v>45709</v>
      </c>
      <c r="D8159" s="116">
        <v>185.36</v>
      </c>
      <c r="E8159" s="117">
        <v>45716</v>
      </c>
      <c r="F8159" s="116">
        <f>COUNTIFS($A$3:A16425,A8159,$B$3:B16425,B8159)</f>
        <v>1</v>
      </c>
      <c r="G8159" s="116"/>
    </row>
    <row r="8160" spans="1:7" x14ac:dyDescent="0.2">
      <c r="A8160" s="116">
        <f>IF(ISNUMBER(Tabela2[[#This Row],[CT-e/NFS]])=TRUE,(IF(B8160&gt;30000,4,IF(B8160&lt;1000,"ND",0))),"-")</f>
        <v>4</v>
      </c>
      <c r="B8160" s="116">
        <v>51781</v>
      </c>
      <c r="C8160" s="117">
        <v>45709</v>
      </c>
      <c r="D8160" s="116">
        <v>124.03</v>
      </c>
      <c r="E8160" s="117">
        <v>45716</v>
      </c>
      <c r="F8160" s="116">
        <f>COUNTIFS($A$3:A16426,A8160,$B$3:B16426,B8160)</f>
        <v>1</v>
      </c>
      <c r="G8160" s="116"/>
    </row>
    <row r="8161" spans="1:7" x14ac:dyDescent="0.2">
      <c r="A8161" s="116">
        <f>IF(ISNUMBER(Tabela2[[#This Row],[CT-e/NFS]])=TRUE,(IF(B8161&gt;30000,4,IF(B8161&lt;1000,"ND",0))),"-")</f>
        <v>4</v>
      </c>
      <c r="B8161" s="116">
        <v>51783</v>
      </c>
      <c r="C8161" s="117">
        <v>45709</v>
      </c>
      <c r="D8161" s="116">
        <v>180.91</v>
      </c>
      <c r="E8161" s="117">
        <v>45716</v>
      </c>
      <c r="F8161" s="116">
        <f>COUNTIFS($A$3:A16427,A8161,$B$3:B16427,B8161)</f>
        <v>1</v>
      </c>
      <c r="G8161" s="116"/>
    </row>
    <row r="8162" spans="1:7" x14ac:dyDescent="0.2">
      <c r="A8162" s="116">
        <f>IF(ISNUMBER(Tabela2[[#This Row],[CT-e/NFS]])=TRUE,(IF(B8162&gt;30000,4,IF(B8162&lt;1000,"ND",0))),"-")</f>
        <v>4</v>
      </c>
      <c r="B8162" s="116">
        <v>51776</v>
      </c>
      <c r="C8162" s="117">
        <v>45709</v>
      </c>
      <c r="D8162" s="116">
        <v>246.33</v>
      </c>
      <c r="E8162" s="117">
        <v>45716</v>
      </c>
      <c r="F8162" s="116">
        <f>COUNTIFS($A$3:A16428,A8162,$B$3:B16428,B8162)</f>
        <v>1</v>
      </c>
      <c r="G8162" s="116"/>
    </row>
    <row r="8163" spans="1:7" x14ac:dyDescent="0.2">
      <c r="A8163" s="116">
        <f>IF(ISNUMBER(Tabela2[[#This Row],[CT-e/NFS]])=TRUE,(IF(B8163&gt;30000,4,IF(B8163&lt;1000,"ND",0))),"-")</f>
        <v>4</v>
      </c>
      <c r="B8163" s="116">
        <v>51772</v>
      </c>
      <c r="C8163" s="117">
        <v>45709</v>
      </c>
      <c r="D8163" s="116">
        <v>147.80000000000001</v>
      </c>
      <c r="E8163" s="117">
        <v>45716</v>
      </c>
      <c r="F8163" s="116">
        <f>COUNTIFS($A$3:A16429,A8163,$B$3:B16429,B8163)</f>
        <v>1</v>
      </c>
      <c r="G8163" s="116"/>
    </row>
    <row r="8164" spans="1:7" x14ac:dyDescent="0.2">
      <c r="A8164" s="116">
        <f>IF(ISNUMBER(Tabela2[[#This Row],[CT-e/NFS]])=TRUE,(IF(B8164&gt;30000,4,IF(B8164&lt;1000,"ND",0))),"-")</f>
        <v>4</v>
      </c>
      <c r="B8164" s="116">
        <v>51771</v>
      </c>
      <c r="C8164" s="117">
        <v>45709</v>
      </c>
      <c r="D8164" s="116">
        <v>918.07</v>
      </c>
      <c r="E8164" s="117">
        <v>45716</v>
      </c>
      <c r="F8164" s="116">
        <f>COUNTIFS($A$3:A16430,A8164,$B$3:B16430,B8164)</f>
        <v>1</v>
      </c>
      <c r="G8164" s="116"/>
    </row>
    <row r="8165" spans="1:7" x14ac:dyDescent="0.2">
      <c r="A8165" s="116">
        <f>IF(ISNUMBER(Tabela2[[#This Row],[CT-e/NFS]])=TRUE,(IF(B8165&gt;30000,4,IF(B8165&lt;1000,"ND",0))),"-")</f>
        <v>0</v>
      </c>
      <c r="B8165" s="116">
        <v>22947</v>
      </c>
      <c r="C8165" s="117">
        <v>45709</v>
      </c>
      <c r="D8165" s="116">
        <v>193.3</v>
      </c>
      <c r="E8165" s="117">
        <v>45716</v>
      </c>
      <c r="F8165" s="116">
        <f>COUNTIFS($A$3:A16431,A8165,$B$3:B16431,B8165)</f>
        <v>1</v>
      </c>
      <c r="G8165" s="116"/>
    </row>
    <row r="8166" spans="1:7" x14ac:dyDescent="0.2">
      <c r="A8166" s="116">
        <f>IF(ISNUMBER(Tabela2[[#This Row],[CT-e/NFS]])=TRUE,(IF(B8166&gt;30000,4,IF(B8166&lt;1000,"ND",0))),"-")</f>
        <v>0</v>
      </c>
      <c r="B8166" s="116">
        <v>22948</v>
      </c>
      <c r="C8166" s="117">
        <v>45709</v>
      </c>
      <c r="D8166" s="116">
        <v>944.31</v>
      </c>
      <c r="E8166" s="117">
        <v>45716</v>
      </c>
      <c r="F8166" s="116">
        <f>COUNTIFS($A$3:A16432,A8166,$B$3:B16432,B8166)</f>
        <v>1</v>
      </c>
      <c r="G8166" s="116"/>
    </row>
    <row r="8167" spans="1:7" x14ac:dyDescent="0.2">
      <c r="A8167" s="116">
        <f>IF(ISNUMBER(Tabela2[[#This Row],[CT-e/NFS]])=TRUE,(IF(B8167&gt;30000,4,IF(B8167&lt;1000,"ND",0))),"-")</f>
        <v>0</v>
      </c>
      <c r="B8167" s="116">
        <v>22949</v>
      </c>
      <c r="C8167" s="117">
        <v>45709</v>
      </c>
      <c r="D8167" s="116">
        <v>75.7</v>
      </c>
      <c r="E8167" s="117">
        <v>45716</v>
      </c>
      <c r="F8167" s="116">
        <f>COUNTIFS($A$3:A16433,A8167,$B$3:B16433,B8167)</f>
        <v>1</v>
      </c>
      <c r="G8167" s="116"/>
    </row>
    <row r="8168" spans="1:7" x14ac:dyDescent="0.2">
      <c r="A8168" s="116">
        <f>IF(ISNUMBER(Tabela2[[#This Row],[CT-e/NFS]])=TRUE,(IF(B8168&gt;30000,4,IF(B8168&lt;1000,"ND",0))),"-")</f>
        <v>0</v>
      </c>
      <c r="B8168" s="116">
        <v>22950</v>
      </c>
      <c r="C8168" s="117">
        <v>45709</v>
      </c>
      <c r="D8168" s="116">
        <v>76.349999999999994</v>
      </c>
      <c r="E8168" s="117">
        <v>45716</v>
      </c>
      <c r="F8168" s="116">
        <f>COUNTIFS($A$3:A16434,A8168,$B$3:B16434,B8168)</f>
        <v>1</v>
      </c>
      <c r="G8168" s="116"/>
    </row>
    <row r="8169" spans="1:7" x14ac:dyDescent="0.2">
      <c r="A8169" s="116">
        <f>IF(ISNUMBER(Tabela2[[#This Row],[CT-e/NFS]])=TRUE,(IF(B8169&gt;30000,4,IF(B8169&lt;1000,"ND",0))),"-")</f>
        <v>4</v>
      </c>
      <c r="B8169" s="116">
        <v>51790</v>
      </c>
      <c r="C8169" s="117">
        <v>45709</v>
      </c>
      <c r="D8169" s="116">
        <v>1796.03</v>
      </c>
      <c r="E8169" s="117">
        <v>45716</v>
      </c>
      <c r="F8169" s="116">
        <f>COUNTIFS($A$3:A16435,A8169,$B$3:B16435,B8169)</f>
        <v>1</v>
      </c>
      <c r="G8169" s="116"/>
    </row>
    <row r="8170" spans="1:7" x14ac:dyDescent="0.2">
      <c r="A8170" s="116">
        <f>IF(ISNUMBER(Tabela2[[#This Row],[CT-e/NFS]])=TRUE,(IF(B8170&gt;30000,4,IF(B8170&lt;1000,"ND",0))),"-")</f>
        <v>4</v>
      </c>
      <c r="B8170" s="116">
        <v>51791</v>
      </c>
      <c r="C8170" s="117">
        <v>45709</v>
      </c>
      <c r="D8170" s="116">
        <v>1086.24</v>
      </c>
      <c r="E8170" s="117">
        <v>45716</v>
      </c>
      <c r="F8170" s="116">
        <f>COUNTIFS($A$3:A16436,A8170,$B$3:B16436,B8170)</f>
        <v>1</v>
      </c>
      <c r="G8170" s="116"/>
    </row>
    <row r="8171" spans="1:7" x14ac:dyDescent="0.2">
      <c r="A8171" s="116">
        <f>IF(ISNUMBER(Tabela2[[#This Row],[CT-e/NFS]])=TRUE,(IF(B8171&gt;30000,4,IF(B8171&lt;1000,"ND",0))),"-")</f>
        <v>4</v>
      </c>
      <c r="B8171" s="116">
        <v>51803</v>
      </c>
      <c r="C8171" s="117">
        <v>45709</v>
      </c>
      <c r="D8171" s="116">
        <v>124.28</v>
      </c>
      <c r="E8171" s="117">
        <v>45716</v>
      </c>
      <c r="F8171" s="116">
        <f>COUNTIFS($A$3:A16437,A8171,$B$3:B16437,B8171)</f>
        <v>1</v>
      </c>
      <c r="G8171" s="116"/>
    </row>
    <row r="8172" spans="1:7" x14ac:dyDescent="0.2">
      <c r="A8172" s="116">
        <f>IF(ISNUMBER(Tabela2[[#This Row],[CT-e/NFS]])=TRUE,(IF(B8172&gt;30000,4,IF(B8172&lt;1000,"ND",0))),"-")</f>
        <v>4</v>
      </c>
      <c r="B8172" s="116">
        <v>51796</v>
      </c>
      <c r="C8172" s="117">
        <v>45709</v>
      </c>
      <c r="D8172" s="116">
        <v>506.76</v>
      </c>
      <c r="E8172" s="117">
        <v>45716</v>
      </c>
      <c r="F8172" s="116">
        <f>COUNTIFS($A$3:A16438,A8172,$B$3:B16438,B8172)</f>
        <v>1</v>
      </c>
      <c r="G8172" s="116"/>
    </row>
    <row r="8173" spans="1:7" x14ac:dyDescent="0.2">
      <c r="A8173" s="116">
        <f>IF(ISNUMBER(Tabela2[[#This Row],[CT-e/NFS]])=TRUE,(IF(B8173&gt;30000,4,IF(B8173&lt;1000,"ND",0))),"-")</f>
        <v>4</v>
      </c>
      <c r="B8173" s="116">
        <v>51799</v>
      </c>
      <c r="C8173" s="117">
        <v>45709</v>
      </c>
      <c r="D8173" s="116">
        <v>125.35</v>
      </c>
      <c r="E8173" s="117">
        <v>45716</v>
      </c>
      <c r="F8173" s="116">
        <f>COUNTIFS($A$3:A16439,A8173,$B$3:B16439,B8173)</f>
        <v>1</v>
      </c>
      <c r="G8173" s="116"/>
    </row>
    <row r="8174" spans="1:7" x14ac:dyDescent="0.2">
      <c r="A8174" s="116">
        <f>IF(ISNUMBER(Tabela2[[#This Row],[CT-e/NFS]])=TRUE,(IF(B8174&gt;30000,4,IF(B8174&lt;1000,"ND",0))),"-")</f>
        <v>4</v>
      </c>
      <c r="B8174" s="116">
        <v>51795</v>
      </c>
      <c r="C8174" s="117">
        <v>45709</v>
      </c>
      <c r="D8174" s="116">
        <v>246.33</v>
      </c>
      <c r="E8174" s="117">
        <v>45716</v>
      </c>
      <c r="F8174" s="116">
        <f>COUNTIFS($A$3:A16440,A8174,$B$3:B16440,B8174)</f>
        <v>1</v>
      </c>
      <c r="G8174" s="116"/>
    </row>
    <row r="8175" spans="1:7" x14ac:dyDescent="0.2">
      <c r="A8175" s="116">
        <f>IF(ISNUMBER(Tabela2[[#This Row],[CT-e/NFS]])=TRUE,(IF(B8175&gt;30000,4,IF(B8175&lt;1000,"ND",0))),"-")</f>
        <v>4</v>
      </c>
      <c r="B8175" s="116">
        <v>51787</v>
      </c>
      <c r="C8175" s="117">
        <v>45709</v>
      </c>
      <c r="D8175" s="116">
        <v>361.05</v>
      </c>
      <c r="E8175" s="117">
        <v>45716</v>
      </c>
      <c r="F8175" s="116">
        <f>COUNTIFS($A$3:A16441,A8175,$B$3:B16441,B8175)</f>
        <v>1</v>
      </c>
      <c r="G8175" s="116"/>
    </row>
    <row r="8176" spans="1:7" x14ac:dyDescent="0.2">
      <c r="A8176" s="116">
        <f>IF(ISNUMBER(Tabela2[[#This Row],[CT-e/NFS]])=TRUE,(IF(B8176&gt;30000,4,IF(B8176&lt;1000,"ND",0))),"-")</f>
        <v>4</v>
      </c>
      <c r="B8176" s="116">
        <v>51786</v>
      </c>
      <c r="C8176" s="117">
        <v>45709</v>
      </c>
      <c r="D8176" s="116">
        <v>324.16000000000003</v>
      </c>
      <c r="E8176" s="117">
        <v>45716</v>
      </c>
      <c r="F8176" s="116">
        <f>COUNTIFS($A$3:A16442,A8176,$B$3:B16442,B8176)</f>
        <v>1</v>
      </c>
      <c r="G8176" s="116"/>
    </row>
    <row r="8177" spans="1:7" x14ac:dyDescent="0.2">
      <c r="A8177" s="116">
        <f>IF(ISNUMBER(Tabela2[[#This Row],[CT-e/NFS]])=TRUE,(IF(B8177&gt;30000,4,IF(B8177&lt;1000,"ND",0))),"-")</f>
        <v>4</v>
      </c>
      <c r="B8177" s="116">
        <v>51804</v>
      </c>
      <c r="C8177" s="117">
        <v>45709</v>
      </c>
      <c r="D8177" s="116">
        <v>609.98</v>
      </c>
      <c r="E8177" s="117">
        <v>45716</v>
      </c>
      <c r="F8177" s="116">
        <f>COUNTIFS($A$3:A16443,A8177,$B$3:B16443,B8177)</f>
        <v>1</v>
      </c>
      <c r="G8177" s="116"/>
    </row>
    <row r="8178" spans="1:7" x14ac:dyDescent="0.2">
      <c r="A8178" s="116">
        <f>IF(ISNUMBER(Tabela2[[#This Row],[CT-e/NFS]])=TRUE,(IF(B8178&gt;30000,4,IF(B8178&lt;1000,"ND",0))),"-")</f>
        <v>4</v>
      </c>
      <c r="B8178" s="116">
        <v>51801</v>
      </c>
      <c r="C8178" s="117">
        <v>45709</v>
      </c>
      <c r="D8178" s="116">
        <v>267.76</v>
      </c>
      <c r="E8178" s="117">
        <v>45716</v>
      </c>
      <c r="F8178" s="116">
        <f>COUNTIFS($A$3:A16444,A8178,$B$3:B16444,B8178)</f>
        <v>1</v>
      </c>
      <c r="G8178" s="116"/>
    </row>
    <row r="8179" spans="1:7" x14ac:dyDescent="0.2">
      <c r="A8179" s="116">
        <f>IF(ISNUMBER(Tabela2[[#This Row],[CT-e/NFS]])=TRUE,(IF(B8179&gt;30000,4,IF(B8179&lt;1000,"ND",0))),"-")</f>
        <v>4</v>
      </c>
      <c r="B8179" s="116">
        <v>51802</v>
      </c>
      <c r="C8179" s="117">
        <v>45709</v>
      </c>
      <c r="D8179" s="116">
        <v>279.33999999999997</v>
      </c>
      <c r="E8179" s="117">
        <v>45716</v>
      </c>
      <c r="F8179" s="116">
        <f>COUNTIFS($A$3:A16445,A8179,$B$3:B16445,B8179)</f>
        <v>1</v>
      </c>
      <c r="G8179" s="116"/>
    </row>
    <row r="8180" spans="1:7" x14ac:dyDescent="0.2">
      <c r="A8180" s="116">
        <f>IF(ISNUMBER(Tabela2[[#This Row],[CT-e/NFS]])=TRUE,(IF(B8180&gt;30000,4,IF(B8180&lt;1000,"ND",0))),"-")</f>
        <v>4</v>
      </c>
      <c r="B8180" s="116">
        <v>51797</v>
      </c>
      <c r="C8180" s="117">
        <v>45709</v>
      </c>
      <c r="D8180" s="116">
        <v>149.77000000000001</v>
      </c>
      <c r="E8180" s="117">
        <v>45716</v>
      </c>
      <c r="F8180" s="116">
        <f>COUNTIFS($A$3:A16446,A8180,$B$3:B16446,B8180)</f>
        <v>1</v>
      </c>
      <c r="G8180" s="116"/>
    </row>
    <row r="8181" spans="1:7" x14ac:dyDescent="0.2">
      <c r="A8181" s="116">
        <f>IF(ISNUMBER(Tabela2[[#This Row],[CT-e/NFS]])=TRUE,(IF(B8181&gt;30000,4,IF(B8181&lt;1000,"ND",0))),"-")</f>
        <v>4</v>
      </c>
      <c r="B8181" s="116">
        <v>51800</v>
      </c>
      <c r="C8181" s="117">
        <v>45709</v>
      </c>
      <c r="D8181" s="116">
        <v>123.95</v>
      </c>
      <c r="E8181" s="117">
        <v>45716</v>
      </c>
      <c r="F8181" s="116">
        <f>COUNTIFS($A$3:A16447,A8181,$B$3:B16447,B8181)</f>
        <v>1</v>
      </c>
      <c r="G8181" s="116"/>
    </row>
    <row r="8182" spans="1:7" x14ac:dyDescent="0.2">
      <c r="A8182" s="116">
        <f>IF(ISNUMBER(Tabela2[[#This Row],[CT-e/NFS]])=TRUE,(IF(B8182&gt;30000,4,IF(B8182&lt;1000,"ND",0))),"-")</f>
        <v>4</v>
      </c>
      <c r="B8182" s="116">
        <v>51798</v>
      </c>
      <c r="C8182" s="117">
        <v>45709</v>
      </c>
      <c r="D8182" s="116">
        <v>253.32</v>
      </c>
      <c r="E8182" s="117">
        <v>45716</v>
      </c>
      <c r="F8182" s="116">
        <f>COUNTIFS($A$3:A16448,A8182,$B$3:B16448,B8182)</f>
        <v>1</v>
      </c>
      <c r="G8182" s="116"/>
    </row>
    <row r="8183" spans="1:7" x14ac:dyDescent="0.2">
      <c r="A8183" s="116">
        <f>IF(ISNUMBER(Tabela2[[#This Row],[CT-e/NFS]])=TRUE,(IF(B8183&gt;30000,4,IF(B8183&lt;1000,"ND",0))),"-")</f>
        <v>4</v>
      </c>
      <c r="B8183" s="116">
        <v>51793</v>
      </c>
      <c r="C8183" s="117">
        <v>45709</v>
      </c>
      <c r="D8183" s="116">
        <v>241.26</v>
      </c>
      <c r="E8183" s="117">
        <v>45716</v>
      </c>
      <c r="F8183" s="116">
        <f>COUNTIFS($A$3:A16449,A8183,$B$3:B16449,B8183)</f>
        <v>1</v>
      </c>
      <c r="G8183" s="116"/>
    </row>
    <row r="8184" spans="1:7" x14ac:dyDescent="0.2">
      <c r="A8184" s="116">
        <f>IF(ISNUMBER(Tabela2[[#This Row],[CT-e/NFS]])=TRUE,(IF(B8184&gt;30000,4,IF(B8184&lt;1000,"ND",0))),"-")</f>
        <v>4</v>
      </c>
      <c r="B8184" s="116">
        <v>51794</v>
      </c>
      <c r="C8184" s="117">
        <v>45709</v>
      </c>
      <c r="D8184" s="116">
        <v>240.41</v>
      </c>
      <c r="E8184" s="117">
        <v>45716</v>
      </c>
      <c r="F8184" s="116">
        <f>COUNTIFS($A$3:A16450,A8184,$B$3:B16450,B8184)</f>
        <v>1</v>
      </c>
      <c r="G8184" s="116"/>
    </row>
    <row r="8185" spans="1:7" x14ac:dyDescent="0.2">
      <c r="A8185" s="116">
        <f>IF(ISNUMBER(Tabela2[[#This Row],[CT-e/NFS]])=TRUE,(IF(B8185&gt;30000,4,IF(B8185&lt;1000,"ND",0))),"-")</f>
        <v>4</v>
      </c>
      <c r="B8185" s="116">
        <v>51792</v>
      </c>
      <c r="C8185" s="117">
        <v>45709</v>
      </c>
      <c r="D8185" s="116">
        <v>2906.31</v>
      </c>
      <c r="E8185" s="117">
        <v>45716</v>
      </c>
      <c r="F8185" s="116">
        <f>COUNTIFS($A$3:A16451,A8185,$B$3:B16451,B8185)</f>
        <v>1</v>
      </c>
      <c r="G8185" s="116"/>
    </row>
    <row r="8186" spans="1:7" x14ac:dyDescent="0.2">
      <c r="A8186" s="116">
        <f>IF(ISNUMBER(Tabela2[[#This Row],[CT-e/NFS]])=TRUE,(IF(B8186&gt;30000,4,IF(B8186&lt;1000,"ND",0))),"-")</f>
        <v>4</v>
      </c>
      <c r="B8186" s="116">
        <v>51807</v>
      </c>
      <c r="C8186" s="117">
        <v>45709</v>
      </c>
      <c r="D8186" s="116">
        <v>1137.73</v>
      </c>
      <c r="E8186" s="117">
        <v>45716</v>
      </c>
      <c r="F8186" s="116">
        <f>COUNTIFS($A$3:A16452,A8186,$B$3:B16452,B8186)</f>
        <v>1</v>
      </c>
      <c r="G8186" s="116"/>
    </row>
    <row r="8187" spans="1:7" x14ac:dyDescent="0.2">
      <c r="A8187" s="116">
        <f>IF(ISNUMBER(Tabela2[[#This Row],[CT-e/NFS]])=TRUE,(IF(B8187&gt;30000,4,IF(B8187&lt;1000,"ND",0))),"-")</f>
        <v>0</v>
      </c>
      <c r="B8187" s="116">
        <v>22953</v>
      </c>
      <c r="C8187" s="117">
        <v>45709</v>
      </c>
      <c r="D8187" s="116">
        <v>136.38</v>
      </c>
      <c r="E8187" s="117">
        <v>45716</v>
      </c>
      <c r="F8187" s="116">
        <f>COUNTIFS($A$3:A16453,A8187,$B$3:B16453,B8187)</f>
        <v>1</v>
      </c>
      <c r="G8187" s="116"/>
    </row>
    <row r="8188" spans="1:7" x14ac:dyDescent="0.2">
      <c r="A8188" s="116">
        <f>IF(ISNUMBER(Tabela2[[#This Row],[CT-e/NFS]])=TRUE,(IF(B8188&gt;30000,4,IF(B8188&lt;1000,"ND",0))),"-")</f>
        <v>0</v>
      </c>
      <c r="B8188" s="116">
        <v>22955</v>
      </c>
      <c r="C8188" s="117">
        <v>45709</v>
      </c>
      <c r="D8188" s="116">
        <v>884.32</v>
      </c>
      <c r="E8188" s="117">
        <v>45716</v>
      </c>
      <c r="F8188" s="116">
        <f>COUNTIFS($A$3:A16454,A8188,$B$3:B16454,B8188)</f>
        <v>1</v>
      </c>
      <c r="G8188" s="116"/>
    </row>
    <row r="8189" spans="1:7" x14ac:dyDescent="0.2">
      <c r="A8189" s="116">
        <f>IF(ISNUMBER(Tabela2[[#This Row],[CT-e/NFS]])=TRUE,(IF(B8189&gt;30000,4,IF(B8189&lt;1000,"ND",0))),"-")</f>
        <v>0</v>
      </c>
      <c r="B8189" s="116">
        <v>22956</v>
      </c>
      <c r="C8189" s="117">
        <v>45709</v>
      </c>
      <c r="D8189" s="116">
        <v>143.56</v>
      </c>
      <c r="E8189" s="117">
        <v>45716</v>
      </c>
      <c r="F8189" s="116">
        <f>COUNTIFS($A$3:A16455,A8189,$B$3:B16455,B8189)</f>
        <v>1</v>
      </c>
      <c r="G8189" s="116"/>
    </row>
    <row r="8190" spans="1:7" x14ac:dyDescent="0.2">
      <c r="A8190" s="116">
        <f>IF(ISNUMBER(Tabela2[[#This Row],[CT-e/NFS]])=TRUE,(IF(B8190&gt;30000,4,IF(B8190&lt;1000,"ND",0))),"-")</f>
        <v>0</v>
      </c>
      <c r="B8190" s="116">
        <v>22957</v>
      </c>
      <c r="C8190" s="117">
        <v>45709</v>
      </c>
      <c r="D8190" s="116">
        <v>215.69</v>
      </c>
      <c r="E8190" s="117">
        <v>45716</v>
      </c>
      <c r="F8190" s="116">
        <f>COUNTIFS($A$3:A16456,A8190,$B$3:B16456,B8190)</f>
        <v>1</v>
      </c>
      <c r="G8190" s="116"/>
    </row>
    <row r="8191" spans="1:7" x14ac:dyDescent="0.2">
      <c r="A8191" s="116">
        <f>IF(ISNUMBER(Tabela2[[#This Row],[CT-e/NFS]])=TRUE,(IF(B8191&gt;30000,4,IF(B8191&lt;1000,"ND",0))),"-")</f>
        <v>0</v>
      </c>
      <c r="B8191" s="116">
        <v>22958</v>
      </c>
      <c r="C8191" s="117">
        <v>45709</v>
      </c>
      <c r="D8191" s="116">
        <v>75.62</v>
      </c>
      <c r="E8191" s="117">
        <v>45716</v>
      </c>
      <c r="F8191" s="116">
        <f>COUNTIFS($A$3:A16457,A8191,$B$3:B16457,B8191)</f>
        <v>1</v>
      </c>
      <c r="G8191" s="116"/>
    </row>
    <row r="8192" spans="1:7" x14ac:dyDescent="0.2">
      <c r="A8192" s="116">
        <f>IF(ISNUMBER(Tabela2[[#This Row],[CT-e/NFS]])=TRUE,(IF(B8192&gt;30000,4,IF(B8192&lt;1000,"ND",0))),"-")</f>
        <v>0</v>
      </c>
      <c r="B8192" s="116">
        <v>22919</v>
      </c>
      <c r="C8192" s="117">
        <v>45709</v>
      </c>
      <c r="D8192" s="116">
        <v>38.799999999999997</v>
      </c>
      <c r="E8192" s="117">
        <v>45716</v>
      </c>
      <c r="F8192" s="116">
        <f>COUNTIFS($A$3:A16458,A8192,$B$3:B16458,B8192)</f>
        <v>1</v>
      </c>
      <c r="G8192" s="116"/>
    </row>
    <row r="8193" spans="1:7" x14ac:dyDescent="0.2">
      <c r="A8193" s="116">
        <f>IF(ISNUMBER(Tabela2[[#This Row],[CT-e/NFS]])=TRUE,(IF(B8193&gt;30000,4,IF(B8193&lt;1000,"ND",0))),"-")</f>
        <v>0</v>
      </c>
      <c r="B8193" s="116">
        <v>22920</v>
      </c>
      <c r="C8193" s="117">
        <v>45709</v>
      </c>
      <c r="D8193" s="116">
        <v>70.040000000000006</v>
      </c>
      <c r="E8193" s="117">
        <v>45716</v>
      </c>
      <c r="F8193" s="116">
        <f>COUNTIFS($A$3:A16459,A8193,$B$3:B16459,B8193)</f>
        <v>1</v>
      </c>
      <c r="G8193" s="116"/>
    </row>
    <row r="8194" spans="1:7" x14ac:dyDescent="0.2">
      <c r="A8194" s="116">
        <f>IF(ISNUMBER(Tabela2[[#This Row],[CT-e/NFS]])=TRUE,(IF(B8194&gt;30000,4,IF(B8194&lt;1000,"ND",0))),"-")</f>
        <v>4</v>
      </c>
      <c r="B8194" s="116">
        <v>51808</v>
      </c>
      <c r="C8194" s="117">
        <v>45709</v>
      </c>
      <c r="D8194" s="116">
        <v>343.63</v>
      </c>
      <c r="E8194" s="117">
        <v>45716</v>
      </c>
      <c r="F8194" s="116">
        <f>COUNTIFS($A$3:A16460,A8194,$B$3:B16460,B8194)</f>
        <v>1</v>
      </c>
      <c r="G8194" s="116"/>
    </row>
    <row r="8195" spans="1:7" x14ac:dyDescent="0.2">
      <c r="A8195" s="116">
        <f>IF(ISNUMBER(Tabela2[[#This Row],[CT-e/NFS]])=TRUE,(IF(B8195&gt;30000,4,IF(B8195&lt;1000,"ND",0))),"-")</f>
        <v>0</v>
      </c>
      <c r="B8195" s="116">
        <v>22090</v>
      </c>
      <c r="C8195" s="117">
        <v>45714</v>
      </c>
      <c r="D8195" s="116">
        <v>133.11000000000001</v>
      </c>
      <c r="E8195" s="117">
        <v>45731</v>
      </c>
      <c r="F8195" s="116">
        <f>COUNTIFS($A$3:A16451,A8195,$B$3:B16451,B8195)</f>
        <v>1</v>
      </c>
      <c r="G8195" s="116"/>
    </row>
    <row r="8196" spans="1:7" x14ac:dyDescent="0.2">
      <c r="A8196" s="116">
        <f>IF(ISNUMBER(Tabela2[[#This Row],[CT-e/NFS]])=TRUE,(IF(B8196&gt;30000,4,IF(B8196&lt;1000,"ND",0))),"-")</f>
        <v>0</v>
      </c>
      <c r="B8196" s="116">
        <v>22072</v>
      </c>
      <c r="C8196" s="117">
        <v>45714</v>
      </c>
      <c r="D8196" s="116">
        <v>127.38</v>
      </c>
      <c r="E8196" s="117">
        <v>45731</v>
      </c>
      <c r="F8196" s="116">
        <f>COUNTIFS($A$3:A16452,A8196,$B$3:B16452,B8196)</f>
        <v>1</v>
      </c>
      <c r="G8196" s="116"/>
    </row>
    <row r="8197" spans="1:7" x14ac:dyDescent="0.2">
      <c r="A8197" s="116">
        <f>IF(ISNUMBER(Tabela2[[#This Row],[CT-e/NFS]])=TRUE,(IF(B8197&gt;30000,4,IF(B8197&lt;1000,"ND",0))),"-")</f>
        <v>0</v>
      </c>
      <c r="B8197" s="116">
        <v>22071</v>
      </c>
      <c r="C8197" s="117">
        <v>45714</v>
      </c>
      <c r="D8197" s="116">
        <v>97.06</v>
      </c>
      <c r="E8197" s="117">
        <v>45731</v>
      </c>
      <c r="F8197" s="116">
        <f>COUNTIFS($A$3:A16453,A8197,$B$3:B16453,B8197)</f>
        <v>1</v>
      </c>
      <c r="G8197" s="116"/>
    </row>
    <row r="8198" spans="1:7" x14ac:dyDescent="0.2">
      <c r="A8198" s="116">
        <f>IF(ISNUMBER(Tabela2[[#This Row],[CT-e/NFS]])=TRUE,(IF(B8198&gt;30000,4,IF(B8198&lt;1000,"ND",0))),"-")</f>
        <v>0</v>
      </c>
      <c r="B8198" s="116">
        <v>22060</v>
      </c>
      <c r="C8198" s="117">
        <v>45714</v>
      </c>
      <c r="D8198" s="116">
        <v>106.05</v>
      </c>
      <c r="E8198" s="117">
        <v>45731</v>
      </c>
      <c r="F8198" s="116">
        <f>COUNTIFS($A$3:A16454,A8198,$B$3:B16454,B8198)</f>
        <v>1</v>
      </c>
      <c r="G8198" s="116"/>
    </row>
    <row r="8199" spans="1:7" x14ac:dyDescent="0.2">
      <c r="A8199" s="116">
        <f>IF(ISNUMBER(Tabela2[[#This Row],[CT-e/NFS]])=TRUE,(IF(B8199&gt;30000,4,IF(B8199&lt;1000,"ND",0))),"-")</f>
        <v>0</v>
      </c>
      <c r="B8199" s="116">
        <v>22062</v>
      </c>
      <c r="C8199" s="117">
        <v>45714</v>
      </c>
      <c r="D8199" s="116">
        <v>106.05</v>
      </c>
      <c r="E8199" s="117">
        <v>45731</v>
      </c>
      <c r="F8199" s="116">
        <f>COUNTIFS($A$3:A16455,A8199,$B$3:B16455,B8199)</f>
        <v>1</v>
      </c>
      <c r="G8199" s="116"/>
    </row>
    <row r="8200" spans="1:7" x14ac:dyDescent="0.2">
      <c r="A8200" s="116">
        <f>IF(ISNUMBER(Tabela2[[#This Row],[CT-e/NFS]])=TRUE,(IF(B8200&gt;30000,4,IF(B8200&lt;1000,"ND",0))),"-")</f>
        <v>0</v>
      </c>
      <c r="B8200" s="116">
        <v>22061</v>
      </c>
      <c r="C8200" s="117">
        <v>45714</v>
      </c>
      <c r="D8200" s="116">
        <v>46.52</v>
      </c>
      <c r="E8200" s="117">
        <v>45731</v>
      </c>
      <c r="F8200" s="116">
        <f>COUNTIFS($A$3:A16456,A8200,$B$3:B16456,B8200)</f>
        <v>1</v>
      </c>
      <c r="G8200" s="116"/>
    </row>
    <row r="8201" spans="1:7" x14ac:dyDescent="0.2">
      <c r="A8201" s="116">
        <f>IF(ISNUMBER(Tabela2[[#This Row],[CT-e/NFS]])=TRUE,(IF(B8201&gt;30000,4,IF(B8201&lt;1000,"ND",0))),"-")</f>
        <v>0</v>
      </c>
      <c r="B8201" s="116">
        <v>22037</v>
      </c>
      <c r="C8201" s="117">
        <v>45714</v>
      </c>
      <c r="D8201" s="116">
        <v>100.37</v>
      </c>
      <c r="E8201" s="117">
        <v>45731</v>
      </c>
      <c r="F8201" s="116">
        <f>COUNTIFS($A$3:A16457,A8201,$B$3:B16457,B8201)</f>
        <v>1</v>
      </c>
      <c r="G8201" s="116"/>
    </row>
    <row r="8202" spans="1:7" x14ac:dyDescent="0.2">
      <c r="A8202" s="116">
        <f>IF(ISNUMBER(Tabela2[[#This Row],[CT-e/NFS]])=TRUE,(IF(B8202&gt;30000,4,IF(B8202&lt;1000,"ND",0))),"-")</f>
        <v>0</v>
      </c>
      <c r="B8202" s="116">
        <v>22001</v>
      </c>
      <c r="C8202" s="117">
        <v>45714</v>
      </c>
      <c r="D8202" s="116">
        <v>95.61</v>
      </c>
      <c r="E8202" s="117">
        <v>45731</v>
      </c>
      <c r="F8202" s="116">
        <f>COUNTIFS($A$3:A16458,A8202,$B$3:B16458,B8202)</f>
        <v>1</v>
      </c>
      <c r="G8202" s="116"/>
    </row>
    <row r="8203" spans="1:7" x14ac:dyDescent="0.2">
      <c r="A8203" s="116">
        <f>IF(ISNUMBER(Tabela2[[#This Row],[CT-e/NFS]])=TRUE,(IF(B8203&gt;30000,4,IF(B8203&lt;1000,"ND",0))),"-")</f>
        <v>0</v>
      </c>
      <c r="B8203" s="116">
        <v>22006</v>
      </c>
      <c r="C8203" s="117">
        <v>45714</v>
      </c>
      <c r="D8203" s="116">
        <v>97.06</v>
      </c>
      <c r="E8203" s="117">
        <v>45731</v>
      </c>
      <c r="F8203" s="116">
        <f>COUNTIFS($A$3:A16459,A8203,$B$3:B16459,B8203)</f>
        <v>1</v>
      </c>
      <c r="G8203" s="116"/>
    </row>
    <row r="8204" spans="1:7" x14ac:dyDescent="0.2">
      <c r="A8204" s="116">
        <f>IF(ISNUMBER(Tabela2[[#This Row],[CT-e/NFS]])=TRUE,(IF(B8204&gt;30000,4,IF(B8204&lt;1000,"ND",0))),"-")</f>
        <v>0</v>
      </c>
      <c r="B8204" s="116">
        <v>22005</v>
      </c>
      <c r="C8204" s="117">
        <v>45714</v>
      </c>
      <c r="D8204" s="116">
        <v>112.25</v>
      </c>
      <c r="E8204" s="117">
        <v>45731</v>
      </c>
      <c r="F8204" s="116">
        <f>COUNTIFS($A$3:A16460,A8204,$B$3:B16460,B8204)</f>
        <v>1</v>
      </c>
      <c r="G8204" s="116"/>
    </row>
    <row r="8205" spans="1:7" x14ac:dyDescent="0.2">
      <c r="A8205" s="116">
        <f>IF(ISNUMBER(Tabela2[[#This Row],[CT-e/NFS]])=TRUE,(IF(B8205&gt;30000,4,IF(B8205&lt;1000,"ND",0))),"-")</f>
        <v>0</v>
      </c>
      <c r="B8205" s="116">
        <v>22002</v>
      </c>
      <c r="C8205" s="117">
        <v>45714</v>
      </c>
      <c r="D8205" s="116">
        <v>101.45</v>
      </c>
      <c r="E8205" s="117">
        <v>45731</v>
      </c>
      <c r="F8205" s="116">
        <f>COUNTIFS($A$3:A16461,A8205,$B$3:B16461,B8205)</f>
        <v>1</v>
      </c>
      <c r="G8205" s="116"/>
    </row>
    <row r="8206" spans="1:7" x14ac:dyDescent="0.2">
      <c r="A8206" s="116">
        <f>IF(ISNUMBER(Tabela2[[#This Row],[CT-e/NFS]])=TRUE,(IF(B8206&gt;30000,4,IF(B8206&lt;1000,"ND",0))),"-")</f>
        <v>4</v>
      </c>
      <c r="B8206" s="116">
        <v>49118</v>
      </c>
      <c r="C8206" s="117">
        <v>45714</v>
      </c>
      <c r="D8206" s="116">
        <v>115.01</v>
      </c>
      <c r="E8206" s="117">
        <v>45731</v>
      </c>
      <c r="F8206" s="116">
        <f>COUNTIFS($A$3:A16462,A8206,$B$3:B16462,B8206)</f>
        <v>1</v>
      </c>
      <c r="G8206" s="116"/>
    </row>
    <row r="8207" spans="1:7" x14ac:dyDescent="0.2">
      <c r="A8207" s="116">
        <f>IF(ISNUMBER(Tabela2[[#This Row],[CT-e/NFS]])=TRUE,(IF(B8207&gt;30000,4,IF(B8207&lt;1000,"ND",0))),"-")</f>
        <v>4</v>
      </c>
      <c r="B8207" s="116">
        <v>49112</v>
      </c>
      <c r="C8207" s="117">
        <v>45714</v>
      </c>
      <c r="D8207" s="116">
        <v>101.14</v>
      </c>
      <c r="E8207" s="117">
        <v>45731</v>
      </c>
      <c r="F8207" s="116">
        <f>COUNTIFS($A$3:A16463,A8207,$B$3:B16463,B8207)</f>
        <v>1</v>
      </c>
      <c r="G8207" s="116"/>
    </row>
    <row r="8208" spans="1:7" x14ac:dyDescent="0.2">
      <c r="A8208" s="116">
        <f>IF(ISNUMBER(Tabela2[[#This Row],[CT-e/NFS]])=TRUE,(IF(B8208&gt;30000,4,IF(B8208&lt;1000,"ND",0))),"-")</f>
        <v>4</v>
      </c>
      <c r="B8208" s="116">
        <v>49111</v>
      </c>
      <c r="C8208" s="117">
        <v>45714</v>
      </c>
      <c r="D8208" s="116">
        <v>61.19</v>
      </c>
      <c r="E8208" s="117">
        <v>45731</v>
      </c>
      <c r="F8208" s="116">
        <f>COUNTIFS($A$3:A16464,A8208,$B$3:B16464,B8208)</f>
        <v>1</v>
      </c>
      <c r="G8208" s="116"/>
    </row>
    <row r="8209" spans="1:7" x14ac:dyDescent="0.2">
      <c r="A8209" s="116">
        <f>IF(ISNUMBER(Tabela2[[#This Row],[CT-e/NFS]])=TRUE,(IF(B8209&gt;30000,4,IF(B8209&lt;1000,"ND",0))),"-")</f>
        <v>4</v>
      </c>
      <c r="B8209" s="116">
        <v>49079</v>
      </c>
      <c r="C8209" s="117">
        <v>45714</v>
      </c>
      <c r="D8209" s="116">
        <v>111.03</v>
      </c>
      <c r="E8209" s="117">
        <v>45731</v>
      </c>
      <c r="F8209" s="116">
        <f>COUNTIFS($A$3:A16465,A8209,$B$3:B16465,B8209)</f>
        <v>1</v>
      </c>
      <c r="G8209" s="116"/>
    </row>
    <row r="8210" spans="1:7" x14ac:dyDescent="0.2">
      <c r="A8210" s="116">
        <f>IF(ISNUMBER(Tabela2[[#This Row],[CT-e/NFS]])=TRUE,(IF(B8210&gt;30000,4,IF(B8210&lt;1000,"ND",0))),"-")</f>
        <v>4</v>
      </c>
      <c r="B8210" s="116">
        <v>49058</v>
      </c>
      <c r="C8210" s="117">
        <v>45714</v>
      </c>
      <c r="D8210" s="116">
        <v>117.51</v>
      </c>
      <c r="E8210" s="117">
        <v>45731</v>
      </c>
      <c r="F8210" s="116">
        <f>COUNTIFS($A$3:A16466,A8210,$B$3:B16466,B8210)</f>
        <v>1</v>
      </c>
      <c r="G8210" s="116"/>
    </row>
    <row r="8211" spans="1:7" x14ac:dyDescent="0.2">
      <c r="A8211" s="116">
        <f>IF(ISNUMBER(Tabela2[[#This Row],[CT-e/NFS]])=TRUE,(IF(B8211&gt;30000,4,IF(B8211&lt;1000,"ND",0))),"-")</f>
        <v>4</v>
      </c>
      <c r="B8211" s="116">
        <v>49057</v>
      </c>
      <c r="C8211" s="117">
        <v>45714</v>
      </c>
      <c r="D8211" s="116">
        <v>404.23</v>
      </c>
      <c r="E8211" s="117">
        <v>45731</v>
      </c>
      <c r="F8211" s="116">
        <f>COUNTIFS($A$3:A16467,A8211,$B$3:B16467,B8211)</f>
        <v>1</v>
      </c>
      <c r="G8211" s="116"/>
    </row>
    <row r="8212" spans="1:7" x14ac:dyDescent="0.2">
      <c r="A8212" s="116">
        <f>IF(ISNUMBER(Tabela2[[#This Row],[CT-e/NFS]])=TRUE,(IF(B8212&gt;30000,4,IF(B8212&lt;1000,"ND",0))),"-")</f>
        <v>4</v>
      </c>
      <c r="B8212" s="116">
        <v>49026</v>
      </c>
      <c r="C8212" s="117">
        <v>45714</v>
      </c>
      <c r="D8212" s="116">
        <v>604.41999999999996</v>
      </c>
      <c r="E8212" s="117">
        <v>45731</v>
      </c>
      <c r="F8212" s="116">
        <f>COUNTIFS($A$3:A16468,A8212,$B$3:B16468,B8212)</f>
        <v>1</v>
      </c>
      <c r="G8212" s="116"/>
    </row>
    <row r="8213" spans="1:7" x14ac:dyDescent="0.2">
      <c r="A8213" s="116">
        <f>IF(ISNUMBER(Tabela2[[#This Row],[CT-e/NFS]])=TRUE,(IF(B8213&gt;30000,4,IF(B8213&lt;1000,"ND",0))),"-")</f>
        <v>4</v>
      </c>
      <c r="B8213" s="116">
        <v>49017</v>
      </c>
      <c r="C8213" s="117">
        <v>45714</v>
      </c>
      <c r="D8213" s="116">
        <v>112.5</v>
      </c>
      <c r="E8213" s="117">
        <v>45731</v>
      </c>
      <c r="F8213" s="116">
        <f>COUNTIFS($A$3:A16469,A8213,$B$3:B16469,B8213)</f>
        <v>1</v>
      </c>
      <c r="G8213" s="116"/>
    </row>
    <row r="8214" spans="1:7" x14ac:dyDescent="0.2">
      <c r="A8214" s="116">
        <f>IF(ISNUMBER(Tabela2[[#This Row],[CT-e/NFS]])=TRUE,(IF(B8214&gt;30000,4,IF(B8214&lt;1000,"ND",0))),"-")</f>
        <v>4</v>
      </c>
      <c r="B8214" s="116">
        <v>49006</v>
      </c>
      <c r="C8214" s="117">
        <v>45714</v>
      </c>
      <c r="D8214" s="116">
        <v>122.64</v>
      </c>
      <c r="E8214" s="117">
        <v>45731</v>
      </c>
      <c r="F8214" s="116">
        <f>COUNTIFS($A$3:A16470,A8214,$B$3:B16470,B8214)</f>
        <v>1</v>
      </c>
      <c r="G8214" s="116"/>
    </row>
    <row r="8215" spans="1:7" x14ac:dyDescent="0.2">
      <c r="A8215" s="116">
        <f>IF(ISNUMBER(Tabela2[[#This Row],[CT-e/NFS]])=TRUE,(IF(B8215&gt;30000,4,IF(B8215&lt;1000,"ND",0))),"-")</f>
        <v>4</v>
      </c>
      <c r="B8215" s="116">
        <v>48965</v>
      </c>
      <c r="C8215" s="117">
        <v>45714</v>
      </c>
      <c r="D8215" s="116">
        <v>358.43</v>
      </c>
      <c r="E8215" s="117">
        <v>45731</v>
      </c>
      <c r="F8215" s="116">
        <f>COUNTIFS($A$3:A16471,A8215,$B$3:B16471,B8215)</f>
        <v>1</v>
      </c>
      <c r="G8215" s="116"/>
    </row>
    <row r="8216" spans="1:7" x14ac:dyDescent="0.2">
      <c r="A8216" s="116">
        <f>IF(ISNUMBER(Tabela2[[#This Row],[CT-e/NFS]])=TRUE,(IF(B8216&gt;30000,4,IF(B8216&lt;1000,"ND",0))),"-")</f>
        <v>4</v>
      </c>
      <c r="B8216" s="116">
        <v>48934</v>
      </c>
      <c r="C8216" s="117">
        <v>45714</v>
      </c>
      <c r="D8216" s="116">
        <v>105.89</v>
      </c>
      <c r="E8216" s="117">
        <v>45731</v>
      </c>
      <c r="F8216" s="116">
        <f>COUNTIFS($A$3:A16472,A8216,$B$3:B16472,B8216)</f>
        <v>1</v>
      </c>
      <c r="G8216" s="116"/>
    </row>
    <row r="8217" spans="1:7" x14ac:dyDescent="0.2">
      <c r="A8217" s="116">
        <f>IF(ISNUMBER(Tabela2[[#This Row],[CT-e/NFS]])=TRUE,(IF(B8217&gt;30000,4,IF(B8217&lt;1000,"ND",0))),"-")</f>
        <v>4</v>
      </c>
      <c r="B8217" s="116">
        <v>48909</v>
      </c>
      <c r="C8217" s="117">
        <v>45714</v>
      </c>
      <c r="D8217" s="116">
        <v>624.89</v>
      </c>
      <c r="E8217" s="117">
        <v>45731</v>
      </c>
      <c r="F8217" s="116">
        <f>COUNTIFS($A$3:A16473,A8217,$B$3:B16473,B8217)</f>
        <v>1</v>
      </c>
      <c r="G8217" s="116"/>
    </row>
    <row r="8218" spans="1:7" x14ac:dyDescent="0.2">
      <c r="A8218" s="116">
        <f>IF(ISNUMBER(Tabela2[[#This Row],[CT-e/NFS]])=TRUE,(IF(B8218&gt;30000,4,IF(B8218&lt;1000,"ND",0))),"-")</f>
        <v>4</v>
      </c>
      <c r="B8218" s="116">
        <v>48906</v>
      </c>
      <c r="C8218" s="117">
        <v>45714</v>
      </c>
      <c r="D8218" s="116">
        <v>131.81</v>
      </c>
      <c r="E8218" s="117">
        <v>45731</v>
      </c>
      <c r="F8218" s="116">
        <f>COUNTIFS($A$3:A16474,A8218,$B$3:B16474,B8218)</f>
        <v>1</v>
      </c>
      <c r="G8218" s="116"/>
    </row>
    <row r="8219" spans="1:7" x14ac:dyDescent="0.2">
      <c r="A8219" s="116">
        <f>IF(ISNUMBER(Tabela2[[#This Row],[CT-e/NFS]])=TRUE,(IF(B8219&gt;30000,4,IF(B8219&lt;1000,"ND",0))),"-")</f>
        <v>4</v>
      </c>
      <c r="B8219" s="116">
        <v>48905</v>
      </c>
      <c r="C8219" s="117">
        <v>45714</v>
      </c>
      <c r="D8219" s="116">
        <v>572.66</v>
      </c>
      <c r="E8219" s="117">
        <v>45731</v>
      </c>
      <c r="F8219" s="116">
        <f>COUNTIFS($A$3:A16475,A8219,$B$3:B16475,B8219)</f>
        <v>1</v>
      </c>
      <c r="G8219" s="116"/>
    </row>
    <row r="8220" spans="1:7" x14ac:dyDescent="0.2">
      <c r="A8220" s="116">
        <f>IF(ISNUMBER(Tabela2[[#This Row],[CT-e/NFS]])=TRUE,(IF(B8220&gt;30000,4,IF(B8220&lt;1000,"ND",0))),"-")</f>
        <v>4</v>
      </c>
      <c r="B8220" s="116">
        <v>48904</v>
      </c>
      <c r="C8220" s="117">
        <v>45714</v>
      </c>
      <c r="D8220" s="116">
        <v>648.6</v>
      </c>
      <c r="E8220" s="117">
        <v>45731</v>
      </c>
      <c r="F8220" s="116">
        <f>COUNTIFS($A$3:A16476,A8220,$B$3:B16476,B8220)</f>
        <v>1</v>
      </c>
      <c r="G8220" s="116"/>
    </row>
    <row r="8221" spans="1:7" x14ac:dyDescent="0.2">
      <c r="A8221" s="116">
        <f>IF(ISNUMBER(Tabela2[[#This Row],[CT-e/NFS]])=TRUE,(IF(B8221&gt;30000,4,IF(B8221&lt;1000,"ND",0))),"-")</f>
        <v>4</v>
      </c>
      <c r="B8221" s="116">
        <v>48901</v>
      </c>
      <c r="C8221" s="117">
        <v>45714</v>
      </c>
      <c r="D8221" s="116">
        <v>211.47</v>
      </c>
      <c r="E8221" s="117">
        <v>45731</v>
      </c>
      <c r="F8221" s="116">
        <f>COUNTIFS($A$3:A16477,A8221,$B$3:B16477,B8221)</f>
        <v>1</v>
      </c>
      <c r="G8221" s="116"/>
    </row>
    <row r="8222" spans="1:7" x14ac:dyDescent="0.2">
      <c r="A8222" s="116">
        <f>IF(ISNUMBER(Tabela2[[#This Row],[CT-e/NFS]])=TRUE,(IF(B8222&gt;30000,4,IF(B8222&lt;1000,"ND",0))),"-")</f>
        <v>0</v>
      </c>
      <c r="B8222" s="116">
        <v>22627</v>
      </c>
      <c r="C8222" s="117">
        <v>45714</v>
      </c>
      <c r="D8222" s="116">
        <v>146.69999999999999</v>
      </c>
      <c r="E8222" s="117">
        <v>45731</v>
      </c>
      <c r="F8222" s="116">
        <f>COUNTIFS($A$3:A16478,A8222,$B$3:B16478,B8222)</f>
        <v>1</v>
      </c>
      <c r="G8222" s="116"/>
    </row>
    <row r="8223" spans="1:7" x14ac:dyDescent="0.2">
      <c r="A8223" s="116">
        <f>IF(ISNUMBER(Tabela2[[#This Row],[CT-e/NFS]])=TRUE,(IF(B8223&gt;30000,4,IF(B8223&lt;1000,"ND",0))),"-")</f>
        <v>0</v>
      </c>
      <c r="B8223" s="116">
        <v>22626</v>
      </c>
      <c r="C8223" s="117">
        <v>45714</v>
      </c>
      <c r="D8223" s="116">
        <v>98.2</v>
      </c>
      <c r="E8223" s="117">
        <v>45731</v>
      </c>
      <c r="F8223" s="116">
        <f>COUNTIFS($A$3:A16479,A8223,$B$3:B16479,B8223)</f>
        <v>1</v>
      </c>
      <c r="G8223" s="116"/>
    </row>
    <row r="8224" spans="1:7" x14ac:dyDescent="0.2">
      <c r="A8224" s="116">
        <f>IF(ISNUMBER(Tabela2[[#This Row],[CT-e/NFS]])=TRUE,(IF(B8224&gt;30000,4,IF(B8224&lt;1000,"ND",0))),"-")</f>
        <v>0</v>
      </c>
      <c r="B8224" s="116">
        <v>22628</v>
      </c>
      <c r="C8224" s="117">
        <v>45714</v>
      </c>
      <c r="D8224" s="116">
        <v>250.85</v>
      </c>
      <c r="E8224" s="117">
        <v>45731</v>
      </c>
      <c r="F8224" s="116">
        <f>COUNTIFS($A$3:A16480,A8224,$B$3:B16480,B8224)</f>
        <v>1</v>
      </c>
      <c r="G8224" s="116"/>
    </row>
    <row r="8225" spans="1:7" x14ac:dyDescent="0.2">
      <c r="A8225" s="116">
        <f>IF(ISNUMBER(Tabela2[[#This Row],[CT-e/NFS]])=TRUE,(IF(B8225&gt;30000,4,IF(B8225&lt;1000,"ND",0))),"-")</f>
        <v>0</v>
      </c>
      <c r="B8225" s="116">
        <v>22625</v>
      </c>
      <c r="C8225" s="117">
        <v>45714</v>
      </c>
      <c r="D8225" s="116">
        <v>290.97000000000003</v>
      </c>
      <c r="E8225" s="117">
        <v>45731</v>
      </c>
      <c r="F8225" s="116">
        <f>COUNTIFS($A$3:A16481,A8225,$B$3:B16481,B8225)</f>
        <v>1</v>
      </c>
      <c r="G8225" s="116"/>
    </row>
    <row r="8226" spans="1:7" x14ac:dyDescent="0.2">
      <c r="A8226" s="116">
        <f>IF(ISNUMBER(Tabela2[[#This Row],[CT-e/NFS]])=TRUE,(IF(B8226&gt;30000,4,IF(B8226&lt;1000,"ND",0))),"-")</f>
        <v>0</v>
      </c>
      <c r="B8226" s="116">
        <v>22624</v>
      </c>
      <c r="C8226" s="117">
        <v>45714</v>
      </c>
      <c r="D8226" s="116">
        <v>146.69999999999999</v>
      </c>
      <c r="E8226" s="117">
        <v>45731</v>
      </c>
      <c r="F8226" s="116">
        <f>COUNTIFS($A$3:A16482,A8226,$B$3:B16482,B8226)</f>
        <v>1</v>
      </c>
      <c r="G8226" s="116"/>
    </row>
    <row r="8227" spans="1:7" x14ac:dyDescent="0.2">
      <c r="A8227" s="116">
        <f>IF(ISNUMBER(Tabela2[[#This Row],[CT-e/NFS]])=TRUE,(IF(B8227&gt;30000,4,IF(B8227&lt;1000,"ND",0))),"-")</f>
        <v>4</v>
      </c>
      <c r="B8227" s="116">
        <v>50990</v>
      </c>
      <c r="C8227" s="117">
        <v>45714</v>
      </c>
      <c r="D8227" s="116">
        <v>324.5</v>
      </c>
      <c r="E8227" s="117">
        <v>45731</v>
      </c>
      <c r="F8227" s="116">
        <f>COUNTIFS($A$3:A16483,A8227,$B$3:B16483,B8227)</f>
        <v>1</v>
      </c>
      <c r="G8227" s="116"/>
    </row>
    <row r="8228" spans="1:7" x14ac:dyDescent="0.2">
      <c r="A8228" s="116">
        <f>IF(ISNUMBER(Tabela2[[#This Row],[CT-e/NFS]])=TRUE,(IF(B8228&gt;30000,4,IF(B8228&lt;1000,"ND",0))),"-")</f>
        <v>4</v>
      </c>
      <c r="B8228" s="116">
        <v>50939</v>
      </c>
      <c r="C8228" s="117">
        <v>45714</v>
      </c>
      <c r="D8228" s="116">
        <v>125.73</v>
      </c>
      <c r="E8228" s="117">
        <v>45731</v>
      </c>
      <c r="F8228" s="116">
        <f>COUNTIFS($A$3:A16484,A8228,$B$3:B16484,B8228)</f>
        <v>1</v>
      </c>
      <c r="G8228" s="116"/>
    </row>
    <row r="8229" spans="1:7" x14ac:dyDescent="0.2">
      <c r="A8229" s="116">
        <f>IF(ISNUMBER(Tabela2[[#This Row],[CT-e/NFS]])=TRUE,(IF(B8229&gt;30000,4,IF(B8229&lt;1000,"ND",0))),"-")</f>
        <v>4</v>
      </c>
      <c r="B8229" s="116">
        <v>50822</v>
      </c>
      <c r="C8229" s="117">
        <v>45714</v>
      </c>
      <c r="D8229" s="116">
        <v>574.25</v>
      </c>
      <c r="E8229" s="117">
        <v>45731</v>
      </c>
      <c r="F8229" s="116">
        <f>COUNTIFS($A$3:A16485,A8229,$B$3:B16485,B8229)</f>
        <v>1</v>
      </c>
      <c r="G8229" s="116"/>
    </row>
    <row r="8230" spans="1:7" x14ac:dyDescent="0.2">
      <c r="A8230" s="116">
        <f>IF(ISNUMBER(Tabela2[[#This Row],[CT-e/NFS]])=TRUE,(IF(B8230&gt;30000,4,IF(B8230&lt;1000,"ND",0))),"-")</f>
        <v>0</v>
      </c>
      <c r="B8230" s="116">
        <v>23022</v>
      </c>
      <c r="C8230" s="117">
        <v>45714</v>
      </c>
      <c r="D8230" s="116">
        <v>98.54</v>
      </c>
      <c r="E8230" s="117">
        <v>45731</v>
      </c>
      <c r="F8230" s="116">
        <f>COUNTIFS($A$3:A16486,A8230,$B$3:B16486,B8230)</f>
        <v>1</v>
      </c>
      <c r="G8230" s="116"/>
    </row>
    <row r="8231" spans="1:7" x14ac:dyDescent="0.2">
      <c r="A8231" s="116">
        <f>IF(ISNUMBER(Tabela2[[#This Row],[CT-e/NFS]])=TRUE,(IF(B8231&gt;30000,4,IF(B8231&lt;1000,"ND",0))),"-")</f>
        <v>0</v>
      </c>
      <c r="B8231" s="116">
        <v>22998</v>
      </c>
      <c r="C8231" s="117">
        <v>45714</v>
      </c>
      <c r="D8231" s="116">
        <v>450.59</v>
      </c>
      <c r="E8231" s="117">
        <v>45731</v>
      </c>
      <c r="F8231" s="116">
        <f>COUNTIFS($A$3:A16487,A8231,$B$3:B16487,B8231)</f>
        <v>1</v>
      </c>
      <c r="G8231" s="116"/>
    </row>
    <row r="8232" spans="1:7" x14ac:dyDescent="0.2">
      <c r="A8232" s="116">
        <f>IF(ISNUMBER(Tabela2[[#This Row],[CT-e/NFS]])=TRUE,(IF(B8232&gt;30000,4,IF(B8232&lt;1000,"ND",0))),"-")</f>
        <v>0</v>
      </c>
      <c r="B8232" s="116">
        <v>22996</v>
      </c>
      <c r="C8232" s="117">
        <v>45714</v>
      </c>
      <c r="D8232" s="116">
        <v>99.26</v>
      </c>
      <c r="E8232" s="117">
        <v>45731</v>
      </c>
      <c r="F8232" s="116">
        <f>COUNTIFS($A$3:A16488,A8232,$B$3:B16488,B8232)</f>
        <v>1</v>
      </c>
      <c r="G8232" s="116"/>
    </row>
    <row r="8233" spans="1:7" x14ac:dyDescent="0.2">
      <c r="A8233" s="116">
        <f>IF(ISNUMBER(Tabela2[[#This Row],[CT-e/NFS]])=TRUE,(IF(B8233&gt;30000,4,IF(B8233&lt;1000,"ND",0))),"-")</f>
        <v>0</v>
      </c>
      <c r="B8233" s="116">
        <v>22989</v>
      </c>
      <c r="C8233" s="117">
        <v>45714</v>
      </c>
      <c r="D8233" s="116">
        <v>102.56</v>
      </c>
      <c r="E8233" s="117">
        <v>45731</v>
      </c>
      <c r="F8233" s="116">
        <f>COUNTIFS($A$3:A16489,A8233,$B$3:B16489,B8233)</f>
        <v>1</v>
      </c>
      <c r="G8233" s="116"/>
    </row>
    <row r="8234" spans="1:7" x14ac:dyDescent="0.2">
      <c r="A8234" s="116">
        <f>IF(ISNUMBER(Tabela2[[#This Row],[CT-e/NFS]])=TRUE,(IF(B8234&gt;30000,4,IF(B8234&lt;1000,"ND",0))),"-")</f>
        <v>0</v>
      </c>
      <c r="B8234" s="116">
        <v>22981</v>
      </c>
      <c r="C8234" s="117">
        <v>45714</v>
      </c>
      <c r="D8234" s="116">
        <v>127.58</v>
      </c>
      <c r="E8234" s="117">
        <v>45731</v>
      </c>
      <c r="F8234" s="116">
        <f>COUNTIFS($A$3:A16490,A8234,$B$3:B16490,B8234)</f>
        <v>1</v>
      </c>
      <c r="G8234" s="116"/>
    </row>
    <row r="8235" spans="1:7" x14ac:dyDescent="0.2">
      <c r="A8235" s="116">
        <f>IF(ISNUMBER(Tabela2[[#This Row],[CT-e/NFS]])=TRUE,(IF(B8235&gt;30000,4,IF(B8235&lt;1000,"ND",0))),"-")</f>
        <v>0</v>
      </c>
      <c r="B8235" s="116">
        <v>22980</v>
      </c>
      <c r="C8235" s="117">
        <v>45714</v>
      </c>
      <c r="D8235" s="116">
        <v>445.79</v>
      </c>
      <c r="E8235" s="117">
        <v>45731</v>
      </c>
      <c r="F8235" s="116">
        <f>COUNTIFS($A$3:A16491,A8235,$B$3:B16491,B8235)</f>
        <v>1</v>
      </c>
      <c r="G8235" s="116"/>
    </row>
    <row r="8236" spans="1:7" x14ac:dyDescent="0.2">
      <c r="A8236" s="116">
        <f>IF(ISNUMBER(Tabela2[[#This Row],[CT-e/NFS]])=TRUE,(IF(B8236&gt;30000,4,IF(B8236&lt;1000,"ND",0))),"-")</f>
        <v>0</v>
      </c>
      <c r="B8236" s="116">
        <v>22979</v>
      </c>
      <c r="C8236" s="117">
        <v>45714</v>
      </c>
      <c r="D8236" s="116">
        <v>223.59</v>
      </c>
      <c r="E8236" s="117">
        <v>45731</v>
      </c>
      <c r="F8236" s="116">
        <f>COUNTIFS($A$3:A16492,A8236,$B$3:B16492,B8236)</f>
        <v>1</v>
      </c>
      <c r="G8236" s="116"/>
    </row>
    <row r="8237" spans="1:7" x14ac:dyDescent="0.2">
      <c r="A8237" s="116">
        <f>IF(ISNUMBER(Tabela2[[#This Row],[CT-e/NFS]])=TRUE,(IF(B8237&gt;30000,4,IF(B8237&lt;1000,"ND",0))),"-")</f>
        <v>4</v>
      </c>
      <c r="B8237" s="116">
        <v>52011</v>
      </c>
      <c r="C8237" s="117">
        <v>45714</v>
      </c>
      <c r="D8237" s="116">
        <v>116.94</v>
      </c>
      <c r="E8237" s="117">
        <v>45731</v>
      </c>
      <c r="F8237" s="116">
        <f>COUNTIFS($A$3:A16493,A8237,$B$3:B16493,B8237)</f>
        <v>1</v>
      </c>
      <c r="G8237" s="116"/>
    </row>
    <row r="8238" spans="1:7" x14ac:dyDescent="0.2">
      <c r="A8238" s="116">
        <f>IF(ISNUMBER(Tabela2[[#This Row],[CT-e/NFS]])=TRUE,(IF(B8238&gt;30000,4,IF(B8238&lt;1000,"ND",0))),"-")</f>
        <v>4</v>
      </c>
      <c r="B8238" s="116">
        <v>52009</v>
      </c>
      <c r="C8238" s="117">
        <v>45714</v>
      </c>
      <c r="D8238" s="116">
        <v>114.05</v>
      </c>
      <c r="E8238" s="117">
        <v>45731</v>
      </c>
      <c r="F8238" s="116">
        <f>COUNTIFS($A$3:A16494,A8238,$B$3:B16494,B8238)</f>
        <v>1</v>
      </c>
      <c r="G8238" s="116"/>
    </row>
    <row r="8239" spans="1:7" x14ac:dyDescent="0.2">
      <c r="A8239" s="116">
        <f>IF(ISNUMBER(Tabela2[[#This Row],[CT-e/NFS]])=TRUE,(IF(B8239&gt;30000,4,IF(B8239&lt;1000,"ND",0))),"-")</f>
        <v>4</v>
      </c>
      <c r="B8239" s="116">
        <v>52008</v>
      </c>
      <c r="C8239" s="117">
        <v>45714</v>
      </c>
      <c r="D8239" s="116">
        <v>573.9</v>
      </c>
      <c r="E8239" s="117">
        <v>45731</v>
      </c>
      <c r="F8239" s="116">
        <f>COUNTIFS($A$3:A16495,A8239,$B$3:B16495,B8239)</f>
        <v>1</v>
      </c>
      <c r="G8239" s="116"/>
    </row>
    <row r="8240" spans="1:7" x14ac:dyDescent="0.2">
      <c r="A8240" s="116">
        <f>IF(ISNUMBER(Tabela2[[#This Row],[CT-e/NFS]])=TRUE,(IF(B8240&gt;30000,4,IF(B8240&lt;1000,"ND",0))),"-")</f>
        <v>4</v>
      </c>
      <c r="B8240" s="116">
        <v>51982</v>
      </c>
      <c r="C8240" s="117">
        <v>45714</v>
      </c>
      <c r="D8240" s="116">
        <v>114.56</v>
      </c>
      <c r="E8240" s="117">
        <v>45731</v>
      </c>
      <c r="F8240" s="116">
        <f>COUNTIFS($A$3:A16496,A8240,$B$3:B16496,B8240)</f>
        <v>1</v>
      </c>
      <c r="G8240" s="116"/>
    </row>
    <row r="8241" spans="1:7" x14ac:dyDescent="0.2">
      <c r="A8241" s="116">
        <f>IF(ISNUMBER(Tabela2[[#This Row],[CT-e/NFS]])=TRUE,(IF(B8241&gt;30000,4,IF(B8241&lt;1000,"ND",0))),"-")</f>
        <v>4</v>
      </c>
      <c r="B8241" s="116">
        <v>51977</v>
      </c>
      <c r="C8241" s="117">
        <v>45714</v>
      </c>
      <c r="D8241" s="116">
        <v>680.27</v>
      </c>
      <c r="E8241" s="117">
        <v>45731</v>
      </c>
      <c r="F8241" s="116">
        <f>COUNTIFS($A$3:A16497,A8241,$B$3:B16497,B8241)</f>
        <v>1</v>
      </c>
      <c r="G8241" s="116"/>
    </row>
    <row r="8242" spans="1:7" x14ac:dyDescent="0.2">
      <c r="A8242" s="116">
        <f>IF(ISNUMBER(Tabela2[[#This Row],[CT-e/NFS]])=TRUE,(IF(B8242&gt;30000,4,IF(B8242&lt;1000,"ND",0))),"-")</f>
        <v>4</v>
      </c>
      <c r="B8242" s="116">
        <v>51881</v>
      </c>
      <c r="C8242" s="117">
        <v>45714</v>
      </c>
      <c r="D8242" s="116">
        <v>104.17</v>
      </c>
      <c r="E8242" s="117">
        <v>45731</v>
      </c>
      <c r="F8242" s="116">
        <f>COUNTIFS($A$3:A16498,A8242,$B$3:B16498,B8242)</f>
        <v>1</v>
      </c>
      <c r="G8242" s="116"/>
    </row>
    <row r="8243" spans="1:7" x14ac:dyDescent="0.2">
      <c r="A8243" s="116">
        <f>IF(ISNUMBER(Tabela2[[#This Row],[CT-e/NFS]])=TRUE,(IF(B8243&gt;30000,4,IF(B8243&lt;1000,"ND",0))),"-")</f>
        <v>4</v>
      </c>
      <c r="B8243" s="116">
        <v>51878</v>
      </c>
      <c r="C8243" s="117">
        <v>45714</v>
      </c>
      <c r="D8243" s="116">
        <v>229.28</v>
      </c>
      <c r="E8243" s="117">
        <v>45731</v>
      </c>
      <c r="F8243" s="116">
        <f>COUNTIFS($A$3:A16499,A8243,$B$3:B16499,B8243)</f>
        <v>1</v>
      </c>
      <c r="G8243" s="116"/>
    </row>
    <row r="8244" spans="1:7" x14ac:dyDescent="0.2">
      <c r="A8244" s="116">
        <f>IF(ISNUMBER(Tabela2[[#This Row],[CT-e/NFS]])=TRUE,(IF(B8244&gt;30000,4,IF(B8244&lt;1000,"ND",0))),"-")</f>
        <v>4</v>
      </c>
      <c r="B8244" s="116">
        <v>51860</v>
      </c>
      <c r="C8244" s="117">
        <v>45714</v>
      </c>
      <c r="D8244" s="116">
        <v>726.75</v>
      </c>
      <c r="E8244" s="117">
        <v>45731</v>
      </c>
      <c r="F8244" s="116">
        <f>COUNTIFS($A$3:A16500,A8244,$B$3:B16500,B8244)</f>
        <v>1</v>
      </c>
      <c r="G8244" s="116"/>
    </row>
    <row r="8245" spans="1:7" x14ac:dyDescent="0.2">
      <c r="A8245" s="116">
        <f>IF(ISNUMBER(Tabela2[[#This Row],[CT-e/NFS]])=TRUE,(IF(B8245&gt;30000,4,IF(B8245&lt;1000,"ND",0))),"-")</f>
        <v>4</v>
      </c>
      <c r="B8245" s="116">
        <v>51984</v>
      </c>
      <c r="C8245" s="117">
        <v>45708</v>
      </c>
      <c r="D8245" s="116">
        <v>101.49</v>
      </c>
      <c r="E8245" s="117">
        <v>45731</v>
      </c>
      <c r="F8245" s="116">
        <f>COUNTIFS($A$3:A16501,A8245,$B$3:B16501,B8245)</f>
        <v>1</v>
      </c>
      <c r="G8245" s="116"/>
    </row>
    <row r="8246" spans="1:7" x14ac:dyDescent="0.2">
      <c r="A8246" s="116">
        <f>IF(ISNUMBER(Tabela2[[#This Row],[CT-e/NFS]])=TRUE,(IF(B8246&gt;30000,4,IF(B8246&lt;1000,"ND",0))),"-")</f>
        <v>4</v>
      </c>
      <c r="B8246" s="116">
        <v>52127</v>
      </c>
      <c r="C8246" s="117">
        <v>45715</v>
      </c>
      <c r="D8246" s="116">
        <v>517.83000000000004</v>
      </c>
      <c r="E8246" s="117">
        <v>45731</v>
      </c>
      <c r="F8246" s="116">
        <f>COUNTIFS($A$3:A16502,A8246,$B$3:B16502,B8246)</f>
        <v>1</v>
      </c>
      <c r="G8246" s="116"/>
    </row>
    <row r="8247" spans="1:7" x14ac:dyDescent="0.2">
      <c r="A8247" s="116">
        <f>IF(ISNUMBER(Tabela2[[#This Row],[CT-e/NFS]])=TRUE,(IF(B8247&gt;30000,4,IF(B8247&lt;1000,"ND",0))),"-")</f>
        <v>4</v>
      </c>
      <c r="B8247" s="116">
        <v>52106</v>
      </c>
      <c r="C8247" s="117">
        <v>45715</v>
      </c>
      <c r="D8247" s="116">
        <v>122.41</v>
      </c>
      <c r="E8247" s="117">
        <v>45731</v>
      </c>
      <c r="F8247" s="116">
        <f>COUNTIFS($A$3:A16503,A8247,$B$3:B16503,B8247)</f>
        <v>1</v>
      </c>
      <c r="G8247" s="116"/>
    </row>
    <row r="8248" spans="1:7" x14ac:dyDescent="0.2">
      <c r="A8248" s="116">
        <f>IF(ISNUMBER(Tabela2[[#This Row],[CT-e/NFS]])=TRUE,(IF(B8248&gt;30000,4,IF(B8248&lt;1000,"ND",0))),"-")</f>
        <v>4</v>
      </c>
      <c r="B8248" s="116">
        <v>52105</v>
      </c>
      <c r="C8248" s="117">
        <v>45715</v>
      </c>
      <c r="D8248" s="116">
        <v>132.77000000000001</v>
      </c>
      <c r="E8248" s="117">
        <v>45731</v>
      </c>
      <c r="F8248" s="116">
        <f>COUNTIFS($A$3:A16504,A8248,$B$3:B16504,B8248)</f>
        <v>1</v>
      </c>
      <c r="G8248" s="116"/>
    </row>
    <row r="8249" spans="1:7" x14ac:dyDescent="0.2">
      <c r="A8249" s="116">
        <f>IF(ISNUMBER(Tabela2[[#This Row],[CT-e/NFS]])=TRUE,(IF(B8249&gt;30000,4,IF(B8249&lt;1000,"ND",0))),"-")</f>
        <v>4</v>
      </c>
      <c r="B8249" s="116">
        <v>52104</v>
      </c>
      <c r="C8249" s="117">
        <v>45715</v>
      </c>
      <c r="D8249" s="116">
        <v>283.22000000000003</v>
      </c>
      <c r="E8249" s="117">
        <v>45731</v>
      </c>
      <c r="F8249" s="116">
        <f>COUNTIFS($A$3:A16505,A8249,$B$3:B16505,B8249)</f>
        <v>1</v>
      </c>
      <c r="G8249" s="116"/>
    </row>
    <row r="8250" spans="1:7" x14ac:dyDescent="0.2">
      <c r="A8250" s="116">
        <f>IF(ISNUMBER(Tabela2[[#This Row],[CT-e/NFS]])=TRUE,(IF(B8250&gt;30000,4,IF(B8250&lt;1000,"ND",0))),"-")</f>
        <v>4</v>
      </c>
      <c r="B8250" s="116">
        <v>52103</v>
      </c>
      <c r="C8250" s="117">
        <v>45715</v>
      </c>
      <c r="D8250" s="116">
        <v>352.82</v>
      </c>
      <c r="E8250" s="117">
        <v>45731</v>
      </c>
      <c r="F8250" s="116">
        <f>COUNTIFS($A$3:A16506,A8250,$B$3:B16506,B8250)</f>
        <v>1</v>
      </c>
      <c r="G8250" s="116"/>
    </row>
    <row r="8251" spans="1:7" x14ac:dyDescent="0.2">
      <c r="A8251" s="116">
        <f>IF(ISNUMBER(Tabela2[[#This Row],[CT-e/NFS]])=TRUE,(IF(B8251&gt;30000,4,IF(B8251&lt;1000,"ND",0))),"-")</f>
        <v>4</v>
      </c>
      <c r="B8251" s="116">
        <v>51809</v>
      </c>
      <c r="C8251" s="117">
        <v>45719</v>
      </c>
      <c r="D8251" s="116">
        <v>2192.39</v>
      </c>
      <c r="E8251" s="117">
        <v>45731</v>
      </c>
      <c r="F8251" s="116">
        <f>COUNTIFS($A$3:A16507,A8251,$B$3:B16507,B8251)</f>
        <v>1</v>
      </c>
      <c r="G8251" s="116"/>
    </row>
    <row r="8252" spans="1:7" x14ac:dyDescent="0.2">
      <c r="A8252" s="116">
        <f>IF(ISNUMBER(Tabela2[[#This Row],[CT-e/NFS]])=TRUE,(IF(B8252&gt;30000,4,IF(B8252&lt;1000,"ND",0))),"-")</f>
        <v>4</v>
      </c>
      <c r="B8252" s="116">
        <v>51814</v>
      </c>
      <c r="C8252" s="117">
        <v>45719</v>
      </c>
      <c r="D8252" s="116">
        <v>123.38</v>
      </c>
      <c r="E8252" s="117">
        <v>45731</v>
      </c>
      <c r="F8252" s="116">
        <f>COUNTIFS($A$3:A16508,A8252,$B$3:B16508,B8252)</f>
        <v>1</v>
      </c>
      <c r="G8252" s="116"/>
    </row>
    <row r="8253" spans="1:7" x14ac:dyDescent="0.2">
      <c r="A8253" s="116">
        <f>IF(ISNUMBER(Tabela2[[#This Row],[CT-e/NFS]])=TRUE,(IF(B8253&gt;30000,4,IF(B8253&lt;1000,"ND",0))),"-")</f>
        <v>4</v>
      </c>
      <c r="B8253" s="116">
        <v>51813</v>
      </c>
      <c r="C8253" s="117">
        <v>45719</v>
      </c>
      <c r="D8253" s="116">
        <v>185.32</v>
      </c>
      <c r="E8253" s="117">
        <v>45731</v>
      </c>
      <c r="F8253" s="116">
        <f>COUNTIFS($A$3:A16509,A8253,$B$3:B16509,B8253)</f>
        <v>1</v>
      </c>
      <c r="G8253" s="116"/>
    </row>
    <row r="8254" spans="1:7" x14ac:dyDescent="0.2">
      <c r="A8254" s="116">
        <f>IF(ISNUMBER(Tabela2[[#This Row],[CT-e/NFS]])=TRUE,(IF(B8254&gt;30000,4,IF(B8254&lt;1000,"ND",0))),"-")</f>
        <v>4</v>
      </c>
      <c r="B8254" s="116">
        <v>51812</v>
      </c>
      <c r="C8254" s="117">
        <v>45719</v>
      </c>
      <c r="D8254" s="116">
        <v>125.34</v>
      </c>
      <c r="E8254" s="117">
        <v>45731</v>
      </c>
      <c r="F8254" s="116">
        <f>COUNTIFS($A$3:A16510,A8254,$B$3:B16510,B8254)</f>
        <v>1</v>
      </c>
      <c r="G8254" s="116"/>
    </row>
    <row r="8255" spans="1:7" x14ac:dyDescent="0.2">
      <c r="A8255" s="116">
        <f>IF(ISNUMBER(Tabela2[[#This Row],[CT-e/NFS]])=TRUE,(IF(B8255&gt;30000,4,IF(B8255&lt;1000,"ND",0))),"-")</f>
        <v>4</v>
      </c>
      <c r="B8255" s="116">
        <v>51811</v>
      </c>
      <c r="C8255" s="117">
        <v>45719</v>
      </c>
      <c r="D8255" s="116">
        <v>123.19</v>
      </c>
      <c r="E8255" s="117">
        <v>45731</v>
      </c>
      <c r="F8255" s="116">
        <f>COUNTIFS($A$3:A16511,A8255,$B$3:B16511,B8255)</f>
        <v>1</v>
      </c>
      <c r="G8255" s="116"/>
    </row>
    <row r="8256" spans="1:7" x14ac:dyDescent="0.2">
      <c r="A8256" s="116">
        <f>IF(ISNUMBER(Tabela2[[#This Row],[CT-e/NFS]])=TRUE,(IF(B8256&gt;30000,4,IF(B8256&lt;1000,"ND",0))),"-")</f>
        <v>4</v>
      </c>
      <c r="B8256" s="116">
        <v>51816</v>
      </c>
      <c r="C8256" s="117">
        <v>45719</v>
      </c>
      <c r="D8256" s="116">
        <v>995.85</v>
      </c>
      <c r="E8256" s="117">
        <v>45731</v>
      </c>
      <c r="F8256" s="116">
        <f>COUNTIFS($A$3:A16512,A8256,$B$3:B16512,B8256)</f>
        <v>1</v>
      </c>
      <c r="G8256" s="116"/>
    </row>
    <row r="8257" spans="1:7" x14ac:dyDescent="0.2">
      <c r="A8257" s="116">
        <f>IF(ISNUMBER(Tabela2[[#This Row],[CT-e/NFS]])=TRUE,(IF(B8257&gt;30000,4,IF(B8257&lt;1000,"ND",0))),"-")</f>
        <v>4</v>
      </c>
      <c r="B8257" s="116">
        <v>51821</v>
      </c>
      <c r="C8257" s="117">
        <v>45719</v>
      </c>
      <c r="D8257" s="116">
        <v>640.47</v>
      </c>
      <c r="E8257" s="117">
        <v>45731</v>
      </c>
      <c r="F8257" s="116">
        <f>COUNTIFS($A$3:A16513,A8257,$B$3:B16513,B8257)</f>
        <v>1</v>
      </c>
      <c r="G8257" s="116"/>
    </row>
    <row r="8258" spans="1:7" x14ac:dyDescent="0.2">
      <c r="A8258" s="116">
        <f>IF(ISNUMBER(Tabela2[[#This Row],[CT-e/NFS]])=TRUE,(IF(B8258&gt;30000,4,IF(B8258&lt;1000,"ND",0))),"-")</f>
        <v>4</v>
      </c>
      <c r="B8258" s="116">
        <v>51822</v>
      </c>
      <c r="C8258" s="117">
        <v>45719</v>
      </c>
      <c r="D8258" s="116">
        <v>497.26</v>
      </c>
      <c r="E8258" s="117">
        <v>45731</v>
      </c>
      <c r="F8258" s="116">
        <f>COUNTIFS($A$3:A16514,A8258,$B$3:B16514,B8258)</f>
        <v>1</v>
      </c>
      <c r="G8258" s="116"/>
    </row>
    <row r="8259" spans="1:7" x14ac:dyDescent="0.2">
      <c r="A8259" s="116">
        <f>IF(ISNUMBER(Tabela2[[#This Row],[CT-e/NFS]])=TRUE,(IF(B8259&gt;30000,4,IF(B8259&lt;1000,"ND",0))),"-")</f>
        <v>4</v>
      </c>
      <c r="B8259" s="116">
        <v>51815</v>
      </c>
      <c r="C8259" s="117">
        <v>45719</v>
      </c>
      <c r="D8259" s="116">
        <v>122.73</v>
      </c>
      <c r="E8259" s="117">
        <v>45731</v>
      </c>
      <c r="F8259" s="116">
        <f>COUNTIFS($A$3:A16515,A8259,$B$3:B16515,B8259)</f>
        <v>1</v>
      </c>
      <c r="G8259" s="116"/>
    </row>
    <row r="8260" spans="1:7" x14ac:dyDescent="0.2">
      <c r="A8260" s="116">
        <f>IF(ISNUMBER(Tabela2[[#This Row],[CT-e/NFS]])=TRUE,(IF(B8260&gt;30000,4,IF(B8260&lt;1000,"ND",0))),"-")</f>
        <v>4</v>
      </c>
      <c r="B8260" s="116">
        <v>51820</v>
      </c>
      <c r="C8260" s="117">
        <v>45719</v>
      </c>
      <c r="D8260" s="116">
        <v>124.42</v>
      </c>
      <c r="E8260" s="117">
        <v>45731</v>
      </c>
      <c r="F8260" s="116">
        <f>COUNTIFS($A$3:A16516,A8260,$B$3:B16516,B8260)</f>
        <v>1</v>
      </c>
      <c r="G8260" s="116"/>
    </row>
    <row r="8261" spans="1:7" x14ac:dyDescent="0.2">
      <c r="A8261" s="116">
        <f>IF(ISNUMBER(Tabela2[[#This Row],[CT-e/NFS]])=TRUE,(IF(B8261&gt;30000,4,IF(B8261&lt;1000,"ND",0))),"-")</f>
        <v>4</v>
      </c>
      <c r="B8261" s="116">
        <v>51825</v>
      </c>
      <c r="C8261" s="117">
        <v>45719</v>
      </c>
      <c r="D8261" s="116">
        <v>16454.78</v>
      </c>
      <c r="E8261" s="117">
        <v>45731</v>
      </c>
      <c r="F8261" s="116">
        <f>COUNTIFS($A$3:A16517,A8261,$B$3:B16517,B8261)</f>
        <v>1</v>
      </c>
      <c r="G8261" s="116"/>
    </row>
    <row r="8262" spans="1:7" x14ac:dyDescent="0.2">
      <c r="A8262" s="116">
        <f>IF(ISNUMBER(Tabela2[[#This Row],[CT-e/NFS]])=TRUE,(IF(B8262&gt;30000,4,IF(B8262&lt;1000,"ND",0))),"-")</f>
        <v>4</v>
      </c>
      <c r="B8262" s="116">
        <v>51818</v>
      </c>
      <c r="C8262" s="117">
        <v>45719</v>
      </c>
      <c r="D8262" s="116">
        <v>126.35</v>
      </c>
      <c r="E8262" s="117">
        <v>45731</v>
      </c>
      <c r="F8262" s="116">
        <f>COUNTIFS($A$3:A16518,A8262,$B$3:B16518,B8262)</f>
        <v>1</v>
      </c>
      <c r="G8262" s="116"/>
    </row>
    <row r="8263" spans="1:7" x14ac:dyDescent="0.2">
      <c r="A8263" s="116">
        <f>IF(ISNUMBER(Tabela2[[#This Row],[CT-e/NFS]])=TRUE,(IF(B8263&gt;30000,4,IF(B8263&lt;1000,"ND",0))),"-")</f>
        <v>4</v>
      </c>
      <c r="B8263" s="116">
        <v>51824</v>
      </c>
      <c r="C8263" s="117">
        <v>45719</v>
      </c>
      <c r="D8263" s="116">
        <v>10209.549999999999</v>
      </c>
      <c r="E8263" s="117">
        <v>45731</v>
      </c>
      <c r="F8263" s="116">
        <f>COUNTIFS($A$3:A16519,A8263,$B$3:B16519,B8263)</f>
        <v>1</v>
      </c>
      <c r="G8263" s="116"/>
    </row>
    <row r="8264" spans="1:7" x14ac:dyDescent="0.2">
      <c r="A8264" s="116">
        <f>IF(ISNUMBER(Tabela2[[#This Row],[CT-e/NFS]])=TRUE,(IF(B8264&gt;30000,4,IF(B8264&lt;1000,"ND",0))),"-")</f>
        <v>4</v>
      </c>
      <c r="B8264" s="116">
        <v>51819</v>
      </c>
      <c r="C8264" s="117">
        <v>45719</v>
      </c>
      <c r="D8264" s="116">
        <v>125.6</v>
      </c>
      <c r="E8264" s="117">
        <v>45731</v>
      </c>
      <c r="F8264" s="116">
        <f>COUNTIFS($A$3:A16520,A8264,$B$3:B16520,B8264)</f>
        <v>1</v>
      </c>
      <c r="G8264" s="116"/>
    </row>
    <row r="8265" spans="1:7" x14ac:dyDescent="0.2">
      <c r="A8265" s="116">
        <f>IF(ISNUMBER(Tabela2[[#This Row],[CT-e/NFS]])=TRUE,(IF(B8265&gt;30000,4,IF(B8265&lt;1000,"ND",0))),"-")</f>
        <v>4</v>
      </c>
      <c r="B8265" s="116">
        <v>51828</v>
      </c>
      <c r="C8265" s="117">
        <v>45719</v>
      </c>
      <c r="D8265" s="116">
        <v>124.56</v>
      </c>
      <c r="E8265" s="117">
        <v>45731</v>
      </c>
      <c r="F8265" s="116">
        <f>COUNTIFS($A$3:A16521,A8265,$B$3:B16521,B8265)</f>
        <v>1</v>
      </c>
      <c r="G8265" s="116"/>
    </row>
    <row r="8266" spans="1:7" x14ac:dyDescent="0.2">
      <c r="A8266" s="116">
        <f>IF(ISNUMBER(Tabela2[[#This Row],[CT-e/NFS]])=TRUE,(IF(B8266&gt;30000,4,IF(B8266&lt;1000,"ND",0))),"-")</f>
        <v>4</v>
      </c>
      <c r="B8266" s="116">
        <v>51836</v>
      </c>
      <c r="C8266" s="117">
        <v>45719</v>
      </c>
      <c r="D8266" s="116">
        <v>124.33</v>
      </c>
      <c r="E8266" s="117">
        <v>45731</v>
      </c>
      <c r="F8266" s="116">
        <f>COUNTIFS($A$3:A16522,A8266,$B$3:B16522,B8266)</f>
        <v>1</v>
      </c>
      <c r="G8266" s="116"/>
    </row>
    <row r="8267" spans="1:7" x14ac:dyDescent="0.2">
      <c r="A8267" s="116">
        <f>IF(ISNUMBER(Tabela2[[#This Row],[CT-e/NFS]])=TRUE,(IF(B8267&gt;30000,4,IF(B8267&lt;1000,"ND",0))),"-")</f>
        <v>4</v>
      </c>
      <c r="B8267" s="116">
        <v>51834</v>
      </c>
      <c r="C8267" s="117">
        <v>45719</v>
      </c>
      <c r="D8267" s="116">
        <v>992.22</v>
      </c>
      <c r="E8267" s="117">
        <v>45731</v>
      </c>
      <c r="F8267" s="116">
        <f>COUNTIFS($A$3:A16523,A8267,$B$3:B16523,B8267)</f>
        <v>1</v>
      </c>
      <c r="G8267" s="116"/>
    </row>
    <row r="8268" spans="1:7" x14ac:dyDescent="0.2">
      <c r="A8268" s="116">
        <f>IF(ISNUMBER(Tabela2[[#This Row],[CT-e/NFS]])=TRUE,(IF(B8268&gt;30000,4,IF(B8268&lt;1000,"ND",0))),"-")</f>
        <v>4</v>
      </c>
      <c r="B8268" s="116">
        <v>51833</v>
      </c>
      <c r="C8268" s="117">
        <v>45719</v>
      </c>
      <c r="D8268" s="116">
        <v>2728.59</v>
      </c>
      <c r="E8268" s="117">
        <v>45731</v>
      </c>
      <c r="F8268" s="116">
        <f>COUNTIFS($A$3:A16524,A8268,$B$3:B16524,B8268)</f>
        <v>1</v>
      </c>
      <c r="G8268" s="116"/>
    </row>
    <row r="8269" spans="1:7" x14ac:dyDescent="0.2">
      <c r="A8269" s="116">
        <f>IF(ISNUMBER(Tabela2[[#This Row],[CT-e/NFS]])=TRUE,(IF(B8269&gt;30000,4,IF(B8269&lt;1000,"ND",0))),"-")</f>
        <v>4</v>
      </c>
      <c r="B8269" s="116">
        <v>51835</v>
      </c>
      <c r="C8269" s="117">
        <v>45719</v>
      </c>
      <c r="D8269" s="116">
        <v>245.38</v>
      </c>
      <c r="E8269" s="117">
        <v>45731</v>
      </c>
      <c r="F8269" s="116">
        <f>COUNTIFS($A$3:A16525,A8269,$B$3:B16525,B8269)</f>
        <v>1</v>
      </c>
      <c r="G8269" s="116"/>
    </row>
    <row r="8270" spans="1:7" x14ac:dyDescent="0.2">
      <c r="A8270" s="116">
        <f>IF(ISNUMBER(Tabela2[[#This Row],[CT-e/NFS]])=TRUE,(IF(B8270&gt;30000,4,IF(B8270&lt;1000,"ND",0))),"-")</f>
        <v>4</v>
      </c>
      <c r="B8270" s="116">
        <v>51827</v>
      </c>
      <c r="C8270" s="117">
        <v>45719</v>
      </c>
      <c r="D8270" s="116">
        <v>112.15</v>
      </c>
      <c r="E8270" s="117">
        <v>45731</v>
      </c>
      <c r="F8270" s="116">
        <f>COUNTIFS($A$3:A16526,A8270,$B$3:B16526,B8270)</f>
        <v>1</v>
      </c>
      <c r="G8270" s="116"/>
    </row>
    <row r="8271" spans="1:7" x14ac:dyDescent="0.2">
      <c r="A8271" s="116">
        <f>IF(ISNUMBER(Tabela2[[#This Row],[CT-e/NFS]])=TRUE,(IF(B8271&gt;30000,4,IF(B8271&lt;1000,"ND",0))),"-")</f>
        <v>4</v>
      </c>
      <c r="B8271" s="116">
        <v>51829</v>
      </c>
      <c r="C8271" s="117">
        <v>45719</v>
      </c>
      <c r="D8271" s="116">
        <v>62.27</v>
      </c>
      <c r="E8271" s="117">
        <v>45731</v>
      </c>
      <c r="F8271" s="116">
        <f>COUNTIFS($A$3:A16527,A8271,$B$3:B16527,B8271)</f>
        <v>1</v>
      </c>
      <c r="G8271" s="116"/>
    </row>
    <row r="8272" spans="1:7" x14ac:dyDescent="0.2">
      <c r="A8272" s="116">
        <f>IF(ISNUMBER(Tabela2[[#This Row],[CT-e/NFS]])=TRUE,(IF(B8272&gt;30000,4,IF(B8272&lt;1000,"ND",0))),"-")</f>
        <v>4</v>
      </c>
      <c r="B8272" s="116">
        <v>51826</v>
      </c>
      <c r="C8272" s="117">
        <v>45719</v>
      </c>
      <c r="D8272" s="116">
        <v>62.2</v>
      </c>
      <c r="E8272" s="117">
        <v>45731</v>
      </c>
      <c r="F8272" s="116">
        <f>COUNTIFS($A$3:A16528,A8272,$B$3:B16528,B8272)</f>
        <v>1</v>
      </c>
      <c r="G8272" s="116"/>
    </row>
    <row r="8273" spans="1:7" x14ac:dyDescent="0.2">
      <c r="A8273" s="116">
        <f>IF(ISNUMBER(Tabela2[[#This Row],[CT-e/NFS]])=TRUE,(IF(B8273&gt;30000,4,IF(B8273&lt;1000,"ND",0))),"-")</f>
        <v>4</v>
      </c>
      <c r="B8273" s="116">
        <v>51830</v>
      </c>
      <c r="C8273" s="117">
        <v>45719</v>
      </c>
      <c r="D8273" s="116">
        <v>112.28</v>
      </c>
      <c r="E8273" s="117">
        <v>45731</v>
      </c>
      <c r="F8273" s="116">
        <f>COUNTIFS($A$3:A16529,A8273,$B$3:B16529,B8273)</f>
        <v>1</v>
      </c>
      <c r="G8273" s="116"/>
    </row>
    <row r="8274" spans="1:7" x14ac:dyDescent="0.2">
      <c r="A8274" s="116">
        <f>IF(ISNUMBER(Tabela2[[#This Row],[CT-e/NFS]])=TRUE,(IF(B8274&gt;30000,4,IF(B8274&lt;1000,"ND",0))),"-")</f>
        <v>4</v>
      </c>
      <c r="B8274" s="116">
        <v>51789</v>
      </c>
      <c r="C8274" s="117">
        <v>45719</v>
      </c>
      <c r="D8274" s="116">
        <v>396.45</v>
      </c>
      <c r="E8274" s="117">
        <v>45731</v>
      </c>
      <c r="F8274" s="116">
        <f>COUNTIFS($A$3:A16530,A8274,$B$3:B16530,B8274)</f>
        <v>1</v>
      </c>
      <c r="G8274" s="116"/>
    </row>
    <row r="8275" spans="1:7" x14ac:dyDescent="0.2">
      <c r="A8275" s="116">
        <f>IF(ISNUMBER(Tabela2[[#This Row],[CT-e/NFS]])=TRUE,(IF(B8275&gt;30000,4,IF(B8275&lt;1000,"ND",0))),"-")</f>
        <v>4</v>
      </c>
      <c r="B8275" s="116">
        <v>51817</v>
      </c>
      <c r="C8275" s="117">
        <v>45719</v>
      </c>
      <c r="D8275" s="116">
        <v>702.74</v>
      </c>
      <c r="E8275" s="117">
        <v>45731</v>
      </c>
      <c r="F8275" s="116">
        <f>COUNTIFS($A$3:A16531,A8275,$B$3:B16531,B8275)</f>
        <v>1</v>
      </c>
      <c r="G8275" s="116"/>
    </row>
    <row r="8276" spans="1:7" x14ac:dyDescent="0.2">
      <c r="A8276" s="116">
        <f>IF(ISNUMBER(Tabela2[[#This Row],[CT-e/NFS]])=TRUE,(IF(B8276&gt;30000,4,IF(B8276&lt;1000,"ND",0))),"-")</f>
        <v>4</v>
      </c>
      <c r="B8276" s="116">
        <v>51810</v>
      </c>
      <c r="C8276" s="117">
        <v>45719</v>
      </c>
      <c r="D8276" s="116">
        <v>396.45</v>
      </c>
      <c r="E8276" s="117">
        <v>45731</v>
      </c>
      <c r="F8276" s="116">
        <f>COUNTIFS($A$3:A16532,A8276,$B$3:B16532,B8276)</f>
        <v>1</v>
      </c>
      <c r="G8276" s="116"/>
    </row>
    <row r="8277" spans="1:7" x14ac:dyDescent="0.2">
      <c r="A8277" s="116">
        <f>IF(ISNUMBER(Tabela2[[#This Row],[CT-e/NFS]])=TRUE,(IF(B8277&gt;30000,4,IF(B8277&lt;1000,"ND",0))),"-")</f>
        <v>4</v>
      </c>
      <c r="B8277" s="116">
        <v>51823</v>
      </c>
      <c r="C8277" s="117">
        <v>45719</v>
      </c>
      <c r="D8277" s="116">
        <v>384.32</v>
      </c>
      <c r="E8277" s="117">
        <v>45731</v>
      </c>
      <c r="F8277" s="116">
        <f>COUNTIFS($A$3:A16533,A8277,$B$3:B16533,B8277)</f>
        <v>1</v>
      </c>
      <c r="G8277" s="116"/>
    </row>
    <row r="8278" spans="1:7" x14ac:dyDescent="0.2">
      <c r="A8278" s="116">
        <f>IF(ISNUMBER(Tabela2[[#This Row],[CT-e/NFS]])=TRUE,(IF(B8278&gt;30000,4,IF(B8278&lt;1000,"ND",0))),"-")</f>
        <v>0</v>
      </c>
      <c r="B8278" s="116">
        <v>22951</v>
      </c>
      <c r="C8278" s="117">
        <v>45719</v>
      </c>
      <c r="D8278" s="116">
        <v>515.41</v>
      </c>
      <c r="E8278" s="117">
        <v>45731</v>
      </c>
      <c r="F8278" s="116">
        <f>COUNTIFS($A$3:A16534,A8278,$B$3:B16534,B8278)</f>
        <v>1</v>
      </c>
      <c r="G8278" s="116"/>
    </row>
    <row r="8279" spans="1:7" x14ac:dyDescent="0.2">
      <c r="A8279" s="116">
        <f>IF(ISNUMBER(Tabela2[[#This Row],[CT-e/NFS]])=TRUE,(IF(B8279&gt;30000,4,IF(B8279&lt;1000,"ND",0))),"-")</f>
        <v>4</v>
      </c>
      <c r="B8279" s="116">
        <v>51746</v>
      </c>
      <c r="C8279" s="117">
        <v>45714</v>
      </c>
      <c r="D8279" s="116">
        <v>370.26</v>
      </c>
      <c r="E8279" s="117">
        <v>45731</v>
      </c>
      <c r="F8279" s="116">
        <f>COUNTIFS($A$3:A16535,A8279,$B$3:B16535,B8279)</f>
        <v>1</v>
      </c>
      <c r="G8279" s="116"/>
    </row>
    <row r="8280" spans="1:7" x14ac:dyDescent="0.2">
      <c r="A8280" s="116">
        <f>IF(ISNUMBER(Tabela2[[#This Row],[CT-e/NFS]])=TRUE,(IF(B8280&gt;30000,4,IF(B8280&lt;1000,"ND",0))),"-")</f>
        <v>0</v>
      </c>
      <c r="B8280" s="116">
        <v>23026</v>
      </c>
      <c r="C8280" s="117">
        <v>45712</v>
      </c>
      <c r="D8280" s="116">
        <v>250.85</v>
      </c>
      <c r="E8280" s="117">
        <v>45731</v>
      </c>
      <c r="F8280" s="116">
        <f>COUNTIFS($A$3:A16536,A8280,$B$3:B16536,B8280)</f>
        <v>1</v>
      </c>
      <c r="G8280" s="116"/>
    </row>
    <row r="8281" spans="1:7" x14ac:dyDescent="0.2">
      <c r="A8281" s="116">
        <f>IF(ISNUMBER(Tabela2[[#This Row],[CT-e/NFS]])=TRUE,(IF(B8281&gt;30000,4,IF(B8281&lt;1000,"ND",0))),"-")</f>
        <v>0</v>
      </c>
      <c r="B8281" s="116">
        <v>23029</v>
      </c>
      <c r="C8281" s="117">
        <v>45712</v>
      </c>
      <c r="D8281" s="116">
        <v>146.69999999999999</v>
      </c>
      <c r="E8281" s="117">
        <v>45731</v>
      </c>
      <c r="F8281" s="116">
        <f>COUNTIFS($A$3:A16537,A8281,$B$3:B16537,B8281)</f>
        <v>1</v>
      </c>
      <c r="G8281" s="116"/>
    </row>
    <row r="8282" spans="1:7" x14ac:dyDescent="0.2">
      <c r="A8282" s="116">
        <f>IF(ISNUMBER(Tabela2[[#This Row],[CT-e/NFS]])=TRUE,(IF(B8282&gt;30000,4,IF(B8282&lt;1000,"ND",0))),"-")</f>
        <v>0</v>
      </c>
      <c r="B8282" s="116">
        <v>23027</v>
      </c>
      <c r="C8282" s="117">
        <v>45712</v>
      </c>
      <c r="D8282" s="116">
        <v>102.45</v>
      </c>
      <c r="E8282" s="117">
        <v>45731</v>
      </c>
      <c r="F8282" s="116">
        <f>COUNTIFS($A$3:A16538,A8282,$B$3:B16538,B8282)</f>
        <v>1</v>
      </c>
      <c r="G8282" s="116"/>
    </row>
    <row r="8283" spans="1:7" x14ac:dyDescent="0.2">
      <c r="A8283" s="116">
        <f>IF(ISNUMBER(Tabela2[[#This Row],[CT-e/NFS]])=TRUE,(IF(B8283&gt;30000,4,IF(B8283&lt;1000,"ND",0))),"-")</f>
        <v>0</v>
      </c>
      <c r="B8283" s="116">
        <v>23028</v>
      </c>
      <c r="C8283" s="117">
        <v>45712</v>
      </c>
      <c r="D8283" s="116">
        <v>99.26</v>
      </c>
      <c r="E8283" s="117">
        <v>45731</v>
      </c>
      <c r="F8283" s="116">
        <f>COUNTIFS($A$3:A16539,A8283,$B$3:B16539,B8283)</f>
        <v>1</v>
      </c>
      <c r="G8283" s="116"/>
    </row>
    <row r="8284" spans="1:7" x14ac:dyDescent="0.2">
      <c r="A8284" s="116">
        <f>IF(ISNUMBER(Tabela2[[#This Row],[CT-e/NFS]])=TRUE,(IF(B8284&gt;30000,4,IF(B8284&lt;1000,"ND",0))),"-")</f>
        <v>0</v>
      </c>
      <c r="B8284" s="116">
        <v>23044</v>
      </c>
      <c r="C8284" s="117">
        <v>45712</v>
      </c>
      <c r="D8284" s="116">
        <v>450.59</v>
      </c>
      <c r="E8284" s="117">
        <v>45731</v>
      </c>
      <c r="F8284" s="116">
        <f>COUNTIFS($A$3:A16540,A8284,$B$3:B16540,B8284)</f>
        <v>1</v>
      </c>
      <c r="G8284" s="116"/>
    </row>
    <row r="8285" spans="1:7" x14ac:dyDescent="0.2">
      <c r="A8285" s="116">
        <f>IF(ISNUMBER(Tabela2[[#This Row],[CT-e/NFS]])=TRUE,(IF(B8285&gt;30000,4,IF(B8285&lt;1000,"ND",0))),"-")</f>
        <v>0</v>
      </c>
      <c r="B8285" s="116">
        <v>23076</v>
      </c>
      <c r="C8285" s="117">
        <v>45712</v>
      </c>
      <c r="D8285" s="116">
        <v>299.08</v>
      </c>
      <c r="E8285" s="117">
        <v>45731</v>
      </c>
      <c r="F8285" s="116">
        <f>COUNTIFS($A$3:A16541,A8285,$B$3:B16541,B8285)</f>
        <v>1</v>
      </c>
      <c r="G8285" s="116"/>
    </row>
    <row r="8286" spans="1:7" x14ac:dyDescent="0.2">
      <c r="A8286" s="116">
        <f>IF(ISNUMBER(Tabela2[[#This Row],[CT-e/NFS]])=TRUE,(IF(B8286&gt;30000,4,IF(B8286&lt;1000,"ND",0))),"-")</f>
        <v>0</v>
      </c>
      <c r="B8286" s="116">
        <v>23079</v>
      </c>
      <c r="C8286" s="117">
        <v>45712</v>
      </c>
      <c r="D8286" s="116">
        <v>291.89999999999998</v>
      </c>
      <c r="E8286" s="117">
        <v>45731</v>
      </c>
      <c r="F8286" s="116">
        <f>COUNTIFS($A$3:A16542,A8286,$B$3:B16542,B8286)</f>
        <v>1</v>
      </c>
      <c r="G8286" s="116"/>
    </row>
    <row r="8287" spans="1:7" x14ac:dyDescent="0.2">
      <c r="A8287" s="116">
        <f>IF(ISNUMBER(Tabela2[[#This Row],[CT-e/NFS]])=TRUE,(IF(B8287&gt;30000,4,IF(B8287&lt;1000,"ND",0))),"-")</f>
        <v>0</v>
      </c>
      <c r="B8287" s="116">
        <v>23078</v>
      </c>
      <c r="C8287" s="117">
        <v>45712</v>
      </c>
      <c r="D8287" s="116">
        <v>290.63</v>
      </c>
      <c r="E8287" s="117">
        <v>45731</v>
      </c>
      <c r="F8287" s="116">
        <f>COUNTIFS($A$3:A16543,A8287,$B$3:B16543,B8287)</f>
        <v>1</v>
      </c>
      <c r="G8287" s="116"/>
    </row>
    <row r="8288" spans="1:7" x14ac:dyDescent="0.2">
      <c r="A8288" s="116">
        <f>IF(ISNUMBER(Tabela2[[#This Row],[CT-e/NFS]])=TRUE,(IF(B8288&gt;30000,4,IF(B8288&lt;1000,"ND",0))),"-")</f>
        <v>0</v>
      </c>
      <c r="B8288" s="116">
        <v>23080</v>
      </c>
      <c r="C8288" s="117">
        <v>45712</v>
      </c>
      <c r="D8288" s="116">
        <v>450.59</v>
      </c>
      <c r="E8288" s="117">
        <v>45731</v>
      </c>
      <c r="F8288" s="116">
        <f>COUNTIFS($A$3:A16544,A8288,$B$3:B16544,B8288)</f>
        <v>1</v>
      </c>
      <c r="G8288" s="116"/>
    </row>
    <row r="8289" spans="1:7" x14ac:dyDescent="0.2">
      <c r="A8289" s="116">
        <f>IF(ISNUMBER(Tabela2[[#This Row],[CT-e/NFS]])=TRUE,(IF(B8289&gt;30000,4,IF(B8289&lt;1000,"ND",0))),"-")</f>
        <v>0</v>
      </c>
      <c r="B8289" s="116">
        <v>23081</v>
      </c>
      <c r="C8289" s="117">
        <v>45712</v>
      </c>
      <c r="D8289" s="116">
        <v>287.51</v>
      </c>
      <c r="E8289" s="117">
        <v>45731</v>
      </c>
      <c r="F8289" s="116">
        <f>COUNTIFS($A$3:A16545,A8289,$B$3:B16545,B8289)</f>
        <v>1</v>
      </c>
      <c r="G8289" s="116"/>
    </row>
    <row r="8290" spans="1:7" x14ac:dyDescent="0.2">
      <c r="A8290" s="116">
        <f>IF(ISNUMBER(Tabela2[[#This Row],[CT-e/NFS]])=TRUE,(IF(B8290&gt;30000,4,IF(B8290&lt;1000,"ND",0))),"-")</f>
        <v>4</v>
      </c>
      <c r="B8290" s="116">
        <v>52072</v>
      </c>
      <c r="C8290" s="117">
        <v>45712</v>
      </c>
      <c r="D8290" s="116">
        <v>538.47</v>
      </c>
      <c r="E8290" s="117">
        <v>45731</v>
      </c>
      <c r="F8290" s="116">
        <f>COUNTIFS($A$3:A16546,A8290,$B$3:B16546,B8290)</f>
        <v>1</v>
      </c>
      <c r="G8290" s="116"/>
    </row>
    <row r="8291" spans="1:7" x14ac:dyDescent="0.2">
      <c r="A8291" s="116">
        <f>IF(ISNUMBER(Tabela2[[#This Row],[CT-e/NFS]])=TRUE,(IF(B8291&gt;30000,4,IF(B8291&lt;1000,"ND",0))),"-")</f>
        <v>4</v>
      </c>
      <c r="B8291" s="116">
        <v>52243</v>
      </c>
      <c r="C8291" s="117">
        <v>45712</v>
      </c>
      <c r="D8291" s="116">
        <v>326.91000000000003</v>
      </c>
      <c r="E8291" s="117">
        <v>45731</v>
      </c>
      <c r="F8291" s="116">
        <f>COUNTIFS($A$3:A16547,A8291,$B$3:B16547,B8291)</f>
        <v>1</v>
      </c>
      <c r="G8291" s="116"/>
    </row>
    <row r="8292" spans="1:7" x14ac:dyDescent="0.2">
      <c r="A8292" s="116">
        <f>IF(ISNUMBER(Tabela2[[#This Row],[CT-e/NFS]])=TRUE,(IF(B8292&gt;30000,4,IF(B8292&lt;1000,"ND",0))),"-")</f>
        <v>4</v>
      </c>
      <c r="B8292" s="116">
        <v>52246</v>
      </c>
      <c r="C8292" s="117">
        <v>45712</v>
      </c>
      <c r="D8292" s="116">
        <v>326.91000000000003</v>
      </c>
      <c r="E8292" s="117">
        <v>45731</v>
      </c>
      <c r="F8292" s="116">
        <f>COUNTIFS($A$3:A16548,A8292,$B$3:B16548,B8292)</f>
        <v>1</v>
      </c>
      <c r="G8292" s="116"/>
    </row>
    <row r="8293" spans="1:7" x14ac:dyDescent="0.2">
      <c r="A8293" s="116">
        <f>IF(ISNUMBER(Tabela2[[#This Row],[CT-e/NFS]])=TRUE,(IF(B8293&gt;30000,4,IF(B8293&lt;1000,"ND",0))),"-")</f>
        <v>4</v>
      </c>
      <c r="B8293" s="116">
        <v>52247</v>
      </c>
      <c r="C8293" s="117">
        <v>45712</v>
      </c>
      <c r="D8293" s="116">
        <v>338.19</v>
      </c>
      <c r="E8293" s="117">
        <v>45731</v>
      </c>
      <c r="F8293" s="116">
        <f>COUNTIFS($A$3:A16549,A8293,$B$3:B16549,B8293)</f>
        <v>1</v>
      </c>
      <c r="G8293" s="116"/>
    </row>
    <row r="8294" spans="1:7" x14ac:dyDescent="0.2">
      <c r="A8294" s="116">
        <f>IF(ISNUMBER(Tabela2[[#This Row],[CT-e/NFS]])=TRUE,(IF(B8294&gt;30000,4,IF(B8294&lt;1000,"ND",0))),"-")</f>
        <v>4</v>
      </c>
      <c r="B8294" s="116">
        <v>52286</v>
      </c>
      <c r="C8294" s="117">
        <v>45712</v>
      </c>
      <c r="D8294" s="116">
        <v>375.93</v>
      </c>
      <c r="E8294" s="117">
        <v>45731</v>
      </c>
      <c r="F8294" s="116">
        <f>COUNTIFS($A$3:A16550,A8294,$B$3:B16550,B8294)</f>
        <v>1</v>
      </c>
      <c r="G8294" s="116"/>
    </row>
    <row r="8295" spans="1:7" x14ac:dyDescent="0.2">
      <c r="A8295" s="116">
        <f>IF(ISNUMBER(Tabela2[[#This Row],[CT-e/NFS]])=TRUE,(IF(B8295&gt;30000,4,IF(B8295&lt;1000,"ND",0))),"-")</f>
        <v>0</v>
      </c>
      <c r="B8295" s="116">
        <v>23133</v>
      </c>
      <c r="C8295" s="117">
        <v>45708</v>
      </c>
      <c r="D8295" s="116">
        <v>291.5</v>
      </c>
      <c r="E8295" s="117">
        <v>45731</v>
      </c>
      <c r="F8295" s="116">
        <f>COUNTIFS($A$3:A16551,A8295,$B$3:B16551,B8295)</f>
        <v>1</v>
      </c>
      <c r="G8295" s="116"/>
    </row>
    <row r="8296" spans="1:7" x14ac:dyDescent="0.2">
      <c r="A8296" s="116">
        <f>IF(ISNUMBER(Tabela2[[#This Row],[CT-e/NFS]])=TRUE,(IF(B8296&gt;30000,4,IF(B8296&lt;1000,"ND",0))),"-")</f>
        <v>0</v>
      </c>
      <c r="B8296" s="116">
        <v>23135</v>
      </c>
      <c r="C8296" s="117">
        <v>45708</v>
      </c>
      <c r="D8296" s="116">
        <v>287.83</v>
      </c>
      <c r="E8296" s="117">
        <v>45731</v>
      </c>
      <c r="F8296" s="116">
        <f>COUNTIFS($A$3:A16552,A8296,$B$3:B16552,B8296)</f>
        <v>1</v>
      </c>
      <c r="G8296" s="116"/>
    </row>
    <row r="8297" spans="1:7" x14ac:dyDescent="0.2">
      <c r="A8297" s="116">
        <f>IF(ISNUMBER(Tabela2[[#This Row],[CT-e/NFS]])=TRUE,(IF(B8297&gt;30000,4,IF(B8297&lt;1000,"ND",0))),"-")</f>
        <v>0</v>
      </c>
      <c r="B8297" s="116">
        <v>23143</v>
      </c>
      <c r="C8297" s="117">
        <v>45708</v>
      </c>
      <c r="D8297" s="116">
        <v>304.45999999999998</v>
      </c>
      <c r="E8297" s="117">
        <v>45731</v>
      </c>
      <c r="F8297" s="116">
        <f>COUNTIFS($A$3:A16553,A8297,$B$3:B16553,B8297)</f>
        <v>1</v>
      </c>
      <c r="G8297" s="116"/>
    </row>
    <row r="8298" spans="1:7" x14ac:dyDescent="0.2">
      <c r="A8298" s="116">
        <f>IF(ISNUMBER(Tabela2[[#This Row],[CT-e/NFS]])=TRUE,(IF(B8298&gt;30000,4,IF(B8298&lt;1000,"ND",0))),"-")</f>
        <v>0</v>
      </c>
      <c r="B8298" s="116">
        <v>23151</v>
      </c>
      <c r="C8298" s="117">
        <v>45708</v>
      </c>
      <c r="D8298" s="116">
        <v>298.24</v>
      </c>
      <c r="E8298" s="117">
        <v>45731</v>
      </c>
      <c r="F8298" s="116">
        <f>COUNTIFS($A$3:A16554,A8298,$B$3:B16554,B8298)</f>
        <v>1</v>
      </c>
      <c r="G8298" s="116"/>
    </row>
    <row r="8299" spans="1:7" x14ac:dyDescent="0.2">
      <c r="A8299" s="116">
        <f>IF(ISNUMBER(Tabela2[[#This Row],[CT-e/NFS]])=TRUE,(IF(B8299&gt;30000,4,IF(B8299&lt;1000,"ND",0))),"-")</f>
        <v>0</v>
      </c>
      <c r="B8299" s="116">
        <v>23150</v>
      </c>
      <c r="C8299" s="117">
        <v>45708</v>
      </c>
      <c r="D8299" s="116">
        <v>322.82</v>
      </c>
      <c r="E8299" s="117">
        <v>45731</v>
      </c>
      <c r="F8299" s="116">
        <f>COUNTIFS($A$3:A16555,A8299,$B$3:B16555,B8299)</f>
        <v>1</v>
      </c>
      <c r="G8299" s="116"/>
    </row>
    <row r="8300" spans="1:7" x14ac:dyDescent="0.2">
      <c r="A8300" s="116">
        <f>IF(ISNUMBER(Tabela2[[#This Row],[CT-e/NFS]])=TRUE,(IF(B8300&gt;30000,4,IF(B8300&lt;1000,"ND",0))),"-")</f>
        <v>0</v>
      </c>
      <c r="B8300" s="116">
        <v>23178</v>
      </c>
      <c r="C8300" s="117">
        <v>45708</v>
      </c>
      <c r="D8300" s="116">
        <v>291.5</v>
      </c>
      <c r="E8300" s="117">
        <v>45731</v>
      </c>
      <c r="F8300" s="116">
        <f>COUNTIFS($A$3:A16556,A8300,$B$3:B16556,B8300)</f>
        <v>1</v>
      </c>
      <c r="G8300" s="116"/>
    </row>
    <row r="8301" spans="1:7" x14ac:dyDescent="0.2">
      <c r="A8301" s="116">
        <f>IF(ISNUMBER(Tabela2[[#This Row],[CT-e/NFS]])=TRUE,(IF(B8301&gt;30000,4,IF(B8301&lt;1000,"ND",0))),"-")</f>
        <v>0</v>
      </c>
      <c r="B8301" s="116">
        <v>23183</v>
      </c>
      <c r="C8301" s="117">
        <v>45708</v>
      </c>
      <c r="D8301" s="116">
        <v>299.55</v>
      </c>
      <c r="E8301" s="117">
        <v>45731</v>
      </c>
      <c r="F8301" s="116">
        <f>COUNTIFS($A$3:A16557,A8301,$B$3:B16557,B8301)</f>
        <v>1</v>
      </c>
      <c r="G8301" s="116"/>
    </row>
    <row r="8302" spans="1:7" x14ac:dyDescent="0.2">
      <c r="A8302" s="116">
        <f>IF(ISNUMBER(Tabela2[[#This Row],[CT-e/NFS]])=TRUE,(IF(B8302&gt;30000,4,IF(B8302&lt;1000,"ND",0))),"-")</f>
        <v>0</v>
      </c>
      <c r="B8302" s="116">
        <v>23182</v>
      </c>
      <c r="C8302" s="117">
        <v>45708</v>
      </c>
      <c r="D8302" s="116">
        <v>291.76</v>
      </c>
      <c r="E8302" s="117">
        <v>45731</v>
      </c>
      <c r="F8302" s="116">
        <f>COUNTIFS($A$3:A16558,A8302,$B$3:B16558,B8302)</f>
        <v>1</v>
      </c>
      <c r="G8302" s="116"/>
    </row>
    <row r="8303" spans="1:7" x14ac:dyDescent="0.2">
      <c r="A8303" s="116">
        <f>IF(ISNUMBER(Tabela2[[#This Row],[CT-e/NFS]])=TRUE,(IF(B8303&gt;30000,4,IF(B8303&lt;1000,"ND",0))),"-")</f>
        <v>0</v>
      </c>
      <c r="B8303" s="116">
        <v>23184</v>
      </c>
      <c r="C8303" s="117">
        <v>45708</v>
      </c>
      <c r="D8303" s="116">
        <v>291.48</v>
      </c>
      <c r="E8303" s="117">
        <v>45731</v>
      </c>
      <c r="F8303" s="116">
        <f>COUNTIFS($A$3:A16559,A8303,$B$3:B16559,B8303)</f>
        <v>1</v>
      </c>
      <c r="G8303" s="116"/>
    </row>
    <row r="8304" spans="1:7" x14ac:dyDescent="0.2">
      <c r="A8304" s="116">
        <f>IF(ISNUMBER(Tabela2[[#This Row],[CT-e/NFS]])=TRUE,(IF(B8304&gt;30000,4,IF(B8304&lt;1000,"ND",0))),"-")</f>
        <v>4</v>
      </c>
      <c r="B8304" s="116">
        <v>52301</v>
      </c>
      <c r="C8304" s="117">
        <v>45708</v>
      </c>
      <c r="D8304" s="116">
        <v>213.68</v>
      </c>
      <c r="E8304" s="117">
        <v>45731</v>
      </c>
      <c r="F8304" s="116">
        <f>COUNTIFS($A$3:A16560,A8304,$B$3:B16560,B8304)</f>
        <v>1</v>
      </c>
      <c r="G8304" s="116"/>
    </row>
    <row r="8305" spans="1:7" x14ac:dyDescent="0.2">
      <c r="A8305" s="116">
        <f>IF(ISNUMBER(Tabela2[[#This Row],[CT-e/NFS]])=TRUE,(IF(B8305&gt;30000,4,IF(B8305&lt;1000,"ND",0))),"-")</f>
        <v>4</v>
      </c>
      <c r="B8305" s="116">
        <v>52302</v>
      </c>
      <c r="C8305" s="117">
        <v>45708</v>
      </c>
      <c r="D8305" s="116">
        <v>375.93</v>
      </c>
      <c r="E8305" s="117">
        <v>45731</v>
      </c>
      <c r="F8305" s="116">
        <f>COUNTIFS($A$3:A16561,A8305,$B$3:B16561,B8305)</f>
        <v>1</v>
      </c>
      <c r="G8305" s="116"/>
    </row>
    <row r="8306" spans="1:7" x14ac:dyDescent="0.2">
      <c r="A8306" s="116">
        <f>IF(ISNUMBER(Tabela2[[#This Row],[CT-e/NFS]])=TRUE,(IF(B8306&gt;30000,4,IF(B8306&lt;1000,"ND",0))),"-")</f>
        <v>4</v>
      </c>
      <c r="B8306" s="116">
        <v>52315</v>
      </c>
      <c r="C8306" s="117">
        <v>45708</v>
      </c>
      <c r="D8306" s="116">
        <v>335.97</v>
      </c>
      <c r="E8306" s="117">
        <v>45731</v>
      </c>
      <c r="F8306" s="116">
        <f>COUNTIFS($A$3:A16562,A8306,$B$3:B16562,B8306)</f>
        <v>1</v>
      </c>
      <c r="G8306" s="116"/>
    </row>
    <row r="8307" spans="1:7" x14ac:dyDescent="0.2">
      <c r="A8307" s="116">
        <f>IF(ISNUMBER(Tabela2[[#This Row],[CT-e/NFS]])=TRUE,(IF(B8307&gt;30000,4,IF(B8307&lt;1000,"ND",0))),"-")</f>
        <v>4</v>
      </c>
      <c r="B8307" s="116">
        <v>52347</v>
      </c>
      <c r="C8307" s="117">
        <v>45708</v>
      </c>
      <c r="D8307" s="116">
        <v>462.93</v>
      </c>
      <c r="E8307" s="117">
        <v>45731</v>
      </c>
      <c r="F8307" s="116">
        <f>COUNTIFS($A$3:A16563,A8307,$B$3:B16563,B8307)</f>
        <v>1</v>
      </c>
      <c r="G8307" s="116"/>
    </row>
    <row r="8308" spans="1:7" x14ac:dyDescent="0.2">
      <c r="A8308" s="116">
        <f>IF(ISNUMBER(Tabela2[[#This Row],[CT-e/NFS]])=TRUE,(IF(B8308&gt;30000,4,IF(B8308&lt;1000,"ND",0))),"-")</f>
        <v>4</v>
      </c>
      <c r="B8308" s="116">
        <v>52348</v>
      </c>
      <c r="C8308" s="117">
        <v>45708</v>
      </c>
      <c r="D8308" s="116">
        <v>331.68</v>
      </c>
      <c r="E8308" s="117">
        <v>45731</v>
      </c>
      <c r="F8308" s="116">
        <f>COUNTIFS($A$3:A16564,A8308,$B$3:B16564,B8308)</f>
        <v>1</v>
      </c>
      <c r="G8308" s="116"/>
    </row>
    <row r="8309" spans="1:7" x14ac:dyDescent="0.2">
      <c r="A8309" s="116">
        <f>IF(ISNUMBER(Tabela2[[#This Row],[CT-e/NFS]])=TRUE,(IF(B8309&gt;30000,4,IF(B8309&lt;1000,"ND",0))),"-")</f>
        <v>4</v>
      </c>
      <c r="B8309" s="116">
        <v>52351</v>
      </c>
      <c r="C8309" s="117">
        <v>45708</v>
      </c>
      <c r="D8309" s="116">
        <v>213.68</v>
      </c>
      <c r="E8309" s="117">
        <v>45731</v>
      </c>
      <c r="F8309" s="116">
        <f>COUNTIFS($A$3:A16565,A8309,$B$3:B16565,B8309)</f>
        <v>1</v>
      </c>
      <c r="G8309" s="116"/>
    </row>
    <row r="8310" spans="1:7" x14ac:dyDescent="0.2">
      <c r="A8310" s="116">
        <f>IF(ISNUMBER(Tabela2[[#This Row],[CT-e/NFS]])=TRUE,(IF(B8310&gt;30000,4,IF(B8310&lt;1000,"ND",0))),"-")</f>
        <v>4</v>
      </c>
      <c r="B8310" s="116">
        <v>52352</v>
      </c>
      <c r="C8310" s="117">
        <v>45708</v>
      </c>
      <c r="D8310" s="116">
        <v>375.93</v>
      </c>
      <c r="E8310" s="117">
        <v>45731</v>
      </c>
      <c r="F8310" s="116">
        <f>COUNTIFS($A$3:A16566,A8310,$B$3:B16566,B8310)</f>
        <v>1</v>
      </c>
      <c r="G8310" s="116"/>
    </row>
    <row r="8311" spans="1:7" x14ac:dyDescent="0.2">
      <c r="A8311" s="116">
        <f>IF(ISNUMBER(Tabela2[[#This Row],[CT-e/NFS]])=TRUE,(IF(B8311&gt;30000,4,IF(B8311&lt;1000,"ND",0))),"-")</f>
        <v>4</v>
      </c>
      <c r="B8311" s="116">
        <v>52378</v>
      </c>
      <c r="C8311" s="117">
        <v>45708</v>
      </c>
      <c r="D8311" s="116">
        <v>169.43</v>
      </c>
      <c r="E8311" s="117">
        <v>45731</v>
      </c>
      <c r="F8311" s="116">
        <f>COUNTIFS($A$3:A16567,A8311,$B$3:B16567,B8311)</f>
        <v>1</v>
      </c>
      <c r="G8311" s="116"/>
    </row>
    <row r="8312" spans="1:7" x14ac:dyDescent="0.2">
      <c r="A8312" s="116">
        <f>IF(ISNUMBER(Tabela2[[#This Row],[CT-e/NFS]])=TRUE,(IF(B8312&gt;30000,4,IF(B8312&lt;1000,"ND",0))),"-")</f>
        <v>4</v>
      </c>
      <c r="B8312" s="116">
        <v>52379</v>
      </c>
      <c r="C8312" s="117">
        <v>45708</v>
      </c>
      <c r="D8312" s="116">
        <v>331.68</v>
      </c>
      <c r="E8312" s="117">
        <v>45731</v>
      </c>
      <c r="F8312" s="116">
        <f>COUNTIFS($A$3:A16568,A8312,$B$3:B16568,B8312)</f>
        <v>1</v>
      </c>
      <c r="G8312" s="116"/>
    </row>
    <row r="8313" spans="1:7" x14ac:dyDescent="0.2">
      <c r="A8313" s="116">
        <f>IF(ISNUMBER(Tabela2[[#This Row],[CT-e/NFS]])=TRUE,(IF(B8313&gt;30000,4,IF(B8313&lt;1000,"ND",0))),"-")</f>
        <v>4</v>
      </c>
      <c r="B8313" s="116">
        <v>52389</v>
      </c>
      <c r="C8313" s="117">
        <v>45708</v>
      </c>
      <c r="D8313" s="116">
        <v>339.2</v>
      </c>
      <c r="E8313" s="117">
        <v>45731</v>
      </c>
      <c r="F8313" s="116">
        <f>COUNTIFS($A$3:A16569,A8313,$B$3:B16569,B8313)</f>
        <v>1</v>
      </c>
      <c r="G8313" s="116"/>
    </row>
    <row r="8314" spans="1:7" x14ac:dyDescent="0.2">
      <c r="A8314" s="116">
        <f>IF(ISNUMBER(Tabela2[[#This Row],[CT-e/NFS]])=TRUE,(IF(B8314&gt;30000,4,IF(B8314&lt;1000,"ND",0))),"-")</f>
        <v>4</v>
      </c>
      <c r="B8314" s="116">
        <v>52395</v>
      </c>
      <c r="C8314" s="117">
        <v>45708</v>
      </c>
      <c r="D8314" s="116">
        <v>326.75</v>
      </c>
      <c r="E8314" s="117">
        <v>45731</v>
      </c>
      <c r="F8314" s="116">
        <f>COUNTIFS($A$3:A16570,A8314,$B$3:B16570,B8314)</f>
        <v>1</v>
      </c>
      <c r="G8314" s="116"/>
    </row>
    <row r="8315" spans="1:7" x14ac:dyDescent="0.2">
      <c r="A8315" s="116">
        <f>IF(ISNUMBER(Tabela2[[#This Row],[CT-e/NFS]])=TRUE,(IF(B8315&gt;30000,4,IF(B8315&lt;1000,"ND",0))),"-")</f>
        <v>4</v>
      </c>
      <c r="B8315" s="116">
        <v>52456</v>
      </c>
      <c r="C8315" s="117">
        <v>45708</v>
      </c>
      <c r="D8315" s="116">
        <v>549.59</v>
      </c>
      <c r="E8315" s="117">
        <v>45731</v>
      </c>
      <c r="F8315" s="116">
        <f>COUNTIFS($A$3:A16571,A8315,$B$3:B16571,B8315)</f>
        <v>1</v>
      </c>
      <c r="G8315" s="116"/>
    </row>
    <row r="8316" spans="1:7" x14ac:dyDescent="0.2">
      <c r="A8316" s="116">
        <f>IF(ISNUMBER(Tabela2[[#This Row],[CT-e/NFS]])=TRUE,(IF(B8316&gt;30000,4,IF(B8316&lt;1000,"ND",0))),"-")</f>
        <v>4</v>
      </c>
      <c r="B8316" s="116">
        <v>52483</v>
      </c>
      <c r="C8316" s="117">
        <v>45708</v>
      </c>
      <c r="D8316" s="116">
        <v>332.61</v>
      </c>
      <c r="E8316" s="117">
        <v>45731</v>
      </c>
      <c r="F8316" s="116">
        <f>COUNTIFS($A$3:A16572,A8316,$B$3:B16572,B8316)</f>
        <v>1</v>
      </c>
      <c r="G8316" s="116"/>
    </row>
    <row r="8317" spans="1:7" x14ac:dyDescent="0.2">
      <c r="A8317" s="116">
        <f>IF(ISNUMBER(Tabela2[[#This Row],[CT-e/NFS]])=TRUE,(IF(B8317&gt;30000,4,IF(B8317&lt;1000,"ND",0))),"-")</f>
        <v>4</v>
      </c>
      <c r="B8317" s="116">
        <v>52540</v>
      </c>
      <c r="C8317" s="117">
        <v>45708</v>
      </c>
      <c r="D8317" s="116">
        <v>507.25</v>
      </c>
      <c r="E8317" s="117">
        <v>45731</v>
      </c>
      <c r="F8317" s="116">
        <f>COUNTIFS($A$3:A16573,A8317,$B$3:B16573,B8317)</f>
        <v>1</v>
      </c>
      <c r="G8317" s="116"/>
    </row>
    <row r="8318" spans="1:7" x14ac:dyDescent="0.2">
      <c r="A8318" s="116">
        <f>IF(ISNUMBER(Tabela2[[#This Row],[CT-e/NFS]])=TRUE,(IF(B8318&gt;30000,4,IF(B8318&lt;1000,"ND",0))),"-")</f>
        <v>4</v>
      </c>
      <c r="B8318" s="116">
        <v>52421</v>
      </c>
      <c r="C8318" s="117">
        <v>45723</v>
      </c>
      <c r="D8318" s="116">
        <v>200.93</v>
      </c>
      <c r="E8318" s="117">
        <v>45746</v>
      </c>
      <c r="F8318" s="116">
        <f>COUNTIFS($A$3:A16577,A8318,$B$3:B16577,B8318)</f>
        <v>1</v>
      </c>
      <c r="G8318" s="116"/>
    </row>
    <row r="8319" spans="1:7" x14ac:dyDescent="0.2">
      <c r="A8319" s="116">
        <f>IF(ISNUMBER(Tabela2[[#This Row],[CT-e/NFS]])=TRUE,(IF(B8319&gt;30000,4,IF(B8319&lt;1000,"ND",0))),"-")</f>
        <v>0</v>
      </c>
      <c r="B8319" s="116">
        <v>21760</v>
      </c>
      <c r="C8319" s="117">
        <v>45727</v>
      </c>
      <c r="D8319" s="116">
        <v>92.12</v>
      </c>
      <c r="E8319" s="117">
        <v>45746</v>
      </c>
      <c r="F8319" s="116">
        <f>COUNTIFS($A$3:A16578,A8319,$B$3:B16578,B8319)</f>
        <v>1</v>
      </c>
      <c r="G8319" s="116"/>
    </row>
    <row r="8320" spans="1:7" x14ac:dyDescent="0.2">
      <c r="A8320" s="116">
        <f>IF(ISNUMBER(Tabela2[[#This Row],[CT-e/NFS]])=TRUE,(IF(B8320&gt;30000,4,IF(B8320&lt;1000,"ND",0))),"-")</f>
        <v>0</v>
      </c>
      <c r="B8320" s="116">
        <v>21761</v>
      </c>
      <c r="C8320" s="117">
        <v>45727</v>
      </c>
      <c r="D8320" s="116">
        <v>45.46</v>
      </c>
      <c r="E8320" s="117">
        <v>45746</v>
      </c>
      <c r="F8320" s="116">
        <f>COUNTIFS($A$3:A16579,A8320,$B$3:B16579,B8320)</f>
        <v>1</v>
      </c>
      <c r="G8320" s="116"/>
    </row>
    <row r="8321" spans="1:7" x14ac:dyDescent="0.2">
      <c r="A8321" s="116">
        <f>IF(ISNUMBER(Tabela2[[#This Row],[CT-e/NFS]])=TRUE,(IF(B8321&gt;30000,4,IF(B8321&lt;1000,"ND",0))),"-")</f>
        <v>4</v>
      </c>
      <c r="B8321" s="116">
        <v>47842</v>
      </c>
      <c r="C8321" s="117">
        <v>45727</v>
      </c>
      <c r="D8321" s="116">
        <v>494.94</v>
      </c>
      <c r="E8321" s="117">
        <v>45746</v>
      </c>
      <c r="F8321" s="116">
        <f>COUNTIFS($A$3:A16580,A8321,$B$3:B16580,B8321)</f>
        <v>1</v>
      </c>
      <c r="G8321" s="116"/>
    </row>
    <row r="8322" spans="1:7" x14ac:dyDescent="0.2">
      <c r="A8322" s="116">
        <f>IF(ISNUMBER(Tabela2[[#This Row],[CT-e/NFS]])=TRUE,(IF(B8322&gt;30000,4,IF(B8322&lt;1000,"ND",0))),"-")</f>
        <v>4</v>
      </c>
      <c r="B8322" s="116">
        <v>47910</v>
      </c>
      <c r="C8322" s="117">
        <v>45727</v>
      </c>
      <c r="D8322" s="116">
        <v>125.65</v>
      </c>
      <c r="E8322" s="117">
        <v>45746</v>
      </c>
      <c r="F8322" s="116">
        <f>COUNTIFS($A$3:A16581,A8322,$B$3:B16581,B8322)</f>
        <v>1</v>
      </c>
      <c r="G8322" s="116"/>
    </row>
    <row r="8323" spans="1:7" x14ac:dyDescent="0.2">
      <c r="A8323" s="116">
        <f>IF(ISNUMBER(Tabela2[[#This Row],[CT-e/NFS]])=TRUE,(IF(B8323&gt;30000,4,IF(B8323&lt;1000,"ND",0))),"-")</f>
        <v>4</v>
      </c>
      <c r="B8323" s="116">
        <v>47917</v>
      </c>
      <c r="C8323" s="117">
        <v>45727</v>
      </c>
      <c r="D8323" s="116">
        <v>506.93</v>
      </c>
      <c r="E8323" s="117">
        <v>45746</v>
      </c>
      <c r="F8323" s="116">
        <f>COUNTIFS($A$3:A16582,A8323,$B$3:B16582,B8323)</f>
        <v>1</v>
      </c>
      <c r="G8323" s="116"/>
    </row>
    <row r="8324" spans="1:7" x14ac:dyDescent="0.2">
      <c r="A8324" s="116">
        <f>IF(ISNUMBER(Tabela2[[#This Row],[CT-e/NFS]])=TRUE,(IF(B8324&gt;30000,4,IF(B8324&lt;1000,"ND",0))),"-")</f>
        <v>4</v>
      </c>
      <c r="B8324" s="116">
        <v>47918</v>
      </c>
      <c r="C8324" s="117">
        <v>45727</v>
      </c>
      <c r="D8324" s="116">
        <v>101.83</v>
      </c>
      <c r="E8324" s="117">
        <v>45746</v>
      </c>
      <c r="F8324" s="116">
        <f>COUNTIFS($A$3:A16583,A8324,$B$3:B16583,B8324)</f>
        <v>1</v>
      </c>
      <c r="G8324" s="116"/>
    </row>
    <row r="8325" spans="1:7" x14ac:dyDescent="0.2">
      <c r="A8325" s="116">
        <f>IF(ISNUMBER(Tabela2[[#This Row],[CT-e/NFS]])=TRUE,(IF(B8325&gt;30000,4,IF(B8325&lt;1000,"ND",0))),"-")</f>
        <v>4</v>
      </c>
      <c r="B8325" s="116">
        <v>47959</v>
      </c>
      <c r="C8325" s="117">
        <v>45727</v>
      </c>
      <c r="D8325" s="116">
        <v>256.86</v>
      </c>
      <c r="E8325" s="117">
        <v>45746</v>
      </c>
      <c r="F8325" s="116">
        <f>COUNTIFS($A$3:A16584,A8325,$B$3:B16584,B8325)</f>
        <v>1</v>
      </c>
      <c r="G8325" s="116"/>
    </row>
    <row r="8326" spans="1:7" x14ac:dyDescent="0.2">
      <c r="A8326" s="116">
        <f>IF(ISNUMBER(Tabela2[[#This Row],[CT-e/NFS]])=TRUE,(IF(B8326&gt;30000,4,IF(B8326&lt;1000,"ND",0))),"-")</f>
        <v>4</v>
      </c>
      <c r="B8326" s="116">
        <v>47963</v>
      </c>
      <c r="C8326" s="117">
        <v>45727</v>
      </c>
      <c r="D8326" s="116">
        <v>229.93</v>
      </c>
      <c r="E8326" s="117">
        <v>45746</v>
      </c>
      <c r="F8326" s="116">
        <f>COUNTIFS($A$3:A16584,A8326,$B$3:B16584,B8326)</f>
        <v>1</v>
      </c>
      <c r="G8326" s="116"/>
    </row>
    <row r="8327" spans="1:7" x14ac:dyDescent="0.2">
      <c r="A8327" s="116">
        <f>IF(ISNUMBER(Tabela2[[#This Row],[CT-e/NFS]])=TRUE,(IF(B8327&gt;30000,4,IF(B8327&lt;1000,"ND",0))),"-")</f>
        <v>4</v>
      </c>
      <c r="B8327" s="116">
        <v>47964</v>
      </c>
      <c r="C8327" s="117">
        <v>45727</v>
      </c>
      <c r="D8327" s="116">
        <v>462.31</v>
      </c>
      <c r="E8327" s="117">
        <v>45746</v>
      </c>
      <c r="F8327" s="116">
        <f>COUNTIFS($A$3:A16581,A8327,$B$3:B16581,B8327)</f>
        <v>1</v>
      </c>
      <c r="G8327" s="116"/>
    </row>
    <row r="8328" spans="1:7" x14ac:dyDescent="0.2">
      <c r="A8328" s="116">
        <f>IF(ISNUMBER(Tabela2[[#This Row],[CT-e/NFS]])=TRUE,(IF(B8328&gt;30000,4,IF(B8328&lt;1000,"ND",0))),"-")</f>
        <v>0</v>
      </c>
      <c r="B8328" s="116">
        <v>23215</v>
      </c>
      <c r="C8328" s="117">
        <v>45726</v>
      </c>
      <c r="D8328" s="116">
        <v>291.5</v>
      </c>
      <c r="E8328" s="117">
        <v>45746</v>
      </c>
      <c r="F8328" s="116">
        <f>COUNTIFS($A$3:A16582,A8328,$B$3:B16582,B8328)</f>
        <v>1</v>
      </c>
      <c r="G8328" s="116"/>
    </row>
    <row r="8329" spans="1:7" x14ac:dyDescent="0.2">
      <c r="A8329" s="116">
        <f>IF(ISNUMBER(Tabela2[[#This Row],[CT-e/NFS]])=TRUE,(IF(B8329&gt;30000,4,IF(B8329&lt;1000,"ND",0))),"-")</f>
        <v>0</v>
      </c>
      <c r="B8329" s="116">
        <v>23217</v>
      </c>
      <c r="C8329" s="117">
        <v>45726</v>
      </c>
      <c r="D8329" s="116">
        <v>296.52</v>
      </c>
      <c r="E8329" s="117">
        <v>45746</v>
      </c>
      <c r="F8329" s="116">
        <f>COUNTIFS($A$3:A16583,A8329,$B$3:B16583,B8329)</f>
        <v>1</v>
      </c>
      <c r="G8329" s="116"/>
    </row>
    <row r="8330" spans="1:7" x14ac:dyDescent="0.2">
      <c r="A8330" s="116">
        <f>IF(ISNUMBER(Tabela2[[#This Row],[CT-e/NFS]])=TRUE,(IF(B8330&gt;30000,4,IF(B8330&lt;1000,"ND",0))),"-")</f>
        <v>0</v>
      </c>
      <c r="B8330" s="116">
        <v>23221</v>
      </c>
      <c r="C8330" s="117">
        <v>45726</v>
      </c>
      <c r="D8330" s="116">
        <v>305.49</v>
      </c>
      <c r="E8330" s="117">
        <v>45746</v>
      </c>
      <c r="F8330" s="116">
        <f>COUNTIFS($A$3:A16584,A8330,$B$3:B16584,B8330)</f>
        <v>1</v>
      </c>
      <c r="G8330" s="116"/>
    </row>
    <row r="8331" spans="1:7" x14ac:dyDescent="0.2">
      <c r="A8331" s="116">
        <f>IF(ISNUMBER(Tabela2[[#This Row],[CT-e/NFS]])=TRUE,(IF(B8331&gt;30000,4,IF(B8331&lt;1000,"ND",0))),"-")</f>
        <v>0</v>
      </c>
      <c r="B8331" s="116">
        <v>23222</v>
      </c>
      <c r="C8331" s="117">
        <v>45726</v>
      </c>
      <c r="D8331" s="116">
        <v>286.95999999999998</v>
      </c>
      <c r="E8331" s="117">
        <v>45746</v>
      </c>
      <c r="F8331" s="116">
        <f>COUNTIFS($A$3:A16585,A8331,$B$3:B16585,B8331)</f>
        <v>1</v>
      </c>
      <c r="G8331" s="116"/>
    </row>
    <row r="8332" spans="1:7" x14ac:dyDescent="0.2">
      <c r="A8332" s="116">
        <f>IF(ISNUMBER(Tabela2[[#This Row],[CT-e/NFS]])=TRUE,(IF(B8332&gt;30000,4,IF(B8332&lt;1000,"ND",0))),"-")</f>
        <v>0</v>
      </c>
      <c r="B8332" s="116">
        <v>23220</v>
      </c>
      <c r="C8332" s="117">
        <v>45726</v>
      </c>
      <c r="D8332" s="116">
        <v>294.66000000000003</v>
      </c>
      <c r="E8332" s="117">
        <v>45746</v>
      </c>
      <c r="F8332" s="116">
        <f>COUNTIFS($A$3:A16586,A8332,$B$3:B16586,B8332)</f>
        <v>1</v>
      </c>
      <c r="G8332" s="116"/>
    </row>
    <row r="8333" spans="1:7" x14ac:dyDescent="0.2">
      <c r="A8333" s="116">
        <f>IF(ISNUMBER(Tabela2[[#This Row],[CT-e/NFS]])=TRUE,(IF(B8333&gt;30000,4,IF(B8333&lt;1000,"ND",0))),"-")</f>
        <v>0</v>
      </c>
      <c r="B8333" s="116">
        <v>23230</v>
      </c>
      <c r="C8333" s="117">
        <v>45726</v>
      </c>
      <c r="D8333" s="116">
        <v>286.95999999999998</v>
      </c>
      <c r="E8333" s="117">
        <v>45746</v>
      </c>
      <c r="F8333" s="116">
        <f>COUNTIFS($A$3:A16587,A8333,$B$3:B16587,B8333)</f>
        <v>1</v>
      </c>
      <c r="G8333" s="116"/>
    </row>
    <row r="8334" spans="1:7" x14ac:dyDescent="0.2">
      <c r="A8334" s="116">
        <f>IF(ISNUMBER(Tabela2[[#This Row],[CT-e/NFS]])=TRUE,(IF(B8334&gt;30000,4,IF(B8334&lt;1000,"ND",0))),"-")</f>
        <v>0</v>
      </c>
      <c r="B8334" s="116">
        <v>23231</v>
      </c>
      <c r="C8334" s="117">
        <v>45726</v>
      </c>
      <c r="D8334" s="116">
        <v>291.76</v>
      </c>
      <c r="E8334" s="117">
        <v>45746</v>
      </c>
      <c r="F8334" s="116">
        <f>COUNTIFS($A$3:A16588,A8334,$B$3:B16588,B8334)</f>
        <v>1</v>
      </c>
      <c r="G8334" s="116"/>
    </row>
    <row r="8335" spans="1:7" x14ac:dyDescent="0.2">
      <c r="A8335" s="116">
        <f>IF(ISNUMBER(Tabela2[[#This Row],[CT-e/NFS]])=TRUE,(IF(B8335&gt;30000,4,IF(B8335&lt;1000,"ND",0))),"-")</f>
        <v>0</v>
      </c>
      <c r="B8335" s="116">
        <v>23235</v>
      </c>
      <c r="C8335" s="117">
        <v>45726</v>
      </c>
      <c r="D8335" s="116">
        <v>101.45</v>
      </c>
      <c r="E8335" s="117">
        <v>45746</v>
      </c>
      <c r="F8335" s="116">
        <f>COUNTIFS($A$3:A16589,A8335,$B$3:B16589,B8335)</f>
        <v>1</v>
      </c>
      <c r="G8335" s="116"/>
    </row>
    <row r="8336" spans="1:7" x14ac:dyDescent="0.2">
      <c r="A8336" s="116">
        <f>IF(ISNUMBER(Tabela2[[#This Row],[CT-e/NFS]])=TRUE,(IF(B8336&gt;30000,4,IF(B8336&lt;1000,"ND",0))),"-")</f>
        <v>0</v>
      </c>
      <c r="B8336" s="116">
        <v>23237</v>
      </c>
      <c r="C8336" s="117">
        <v>45726</v>
      </c>
      <c r="D8336" s="116">
        <v>295.45999999999998</v>
      </c>
      <c r="E8336" s="117">
        <v>45746</v>
      </c>
      <c r="F8336" s="116">
        <f>COUNTIFS($A$3:A16590,A8336,$B$3:B16590,B8336)</f>
        <v>1</v>
      </c>
      <c r="G8336" s="116"/>
    </row>
    <row r="8337" spans="1:7" x14ac:dyDescent="0.2">
      <c r="A8337" s="116">
        <f>IF(ISNUMBER(Tabela2[[#This Row],[CT-e/NFS]])=TRUE,(IF(B8337&gt;30000,4,IF(B8337&lt;1000,"ND",0))),"-")</f>
        <v>0</v>
      </c>
      <c r="B8337" s="116">
        <v>23238</v>
      </c>
      <c r="C8337" s="117">
        <v>45726</v>
      </c>
      <c r="D8337" s="116">
        <v>287.51</v>
      </c>
      <c r="E8337" s="117">
        <v>45746</v>
      </c>
      <c r="F8337" s="116">
        <f>COUNTIFS($A$3:A16591,A8337,$B$3:B16591,B8337)</f>
        <v>1</v>
      </c>
      <c r="G8337" s="116"/>
    </row>
    <row r="8338" spans="1:7" x14ac:dyDescent="0.2">
      <c r="A8338" s="116">
        <f>IF(ISNUMBER(Tabela2[[#This Row],[CT-e/NFS]])=TRUE,(IF(B8338&gt;30000,4,IF(B8338&lt;1000,"ND",0))),"-")</f>
        <v>0</v>
      </c>
      <c r="B8338" s="116">
        <v>23239</v>
      </c>
      <c r="C8338" s="117">
        <v>45726</v>
      </c>
      <c r="D8338" s="116">
        <v>287.51</v>
      </c>
      <c r="E8338" s="117">
        <v>45746</v>
      </c>
      <c r="F8338" s="116">
        <f>COUNTIFS($A$3:A16592,A8338,$B$3:B16592,B8338)</f>
        <v>1</v>
      </c>
      <c r="G8338" s="116"/>
    </row>
    <row r="8339" spans="1:7" x14ac:dyDescent="0.2">
      <c r="A8339" s="116">
        <f>IF(ISNUMBER(Tabela2[[#This Row],[CT-e/NFS]])=TRUE,(IF(B8339&gt;30000,4,IF(B8339&lt;1000,"ND",0))),"-")</f>
        <v>0</v>
      </c>
      <c r="B8339" s="116">
        <v>23240</v>
      </c>
      <c r="C8339" s="117">
        <v>45726</v>
      </c>
      <c r="D8339" s="116">
        <v>291.5</v>
      </c>
      <c r="E8339" s="117">
        <v>45746</v>
      </c>
      <c r="F8339" s="116">
        <f>COUNTIFS($A$3:A16593,A8339,$B$3:B16593,B8339)</f>
        <v>1</v>
      </c>
      <c r="G8339" s="116"/>
    </row>
    <row r="8340" spans="1:7" x14ac:dyDescent="0.2">
      <c r="A8340" s="116">
        <f>IF(ISNUMBER(Tabela2[[#This Row],[CT-e/NFS]])=TRUE,(IF(B8340&gt;30000,4,IF(B8340&lt;1000,"ND",0))),"-")</f>
        <v>4</v>
      </c>
      <c r="B8340" s="116">
        <v>52614</v>
      </c>
      <c r="C8340" s="117">
        <v>45726</v>
      </c>
      <c r="D8340" s="116">
        <v>116.94</v>
      </c>
      <c r="E8340" s="117">
        <v>45746</v>
      </c>
      <c r="F8340" s="116">
        <f>COUNTIFS($A$3:A16594,A8340,$B$3:B16594,B8340)</f>
        <v>1</v>
      </c>
      <c r="G8340" s="116"/>
    </row>
    <row r="8341" spans="1:7" x14ac:dyDescent="0.2">
      <c r="A8341" s="116">
        <f>IF(ISNUMBER(Tabela2[[#This Row],[CT-e/NFS]])=TRUE,(IF(B8341&gt;30000,4,IF(B8341&lt;1000,"ND",0))),"-")</f>
        <v>4</v>
      </c>
      <c r="B8341" s="116">
        <v>52642</v>
      </c>
      <c r="C8341" s="117">
        <v>45726</v>
      </c>
      <c r="D8341" s="116">
        <v>338.93</v>
      </c>
      <c r="E8341" s="117">
        <v>45746</v>
      </c>
      <c r="F8341" s="116">
        <f>COUNTIFS($A$3:A16595,A8341,$B$3:B16595,B8341)</f>
        <v>1</v>
      </c>
      <c r="G8341" s="116"/>
    </row>
    <row r="8342" spans="1:7" x14ac:dyDescent="0.2">
      <c r="A8342" s="116">
        <f>IF(ISNUMBER(Tabela2[[#This Row],[CT-e/NFS]])=TRUE,(IF(B8342&gt;30000,4,IF(B8342&lt;1000,"ND",0))),"-")</f>
        <v>4</v>
      </c>
      <c r="B8342" s="116">
        <v>52677</v>
      </c>
      <c r="C8342" s="117">
        <v>45726</v>
      </c>
      <c r="D8342" s="116">
        <v>338.99</v>
      </c>
      <c r="E8342" s="117">
        <v>45746</v>
      </c>
      <c r="F8342" s="116">
        <f>COUNTIFS($A$3:A16596,A8342,$B$3:B16596,B8342)</f>
        <v>1</v>
      </c>
      <c r="G8342" s="116"/>
    </row>
    <row r="8343" spans="1:7" x14ac:dyDescent="0.2">
      <c r="A8343" s="116">
        <f>IF(ISNUMBER(Tabela2[[#This Row],[CT-e/NFS]])=TRUE,(IF(B8343&gt;30000,4,IF(B8343&lt;1000,"ND",0))),"-")</f>
        <v>4</v>
      </c>
      <c r="B8343" s="116">
        <v>52704</v>
      </c>
      <c r="C8343" s="117">
        <v>45726</v>
      </c>
      <c r="D8343" s="116">
        <v>571.84</v>
      </c>
      <c r="E8343" s="117">
        <v>45746</v>
      </c>
      <c r="F8343" s="116">
        <f>COUNTIFS($A$3:A16597,A8343,$B$3:B16597,B8343)</f>
        <v>1</v>
      </c>
      <c r="G8343" s="116"/>
    </row>
    <row r="8344" spans="1:7" x14ac:dyDescent="0.2">
      <c r="A8344" s="116">
        <f>IF(ISNUMBER(Tabela2[[#This Row],[CT-e/NFS]])=TRUE,(IF(B8344&gt;30000,4,IF(B8344&lt;1000,"ND",0))),"-")</f>
        <v>4</v>
      </c>
      <c r="B8344" s="116">
        <v>52721</v>
      </c>
      <c r="C8344" s="117">
        <v>45726</v>
      </c>
      <c r="D8344" s="116">
        <v>155.15</v>
      </c>
      <c r="E8344" s="117">
        <v>45746</v>
      </c>
      <c r="F8344" s="116">
        <f>COUNTIFS($A$3:A16598,A8344,$B$3:B16598,B8344)</f>
        <v>1</v>
      </c>
      <c r="G8344" s="116"/>
    </row>
    <row r="8345" spans="1:7" x14ac:dyDescent="0.2">
      <c r="A8345" s="116">
        <f>IF(ISNUMBER(Tabela2[[#This Row],[CT-e/NFS]])=TRUE,(IF(B8345&gt;30000,4,IF(B8345&lt;1000,"ND",0))),"-")</f>
        <v>4</v>
      </c>
      <c r="B8345" s="116">
        <v>52784</v>
      </c>
      <c r="C8345" s="117">
        <v>45726</v>
      </c>
      <c r="D8345" s="116">
        <v>508.84</v>
      </c>
      <c r="E8345" s="117">
        <v>45746</v>
      </c>
      <c r="F8345" s="116">
        <f>COUNTIFS($A$3:A16599,A8345,$B$3:B16599,B8345)</f>
        <v>1</v>
      </c>
      <c r="G8345" s="116"/>
    </row>
    <row r="8346" spans="1:7" x14ac:dyDescent="0.2">
      <c r="A8346" s="116">
        <f>IF(ISNUMBER(Tabela2[[#This Row],[CT-e/NFS]])=TRUE,(IF(B8346&gt;30000,4,IF(B8346&lt;1000,"ND",0))),"-")</f>
        <v>4</v>
      </c>
      <c r="B8346" s="116">
        <v>51747</v>
      </c>
      <c r="C8346" s="117">
        <v>45728</v>
      </c>
      <c r="D8346" s="116">
        <v>122.43</v>
      </c>
      <c r="E8346" s="117">
        <v>45746</v>
      </c>
      <c r="F8346" s="116">
        <f>COUNTIFS($A$3:A16604,A8346,$B$3:B16604,B8346)</f>
        <v>1</v>
      </c>
      <c r="G8346" s="116"/>
    </row>
    <row r="8347" spans="1:7" x14ac:dyDescent="0.2">
      <c r="A8347" s="116">
        <f>IF(ISNUMBER(Tabela2[[#This Row],[CT-e/NFS]])=TRUE,(IF(B8347&gt;30000,4,IF(B8347&lt;1000,"ND",0))),"-")</f>
        <v>4</v>
      </c>
      <c r="B8347" s="116">
        <v>51805</v>
      </c>
      <c r="C8347" s="117">
        <v>45728</v>
      </c>
      <c r="D8347" s="127">
        <v>1060.0999999999999</v>
      </c>
      <c r="E8347" s="117">
        <v>45746</v>
      </c>
      <c r="F8347" s="116">
        <f>COUNTIFS($A$3:A16597,A8347,$B$3:B16597,B8347)</f>
        <v>1</v>
      </c>
      <c r="G8347" s="116"/>
    </row>
    <row r="8348" spans="1:7" x14ac:dyDescent="0.2">
      <c r="A8348" s="116">
        <f>IF(ISNUMBER(Tabela2[[#This Row],[CT-e/NFS]])=TRUE,(IF(B8348&gt;30000,4,IF(B8348&lt;1000,"ND",0))),"-")</f>
        <v>4</v>
      </c>
      <c r="B8348" s="116">
        <v>51806</v>
      </c>
      <c r="C8348" s="117">
        <v>45728</v>
      </c>
      <c r="D8348" s="116">
        <v>671.05</v>
      </c>
      <c r="E8348" s="117">
        <v>45746</v>
      </c>
      <c r="F8348" s="116">
        <f>COUNTIFS($A$3:A16598,A8348,$B$3:B16598,B8348)</f>
        <v>1</v>
      </c>
      <c r="G8348" s="116"/>
    </row>
    <row r="8349" spans="1:7" x14ac:dyDescent="0.2">
      <c r="A8349" s="116">
        <f>IF(ISNUMBER(Tabela2[[#This Row],[CT-e/NFS]])=TRUE,(IF(B8349&gt;30000,4,IF(B8349&lt;1000,"ND",0))),"-")</f>
        <v>0</v>
      </c>
      <c r="B8349" s="116">
        <v>23082</v>
      </c>
      <c r="C8349" s="117">
        <v>45728</v>
      </c>
      <c r="D8349" s="116">
        <v>718.39</v>
      </c>
      <c r="E8349" s="117">
        <v>45746</v>
      </c>
      <c r="F8349" s="116">
        <f>COUNTIFS($A$3:A16599,A8349,$B$3:B16599,B8349)</f>
        <v>1</v>
      </c>
      <c r="G8349" s="116"/>
    </row>
    <row r="8350" spans="1:7" x14ac:dyDescent="0.2">
      <c r="A8350" s="116">
        <f>IF(ISNUMBER(Tabela2[[#This Row],[CT-e/NFS]])=TRUE,(IF(B8350&gt;30000,4,IF(B8350&lt;1000,"ND",0))),"-")</f>
        <v>0</v>
      </c>
      <c r="B8350" s="116">
        <v>23083</v>
      </c>
      <c r="C8350" s="117">
        <v>45728</v>
      </c>
      <c r="D8350" s="116">
        <v>225.51</v>
      </c>
      <c r="E8350" s="117">
        <v>45746</v>
      </c>
      <c r="F8350" s="116">
        <f>COUNTIFS($A$3:A16600,A8350,$B$3:B16600,B8350)</f>
        <v>1</v>
      </c>
      <c r="G8350" s="116"/>
    </row>
    <row r="8351" spans="1:7" x14ac:dyDescent="0.2">
      <c r="A8351" s="116">
        <f>IF(ISNUMBER(Tabela2[[#This Row],[CT-e/NFS]])=TRUE,(IF(B8351&gt;30000,4,IF(B8351&lt;1000,"ND",0))),"-")</f>
        <v>4</v>
      </c>
      <c r="B8351" s="116">
        <v>52201</v>
      </c>
      <c r="C8351" s="117">
        <v>45728</v>
      </c>
      <c r="D8351" s="116">
        <v>114.43</v>
      </c>
      <c r="E8351" s="117">
        <v>45746</v>
      </c>
      <c r="F8351" s="116">
        <f>COUNTIFS($A$3:A16601,A8351,$B$3:B16601,B8351)</f>
        <v>1</v>
      </c>
      <c r="G8351" s="116"/>
    </row>
    <row r="8352" spans="1:7" x14ac:dyDescent="0.2">
      <c r="A8352" s="116">
        <f>IF(ISNUMBER(Tabela2[[#This Row],[CT-e/NFS]])=TRUE,(IF(B8352&gt;30000,4,IF(B8352&lt;1000,"ND",0))),"-")</f>
        <v>4</v>
      </c>
      <c r="B8352" s="116">
        <v>52214</v>
      </c>
      <c r="C8352" s="117">
        <v>45728</v>
      </c>
      <c r="D8352" s="116">
        <v>336.78</v>
      </c>
      <c r="E8352" s="117">
        <v>45746</v>
      </c>
      <c r="F8352" s="116">
        <f>COUNTIFS($A$3:A16602,A8352,$B$3:B16602,B8352)</f>
        <v>1</v>
      </c>
      <c r="G8352" s="116"/>
    </row>
    <row r="8353" spans="1:7" x14ac:dyDescent="0.2">
      <c r="A8353" s="116">
        <f>IF(ISNUMBER(Tabela2[[#This Row],[CT-e/NFS]])=TRUE,(IF(B8353&gt;30000,4,IF(B8353&lt;1000,"ND",0))),"-")</f>
        <v>4</v>
      </c>
      <c r="B8353" s="116">
        <v>52241</v>
      </c>
      <c r="C8353" s="117">
        <v>45728</v>
      </c>
      <c r="D8353" s="116">
        <v>112.01</v>
      </c>
      <c r="E8353" s="117">
        <v>45746</v>
      </c>
      <c r="F8353" s="116">
        <f>COUNTIFS($A$3:A16603,A8353,$B$3:B16603,B8353)</f>
        <v>1</v>
      </c>
      <c r="G8353" s="116"/>
    </row>
    <row r="8354" spans="1:7" x14ac:dyDescent="0.2">
      <c r="A8354" s="116">
        <f>IF(ISNUMBER(Tabela2[[#This Row],[CT-e/NFS]])=TRUE,(IF(B8354&gt;30000,4,IF(B8354&lt;1000,"ND",0))),"-")</f>
        <v>4</v>
      </c>
      <c r="B8354" s="116">
        <v>52245</v>
      </c>
      <c r="C8354" s="117">
        <v>45728</v>
      </c>
      <c r="D8354" s="116">
        <v>201.44</v>
      </c>
      <c r="E8354" s="117">
        <v>45746</v>
      </c>
      <c r="F8354" s="116">
        <f>COUNTIFS($A$3:A16604,A8354,$B$3:B16604,B8354)</f>
        <v>1</v>
      </c>
      <c r="G8354" s="116"/>
    </row>
    <row r="8355" spans="1:7" x14ac:dyDescent="0.2">
      <c r="A8355" s="116">
        <f>IF(ISNUMBER(Tabela2[[#This Row],[CT-e/NFS]])=TRUE,(IF(B8355&gt;30000,4,IF(B8355&lt;1000,"ND",0))),"-")</f>
        <v>4</v>
      </c>
      <c r="B8355" s="116">
        <v>52262</v>
      </c>
      <c r="C8355" s="117">
        <v>45728</v>
      </c>
      <c r="D8355" s="116">
        <v>63.84</v>
      </c>
      <c r="E8355" s="117">
        <v>45746</v>
      </c>
      <c r="F8355" s="116">
        <f>COUNTIFS($A$3:A16603,A8355,$B$3:B16603,B8355)</f>
        <v>1</v>
      </c>
      <c r="G8355" s="116"/>
    </row>
    <row r="8356" spans="1:7" x14ac:dyDescent="0.2">
      <c r="A8356" s="116">
        <f>IF(ISNUMBER(Tabela2[[#This Row],[CT-e/NFS]])=TRUE,(IF(B8356&gt;30000,4,IF(B8356&lt;1000,"ND",0))),"-")</f>
        <v>4</v>
      </c>
      <c r="B8356" s="116">
        <v>52283</v>
      </c>
      <c r="C8356" s="117">
        <v>45728</v>
      </c>
      <c r="D8356" s="116">
        <v>114.26</v>
      </c>
      <c r="E8356" s="117">
        <v>45746</v>
      </c>
      <c r="F8356" s="116">
        <f>COUNTIFS($A$3:A16604,A8356,$B$3:B16604,B8356)</f>
        <v>1</v>
      </c>
      <c r="G8356" s="116"/>
    </row>
    <row r="8357" spans="1:7" x14ac:dyDescent="0.2">
      <c r="A8357" s="116">
        <f>IF(ISNUMBER(Tabela2[[#This Row],[CT-e/NFS]])=TRUE,(IF(B8357&gt;30000,4,IF(B8357&lt;1000,"ND",0))),"-")</f>
        <v>4</v>
      </c>
      <c r="B8357" s="116">
        <v>52455</v>
      </c>
      <c r="C8357" s="117">
        <v>45729</v>
      </c>
      <c r="D8357" s="116">
        <v>564.34</v>
      </c>
      <c r="E8357" s="117">
        <v>45746</v>
      </c>
      <c r="F8357" s="116">
        <f>COUNTIFS($A$3:A16604,A8357,$B$3:B16604,B8357)</f>
        <v>1</v>
      </c>
      <c r="G8357" s="116"/>
    </row>
    <row r="8358" spans="1:7" x14ac:dyDescent="0.2">
      <c r="A8358" s="116">
        <f>IF(ISNUMBER(Tabela2[[#This Row],[CT-e/NFS]])=TRUE,(IF(B8358&gt;30000,4,IF(B8358&lt;1000,"ND",0))),"-")</f>
        <v>4</v>
      </c>
      <c r="B8358" s="116">
        <v>52484</v>
      </c>
      <c r="C8358" s="117">
        <v>45729</v>
      </c>
      <c r="D8358" s="116">
        <v>354.59</v>
      </c>
      <c r="E8358" s="117">
        <v>45746</v>
      </c>
      <c r="F8358" s="116">
        <f>COUNTIFS($A$3:A16605,A8358,$B$3:B16605,B8358)</f>
        <v>1</v>
      </c>
      <c r="G8358" s="116"/>
    </row>
    <row r="8359" spans="1:7" x14ac:dyDescent="0.2">
      <c r="A8359" s="116">
        <f>IF(ISNUMBER(Tabela2[[#This Row],[CT-e/NFS]])=TRUE,(IF(B8359&gt;30000,4,IF(B8359&lt;1000,"ND",0))),"-")</f>
        <v>4</v>
      </c>
      <c r="B8359" s="116">
        <v>52485</v>
      </c>
      <c r="C8359" s="117">
        <v>45729</v>
      </c>
      <c r="D8359" s="116">
        <v>120.75</v>
      </c>
      <c r="E8359" s="117">
        <v>45746</v>
      </c>
      <c r="F8359" s="116">
        <f>COUNTIFS($A$3:A16606,A8359,$B$3:B16606,B8359)</f>
        <v>1</v>
      </c>
      <c r="G8359" s="116"/>
    </row>
    <row r="8360" spans="1:7" x14ac:dyDescent="0.2">
      <c r="A8360" s="116">
        <f>IF(ISNUMBER(Tabela2[[#This Row],[CT-e/NFS]])=TRUE,(IF(B8360&gt;30000,4,IF(B8360&lt;1000,"ND",0))),"-")</f>
        <v>4</v>
      </c>
      <c r="B8360" s="116">
        <v>52490</v>
      </c>
      <c r="C8360" s="117">
        <v>45729</v>
      </c>
      <c r="D8360" s="116">
        <v>103.52</v>
      </c>
      <c r="E8360" s="117">
        <v>45746</v>
      </c>
      <c r="F8360" s="116">
        <f>COUNTIFS($A$3:A16607,A8360,$B$3:B16607,B8360)</f>
        <v>1</v>
      </c>
      <c r="G8360" s="116"/>
    </row>
  </sheetData>
  <conditionalFormatting sqref="F3:F8360">
    <cfRule type="cellIs" dxfId="58" priority="32" operator="greaterThan">
      <formula>1</formula>
    </cfRule>
  </conditionalFormatting>
  <conditionalFormatting sqref="F3:F8360">
    <cfRule type="cellIs" dxfId="57" priority="31" operator="greaterThan">
      <formula>1</formula>
    </cfRule>
  </conditionalFormatting>
  <conditionalFormatting sqref="B676:B702 B1:B674 B704:B982 B984:B1382 B1384:B1048576">
    <cfRule type="duplicateValues" dxfId="56" priority="51"/>
  </conditionalFormatting>
  <conditionalFormatting sqref="B676:B702 B1:B674 B704:B982 B984:B1382 B1384:B1048576">
    <cfRule type="duplicateValues" dxfId="55" priority="58"/>
    <cfRule type="duplicateValues" dxfId="54" priority="59"/>
  </conditionalFormatting>
  <conditionalFormatting sqref="A3129:A3195">
    <cfRule type="duplicateValues" dxfId="53" priority="338"/>
  </conditionalFormatting>
  <conditionalFormatting sqref="A2969:A3195">
    <cfRule type="duplicateValues" dxfId="52" priority="340"/>
  </conditionalFormatting>
  <conditionalFormatting sqref="A3129:A3169">
    <cfRule type="duplicateValues" dxfId="51" priority="342"/>
  </conditionalFormatting>
  <conditionalFormatting sqref="A3129:A3195">
    <cfRule type="duplicateValues" dxfId="50" priority="346"/>
    <cfRule type="duplicateValues" dxfId="49" priority="347"/>
    <cfRule type="duplicateValues" dxfId="48" priority="348"/>
    <cfRule type="duplicateValues" dxfId="47" priority="349"/>
    <cfRule type="duplicateValues" dxfId="46" priority="350"/>
  </conditionalFormatting>
  <conditionalFormatting sqref="B3:B8360">
    <cfRule type="duplicateValues" dxfId="0" priority="1008"/>
  </conditionalFormatting>
  <dataValidations count="1">
    <dataValidation type="date" allowBlank="1" showInputMessage="1" showErrorMessage="1" sqref="C3:C821 C825:C1048576" xr:uid="{F73971A4-5EEC-43B9-9757-D2C6C1C64244}">
      <formula1>36526</formula1>
      <formula2>401404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4827-2E7F-434D-B2E7-8389637CF8A1}">
  <sheetPr codeName="Planilha2"/>
  <dimension ref="A1:O36"/>
  <sheetViews>
    <sheetView topLeftCell="A12" workbookViewId="0">
      <selection activeCell="I27" sqref="A27:XFD27"/>
    </sheetView>
  </sheetViews>
  <sheetFormatPr defaultRowHeight="14.25" x14ac:dyDescent="0.2"/>
  <cols>
    <col min="2" max="2" width="10.625" customWidth="1"/>
    <col min="3" max="3" width="12.5" style="5" customWidth="1"/>
    <col min="4" max="4" width="15.5" customWidth="1"/>
    <col min="5" max="5" width="10.625" customWidth="1"/>
    <col min="7" max="7" width="9" style="39"/>
    <col min="11" max="11" width="10.875" bestFit="1" customWidth="1"/>
  </cols>
  <sheetData>
    <row r="1" spans="1:15" s="4" customFormat="1" x14ac:dyDescent="0.2">
      <c r="A1" s="6" t="s">
        <v>0</v>
      </c>
      <c r="B1" s="6" t="s">
        <v>1</v>
      </c>
      <c r="C1" s="7" t="s">
        <v>2</v>
      </c>
      <c r="D1" s="6" t="s">
        <v>3</v>
      </c>
      <c r="E1" s="7" t="s">
        <v>4</v>
      </c>
      <c r="F1" s="7" t="s">
        <v>5</v>
      </c>
      <c r="G1" s="3" t="s">
        <v>6</v>
      </c>
      <c r="H1" s="3"/>
      <c r="I1" s="3" t="s">
        <v>139</v>
      </c>
      <c r="J1" s="3"/>
      <c r="K1" s="3"/>
      <c r="L1" s="3"/>
      <c r="M1" s="3"/>
      <c r="N1" s="3"/>
    </row>
    <row r="2" spans="1:15" x14ac:dyDescent="0.2">
      <c r="A2" s="1">
        <f>IF(B2&gt;20000,4,IF(B2&lt;1000,"ND",0))</f>
        <v>0</v>
      </c>
      <c r="B2" s="1">
        <v>14375</v>
      </c>
      <c r="C2" s="2">
        <v>44455</v>
      </c>
      <c r="D2" s="1">
        <v>157.6</v>
      </c>
      <c r="F2" s="1">
        <f>COUNTIFS($B$3:B7723,B2,$A$3:A7723,A2)</f>
        <v>1</v>
      </c>
      <c r="H2" s="1"/>
      <c r="I2" s="1" t="s">
        <v>140</v>
      </c>
      <c r="J2" s="1">
        <v>700</v>
      </c>
      <c r="K2" s="2">
        <v>44560</v>
      </c>
      <c r="L2" s="1"/>
      <c r="M2" s="1"/>
      <c r="N2" s="1"/>
      <c r="O2" s="1"/>
    </row>
    <row r="3" spans="1:15" x14ac:dyDescent="0.2">
      <c r="A3" s="1">
        <f>IF(B3&gt;20000,4,IF(B3&lt;1000,"ND",0))</f>
        <v>0</v>
      </c>
      <c r="B3" s="1">
        <v>14375</v>
      </c>
      <c r="C3" s="2">
        <v>44455</v>
      </c>
      <c r="D3" s="1">
        <v>157.6</v>
      </c>
      <c r="F3" s="1">
        <f>COUNTIFS($B$3:B7723,B3,$A$3:A7723,A3)</f>
        <v>1</v>
      </c>
      <c r="H3" s="1"/>
      <c r="I3" s="1" t="s">
        <v>141</v>
      </c>
      <c r="J3" s="1">
        <v>900</v>
      </c>
      <c r="K3" s="2">
        <v>44560</v>
      </c>
      <c r="L3" s="1"/>
      <c r="M3" s="1"/>
      <c r="N3" s="1"/>
      <c r="O3" s="1"/>
    </row>
    <row r="4" spans="1:15" x14ac:dyDescent="0.2">
      <c r="A4" s="1">
        <f>IF(B4&gt;20000,4,IF(B4&lt;1000,"ND",0))</f>
        <v>4</v>
      </c>
      <c r="B4" s="1">
        <v>28604</v>
      </c>
      <c r="C4" s="2">
        <v>44233</v>
      </c>
      <c r="D4" s="1">
        <v>67.61</v>
      </c>
      <c r="F4" s="1">
        <f>COUNTIFS($A$4:A4,Tabela2[[#This Row],[Serie]],$B$4:B4,Tabela2[[#This Row],[CT-e/NFS]])</f>
        <v>0</v>
      </c>
      <c r="H4" s="1"/>
      <c r="I4" s="1"/>
      <c r="J4" s="1"/>
      <c r="K4" s="1"/>
      <c r="L4" s="1"/>
      <c r="M4" s="1"/>
      <c r="N4" s="1"/>
      <c r="O4" s="1"/>
    </row>
    <row r="5" spans="1:15" x14ac:dyDescent="0.2">
      <c r="A5" s="1">
        <f>IF(B5&gt;20000,4,IF(B5&lt;1000,"ND",0))</f>
        <v>4</v>
      </c>
      <c r="B5" s="1">
        <v>28605</v>
      </c>
      <c r="C5" s="2">
        <v>44233</v>
      </c>
      <c r="D5" s="1">
        <v>67.61</v>
      </c>
      <c r="F5" s="1">
        <f>COUNTIFS($A$5:A5,Tabela2[[#This Row],[Serie]],$B$5:B5,Tabela2[[#This Row],[CT-e/NFS]])</f>
        <v>0</v>
      </c>
      <c r="H5" s="1"/>
      <c r="I5" s="1"/>
      <c r="J5" s="1"/>
      <c r="K5" s="1"/>
      <c r="L5" s="1"/>
      <c r="M5" s="1"/>
      <c r="N5" s="1"/>
      <c r="O5" s="1"/>
    </row>
    <row r="6" spans="1:15" x14ac:dyDescent="0.2">
      <c r="A6" s="1">
        <f>IF(B6&gt;20000,4,IF(B6&lt;1000,"ND",0))</f>
        <v>0</v>
      </c>
      <c r="B6" s="1">
        <v>12853</v>
      </c>
      <c r="C6" s="2">
        <v>44353</v>
      </c>
      <c r="D6" s="1">
        <v>48.05</v>
      </c>
      <c r="F6" s="1">
        <f>COUNTIFS($A$6:A6,Tabela2[[#This Row],[Serie]],$B$6:B6,Tabela2[[#This Row],[CT-e/NFS]])</f>
        <v>0</v>
      </c>
      <c r="H6" s="1"/>
      <c r="I6" s="1"/>
      <c r="J6" s="1"/>
      <c r="K6" s="1"/>
      <c r="L6" s="1"/>
      <c r="M6" s="1"/>
      <c r="N6" s="1"/>
      <c r="O6" s="1"/>
    </row>
    <row r="7" spans="1:15" x14ac:dyDescent="0.2">
      <c r="A7" s="1">
        <v>0</v>
      </c>
      <c r="B7" s="1">
        <v>12859</v>
      </c>
      <c r="C7" s="2">
        <v>44353</v>
      </c>
      <c r="D7" s="1">
        <v>47.6</v>
      </c>
      <c r="F7" s="1">
        <v>2</v>
      </c>
      <c r="H7" s="1"/>
      <c r="I7" s="1"/>
      <c r="J7" s="1"/>
      <c r="K7" s="1"/>
      <c r="L7" s="1"/>
      <c r="M7" s="1"/>
      <c r="N7" s="1"/>
      <c r="O7" s="1"/>
    </row>
    <row r="8" spans="1:15" x14ac:dyDescent="0.2">
      <c r="A8" s="1">
        <f>IF(B8&gt;20000,4,IF(B8&lt;1000,"ND",0))</f>
        <v>4</v>
      </c>
      <c r="B8" s="1">
        <v>33092</v>
      </c>
      <c r="C8" s="2">
        <v>44546</v>
      </c>
      <c r="D8" s="1">
        <v>718.76</v>
      </c>
      <c r="E8" s="2">
        <v>44560</v>
      </c>
      <c r="F8" s="1">
        <f>COUNTIFS($A$3:A7885,A8,$B$3:B7885,B8)</f>
        <v>2</v>
      </c>
      <c r="G8" s="39" t="s">
        <v>7</v>
      </c>
      <c r="H8" s="1"/>
      <c r="I8" s="1"/>
      <c r="J8" s="1"/>
      <c r="K8" s="1"/>
      <c r="L8" s="1"/>
      <c r="M8" s="1"/>
      <c r="N8" s="1"/>
      <c r="O8" s="1"/>
    </row>
    <row r="9" spans="1:15" x14ac:dyDescent="0.2">
      <c r="A9" s="78">
        <f>IF(ISNUMBER(Tabela2[[#This Row],[CT-e/NFS]])=TRUE,(IF(B9&gt;20000,4,IF(B9&lt;1000,"ND",0))),"-")</f>
        <v>4</v>
      </c>
      <c r="B9" s="78">
        <v>33092</v>
      </c>
      <c r="C9" s="79">
        <v>44546</v>
      </c>
      <c r="D9" s="78">
        <v>718.76</v>
      </c>
      <c r="E9" s="79">
        <v>44560</v>
      </c>
      <c r="F9" s="78">
        <f>COUNTIFS($A$9:A9,A9,$B$9:B9,B9)</f>
        <v>1</v>
      </c>
      <c r="H9" s="1"/>
      <c r="I9" s="1"/>
      <c r="J9" s="1"/>
      <c r="K9" s="1"/>
      <c r="L9" s="1"/>
      <c r="M9" s="1"/>
      <c r="N9" s="1"/>
      <c r="O9" s="1"/>
    </row>
    <row r="10" spans="1:15" x14ac:dyDescent="0.2">
      <c r="A10" s="1" t="str">
        <f>IF(ISNUMBER(Tabela2[[#This Row],[CT-e/NFS]])=TRUE,(IF(B10&gt;20000,4,IF(B10&lt;1000,"ND",0))),"-")</f>
        <v>ND</v>
      </c>
      <c r="B10" s="1">
        <v>127</v>
      </c>
      <c r="C10" s="2">
        <v>44851</v>
      </c>
      <c r="D10" s="1">
        <v>1178.6400000000001</v>
      </c>
      <c r="E10" s="2">
        <v>44864</v>
      </c>
      <c r="F10" s="1">
        <f>COUNTIFS($A$3:A7887,A10,$B$3:B7887,B10)</f>
        <v>1</v>
      </c>
      <c r="G10" s="39" t="s">
        <v>131</v>
      </c>
      <c r="H10" s="1"/>
      <c r="I10" s="1"/>
      <c r="J10" s="1"/>
      <c r="K10" s="1"/>
      <c r="L10" s="1"/>
      <c r="M10" s="1"/>
      <c r="N10" s="1"/>
      <c r="O10" s="1"/>
    </row>
    <row r="11" spans="1:15" x14ac:dyDescent="0.2">
      <c r="A11" s="1">
        <f>IF(ISNUMBER(Tabela2[[#This Row],[CT-e/NFS]])=TRUE,(IF(B11&gt;20000,4,IF(B11&lt;1000,"ND",0))),"-")</f>
        <v>4</v>
      </c>
      <c r="B11" s="1">
        <v>41992</v>
      </c>
      <c r="C11" s="2">
        <v>45144</v>
      </c>
      <c r="D11" s="1">
        <v>124.83</v>
      </c>
      <c r="E11" s="2">
        <v>45153</v>
      </c>
      <c r="F11" s="1">
        <f>COUNTIFS($A$3:A7888,A11,$B$3:B7888,B11)</f>
        <v>1</v>
      </c>
      <c r="G11" s="39" t="s">
        <v>142</v>
      </c>
      <c r="H11" s="1"/>
      <c r="I11" s="1"/>
      <c r="J11" s="1"/>
      <c r="K11" s="1"/>
      <c r="L11" s="1"/>
      <c r="M11" s="1"/>
      <c r="N11" s="1"/>
      <c r="O11" s="1"/>
    </row>
    <row r="12" spans="1:15" x14ac:dyDescent="0.2">
      <c r="A12" s="1"/>
      <c r="B12" s="2"/>
      <c r="C12" s="2"/>
      <c r="D12" s="2"/>
      <c r="E12" s="1"/>
      <c r="F12" s="1"/>
      <c r="H12" s="1"/>
      <c r="I12" s="1"/>
      <c r="J12" s="1"/>
      <c r="K12" s="1"/>
      <c r="L12" s="1"/>
      <c r="M12" s="1"/>
      <c r="N12" s="1"/>
      <c r="O12" s="1"/>
    </row>
    <row r="13" spans="1:15" x14ac:dyDescent="0.2">
      <c r="A13" s="1"/>
      <c r="B13" s="2"/>
      <c r="C13" s="2"/>
      <c r="D13" s="2"/>
      <c r="E13" s="1"/>
      <c r="F13" s="1"/>
      <c r="H13" s="1"/>
      <c r="I13" s="1"/>
      <c r="J13" s="1"/>
      <c r="K13" s="1"/>
      <c r="L13" s="1"/>
      <c r="M13" s="1"/>
      <c r="N13" s="1"/>
      <c r="O13" s="1"/>
    </row>
    <row r="14" spans="1:15" x14ac:dyDescent="0.2">
      <c r="A14" s="1"/>
      <c r="B14" s="2"/>
      <c r="C14" s="2"/>
      <c r="D14" s="2"/>
      <c r="E14" s="1"/>
      <c r="F14" s="1"/>
      <c r="H14" s="1"/>
      <c r="I14" s="1"/>
      <c r="J14" s="1"/>
      <c r="K14" s="1"/>
      <c r="L14" s="1"/>
      <c r="M14" s="1"/>
      <c r="N14" s="1"/>
      <c r="O14" s="1"/>
    </row>
    <row r="15" spans="1:15" x14ac:dyDescent="0.2">
      <c r="A15" s="139" t="s">
        <v>144</v>
      </c>
      <c r="B15" s="139"/>
      <c r="C15" s="139"/>
      <c r="D15" s="139"/>
      <c r="E15" s="139"/>
      <c r="F15" s="139"/>
      <c r="H15" s="1"/>
      <c r="I15" s="1"/>
      <c r="J15" s="1"/>
      <c r="K15" s="1"/>
      <c r="L15" s="1"/>
      <c r="M15" s="1"/>
      <c r="N15" s="1"/>
      <c r="O15" s="1"/>
    </row>
    <row r="16" spans="1:15" x14ac:dyDescent="0.2">
      <c r="A16" s="1"/>
      <c r="B16" s="2"/>
      <c r="C16" s="2"/>
      <c r="D16" s="2"/>
      <c r="E16" s="1"/>
      <c r="F16" s="1"/>
      <c r="H16" s="1"/>
      <c r="I16" s="1"/>
      <c r="J16" s="1"/>
      <c r="K16" s="1"/>
      <c r="L16" s="1"/>
      <c r="M16" s="1"/>
      <c r="N16" s="1"/>
      <c r="O16" s="1"/>
    </row>
    <row r="17" spans="1:15" x14ac:dyDescent="0.2">
      <c r="A17" s="116">
        <f>IF(ISNUMBER(Tabela2[[#This Row],[CT-e/NFS]])=TRUE,(IF(B17&gt;30000,4,IF(B17&lt;1000,"ND",0))),"-")</f>
        <v>4</v>
      </c>
      <c r="B17" s="116">
        <v>45137</v>
      </c>
      <c r="C17" s="117">
        <v>45302</v>
      </c>
      <c r="D17" s="116">
        <v>339.5</v>
      </c>
      <c r="E17" s="117">
        <v>45306</v>
      </c>
      <c r="F17" s="116">
        <f>COUNTIFS($A$3:A7847,A17,$B$3:B7847,B17)</f>
        <v>1</v>
      </c>
      <c r="G17" s="39" t="s">
        <v>143</v>
      </c>
      <c r="H17" s="1"/>
      <c r="I17" s="1"/>
      <c r="J17" s="1"/>
      <c r="K17" s="1"/>
      <c r="L17" s="1"/>
      <c r="M17" s="1"/>
      <c r="N17" s="1"/>
      <c r="O17" s="1"/>
    </row>
    <row r="18" spans="1:15" x14ac:dyDescent="0.2">
      <c r="A18" s="1"/>
      <c r="B18" s="2"/>
      <c r="C18" s="2"/>
      <c r="D18" s="2"/>
      <c r="E18" s="1"/>
      <c r="F18" s="1"/>
      <c r="H18" s="1"/>
      <c r="I18" s="1"/>
      <c r="J18" s="1"/>
      <c r="K18" s="1"/>
      <c r="L18" s="1"/>
      <c r="M18" s="1"/>
      <c r="N18" s="1"/>
      <c r="O18" s="1"/>
    </row>
    <row r="19" spans="1:15" x14ac:dyDescent="0.2">
      <c r="A19" s="140" t="s">
        <v>146</v>
      </c>
      <c r="B19" s="140"/>
      <c r="C19" s="140"/>
      <c r="D19" s="140"/>
      <c r="E19" s="140"/>
      <c r="F19" s="140"/>
      <c r="H19" s="1"/>
      <c r="I19" s="1"/>
      <c r="J19" s="1"/>
      <c r="K19" s="1"/>
      <c r="L19" s="1"/>
      <c r="M19" s="1"/>
      <c r="N19" s="1"/>
      <c r="O19" s="1"/>
    </row>
    <row r="20" spans="1:15" x14ac:dyDescent="0.2">
      <c r="A20" s="116">
        <f>IF(ISNUMBER(Tabela2[[#This Row],[CT-e/NFS]])=TRUE,(IF(B20&gt;30000,4,IF(B20&lt;1000,"ND",0))),"-")</f>
        <v>0</v>
      </c>
      <c r="B20" s="116">
        <v>20834</v>
      </c>
      <c r="C20" s="117">
        <v>45317</v>
      </c>
      <c r="D20" s="116">
        <v>844.3</v>
      </c>
      <c r="E20" s="117">
        <v>45321</v>
      </c>
      <c r="F20" s="116">
        <f>COUNTIFS($A$3:A7850,A20,$B$3:B7850,B20)</f>
        <v>1</v>
      </c>
      <c r="G20" s="116"/>
      <c r="H20" s="1"/>
      <c r="I20" s="1"/>
      <c r="J20" s="1"/>
      <c r="K20" s="1"/>
      <c r="L20" s="1"/>
      <c r="M20" s="1"/>
      <c r="N20" s="1"/>
      <c r="O20" s="1"/>
    </row>
    <row r="21" spans="1:15" x14ac:dyDescent="0.2">
      <c r="A21" s="1"/>
      <c r="B21" s="2"/>
      <c r="C21" s="2"/>
      <c r="D21" s="2"/>
      <c r="E21" s="1"/>
      <c r="F21" s="1"/>
      <c r="H21" s="1"/>
      <c r="I21" s="1"/>
      <c r="J21" s="1"/>
      <c r="K21" s="1"/>
      <c r="L21" s="1"/>
      <c r="M21" s="1"/>
      <c r="N21" s="1"/>
      <c r="O21" s="1"/>
    </row>
    <row r="22" spans="1:15" x14ac:dyDescent="0.2">
      <c r="A22" s="1"/>
      <c r="B22" s="2"/>
      <c r="C22" s="2"/>
      <c r="D22" s="2"/>
      <c r="E22" s="1"/>
      <c r="F22" s="1"/>
      <c r="H22" s="1"/>
      <c r="I22" s="138">
        <v>12508</v>
      </c>
      <c r="J22" s="1"/>
      <c r="K22" s="1"/>
      <c r="L22" s="1"/>
      <c r="M22" s="1"/>
      <c r="N22" s="1"/>
      <c r="O22" s="1"/>
    </row>
    <row r="23" spans="1:15" x14ac:dyDescent="0.2">
      <c r="A23" s="1"/>
      <c r="B23" s="2"/>
      <c r="C23" s="2"/>
      <c r="D23" s="2"/>
      <c r="E23" s="1"/>
      <c r="F23" s="1"/>
      <c r="H23" s="1"/>
      <c r="I23" s="138">
        <v>12564</v>
      </c>
      <c r="J23" s="1"/>
      <c r="K23" s="1"/>
      <c r="L23" s="1"/>
      <c r="M23" s="1"/>
      <c r="N23" s="1"/>
      <c r="O23" s="1"/>
    </row>
    <row r="24" spans="1:15" x14ac:dyDescent="0.2">
      <c r="A24" s="1"/>
      <c r="B24" s="2"/>
      <c r="C24" s="2"/>
      <c r="D24" s="2"/>
      <c r="E24" s="1"/>
      <c r="F24" s="1"/>
      <c r="H24" s="1"/>
      <c r="I24" s="138">
        <v>12563</v>
      </c>
      <c r="J24" s="1"/>
      <c r="K24" s="1"/>
      <c r="L24" s="1"/>
      <c r="M24" s="1"/>
      <c r="N24" s="1"/>
      <c r="O24" s="1"/>
    </row>
    <row r="25" spans="1:15" x14ac:dyDescent="0.2">
      <c r="A25" s="1"/>
      <c r="B25" s="2"/>
      <c r="C25" s="2"/>
      <c r="D25" s="2"/>
      <c r="E25" s="1"/>
      <c r="F25" s="1"/>
      <c r="H25" s="1"/>
      <c r="I25" s="138">
        <v>12572</v>
      </c>
      <c r="J25" s="1"/>
      <c r="K25" s="1"/>
      <c r="L25" s="1"/>
      <c r="M25" s="1"/>
      <c r="N25" s="1"/>
      <c r="O25" s="1"/>
    </row>
    <row r="26" spans="1:15" x14ac:dyDescent="0.2">
      <c r="A26" s="1"/>
      <c r="B26" s="2"/>
      <c r="C26" s="2"/>
      <c r="D26" s="2"/>
      <c r="E26" s="1"/>
      <c r="F26" s="1"/>
      <c r="H26" s="1"/>
      <c r="I26" s="138">
        <v>12571</v>
      </c>
      <c r="J26" s="1"/>
      <c r="K26" s="1"/>
      <c r="L26" s="1"/>
      <c r="M26" s="1"/>
      <c r="N26" s="1"/>
      <c r="O26" s="1"/>
    </row>
    <row r="27" spans="1:15" x14ac:dyDescent="0.2">
      <c r="A27" s="1"/>
      <c r="B27" s="2"/>
      <c r="C27" s="2"/>
      <c r="D27" s="2"/>
      <c r="E27" s="1"/>
      <c r="F27" s="1"/>
      <c r="H27" s="1"/>
      <c r="I27" s="1"/>
      <c r="J27" s="1"/>
      <c r="K27" s="1"/>
      <c r="L27" s="1"/>
      <c r="M27" s="1"/>
    </row>
    <row r="28" spans="1:15" x14ac:dyDescent="0.2">
      <c r="A28" s="1"/>
      <c r="B28" s="2"/>
      <c r="C28" s="2"/>
      <c r="D28" s="2"/>
      <c r="E28" s="1"/>
      <c r="F28" s="1"/>
      <c r="H28" s="1"/>
      <c r="I28" s="1"/>
      <c r="J28" s="1"/>
      <c r="K28" s="1"/>
      <c r="L28" s="1"/>
      <c r="M28" s="1"/>
    </row>
    <row r="29" spans="1:15" x14ac:dyDescent="0.2">
      <c r="A29" s="1"/>
      <c r="B29" s="2"/>
      <c r="C29" s="2"/>
      <c r="D29" s="2"/>
      <c r="E29" s="1"/>
      <c r="F29" s="1"/>
      <c r="H29" s="1"/>
      <c r="I29" s="1"/>
      <c r="J29" s="1"/>
      <c r="K29" s="1"/>
      <c r="L29" s="1"/>
      <c r="M29" s="1"/>
    </row>
    <row r="31" spans="1:15" x14ac:dyDescent="0.2">
      <c r="A31" s="1"/>
      <c r="B31" s="2"/>
      <c r="C31" s="2"/>
      <c r="D31" s="2"/>
      <c r="E31" s="1"/>
      <c r="F31" s="1"/>
      <c r="H31" s="1"/>
      <c r="I31" s="1"/>
      <c r="J31" s="1"/>
      <c r="K31" s="1"/>
    </row>
    <row r="32" spans="1:15" x14ac:dyDescent="0.2">
      <c r="A32" s="1"/>
      <c r="B32" s="2"/>
      <c r="C32" s="2"/>
      <c r="D32" s="2"/>
      <c r="E32" s="1"/>
      <c r="F32" s="1"/>
      <c r="H32" s="1"/>
      <c r="I32" s="1"/>
      <c r="J32" s="1"/>
      <c r="K32" s="1"/>
      <c r="L32" s="1" t="s">
        <v>8</v>
      </c>
      <c r="M32" s="1"/>
    </row>
    <row r="36" spans="5:5" x14ac:dyDescent="0.2">
      <c r="E36" s="5">
        <v>44545</v>
      </c>
    </row>
  </sheetData>
  <mergeCells count="2">
    <mergeCell ref="A15:F15"/>
    <mergeCell ref="A19:F19"/>
  </mergeCells>
  <conditionalFormatting sqref="A31">
    <cfRule type="duplicateValues" dxfId="45" priority="40"/>
  </conditionalFormatting>
  <conditionalFormatting sqref="A32">
    <cfRule type="duplicateValues" dxfId="44" priority="39"/>
  </conditionalFormatting>
  <conditionalFormatting sqref="B2">
    <cfRule type="duplicateValues" dxfId="43" priority="38"/>
  </conditionalFormatting>
  <conditionalFormatting sqref="B3">
    <cfRule type="duplicateValues" dxfId="42" priority="37"/>
  </conditionalFormatting>
  <conditionalFormatting sqref="B4">
    <cfRule type="duplicateValues" dxfId="41" priority="36"/>
  </conditionalFormatting>
  <conditionalFormatting sqref="B5">
    <cfRule type="duplicateValues" dxfId="40" priority="34"/>
  </conditionalFormatting>
  <conditionalFormatting sqref="B6">
    <cfRule type="duplicateValues" dxfId="39" priority="32"/>
  </conditionalFormatting>
  <conditionalFormatting sqref="B7">
    <cfRule type="duplicateValues" dxfId="38" priority="30"/>
  </conditionalFormatting>
  <conditionalFormatting sqref="B1">
    <cfRule type="duplicateValues" dxfId="37" priority="29"/>
  </conditionalFormatting>
  <conditionalFormatting sqref="F8">
    <cfRule type="cellIs" dxfId="36" priority="27" operator="greaterThan">
      <formula>1</formula>
    </cfRule>
  </conditionalFormatting>
  <conditionalFormatting sqref="F8">
    <cfRule type="cellIs" dxfId="35" priority="26" operator="greaterThan">
      <formula>1</formula>
    </cfRule>
  </conditionalFormatting>
  <conditionalFormatting sqref="B8">
    <cfRule type="duplicateValues" dxfId="34" priority="28"/>
  </conditionalFormatting>
  <conditionalFormatting sqref="F9">
    <cfRule type="cellIs" dxfId="33" priority="24" operator="greaterThan">
      <formula>1</formula>
    </cfRule>
  </conditionalFormatting>
  <conditionalFormatting sqref="F9">
    <cfRule type="cellIs" dxfId="32" priority="23" operator="greaterThan">
      <formula>1</formula>
    </cfRule>
  </conditionalFormatting>
  <conditionalFormatting sqref="B9">
    <cfRule type="duplicateValues" dxfId="31" priority="25"/>
  </conditionalFormatting>
  <conditionalFormatting sqref="B9">
    <cfRule type="duplicateValues" dxfId="30" priority="21"/>
    <cfRule type="duplicateValues" dxfId="29" priority="22"/>
  </conditionalFormatting>
  <conditionalFormatting sqref="F10">
    <cfRule type="cellIs" dxfId="28" priority="19" operator="greaterThan">
      <formula>1</formula>
    </cfRule>
  </conditionalFormatting>
  <conditionalFormatting sqref="F10">
    <cfRule type="cellIs" dxfId="27" priority="18" operator="greaterThan">
      <formula>1</formula>
    </cfRule>
  </conditionalFormatting>
  <conditionalFormatting sqref="B10">
    <cfRule type="duplicateValues" dxfId="26" priority="20"/>
  </conditionalFormatting>
  <conditionalFormatting sqref="B10">
    <cfRule type="duplicateValues" dxfId="25" priority="16"/>
    <cfRule type="duplicateValues" dxfId="24" priority="17"/>
  </conditionalFormatting>
  <conditionalFormatting sqref="F11">
    <cfRule type="cellIs" dxfId="23" priority="14" operator="greaterThan">
      <formula>1</formula>
    </cfRule>
  </conditionalFormatting>
  <conditionalFormatting sqref="F11">
    <cfRule type="cellIs" dxfId="22" priority="13" operator="greaterThan">
      <formula>1</formula>
    </cfRule>
  </conditionalFormatting>
  <conditionalFormatting sqref="B11">
    <cfRule type="duplicateValues" dxfId="21" priority="15"/>
  </conditionalFormatting>
  <conditionalFormatting sqref="B11">
    <cfRule type="duplicateValues" dxfId="20" priority="11"/>
    <cfRule type="duplicateValues" dxfId="19" priority="12"/>
  </conditionalFormatting>
  <conditionalFormatting sqref="F17">
    <cfRule type="cellIs" dxfId="18" priority="9" operator="greaterThan">
      <formula>1</formula>
    </cfRule>
  </conditionalFormatting>
  <conditionalFormatting sqref="F17">
    <cfRule type="cellIs" dxfId="17" priority="8" operator="greaterThan">
      <formula>1</formula>
    </cfRule>
  </conditionalFormatting>
  <conditionalFormatting sqref="B17">
    <cfRule type="duplicateValues" dxfId="16" priority="10"/>
  </conditionalFormatting>
  <conditionalFormatting sqref="B17">
    <cfRule type="duplicateValues" dxfId="15" priority="6"/>
    <cfRule type="duplicateValues" dxfId="14" priority="7"/>
  </conditionalFormatting>
  <conditionalFormatting sqref="F20">
    <cfRule type="cellIs" dxfId="13" priority="4" operator="greaterThan">
      <formula>1</formula>
    </cfRule>
  </conditionalFormatting>
  <conditionalFormatting sqref="F20">
    <cfRule type="cellIs" dxfId="12" priority="3" operator="greaterThan">
      <formula>1</formula>
    </cfRule>
  </conditionalFormatting>
  <conditionalFormatting sqref="B20">
    <cfRule type="duplicateValues" dxfId="11" priority="5"/>
  </conditionalFormatting>
  <conditionalFormatting sqref="B20">
    <cfRule type="duplicateValues" dxfId="10" priority="1"/>
    <cfRule type="duplicateValues" dxfId="9" priority="2"/>
  </conditionalFormatting>
  <dataValidations count="5">
    <dataValidation type="whole" allowBlank="1" showInputMessage="1" showErrorMessage="1" sqref="M32 M27:M29" xr:uid="{9EFAEF92-A6F5-4518-94D8-CF752FB118C2}">
      <formula1>0</formula1>
      <formula2>9999999999</formula2>
    </dataValidation>
    <dataValidation type="decimal" allowBlank="1" showInputMessage="1" showErrorMessage="1" sqref="F31:J32 F27:J29" xr:uid="{AE6CD77A-7087-4FBA-B7A5-BF9D36DAA9A7}">
      <formula1>-999999999999</formula1>
      <formula2>999999999999</formula2>
    </dataValidation>
    <dataValidation type="decimal" allowBlank="1" showInputMessage="1" showErrorMessage="1" sqref="E31:E32 E27:E29" xr:uid="{AD81B9F4-F33A-4BA2-9CEA-25FE06CC35CA}">
      <formula1>0</formula1>
      <formula2>999999999</formula2>
    </dataValidation>
    <dataValidation type="date" allowBlank="1" showInputMessage="1" showErrorMessage="1" sqref="B31:D32 C2:C6 C8:C11 C17 C20 B27:D29" xr:uid="{F73971A4-5EEC-43B9-9757-D2C6C1C64244}">
      <formula1>36526</formula1>
      <formula2>401404</formula2>
    </dataValidation>
    <dataValidation type="whole" allowBlank="1" showInputMessage="1" showErrorMessage="1" sqref="A31:A32 B2:B6 B8:B11 A27:A29" xr:uid="{8744A42C-4929-4DEB-B286-186EDEB854FE}">
      <formula1>0</formula1>
      <formula2>9.99999999999999E+25</formula2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6C073-E438-4F58-B185-7B0D7A173B71}">
  <sheetPr codeName="Planilha4"/>
  <dimension ref="A1:I140"/>
  <sheetViews>
    <sheetView showGridLines="0" workbookViewId="0">
      <selection activeCell="E13" sqref="E13"/>
    </sheetView>
  </sheetViews>
  <sheetFormatPr defaultRowHeight="14.25" x14ac:dyDescent="0.2"/>
  <cols>
    <col min="1" max="1" width="31.5" customWidth="1"/>
    <col min="2" max="2" width="40.375" customWidth="1"/>
    <col min="3" max="3" width="37.625" customWidth="1"/>
    <col min="4" max="4" width="30.75" customWidth="1"/>
    <col min="5" max="5" width="44.25" customWidth="1"/>
    <col min="6" max="6" width="13" customWidth="1"/>
  </cols>
  <sheetData>
    <row r="1" spans="1:9" ht="19.5" thickBot="1" x14ac:dyDescent="0.35">
      <c r="A1" s="115" t="s">
        <v>138</v>
      </c>
    </row>
    <row r="2" spans="1:9" ht="15.75" x14ac:dyDescent="0.25">
      <c r="A2" s="99" t="s">
        <v>0</v>
      </c>
      <c r="B2" s="100" t="s">
        <v>1</v>
      </c>
      <c r="C2" s="101" t="s">
        <v>2</v>
      </c>
      <c r="D2" s="100" t="s">
        <v>3</v>
      </c>
      <c r="E2" s="101" t="s">
        <v>4</v>
      </c>
      <c r="F2" s="102" t="s">
        <v>5</v>
      </c>
      <c r="G2" s="110"/>
    </row>
    <row r="3" spans="1:9" ht="79.5" thickBot="1" x14ac:dyDescent="0.25">
      <c r="A3" s="103" t="s">
        <v>136</v>
      </c>
      <c r="B3" s="104" t="s">
        <v>135</v>
      </c>
      <c r="C3" s="105" t="s">
        <v>132</v>
      </c>
      <c r="D3" s="104" t="s">
        <v>133</v>
      </c>
      <c r="E3" s="104" t="s">
        <v>134</v>
      </c>
      <c r="F3" s="106" t="s">
        <v>137</v>
      </c>
      <c r="G3" s="110"/>
      <c r="I3" s="97"/>
    </row>
    <row r="4" spans="1:9" ht="15" thickBot="1" x14ac:dyDescent="0.25">
      <c r="A4" s="107"/>
      <c r="B4" s="107"/>
      <c r="C4" s="107"/>
      <c r="D4" s="107"/>
      <c r="E4" s="108"/>
      <c r="F4" s="109"/>
      <c r="G4" s="110"/>
    </row>
    <row r="5" spans="1:9" x14ac:dyDescent="0.2">
      <c r="A5" s="107"/>
      <c r="B5" s="107"/>
      <c r="C5" s="111"/>
      <c r="D5" s="107"/>
      <c r="E5" s="108"/>
      <c r="F5" s="109"/>
      <c r="G5" s="110"/>
    </row>
    <row r="6" spans="1:9" x14ac:dyDescent="0.2">
      <c r="A6" s="107"/>
      <c r="B6" s="107"/>
      <c r="C6" s="112"/>
      <c r="D6" s="107"/>
      <c r="E6" s="108"/>
      <c r="F6" s="109"/>
      <c r="G6" s="110"/>
    </row>
    <row r="7" spans="1:9" ht="15" thickBot="1" x14ac:dyDescent="0.25">
      <c r="A7" s="107"/>
      <c r="B7" s="107"/>
      <c r="C7" s="113"/>
      <c r="D7" s="107"/>
      <c r="E7" s="108"/>
      <c r="F7" s="109"/>
      <c r="G7" s="110"/>
    </row>
    <row r="8" spans="1:9" x14ac:dyDescent="0.2">
      <c r="A8" s="107"/>
      <c r="B8" s="107"/>
      <c r="C8" s="107"/>
      <c r="D8" s="107"/>
      <c r="E8" s="108"/>
      <c r="F8" s="109"/>
      <c r="G8" s="110"/>
    </row>
    <row r="9" spans="1:9" x14ac:dyDescent="0.2">
      <c r="A9" s="107"/>
      <c r="B9" s="107"/>
      <c r="C9" s="110"/>
      <c r="D9" s="107"/>
      <c r="E9" s="108"/>
      <c r="F9" s="109"/>
      <c r="G9" s="110"/>
    </row>
    <row r="10" spans="1:9" x14ac:dyDescent="0.2">
      <c r="A10" s="107"/>
      <c r="B10" s="107"/>
      <c r="C10" s="110"/>
      <c r="D10" s="110"/>
      <c r="E10" s="108"/>
      <c r="F10" s="109"/>
      <c r="G10" s="110"/>
    </row>
    <row r="11" spans="1:9" x14ac:dyDescent="0.2">
      <c r="A11" s="107"/>
      <c r="B11" s="107"/>
      <c r="C11" s="110"/>
      <c r="D11" s="107"/>
      <c r="E11" s="108"/>
      <c r="F11" s="109"/>
      <c r="G11" s="110"/>
    </row>
    <row r="12" spans="1:9" x14ac:dyDescent="0.2">
      <c r="A12" s="107"/>
      <c r="B12" s="107"/>
      <c r="C12" s="107"/>
      <c r="D12" s="107"/>
      <c r="E12" s="108"/>
      <c r="F12" s="109"/>
      <c r="G12" s="110"/>
    </row>
    <row r="13" spans="1:9" x14ac:dyDescent="0.2">
      <c r="A13" s="107"/>
      <c r="B13" s="107"/>
      <c r="C13" s="107"/>
      <c r="D13" s="107"/>
      <c r="E13" s="108"/>
      <c r="F13" s="109"/>
      <c r="G13" s="110"/>
    </row>
    <row r="14" spans="1:9" x14ac:dyDescent="0.2">
      <c r="A14" s="107"/>
      <c r="B14" s="107"/>
      <c r="C14" s="107"/>
      <c r="D14" s="107"/>
      <c r="E14" s="108"/>
      <c r="F14" s="109"/>
      <c r="G14" s="110"/>
    </row>
    <row r="15" spans="1:9" x14ac:dyDescent="0.2">
      <c r="A15" s="107"/>
      <c r="B15" s="107"/>
      <c r="C15" s="107"/>
      <c r="D15" s="107"/>
      <c r="E15" s="108"/>
      <c r="F15" s="109"/>
      <c r="G15" s="110"/>
    </row>
    <row r="16" spans="1:9" x14ac:dyDescent="0.2">
      <c r="A16" s="107"/>
      <c r="B16" s="107"/>
      <c r="C16" s="107"/>
      <c r="D16" s="107"/>
      <c r="E16" s="108"/>
      <c r="F16" s="109"/>
      <c r="G16" s="110"/>
    </row>
    <row r="17" spans="1:7" x14ac:dyDescent="0.2">
      <c r="A17" s="107"/>
      <c r="B17" s="107"/>
      <c r="C17" s="107"/>
      <c r="D17" s="107"/>
      <c r="E17" s="108"/>
      <c r="F17" s="109"/>
      <c r="G17" s="110"/>
    </row>
    <row r="18" spans="1:7" x14ac:dyDescent="0.2">
      <c r="A18" s="107"/>
      <c r="B18" s="107"/>
      <c r="C18" s="107"/>
      <c r="D18" s="107"/>
      <c r="E18" s="108"/>
      <c r="F18" s="109"/>
      <c r="G18" s="110"/>
    </row>
    <row r="19" spans="1:7" x14ac:dyDescent="0.2">
      <c r="A19" s="107"/>
      <c r="B19" s="107"/>
      <c r="C19" s="107"/>
      <c r="D19" s="107"/>
      <c r="E19" s="108"/>
      <c r="F19" s="109"/>
      <c r="G19" s="110"/>
    </row>
    <row r="20" spans="1:7" x14ac:dyDescent="0.2">
      <c r="A20" s="107"/>
      <c r="B20" s="107"/>
      <c r="C20" s="107"/>
      <c r="D20" s="107"/>
      <c r="E20" s="108"/>
      <c r="F20" s="109"/>
      <c r="G20" s="110"/>
    </row>
    <row r="21" spans="1:7" x14ac:dyDescent="0.2">
      <c r="A21" s="107"/>
      <c r="B21" s="107"/>
      <c r="C21" s="107"/>
      <c r="D21" s="107"/>
      <c r="E21" s="108"/>
      <c r="F21" s="109"/>
      <c r="G21" s="110"/>
    </row>
    <row r="22" spans="1:7" x14ac:dyDescent="0.2">
      <c r="A22" s="107"/>
      <c r="B22" s="107"/>
      <c r="C22" s="107"/>
      <c r="D22" s="107"/>
      <c r="E22" s="108"/>
      <c r="F22" s="109"/>
      <c r="G22" s="110"/>
    </row>
    <row r="23" spans="1:7" x14ac:dyDescent="0.2">
      <c r="A23" s="107"/>
      <c r="B23" s="107"/>
      <c r="C23" s="107"/>
      <c r="D23" s="107"/>
      <c r="E23" s="108"/>
      <c r="F23" s="109"/>
      <c r="G23" s="110"/>
    </row>
    <row r="24" spans="1:7" x14ac:dyDescent="0.2">
      <c r="A24" s="107"/>
      <c r="B24" s="107"/>
      <c r="C24" s="107"/>
      <c r="D24" s="107"/>
      <c r="E24" s="108"/>
      <c r="F24" s="109"/>
      <c r="G24" s="110"/>
    </row>
    <row r="25" spans="1:7" x14ac:dyDescent="0.2">
      <c r="A25" s="107"/>
      <c r="B25" s="107"/>
      <c r="C25" s="107"/>
      <c r="D25" s="107"/>
      <c r="E25" s="108"/>
      <c r="F25" s="109"/>
      <c r="G25" s="110"/>
    </row>
    <row r="26" spans="1:7" x14ac:dyDescent="0.2">
      <c r="A26" s="107"/>
      <c r="B26" s="107"/>
      <c r="C26" s="107"/>
      <c r="D26" s="107"/>
      <c r="E26" s="108"/>
      <c r="F26" s="109"/>
      <c r="G26" s="110"/>
    </row>
    <row r="27" spans="1:7" x14ac:dyDescent="0.2">
      <c r="A27" s="107"/>
      <c r="B27" s="107"/>
      <c r="C27" s="107"/>
      <c r="D27" s="107"/>
      <c r="E27" s="108"/>
      <c r="F27" s="109"/>
      <c r="G27" s="110"/>
    </row>
    <row r="28" spans="1:7" x14ac:dyDescent="0.2">
      <c r="A28" s="107"/>
      <c r="B28" s="107"/>
      <c r="C28" s="107"/>
      <c r="D28" s="107"/>
      <c r="E28" s="108"/>
      <c r="F28" s="109"/>
      <c r="G28" s="110"/>
    </row>
    <row r="29" spans="1:7" x14ac:dyDescent="0.2">
      <c r="A29" s="107"/>
      <c r="B29" s="107"/>
      <c r="C29" s="107"/>
      <c r="D29" s="107"/>
      <c r="E29" s="108"/>
      <c r="F29" s="109"/>
      <c r="G29" s="110"/>
    </row>
    <row r="30" spans="1:7" x14ac:dyDescent="0.2">
      <c r="A30" s="107"/>
      <c r="B30" s="107"/>
      <c r="C30" s="107"/>
      <c r="D30" s="107"/>
      <c r="E30" s="108"/>
      <c r="F30" s="109"/>
      <c r="G30" s="110"/>
    </row>
    <row r="31" spans="1:7" x14ac:dyDescent="0.2">
      <c r="A31" s="107"/>
      <c r="B31" s="107"/>
      <c r="C31" s="107"/>
      <c r="D31" s="107"/>
      <c r="E31" s="108"/>
      <c r="F31" s="109"/>
      <c r="G31" s="110"/>
    </row>
    <row r="32" spans="1:7" x14ac:dyDescent="0.2">
      <c r="A32" s="107"/>
      <c r="B32" s="107"/>
      <c r="C32" s="107"/>
      <c r="D32" s="107"/>
      <c r="E32" s="108"/>
      <c r="F32" s="109"/>
      <c r="G32" s="110"/>
    </row>
    <row r="33" spans="1:7" x14ac:dyDescent="0.2">
      <c r="A33" s="107"/>
      <c r="B33" s="107"/>
      <c r="C33" s="107"/>
      <c r="D33" s="107"/>
      <c r="E33" s="108"/>
      <c r="F33" s="109"/>
      <c r="G33" s="110"/>
    </row>
    <row r="34" spans="1:7" x14ac:dyDescent="0.2">
      <c r="A34" s="96"/>
      <c r="B34" s="96"/>
      <c r="C34" s="96"/>
      <c r="D34" s="96"/>
      <c r="E34" s="97"/>
      <c r="F34" s="98"/>
    </row>
    <row r="35" spans="1:7" x14ac:dyDescent="0.2">
      <c r="A35" s="96"/>
      <c r="B35" s="96"/>
      <c r="C35" s="96"/>
      <c r="D35" s="96"/>
      <c r="E35" s="97"/>
      <c r="F35" s="98"/>
    </row>
    <row r="36" spans="1:7" x14ac:dyDescent="0.2">
      <c r="A36" s="96"/>
      <c r="B36" s="96"/>
      <c r="C36" s="96"/>
      <c r="D36" s="96"/>
      <c r="E36" s="97"/>
      <c r="F36" s="98"/>
    </row>
    <row r="37" spans="1:7" x14ac:dyDescent="0.2">
      <c r="A37" s="96"/>
      <c r="B37" s="96"/>
      <c r="C37" s="96"/>
      <c r="D37" s="96"/>
      <c r="E37" s="97"/>
      <c r="F37" s="98"/>
    </row>
    <row r="38" spans="1:7" x14ac:dyDescent="0.2">
      <c r="A38" s="96"/>
      <c r="B38" s="96"/>
      <c r="C38" s="96"/>
      <c r="D38" s="96"/>
      <c r="E38" s="97"/>
      <c r="F38" s="98"/>
    </row>
    <row r="39" spans="1:7" x14ac:dyDescent="0.2">
      <c r="A39" s="96"/>
      <c r="B39" s="96"/>
      <c r="C39" s="96"/>
      <c r="D39" s="96"/>
      <c r="E39" s="97"/>
      <c r="F39" s="98"/>
    </row>
    <row r="40" spans="1:7" x14ac:dyDescent="0.2">
      <c r="A40" s="96"/>
      <c r="B40" s="96"/>
      <c r="C40" s="96"/>
      <c r="D40" s="96"/>
      <c r="E40" s="97"/>
      <c r="F40" s="98"/>
    </row>
    <row r="41" spans="1:7" x14ac:dyDescent="0.2">
      <c r="A41" s="96"/>
      <c r="B41" s="96"/>
      <c r="C41" s="96"/>
      <c r="D41" s="96"/>
      <c r="E41" s="97"/>
      <c r="F41" s="98"/>
    </row>
    <row r="42" spans="1:7" x14ac:dyDescent="0.2">
      <c r="A42" s="96"/>
      <c r="B42" s="96"/>
      <c r="C42" s="96"/>
      <c r="D42" s="96"/>
      <c r="E42" s="97"/>
      <c r="F42" s="98"/>
    </row>
    <row r="43" spans="1:7" x14ac:dyDescent="0.2">
      <c r="A43" s="96"/>
      <c r="B43" s="96"/>
      <c r="C43" s="96"/>
      <c r="D43" s="96"/>
      <c r="E43" s="97"/>
      <c r="F43" s="98"/>
    </row>
    <row r="44" spans="1:7" x14ac:dyDescent="0.2">
      <c r="A44" s="96"/>
      <c r="B44" s="96"/>
      <c r="C44" s="96"/>
      <c r="D44" s="96"/>
      <c r="E44" s="97"/>
      <c r="F44" s="98"/>
    </row>
    <row r="45" spans="1:7" x14ac:dyDescent="0.2">
      <c r="A45" s="96"/>
      <c r="B45" s="96"/>
      <c r="C45" s="96"/>
      <c r="D45" s="96"/>
      <c r="E45" s="97"/>
      <c r="F45" s="98"/>
    </row>
    <row r="46" spans="1:7" x14ac:dyDescent="0.2">
      <c r="A46" s="96"/>
      <c r="B46" s="96"/>
      <c r="C46" s="96"/>
      <c r="D46" s="96"/>
      <c r="E46" s="97"/>
      <c r="F46" s="98"/>
    </row>
    <row r="47" spans="1:7" x14ac:dyDescent="0.2">
      <c r="A47" s="96"/>
      <c r="B47" s="96"/>
      <c r="C47" s="96"/>
      <c r="D47" s="96"/>
      <c r="E47" s="97"/>
      <c r="F47" s="98"/>
    </row>
    <row r="48" spans="1:7" x14ac:dyDescent="0.2">
      <c r="A48" s="96"/>
      <c r="B48" s="96"/>
      <c r="C48" s="96"/>
      <c r="D48" s="96"/>
      <c r="E48" s="97"/>
      <c r="F48" s="98"/>
    </row>
    <row r="49" spans="1:6" x14ac:dyDescent="0.2">
      <c r="A49" s="96"/>
      <c r="B49" s="96"/>
      <c r="C49" s="96"/>
      <c r="D49" s="96"/>
      <c r="E49" s="97"/>
      <c r="F49" s="98"/>
    </row>
    <row r="50" spans="1:6" x14ac:dyDescent="0.2">
      <c r="A50" s="96"/>
      <c r="B50" s="96"/>
      <c r="C50" s="96"/>
      <c r="D50" s="96"/>
      <c r="E50" s="97"/>
      <c r="F50" s="98"/>
    </row>
    <row r="51" spans="1:6" x14ac:dyDescent="0.2">
      <c r="A51" s="96"/>
      <c r="B51" s="96"/>
      <c r="C51" s="96"/>
      <c r="D51" s="96"/>
      <c r="E51" s="97"/>
      <c r="F51" s="98"/>
    </row>
    <row r="52" spans="1:6" x14ac:dyDescent="0.2">
      <c r="A52" s="96"/>
      <c r="B52" s="96"/>
      <c r="C52" s="96"/>
      <c r="D52" s="96"/>
      <c r="E52" s="97"/>
      <c r="F52" s="98"/>
    </row>
    <row r="53" spans="1:6" x14ac:dyDescent="0.2">
      <c r="A53" s="96"/>
      <c r="B53" s="96"/>
      <c r="C53" s="96"/>
      <c r="D53" s="96"/>
      <c r="E53" s="97"/>
      <c r="F53" s="98"/>
    </row>
    <row r="54" spans="1:6" x14ac:dyDescent="0.2">
      <c r="A54" s="96"/>
      <c r="B54" s="96"/>
      <c r="C54" s="96"/>
      <c r="D54" s="96"/>
      <c r="E54" s="97"/>
      <c r="F54" s="98"/>
    </row>
    <row r="55" spans="1:6" x14ac:dyDescent="0.2">
      <c r="A55" s="96"/>
      <c r="B55" s="96"/>
      <c r="C55" s="96"/>
      <c r="D55" s="96"/>
      <c r="E55" s="97"/>
      <c r="F55" s="98"/>
    </row>
    <row r="56" spans="1:6" x14ac:dyDescent="0.2">
      <c r="A56" s="96"/>
      <c r="B56" s="96"/>
      <c r="C56" s="96"/>
      <c r="D56" s="96"/>
      <c r="E56" s="97"/>
      <c r="F56" s="98"/>
    </row>
    <row r="57" spans="1:6" x14ac:dyDescent="0.2">
      <c r="A57" s="96"/>
      <c r="B57" s="96"/>
      <c r="C57" s="96"/>
      <c r="D57" s="96"/>
      <c r="E57" s="97"/>
      <c r="F57" s="98"/>
    </row>
    <row r="58" spans="1:6" x14ac:dyDescent="0.2">
      <c r="A58" s="96"/>
      <c r="B58" s="96"/>
      <c r="C58" s="96"/>
      <c r="D58" s="96"/>
      <c r="E58" s="97"/>
      <c r="F58" s="98"/>
    </row>
    <row r="59" spans="1:6" x14ac:dyDescent="0.2">
      <c r="A59" s="96"/>
      <c r="B59" s="96"/>
      <c r="C59" s="96"/>
      <c r="D59" s="96"/>
      <c r="E59" s="97"/>
      <c r="F59" s="98"/>
    </row>
    <row r="60" spans="1:6" x14ac:dyDescent="0.2">
      <c r="A60" s="96"/>
      <c r="B60" s="96"/>
      <c r="C60" s="96"/>
      <c r="D60" s="96"/>
      <c r="E60" s="97"/>
      <c r="F60" s="98"/>
    </row>
    <row r="61" spans="1:6" x14ac:dyDescent="0.2">
      <c r="A61" s="96"/>
      <c r="B61" s="96"/>
      <c r="C61" s="96"/>
      <c r="D61" s="96"/>
      <c r="E61" s="97"/>
      <c r="F61" s="98"/>
    </row>
    <row r="62" spans="1:6" x14ac:dyDescent="0.2">
      <c r="A62" s="96"/>
      <c r="B62" s="96"/>
      <c r="C62" s="96"/>
      <c r="D62" s="96"/>
      <c r="E62" s="97"/>
      <c r="F62" s="98"/>
    </row>
    <row r="63" spans="1:6" x14ac:dyDescent="0.2">
      <c r="A63" s="96"/>
      <c r="B63" s="96"/>
      <c r="C63" s="96"/>
      <c r="D63" s="96"/>
      <c r="E63" s="97"/>
      <c r="F63" s="98"/>
    </row>
    <row r="64" spans="1:6" x14ac:dyDescent="0.2">
      <c r="A64" s="96"/>
      <c r="B64" s="96"/>
      <c r="C64" s="96"/>
      <c r="D64" s="96"/>
      <c r="E64" s="97"/>
      <c r="F64" s="98"/>
    </row>
    <row r="65" spans="1:6" x14ac:dyDescent="0.2">
      <c r="A65" s="96"/>
      <c r="B65" s="96"/>
      <c r="C65" s="96"/>
      <c r="D65" s="96"/>
      <c r="E65" s="97"/>
      <c r="F65" s="98"/>
    </row>
    <row r="66" spans="1:6" x14ac:dyDescent="0.2">
      <c r="A66" s="96"/>
      <c r="B66" s="96"/>
      <c r="C66" s="96"/>
      <c r="D66" s="96"/>
      <c r="E66" s="97"/>
      <c r="F66" s="98"/>
    </row>
    <row r="67" spans="1:6" x14ac:dyDescent="0.2">
      <c r="A67" s="96"/>
      <c r="B67" s="96"/>
      <c r="C67" s="96"/>
      <c r="D67" s="96"/>
      <c r="E67" s="97"/>
      <c r="F67" s="98"/>
    </row>
    <row r="68" spans="1:6" x14ac:dyDescent="0.2">
      <c r="A68" s="96"/>
      <c r="B68" s="96"/>
      <c r="C68" s="96"/>
      <c r="D68" s="96"/>
      <c r="E68" s="97"/>
      <c r="F68" s="98"/>
    </row>
    <row r="69" spans="1:6" x14ac:dyDescent="0.2">
      <c r="A69" s="96"/>
      <c r="B69" s="96"/>
      <c r="C69" s="96"/>
      <c r="D69" s="96"/>
      <c r="E69" s="97"/>
      <c r="F69" s="98"/>
    </row>
    <row r="70" spans="1:6" x14ac:dyDescent="0.2">
      <c r="A70" s="96"/>
      <c r="B70" s="96"/>
      <c r="C70" s="96"/>
      <c r="D70" s="96"/>
      <c r="E70" s="97"/>
      <c r="F70" s="98"/>
    </row>
    <row r="71" spans="1:6" x14ac:dyDescent="0.2">
      <c r="A71" s="96"/>
      <c r="B71" s="96"/>
      <c r="C71" s="96"/>
      <c r="D71" s="96"/>
      <c r="E71" s="97"/>
      <c r="F71" s="98"/>
    </row>
    <row r="72" spans="1:6" x14ac:dyDescent="0.2">
      <c r="A72" s="96"/>
      <c r="B72" s="96"/>
      <c r="C72" s="96"/>
      <c r="D72" s="96"/>
      <c r="E72" s="97"/>
      <c r="F72" s="98"/>
    </row>
    <row r="73" spans="1:6" x14ac:dyDescent="0.2">
      <c r="A73" s="96"/>
      <c r="B73" s="96"/>
      <c r="C73" s="96"/>
      <c r="D73" s="96"/>
      <c r="E73" s="97"/>
      <c r="F73" s="98"/>
    </row>
    <row r="74" spans="1:6" x14ac:dyDescent="0.2">
      <c r="A74" s="96"/>
      <c r="B74" s="96"/>
      <c r="C74" s="96"/>
      <c r="D74" s="96"/>
      <c r="E74" s="97"/>
      <c r="F74" s="98"/>
    </row>
    <row r="75" spans="1:6" x14ac:dyDescent="0.2">
      <c r="A75" s="96"/>
      <c r="B75" s="96"/>
      <c r="C75" s="96"/>
      <c r="D75" s="96"/>
      <c r="E75" s="97"/>
      <c r="F75" s="98"/>
    </row>
    <row r="76" spans="1:6" x14ac:dyDescent="0.2">
      <c r="A76" s="96"/>
      <c r="B76" s="96"/>
      <c r="C76" s="96"/>
      <c r="D76" s="96"/>
      <c r="E76" s="97"/>
      <c r="F76" s="98"/>
    </row>
    <row r="77" spans="1:6" x14ac:dyDescent="0.2">
      <c r="A77" s="96"/>
      <c r="B77" s="96"/>
      <c r="C77" s="96"/>
      <c r="D77" s="96"/>
      <c r="E77" s="97"/>
      <c r="F77" s="98"/>
    </row>
    <row r="78" spans="1:6" x14ac:dyDescent="0.2">
      <c r="A78" s="96"/>
      <c r="B78" s="96"/>
      <c r="C78" s="96"/>
      <c r="D78" s="96"/>
      <c r="E78" s="97"/>
      <c r="F78" s="98"/>
    </row>
    <row r="79" spans="1:6" x14ac:dyDescent="0.2">
      <c r="A79" s="96"/>
      <c r="B79" s="96"/>
      <c r="C79" s="96"/>
      <c r="D79" s="96"/>
      <c r="E79" s="97"/>
      <c r="F79" s="98"/>
    </row>
    <row r="80" spans="1:6" x14ac:dyDescent="0.2">
      <c r="A80" s="96"/>
      <c r="B80" s="96"/>
      <c r="C80" s="96"/>
      <c r="D80" s="96"/>
      <c r="E80" s="97"/>
      <c r="F80" s="98"/>
    </row>
    <row r="81" spans="1:6" x14ac:dyDescent="0.2">
      <c r="A81" s="96"/>
      <c r="B81" s="96"/>
      <c r="C81" s="96"/>
      <c r="D81" s="96"/>
      <c r="E81" s="97"/>
      <c r="F81" s="98"/>
    </row>
    <row r="82" spans="1:6" x14ac:dyDescent="0.2">
      <c r="A82" s="96"/>
      <c r="B82" s="96"/>
      <c r="C82" s="96"/>
      <c r="D82" s="96"/>
      <c r="E82" s="97"/>
      <c r="F82" s="98"/>
    </row>
    <row r="83" spans="1:6" x14ac:dyDescent="0.2">
      <c r="A83" s="96"/>
      <c r="B83" s="96"/>
      <c r="C83" s="96"/>
      <c r="D83" s="96"/>
      <c r="E83" s="97"/>
      <c r="F83" s="98"/>
    </row>
    <row r="84" spans="1:6" x14ac:dyDescent="0.2">
      <c r="A84" s="96"/>
      <c r="B84" s="96"/>
      <c r="C84" s="96"/>
      <c r="D84" s="96"/>
      <c r="E84" s="97"/>
      <c r="F84" s="98"/>
    </row>
    <row r="85" spans="1:6" x14ac:dyDescent="0.2">
      <c r="A85" s="96"/>
      <c r="B85" s="96"/>
      <c r="C85" s="96"/>
      <c r="D85" s="96"/>
      <c r="E85" s="97"/>
      <c r="F85" s="98"/>
    </row>
    <row r="86" spans="1:6" x14ac:dyDescent="0.2">
      <c r="A86" s="96"/>
      <c r="B86" s="96"/>
      <c r="C86" s="96"/>
      <c r="D86" s="96"/>
      <c r="E86" s="97"/>
      <c r="F86" s="98"/>
    </row>
    <row r="87" spans="1:6" x14ac:dyDescent="0.2">
      <c r="A87" s="96"/>
      <c r="B87" s="96"/>
      <c r="C87" s="96"/>
      <c r="D87" s="96"/>
      <c r="E87" s="97"/>
      <c r="F87" s="98"/>
    </row>
    <row r="88" spans="1:6" x14ac:dyDescent="0.2">
      <c r="A88" s="96"/>
      <c r="B88" s="96"/>
      <c r="C88" s="96"/>
      <c r="D88" s="96"/>
      <c r="E88" s="97"/>
      <c r="F88" s="98"/>
    </row>
    <row r="89" spans="1:6" x14ac:dyDescent="0.2">
      <c r="A89" s="96"/>
      <c r="B89" s="96"/>
      <c r="C89" s="96"/>
      <c r="D89" s="96"/>
      <c r="E89" s="97"/>
      <c r="F89" s="98"/>
    </row>
    <row r="90" spans="1:6" x14ac:dyDescent="0.2">
      <c r="A90" s="96"/>
      <c r="B90" s="96"/>
      <c r="C90" s="96"/>
      <c r="D90" s="96"/>
      <c r="E90" s="97"/>
      <c r="F90" s="98"/>
    </row>
    <row r="91" spans="1:6" x14ac:dyDescent="0.2">
      <c r="A91" s="96"/>
      <c r="B91" s="96"/>
      <c r="C91" s="96"/>
      <c r="D91" s="96"/>
      <c r="E91" s="97"/>
      <c r="F91" s="98"/>
    </row>
    <row r="92" spans="1:6" x14ac:dyDescent="0.2">
      <c r="A92" s="96"/>
      <c r="B92" s="96"/>
      <c r="C92" s="96"/>
      <c r="D92" s="96"/>
      <c r="E92" s="97"/>
      <c r="F92" s="98"/>
    </row>
    <row r="93" spans="1:6" x14ac:dyDescent="0.2">
      <c r="A93" s="96"/>
      <c r="B93" s="96"/>
      <c r="C93" s="96"/>
      <c r="D93" s="96"/>
      <c r="E93" s="97"/>
      <c r="F93" s="98"/>
    </row>
    <row r="94" spans="1:6" x14ac:dyDescent="0.2">
      <c r="A94" s="96"/>
      <c r="B94" s="96"/>
      <c r="C94" s="96"/>
      <c r="D94" s="96"/>
      <c r="E94" s="97"/>
      <c r="F94" s="98"/>
    </row>
    <row r="95" spans="1:6" x14ac:dyDescent="0.2">
      <c r="A95" s="96"/>
      <c r="B95" s="96"/>
      <c r="C95" s="96"/>
      <c r="D95" s="96"/>
      <c r="E95" s="97"/>
      <c r="F95" s="98"/>
    </row>
    <row r="96" spans="1:6" x14ac:dyDescent="0.2">
      <c r="A96" s="96"/>
      <c r="B96" s="96"/>
      <c r="C96" s="96"/>
      <c r="D96" s="96"/>
      <c r="E96" s="97"/>
      <c r="F96" s="98"/>
    </row>
    <row r="97" spans="1:6" x14ac:dyDescent="0.2">
      <c r="A97" s="96"/>
      <c r="B97" s="96"/>
      <c r="C97" s="96"/>
      <c r="D97" s="96"/>
      <c r="E97" s="97"/>
      <c r="F97" s="98"/>
    </row>
    <row r="98" spans="1:6" x14ac:dyDescent="0.2">
      <c r="A98" s="96"/>
      <c r="B98" s="96"/>
      <c r="C98" s="96"/>
      <c r="D98" s="96"/>
      <c r="E98" s="97"/>
      <c r="F98" s="98"/>
    </row>
    <row r="99" spans="1:6" x14ac:dyDescent="0.2">
      <c r="A99" s="96"/>
      <c r="B99" s="96"/>
      <c r="C99" s="96"/>
      <c r="D99" s="96"/>
      <c r="E99" s="97"/>
      <c r="F99" s="98"/>
    </row>
    <row r="100" spans="1:6" x14ac:dyDescent="0.2">
      <c r="A100" s="96"/>
      <c r="B100" s="96"/>
      <c r="C100" s="96"/>
      <c r="D100" s="96"/>
      <c r="E100" s="97"/>
      <c r="F100" s="98"/>
    </row>
    <row r="101" spans="1:6" x14ac:dyDescent="0.2">
      <c r="A101" s="96"/>
      <c r="B101" s="96"/>
      <c r="C101" s="96"/>
      <c r="D101" s="96"/>
      <c r="E101" s="97"/>
      <c r="F101" s="98"/>
    </row>
    <row r="102" spans="1:6" x14ac:dyDescent="0.2">
      <c r="A102" s="96"/>
      <c r="B102" s="96"/>
      <c r="C102" s="96"/>
      <c r="D102" s="96"/>
      <c r="E102" s="97"/>
      <c r="F102" s="98"/>
    </row>
    <row r="103" spans="1:6" x14ac:dyDescent="0.2">
      <c r="A103" s="96"/>
      <c r="B103" s="96"/>
      <c r="C103" s="96"/>
      <c r="D103" s="96"/>
      <c r="E103" s="97"/>
      <c r="F103" s="98"/>
    </row>
    <row r="104" spans="1:6" x14ac:dyDescent="0.2">
      <c r="A104" s="96"/>
      <c r="B104" s="96"/>
      <c r="C104" s="96"/>
      <c r="D104" s="96"/>
      <c r="E104" s="97"/>
      <c r="F104" s="98"/>
    </row>
    <row r="105" spans="1:6" x14ac:dyDescent="0.2">
      <c r="A105" s="96"/>
      <c r="B105" s="96"/>
      <c r="C105" s="96"/>
      <c r="D105" s="96"/>
      <c r="E105" s="97"/>
      <c r="F105" s="98"/>
    </row>
    <row r="106" spans="1:6" x14ac:dyDescent="0.2">
      <c r="A106" s="96"/>
      <c r="B106" s="96"/>
      <c r="C106" s="96"/>
      <c r="D106" s="96"/>
      <c r="E106" s="97"/>
      <c r="F106" s="98"/>
    </row>
    <row r="107" spans="1:6" x14ac:dyDescent="0.2">
      <c r="A107" s="96"/>
      <c r="B107" s="96"/>
      <c r="C107" s="96"/>
      <c r="D107" s="96"/>
      <c r="E107" s="97"/>
      <c r="F107" s="98"/>
    </row>
    <row r="108" spans="1:6" x14ac:dyDescent="0.2">
      <c r="A108" s="96"/>
      <c r="B108" s="96"/>
      <c r="C108" s="96"/>
      <c r="D108" s="96"/>
      <c r="E108" s="97"/>
      <c r="F108" s="98"/>
    </row>
    <row r="109" spans="1:6" x14ac:dyDescent="0.2">
      <c r="A109" s="96"/>
      <c r="B109" s="96"/>
      <c r="C109" s="96"/>
      <c r="D109" s="96"/>
      <c r="E109" s="97"/>
      <c r="F109" s="98"/>
    </row>
    <row r="110" spans="1:6" x14ac:dyDescent="0.2">
      <c r="A110" s="96"/>
      <c r="B110" s="96"/>
      <c r="C110" s="96"/>
      <c r="D110" s="96"/>
      <c r="E110" s="97"/>
      <c r="F110" s="98"/>
    </row>
    <row r="111" spans="1:6" x14ac:dyDescent="0.2">
      <c r="A111" s="96"/>
      <c r="B111" s="96"/>
      <c r="C111" s="96"/>
      <c r="D111" s="96"/>
      <c r="E111" s="97"/>
      <c r="F111" s="98"/>
    </row>
    <row r="112" spans="1:6" x14ac:dyDescent="0.2">
      <c r="A112" s="96"/>
      <c r="B112" s="96"/>
      <c r="C112" s="96"/>
      <c r="D112" s="96"/>
      <c r="E112" s="97"/>
      <c r="F112" s="98"/>
    </row>
    <row r="113" spans="1:6" x14ac:dyDescent="0.2">
      <c r="A113" s="96"/>
      <c r="B113" s="96"/>
      <c r="C113" s="96"/>
      <c r="D113" s="96"/>
      <c r="E113" s="97"/>
      <c r="F113" s="98"/>
    </row>
    <row r="114" spans="1:6" x14ac:dyDescent="0.2">
      <c r="A114" s="96"/>
      <c r="B114" s="96"/>
      <c r="C114" s="96"/>
      <c r="D114" s="96"/>
      <c r="E114" s="97"/>
      <c r="F114" s="98"/>
    </row>
    <row r="115" spans="1:6" x14ac:dyDescent="0.2">
      <c r="A115" s="96"/>
      <c r="B115" s="96"/>
      <c r="C115" s="96"/>
      <c r="D115" s="96"/>
      <c r="E115" s="97"/>
      <c r="F115" s="98"/>
    </row>
    <row r="116" spans="1:6" x14ac:dyDescent="0.2">
      <c r="A116" s="96"/>
      <c r="B116" s="96"/>
      <c r="C116" s="96"/>
      <c r="D116" s="96"/>
      <c r="E116" s="97"/>
      <c r="F116" s="98"/>
    </row>
    <row r="117" spans="1:6" x14ac:dyDescent="0.2">
      <c r="A117" s="96"/>
      <c r="B117" s="96"/>
      <c r="C117" s="96"/>
      <c r="D117" s="96"/>
      <c r="E117" s="97"/>
      <c r="F117" s="98"/>
    </row>
    <row r="118" spans="1:6" x14ac:dyDescent="0.2">
      <c r="A118" s="96"/>
      <c r="B118" s="96"/>
      <c r="C118" s="96"/>
      <c r="D118" s="96"/>
      <c r="E118" s="97"/>
      <c r="F118" s="98"/>
    </row>
    <row r="119" spans="1:6" x14ac:dyDescent="0.2">
      <c r="A119" s="96"/>
      <c r="B119" s="96"/>
      <c r="C119" s="96"/>
      <c r="D119" s="96"/>
      <c r="E119" s="97"/>
      <c r="F119" s="98"/>
    </row>
    <row r="120" spans="1:6" x14ac:dyDescent="0.2">
      <c r="A120" s="96"/>
      <c r="B120" s="96"/>
      <c r="C120" s="96"/>
      <c r="D120" s="96"/>
      <c r="E120" s="97"/>
      <c r="F120" s="98"/>
    </row>
    <row r="121" spans="1:6" x14ac:dyDescent="0.2">
      <c r="A121" s="96"/>
      <c r="B121" s="96"/>
      <c r="C121" s="96"/>
      <c r="D121" s="96"/>
      <c r="E121" s="97"/>
      <c r="F121" s="98"/>
    </row>
    <row r="122" spans="1:6" x14ac:dyDescent="0.2">
      <c r="A122" s="96"/>
      <c r="B122" s="96"/>
      <c r="C122" s="96"/>
      <c r="D122" s="96"/>
      <c r="E122" s="97"/>
      <c r="F122" s="98"/>
    </row>
    <row r="123" spans="1:6" x14ac:dyDescent="0.2">
      <c r="A123" s="96"/>
      <c r="B123" s="96"/>
      <c r="C123" s="96"/>
      <c r="D123" s="96"/>
      <c r="E123" s="97"/>
      <c r="F123" s="98"/>
    </row>
    <row r="124" spans="1:6" x14ac:dyDescent="0.2">
      <c r="A124" s="96"/>
      <c r="B124" s="96"/>
      <c r="C124" s="96"/>
      <c r="D124" s="96"/>
      <c r="E124" s="97"/>
      <c r="F124" s="98"/>
    </row>
    <row r="125" spans="1:6" x14ac:dyDescent="0.2">
      <c r="A125" s="96"/>
      <c r="B125" s="96"/>
      <c r="C125" s="96"/>
      <c r="D125" s="96"/>
      <c r="E125" s="97"/>
      <c r="F125" s="98"/>
    </row>
    <row r="126" spans="1:6" x14ac:dyDescent="0.2">
      <c r="A126" s="96"/>
      <c r="B126" s="96"/>
      <c r="C126" s="96"/>
      <c r="D126" s="96"/>
      <c r="E126" s="97"/>
      <c r="F126" s="98"/>
    </row>
    <row r="127" spans="1:6" x14ac:dyDescent="0.2">
      <c r="A127" s="96"/>
      <c r="B127" s="96"/>
      <c r="C127" s="96"/>
      <c r="D127" s="96"/>
      <c r="E127" s="97"/>
      <c r="F127" s="98"/>
    </row>
    <row r="128" spans="1:6" x14ac:dyDescent="0.2">
      <c r="A128" s="96"/>
      <c r="B128" s="96"/>
      <c r="C128" s="96"/>
      <c r="D128" s="96"/>
      <c r="E128" s="97"/>
      <c r="F128" s="98"/>
    </row>
    <row r="129" spans="1:6" x14ac:dyDescent="0.2">
      <c r="A129" s="96"/>
      <c r="B129" s="96"/>
      <c r="C129" s="96"/>
      <c r="D129" s="96"/>
      <c r="E129" s="97"/>
      <c r="F129" s="98"/>
    </row>
    <row r="130" spans="1:6" x14ac:dyDescent="0.2">
      <c r="A130" s="96"/>
      <c r="B130" s="96"/>
      <c r="C130" s="96"/>
      <c r="D130" s="96"/>
      <c r="E130" s="97"/>
      <c r="F130" s="98"/>
    </row>
    <row r="131" spans="1:6" x14ac:dyDescent="0.2">
      <c r="A131" s="96"/>
      <c r="B131" s="96"/>
      <c r="C131" s="96"/>
      <c r="D131" s="96"/>
      <c r="E131" s="97"/>
      <c r="F131" s="98"/>
    </row>
    <row r="132" spans="1:6" x14ac:dyDescent="0.2">
      <c r="A132" s="96"/>
      <c r="B132" s="96"/>
      <c r="C132" s="96"/>
      <c r="D132" s="96"/>
      <c r="E132" s="97"/>
      <c r="F132" s="98"/>
    </row>
    <row r="133" spans="1:6" x14ac:dyDescent="0.2">
      <c r="A133" s="96"/>
      <c r="B133" s="96"/>
      <c r="C133" s="96"/>
      <c r="D133" s="96"/>
      <c r="E133" s="97"/>
      <c r="F133" s="98"/>
    </row>
    <row r="134" spans="1:6" x14ac:dyDescent="0.2">
      <c r="A134" s="96"/>
      <c r="B134" s="96"/>
      <c r="C134" s="96"/>
      <c r="D134" s="96"/>
      <c r="E134" s="97"/>
      <c r="F134" s="98"/>
    </row>
    <row r="135" spans="1:6" x14ac:dyDescent="0.2">
      <c r="A135" s="96"/>
      <c r="B135" s="96"/>
      <c r="C135" s="96"/>
      <c r="D135" s="96"/>
      <c r="E135" s="97"/>
      <c r="F135" s="98"/>
    </row>
    <row r="136" spans="1:6" x14ac:dyDescent="0.2">
      <c r="A136" s="96"/>
      <c r="B136" s="96"/>
      <c r="C136" s="96"/>
      <c r="D136" s="96"/>
      <c r="E136" s="97"/>
      <c r="F136" s="98"/>
    </row>
    <row r="137" spans="1:6" x14ac:dyDescent="0.2">
      <c r="A137" s="96"/>
      <c r="B137" s="96"/>
      <c r="C137" s="96"/>
      <c r="D137" s="96"/>
      <c r="E137" s="97"/>
      <c r="F137" s="98"/>
    </row>
    <row r="138" spans="1:6" x14ac:dyDescent="0.2">
      <c r="A138" s="96"/>
      <c r="B138" s="96"/>
      <c r="C138" s="96"/>
      <c r="D138" s="96"/>
      <c r="E138" s="97"/>
      <c r="F138" s="98"/>
    </row>
    <row r="139" spans="1:6" x14ac:dyDescent="0.2">
      <c r="A139" s="96"/>
      <c r="B139" s="96"/>
      <c r="C139" s="96"/>
      <c r="D139" s="96"/>
      <c r="E139" s="97"/>
      <c r="F139" s="98"/>
    </row>
    <row r="140" spans="1:6" x14ac:dyDescent="0.2">
      <c r="A140" s="96"/>
      <c r="B140" s="96"/>
      <c r="C140" s="96"/>
      <c r="D140" s="96"/>
      <c r="E140" s="97"/>
      <c r="F140" s="98"/>
    </row>
  </sheetData>
  <conditionalFormatting sqref="B2">
    <cfRule type="duplicateValues" dxfId="8" priority="3"/>
  </conditionalFormatting>
  <conditionalFormatting sqref="B2">
    <cfRule type="duplicateValues" dxfId="7" priority="1"/>
    <cfRule type="duplicateValues" dxfId="6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A4A6A-EE51-43E0-8F78-07CED6D0245A}">
  <sheetPr codeName="Planilha3"/>
  <dimension ref="A1:O7"/>
  <sheetViews>
    <sheetView workbookViewId="0">
      <selection activeCell="P2" sqref="P2"/>
    </sheetView>
  </sheetViews>
  <sheetFormatPr defaultRowHeight="14.25" x14ac:dyDescent="0.2"/>
  <cols>
    <col min="2" max="2" width="12.5" customWidth="1"/>
    <col min="3" max="3" width="10.625" customWidth="1"/>
    <col min="4" max="4" width="17.25" customWidth="1"/>
    <col min="6" max="6" width="10.625" customWidth="1"/>
  </cols>
  <sheetData>
    <row r="1" spans="1:15" x14ac:dyDescent="0.2">
      <c r="A1" s="8" t="s">
        <v>1</v>
      </c>
      <c r="B1" s="9" t="s">
        <v>9</v>
      </c>
      <c r="C1" s="10" t="s">
        <v>2</v>
      </c>
      <c r="D1" s="9" t="s">
        <v>10</v>
      </c>
      <c r="E1" s="11" t="s">
        <v>11</v>
      </c>
      <c r="F1" s="12" t="s">
        <v>3</v>
      </c>
      <c r="G1" s="13" t="s">
        <v>12</v>
      </c>
      <c r="H1" s="14" t="s">
        <v>13</v>
      </c>
      <c r="I1" s="15" t="s">
        <v>14</v>
      </c>
      <c r="J1" s="15" t="s">
        <v>15</v>
      </c>
      <c r="K1" s="16" t="s">
        <v>16</v>
      </c>
      <c r="L1" s="17" t="s">
        <v>17</v>
      </c>
      <c r="M1" s="17" t="s">
        <v>18</v>
      </c>
      <c r="N1" s="17" t="s">
        <v>19</v>
      </c>
      <c r="O1" s="17" t="s">
        <v>20</v>
      </c>
    </row>
    <row r="2" spans="1:15" x14ac:dyDescent="0.2">
      <c r="A2">
        <v>15163</v>
      </c>
      <c r="B2" s="5">
        <v>44504</v>
      </c>
      <c r="C2" s="5">
        <v>44530</v>
      </c>
      <c r="D2" s="5">
        <v>44530</v>
      </c>
      <c r="F2" s="18">
        <v>90.25</v>
      </c>
      <c r="M2">
        <v>267</v>
      </c>
    </row>
    <row r="3" spans="1:15" x14ac:dyDescent="0.2">
      <c r="A3">
        <v>15166</v>
      </c>
      <c r="B3" s="5">
        <v>44505</v>
      </c>
      <c r="C3" s="5">
        <v>44530</v>
      </c>
      <c r="D3" s="5">
        <v>44530</v>
      </c>
      <c r="F3" s="18">
        <v>266.64</v>
      </c>
      <c r="M3">
        <v>267</v>
      </c>
    </row>
    <row r="4" spans="1:15" x14ac:dyDescent="0.2">
      <c r="A4">
        <v>15164</v>
      </c>
      <c r="B4" s="5">
        <v>44505</v>
      </c>
      <c r="C4" s="5">
        <v>44530</v>
      </c>
      <c r="D4" s="5">
        <v>44530</v>
      </c>
      <c r="F4" s="18">
        <v>108.42</v>
      </c>
      <c r="M4">
        <v>267</v>
      </c>
    </row>
    <row r="5" spans="1:15" x14ac:dyDescent="0.2">
      <c r="A5">
        <v>15231</v>
      </c>
      <c r="B5" s="5">
        <v>44509</v>
      </c>
      <c r="C5" s="5">
        <v>44530</v>
      </c>
      <c r="D5" s="5">
        <v>44530</v>
      </c>
      <c r="F5" s="18">
        <v>90.22</v>
      </c>
      <c r="M5">
        <v>267</v>
      </c>
    </row>
    <row r="6" spans="1:15" x14ac:dyDescent="0.2">
      <c r="A6">
        <v>33134</v>
      </c>
      <c r="B6" s="5">
        <v>44508</v>
      </c>
      <c r="C6" s="5">
        <v>44530</v>
      </c>
      <c r="D6" s="5">
        <v>44530</v>
      </c>
      <c r="F6" s="18">
        <v>351.18</v>
      </c>
      <c r="M6">
        <v>268</v>
      </c>
    </row>
    <row r="7" spans="1:15" x14ac:dyDescent="0.2">
      <c r="A7">
        <v>14950</v>
      </c>
      <c r="B7" s="5">
        <v>44488</v>
      </c>
      <c r="C7" s="5">
        <v>44526</v>
      </c>
      <c r="D7" s="5">
        <v>44530</v>
      </c>
      <c r="F7" s="18">
        <v>110.17</v>
      </c>
      <c r="M7">
        <v>260</v>
      </c>
    </row>
  </sheetData>
  <conditionalFormatting sqref="A1">
    <cfRule type="duplicateValues" dxfId="5" priority="4"/>
  </conditionalFormatting>
  <conditionalFormatting sqref="A1">
    <cfRule type="duplicateValues" dxfId="4" priority="3"/>
  </conditionalFormatting>
  <conditionalFormatting sqref="A1">
    <cfRule type="duplicateValues" dxfId="3" priority="2"/>
  </conditionalFormatting>
  <conditionalFormatting sqref="A1">
    <cfRule type="duplicateValues" dxfId="2" priority="1"/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A0252-2A42-454C-A114-C87974474294}">
  <sheetPr codeName="Planilha7"/>
  <dimension ref="A1:AJ376"/>
  <sheetViews>
    <sheetView showGridLines="0" workbookViewId="0">
      <selection activeCell="F12" sqref="F12"/>
    </sheetView>
  </sheetViews>
  <sheetFormatPr defaultRowHeight="14.25" x14ac:dyDescent="0.2"/>
  <cols>
    <col min="1" max="1" width="20.75" style="1" customWidth="1"/>
    <col min="2" max="2" width="11.625" customWidth="1"/>
    <col min="3" max="3" width="10.625" customWidth="1"/>
    <col min="4" max="4" width="19.625" customWidth="1"/>
    <col min="5" max="5" width="9.875" customWidth="1"/>
    <col min="6" max="6" width="9" customWidth="1"/>
    <col min="7" max="7" width="9.375" customWidth="1"/>
    <col min="8" max="8" width="9.875" customWidth="1"/>
    <col min="9" max="9" width="8.875" customWidth="1"/>
    <col min="10" max="10" width="8.25" customWidth="1"/>
    <col min="12" max="12" width="9" customWidth="1"/>
    <col min="13" max="14" width="8.375" customWidth="1"/>
    <col min="15" max="15" width="14.875" customWidth="1"/>
    <col min="16" max="16" width="9.75" customWidth="1"/>
    <col min="17" max="17" width="12.25" customWidth="1"/>
    <col min="18" max="18" width="8.5" customWidth="1"/>
    <col min="19" max="19" width="15" customWidth="1"/>
    <col min="22" max="22" width="10" customWidth="1"/>
    <col min="23" max="23" width="10.625" customWidth="1"/>
    <col min="24" max="24" width="8.25" customWidth="1"/>
    <col min="25" max="25" width="8.875" customWidth="1"/>
    <col min="26" max="26" width="13" customWidth="1"/>
    <col min="27" max="27" width="14.25" customWidth="1"/>
    <col min="28" max="28" width="13.625" customWidth="1"/>
    <col min="29" max="29" width="9.25" customWidth="1"/>
    <col min="30" max="30" width="9" style="81" customWidth="1"/>
    <col min="31" max="31" width="10.625" style="81" customWidth="1"/>
    <col min="32" max="33" width="9" style="81" customWidth="1"/>
    <col min="34" max="34" width="9" style="82" customWidth="1"/>
    <col min="35" max="35" width="10.625" style="82" customWidth="1"/>
    <col min="36" max="36" width="9" style="82" customWidth="1"/>
  </cols>
  <sheetData>
    <row r="1" spans="1:36" ht="15" customHeight="1" x14ac:dyDescent="0.2">
      <c r="D1" s="19" t="s">
        <v>21</v>
      </c>
      <c r="E1" s="141" t="s">
        <v>22</v>
      </c>
      <c r="F1" s="141"/>
      <c r="G1" s="141"/>
      <c r="H1" s="141"/>
      <c r="I1" s="141"/>
      <c r="J1" s="141"/>
      <c r="P1" s="142" t="s">
        <v>23</v>
      </c>
      <c r="Q1" s="142"/>
      <c r="R1" s="142"/>
      <c r="S1" s="142"/>
      <c r="X1" s="148" t="s">
        <v>24</v>
      </c>
      <c r="Y1" s="148"/>
      <c r="Z1" s="148"/>
      <c r="AA1" s="148"/>
      <c r="AB1" s="148"/>
      <c r="AC1" s="148"/>
      <c r="AD1" s="80"/>
      <c r="AE1" s="80"/>
    </row>
    <row r="2" spans="1:36" ht="15.75" x14ac:dyDescent="0.2">
      <c r="D2" s="20" t="s">
        <v>25</v>
      </c>
      <c r="E2" s="21" t="s">
        <v>26</v>
      </c>
      <c r="F2" s="21" t="s">
        <v>27</v>
      </c>
      <c r="G2" s="22" t="s">
        <v>28</v>
      </c>
      <c r="H2" s="22" t="s">
        <v>29</v>
      </c>
      <c r="I2" s="22" t="s">
        <v>30</v>
      </c>
      <c r="J2" s="23" t="s">
        <v>31</v>
      </c>
      <c r="P2" s="66" t="s">
        <v>32</v>
      </c>
      <c r="Q2" s="66" t="s">
        <v>33</v>
      </c>
      <c r="R2" s="66" t="s">
        <v>34</v>
      </c>
      <c r="S2" s="66" t="s">
        <v>35</v>
      </c>
      <c r="W2" s="40"/>
      <c r="X2" s="148"/>
      <c r="Y2" s="148"/>
      <c r="Z2" s="148"/>
      <c r="AA2" s="148"/>
      <c r="AB2" s="148"/>
      <c r="AC2" s="148"/>
      <c r="AD2" s="80"/>
      <c r="AE2" s="80"/>
    </row>
    <row r="3" spans="1:36" ht="15.75" x14ac:dyDescent="0.2">
      <c r="D3" s="63" t="s">
        <v>36</v>
      </c>
      <c r="E3" s="64">
        <f>_xlfn.XLOOKUP(E2,$A:$A,$B:$B,0)-_xlfn.XLOOKUP(E2,$P$2:$P$15,$R$2:$R$15,0)</f>
        <v>0</v>
      </c>
      <c r="F3" s="64">
        <f>_xlfn.XLOOKUP(F2,$A:$A,$B:$B,0)-_xlfn.XLOOKUP(F2,$P$2:$P$15,$R$2:$R$15,0)</f>
        <v>0</v>
      </c>
      <c r="G3" s="64">
        <f>_xlfn.XLOOKUP(G2,$A:$A,$B:$B,0)-_xlfn.XLOOKUP(G2,$P$2:$P$15,$R$2:$R$15,0)</f>
        <v>0</v>
      </c>
      <c r="H3" s="64">
        <f>_xlfn.XLOOKUP(H2,$A:$A,$B:$B,0)-_xlfn.XLOOKUP(H2,$P$2:$P$15,$R$2:$R$15,0)</f>
        <v>0</v>
      </c>
      <c r="I3" s="64">
        <f>_xlfn.XLOOKUP(I2,$A:$A,$B:$B,0)-_xlfn.XLOOKUP(I2,$P$2:$P$15,$R$2:$R$15,0)</f>
        <v>0</v>
      </c>
      <c r="J3" s="65">
        <f>SUM(E3:I3)</f>
        <v>0</v>
      </c>
      <c r="P3" s="60"/>
      <c r="Q3" s="61" t="str">
        <f>IF(P3="","",_xlfn.XLOOKUP(P3,A:A,B:B,0))</f>
        <v/>
      </c>
      <c r="R3" s="62"/>
      <c r="S3" s="59" t="str">
        <f>IF(P3="","",Q3-R3)</f>
        <v/>
      </c>
      <c r="W3" s="40"/>
      <c r="X3" s="40"/>
      <c r="Y3" s="40"/>
      <c r="Z3" s="40"/>
      <c r="AA3" s="40"/>
      <c r="AB3" s="40"/>
      <c r="AC3" s="40"/>
      <c r="AD3" s="80"/>
      <c r="AE3" s="80"/>
    </row>
    <row r="4" spans="1:36" ht="15.75" x14ac:dyDescent="0.2">
      <c r="D4" s="24" t="s">
        <v>37</v>
      </c>
      <c r="E4" s="22" t="s">
        <v>38</v>
      </c>
      <c r="F4" s="25"/>
      <c r="G4" s="25"/>
      <c r="H4" s="25"/>
      <c r="I4" s="25"/>
      <c r="J4" s="23"/>
      <c r="L4" s="143" t="s">
        <v>39</v>
      </c>
      <c r="M4" s="143"/>
      <c r="P4" s="60"/>
      <c r="Q4" s="61" t="str">
        <f>IF(P4="","",_xlfn.XLOOKUP(P4,A:A,B:B,0))</f>
        <v/>
      </c>
      <c r="R4" s="62"/>
      <c r="S4" s="59" t="str">
        <f>IF(P4="","",Q4-R4)</f>
        <v/>
      </c>
      <c r="W4" s="40"/>
      <c r="X4" s="149" t="s">
        <v>40</v>
      </c>
      <c r="Y4" s="149"/>
      <c r="Z4" s="149"/>
      <c r="AA4" s="149"/>
      <c r="AB4" s="149"/>
      <c r="AC4" s="149"/>
      <c r="AD4" s="80"/>
      <c r="AE4" s="80"/>
    </row>
    <row r="5" spans="1:36" x14ac:dyDescent="0.2">
      <c r="D5" s="63" t="s">
        <v>36</v>
      </c>
      <c r="E5" s="64">
        <f>_xlfn.XLOOKUP(E4,$A:$A,$B:$B,0)-_xlfn.XLOOKUP(E4,$P$2:$P$15,$R$2:$R$15,0)</f>
        <v>0</v>
      </c>
      <c r="F5" s="64"/>
      <c r="G5" s="64"/>
      <c r="H5" s="64"/>
      <c r="I5" s="64"/>
      <c r="J5" s="65">
        <f>SUM(E5:I5)</f>
        <v>0</v>
      </c>
      <c r="L5" s="143"/>
      <c r="M5" s="143"/>
      <c r="P5" s="60"/>
      <c r="Q5" s="61" t="str">
        <f t="shared" ref="Q5:Q15" si="0">_xlfn.SINGLE(IF(P5="","",_xlfn.XLOOKUP(P5,A:A,B:B,0)))</f>
        <v/>
      </c>
      <c r="R5" s="62"/>
      <c r="S5" s="59" t="str">
        <f t="shared" ref="S5:S15" si="1">IF(P5="","",Q5-R5)</f>
        <v/>
      </c>
      <c r="X5" s="149"/>
      <c r="Y5" s="149"/>
      <c r="Z5" s="149"/>
      <c r="AA5" s="149"/>
      <c r="AB5" s="149"/>
      <c r="AC5" s="149"/>
      <c r="AD5" s="80"/>
      <c r="AE5" s="80"/>
      <c r="AH5" s="83" t="s">
        <v>41</v>
      </c>
      <c r="AI5" s="83" t="s">
        <v>42</v>
      </c>
      <c r="AJ5" s="83" t="s">
        <v>43</v>
      </c>
    </row>
    <row r="6" spans="1:36" x14ac:dyDescent="0.2">
      <c r="D6" s="24" t="s">
        <v>44</v>
      </c>
      <c r="E6" s="22" t="s">
        <v>45</v>
      </c>
      <c r="F6" s="25"/>
      <c r="G6" s="25"/>
      <c r="H6" s="25"/>
      <c r="I6" s="25"/>
      <c r="J6" s="23"/>
      <c r="L6" s="67" t="s">
        <v>41</v>
      </c>
      <c r="M6" s="67" t="s">
        <v>46</v>
      </c>
      <c r="P6" s="60"/>
      <c r="Q6" s="61" t="str">
        <f t="shared" si="0"/>
        <v/>
      </c>
      <c r="R6" s="62"/>
      <c r="S6" s="59" t="str">
        <f t="shared" si="1"/>
        <v/>
      </c>
      <c r="W6" s="41"/>
      <c r="X6" s="41"/>
      <c r="Y6" s="41"/>
      <c r="Z6" s="41"/>
      <c r="AA6" s="41"/>
      <c r="AB6" s="41"/>
      <c r="AC6" s="41"/>
      <c r="AD6" s="80"/>
      <c r="AE6" s="80"/>
      <c r="AH6" s="82" t="s">
        <v>47</v>
      </c>
      <c r="AI6" s="84" t="s">
        <v>48</v>
      </c>
      <c r="AJ6" s="82" t="s">
        <v>49</v>
      </c>
    </row>
    <row r="7" spans="1:36" ht="15" thickBot="1" x14ac:dyDescent="0.25">
      <c r="D7" s="63" t="s">
        <v>36</v>
      </c>
      <c r="E7" s="64">
        <f>_xlfn.XLOOKUP(E6,$A:$A,$B:$B,0)-_xlfn.XLOOKUP(E6,$P$2:$P$15,$R$2:$R$15,0)</f>
        <v>0</v>
      </c>
      <c r="F7" s="64"/>
      <c r="G7" s="64"/>
      <c r="H7" s="64"/>
      <c r="I7" s="64"/>
      <c r="J7" s="65">
        <f>SUM(E7:I7)</f>
        <v>0</v>
      </c>
      <c r="L7" s="26"/>
      <c r="P7" s="60"/>
      <c r="Q7" s="61" t="str">
        <f t="shared" si="0"/>
        <v/>
      </c>
      <c r="R7" s="62"/>
      <c r="S7" s="59" t="str">
        <f t="shared" si="1"/>
        <v/>
      </c>
      <c r="V7" s="42"/>
      <c r="W7" s="42"/>
      <c r="X7" s="42"/>
      <c r="Y7" s="42"/>
      <c r="Z7" s="42"/>
      <c r="AA7" s="42"/>
      <c r="AB7" s="42"/>
      <c r="AC7" s="42"/>
      <c r="AD7" s="80"/>
      <c r="AE7" s="80"/>
      <c r="AH7" s="82" t="s">
        <v>50</v>
      </c>
      <c r="AI7" s="84" t="s">
        <v>48</v>
      </c>
      <c r="AJ7" s="82" t="s">
        <v>49</v>
      </c>
    </row>
    <row r="8" spans="1:36" x14ac:dyDescent="0.2">
      <c r="D8" s="24" t="s">
        <v>51</v>
      </c>
      <c r="E8" s="21" t="s">
        <v>52</v>
      </c>
      <c r="F8" s="25"/>
      <c r="G8" s="25"/>
      <c r="H8" s="25"/>
      <c r="I8" s="25"/>
      <c r="J8" s="23"/>
      <c r="L8" s="26"/>
      <c r="P8" s="60"/>
      <c r="Q8" s="61" t="str">
        <f t="shared" si="0"/>
        <v/>
      </c>
      <c r="R8" s="62"/>
      <c r="S8" s="59" t="str">
        <f t="shared" si="1"/>
        <v/>
      </c>
      <c r="V8" s="4" t="s">
        <v>53</v>
      </c>
      <c r="AD8" s="85" t="s">
        <v>53</v>
      </c>
      <c r="AE8" s="86"/>
      <c r="AF8" s="86"/>
      <c r="AG8" s="86"/>
      <c r="AH8" s="87" t="s">
        <v>66</v>
      </c>
      <c r="AI8" s="84" t="s">
        <v>67</v>
      </c>
      <c r="AJ8" s="88" t="s">
        <v>68</v>
      </c>
    </row>
    <row r="9" spans="1:36" ht="15" thickBot="1" x14ac:dyDescent="0.25">
      <c r="D9" s="63" t="s">
        <v>36</v>
      </c>
      <c r="E9" s="64">
        <f>_xlfn.XLOOKUP(E8,$A:$A,$B:$B,0)-_xlfn.XLOOKUP(E8,$P$2:$P$15,$R$2:$R$15,0)</f>
        <v>0</v>
      </c>
      <c r="F9" s="64"/>
      <c r="G9" s="64"/>
      <c r="H9" s="64"/>
      <c r="I9" s="64"/>
      <c r="J9" s="65">
        <f>SUM(E9:I9)</f>
        <v>0</v>
      </c>
      <c r="L9" s="26"/>
      <c r="P9" s="60"/>
      <c r="Q9" s="61" t="str">
        <f t="shared" si="0"/>
        <v/>
      </c>
      <c r="R9" s="62"/>
      <c r="S9" s="59" t="str">
        <f t="shared" si="1"/>
        <v/>
      </c>
      <c r="T9" s="59"/>
      <c r="V9" s="55" t="str">
        <f>AD9</f>
        <v/>
      </c>
      <c r="W9" s="42"/>
      <c r="X9" s="43" t="s">
        <v>56</v>
      </c>
      <c r="Y9" s="44" t="s">
        <v>57</v>
      </c>
      <c r="Z9" s="54" t="s">
        <v>58</v>
      </c>
      <c r="AA9" s="56" t="str">
        <f>AG9</f>
        <v/>
      </c>
      <c r="AB9" s="42"/>
      <c r="AC9" s="42"/>
      <c r="AD9" s="86" t="str">
        <f>IFERROR(VLOOKUP(Y9,AH:AI,2,0),"")</f>
        <v/>
      </c>
      <c r="AE9" s="86"/>
      <c r="AF9" s="85" t="s">
        <v>58</v>
      </c>
      <c r="AG9" s="86" t="str">
        <f>IFERROR(VLOOKUP(Y9,AH:AJ,3,0),"")</f>
        <v/>
      </c>
      <c r="AH9" s="87" t="s">
        <v>27</v>
      </c>
      <c r="AI9" s="89" t="s">
        <v>72</v>
      </c>
      <c r="AJ9" s="88" t="s">
        <v>68</v>
      </c>
    </row>
    <row r="10" spans="1:36" x14ac:dyDescent="0.2">
      <c r="D10" s="24" t="s">
        <v>61</v>
      </c>
      <c r="E10" s="22" t="s">
        <v>62</v>
      </c>
      <c r="F10" s="22" t="s">
        <v>63</v>
      </c>
      <c r="G10" s="27" t="s">
        <v>47</v>
      </c>
      <c r="H10" s="27" t="s">
        <v>50</v>
      </c>
      <c r="I10" s="27" t="s">
        <v>130</v>
      </c>
      <c r="J10" s="23"/>
      <c r="L10" s="26"/>
      <c r="P10" s="60"/>
      <c r="Q10" s="61" t="str">
        <f t="shared" si="0"/>
        <v/>
      </c>
      <c r="R10" s="62"/>
      <c r="S10" s="59" t="str">
        <f t="shared" si="1"/>
        <v/>
      </c>
      <c r="T10" s="59"/>
      <c r="V10" s="57" t="s">
        <v>64</v>
      </c>
      <c r="W10" s="2">
        <f ca="1">TODAY()</f>
        <v>45747</v>
      </c>
      <c r="X10" s="1"/>
      <c r="Y10" s="1"/>
      <c r="Z10" s="68" t="s">
        <v>65</v>
      </c>
      <c r="AA10" s="45"/>
      <c r="AD10" s="90"/>
      <c r="AE10" s="91"/>
      <c r="AF10" s="92"/>
      <c r="AG10" s="92"/>
      <c r="AH10" s="82" t="s">
        <v>76</v>
      </c>
      <c r="AI10" s="84" t="s">
        <v>77</v>
      </c>
      <c r="AJ10" s="88" t="s">
        <v>68</v>
      </c>
    </row>
    <row r="11" spans="1:36" s="69" customFormat="1" ht="42" customHeight="1" x14ac:dyDescent="0.2">
      <c r="A11" s="48"/>
      <c r="D11" s="63" t="s">
        <v>36</v>
      </c>
      <c r="E11" s="70">
        <f>_xlfn.XLOOKUP(E10,$A:$A,$B:$B,0)-_xlfn.XLOOKUP(E10,$P$2:$P$15,$R$2:$R$15,0)</f>
        <v>0</v>
      </c>
      <c r="F11" s="70">
        <f>_xlfn.XLOOKUP(F10,$A:$A,$B:$B,0)-_xlfn.XLOOKUP(F10,$P$2:$P$15,$R$2:$R$15,0)</f>
        <v>0</v>
      </c>
      <c r="G11" s="70">
        <f>_xlfn.XLOOKUP(G10,$A:$A,$B:$B,0)-_xlfn.XLOOKUP(G10,$P$2:$P$15,$R$2:$R$15,0)</f>
        <v>0</v>
      </c>
      <c r="H11" s="70">
        <f>_xlfn.XLOOKUP(H10,$A:$A,$B:$B,0)-_xlfn.XLOOKUP(H10,$P$2:$P$15,$R$2:$R$15,0)</f>
        <v>0</v>
      </c>
      <c r="I11" s="70">
        <f>_xlfn.XLOOKUP(I10,$A:$A,$B:$B,0)-_xlfn.XLOOKUP(I10,$P$2:$P$15,$R$2:$R$15,0)</f>
        <v>0</v>
      </c>
      <c r="J11" s="71">
        <f>SUM(E11:I11)</f>
        <v>0</v>
      </c>
      <c r="L11" s="72"/>
      <c r="P11" s="73"/>
      <c r="Q11" s="74" t="str">
        <f t="shared" si="0"/>
        <v/>
      </c>
      <c r="R11" s="75"/>
      <c r="S11" s="76" t="str">
        <f t="shared" si="1"/>
        <v/>
      </c>
      <c r="V11" s="58" t="s">
        <v>69</v>
      </c>
      <c r="W11" s="46"/>
      <c r="X11" s="47" t="s">
        <v>70</v>
      </c>
      <c r="Y11" s="46">
        <f>SUM(Z14:Z376)-W11</f>
        <v>0</v>
      </c>
      <c r="Z11" s="58" t="s">
        <v>71</v>
      </c>
      <c r="AA11" s="53"/>
      <c r="AB11" s="48"/>
      <c r="AC11" s="48"/>
      <c r="AD11" s="93"/>
      <c r="AE11" s="84"/>
      <c r="AF11" s="93"/>
      <c r="AG11" s="94"/>
      <c r="AH11" s="82" t="s">
        <v>74</v>
      </c>
      <c r="AI11" s="84" t="s">
        <v>86</v>
      </c>
      <c r="AJ11" s="88" t="s">
        <v>68</v>
      </c>
    </row>
    <row r="12" spans="1:36" x14ac:dyDescent="0.2">
      <c r="D12" s="24" t="s">
        <v>73</v>
      </c>
      <c r="E12" s="22" t="s">
        <v>74</v>
      </c>
      <c r="F12" s="25"/>
      <c r="G12" s="25"/>
      <c r="H12" s="25"/>
      <c r="I12" s="25"/>
      <c r="J12" s="23"/>
      <c r="L12" s="26"/>
      <c r="P12" s="60"/>
      <c r="Q12" s="61" t="str">
        <f t="shared" si="0"/>
        <v/>
      </c>
      <c r="R12" s="62"/>
      <c r="S12" s="59" t="str">
        <f t="shared" si="1"/>
        <v/>
      </c>
      <c r="V12" s="150" t="s">
        <v>75</v>
      </c>
      <c r="W12" s="150"/>
      <c r="X12" s="150"/>
      <c r="Y12" s="150"/>
      <c r="Z12" s="150"/>
      <c r="AA12" s="150"/>
      <c r="AB12" s="150"/>
      <c r="AC12" s="150"/>
      <c r="AD12" s="80"/>
      <c r="AE12" s="80"/>
      <c r="AH12" s="82" t="s">
        <v>90</v>
      </c>
      <c r="AI12" s="84" t="s">
        <v>91</v>
      </c>
      <c r="AJ12" s="82" t="s">
        <v>92</v>
      </c>
    </row>
    <row r="13" spans="1:36" ht="15" thickBot="1" x14ac:dyDescent="0.25">
      <c r="D13" s="63" t="s">
        <v>36</v>
      </c>
      <c r="E13" s="64">
        <f>_xlfn.XLOOKUP(E12,$A:$A,$B:$B,0)-_xlfn.XLOOKUP(E12,$P$2:$P$15,$R$2:$R$15,0)</f>
        <v>0</v>
      </c>
      <c r="F13" s="64"/>
      <c r="G13" s="64"/>
      <c r="H13" s="64"/>
      <c r="I13" s="64"/>
      <c r="J13" s="65">
        <f>SUM(E13:I13)</f>
        <v>0</v>
      </c>
      <c r="L13" s="26"/>
      <c r="P13" s="60"/>
      <c r="Q13" s="61" t="str">
        <f t="shared" si="0"/>
        <v/>
      </c>
      <c r="R13" s="62"/>
      <c r="S13" s="59" t="str">
        <f t="shared" si="1"/>
        <v/>
      </c>
      <c r="V13" s="49" t="s">
        <v>78</v>
      </c>
      <c r="W13" s="49" t="s">
        <v>79</v>
      </c>
      <c r="X13" s="49" t="s">
        <v>80</v>
      </c>
      <c r="Y13" s="49" t="s">
        <v>81</v>
      </c>
      <c r="Z13" s="49" t="s">
        <v>82</v>
      </c>
      <c r="AA13" s="49" t="s">
        <v>83</v>
      </c>
      <c r="AB13" s="49" t="s">
        <v>84</v>
      </c>
      <c r="AC13" s="49" t="s">
        <v>85</v>
      </c>
      <c r="AD13" s="80"/>
      <c r="AE13" s="80"/>
      <c r="AH13" s="82" t="s">
        <v>52</v>
      </c>
      <c r="AI13" s="84" t="s">
        <v>95</v>
      </c>
      <c r="AJ13" s="82" t="s">
        <v>96</v>
      </c>
    </row>
    <row r="14" spans="1:36" x14ac:dyDescent="0.2">
      <c r="D14" s="24" t="s">
        <v>87</v>
      </c>
      <c r="E14" s="22" t="s">
        <v>88</v>
      </c>
      <c r="F14" s="22" t="s">
        <v>54</v>
      </c>
      <c r="G14" s="25"/>
      <c r="H14" s="25"/>
      <c r="I14" s="25"/>
      <c r="J14" s="23"/>
      <c r="L14" s="144" t="s">
        <v>89</v>
      </c>
      <c r="M14" s="144"/>
      <c r="P14" s="60"/>
      <c r="Q14" s="61" t="str">
        <f t="shared" si="0"/>
        <v/>
      </c>
      <c r="R14" s="62"/>
      <c r="S14" s="59" t="str">
        <f t="shared" si="1"/>
        <v/>
      </c>
      <c r="V14" s="50"/>
      <c r="W14" s="51"/>
      <c r="X14" s="51"/>
      <c r="Y14" s="52"/>
      <c r="Z14" s="51"/>
      <c r="AA14" s="50"/>
      <c r="AB14" s="50"/>
      <c r="AC14" s="50"/>
      <c r="AD14" s="80" t="str">
        <f>$D$9 &amp; " " &amp; AE14</f>
        <v>Repasse 1</v>
      </c>
      <c r="AE14" s="80">
        <v>1</v>
      </c>
      <c r="AH14" s="82" t="s">
        <v>38</v>
      </c>
      <c r="AI14" s="84" t="s">
        <v>97</v>
      </c>
      <c r="AJ14" s="82" t="s">
        <v>98</v>
      </c>
    </row>
    <row r="15" spans="1:36" x14ac:dyDescent="0.2">
      <c r="D15" s="63" t="s">
        <v>36</v>
      </c>
      <c r="E15" s="64">
        <f>_xlfn.XLOOKUP(E14,$A:$A,$B:$B,0)-_xlfn.XLOOKUP(E14,$P$2:$P$15,$R$2:$R$15,0)</f>
        <v>0</v>
      </c>
      <c r="F15" s="64">
        <f>_xlfn.XLOOKUP(F14,$A:$A,$B:$B,0)-_xlfn.XLOOKUP(F14,$P$2:$P$15,$R$2:$R$15,0)</f>
        <v>0</v>
      </c>
      <c r="G15" s="64"/>
      <c r="H15" s="64"/>
      <c r="I15" s="64"/>
      <c r="J15" s="65">
        <f>SUM(E15:I15)</f>
        <v>0</v>
      </c>
      <c r="L15" s="144"/>
      <c r="M15" s="144"/>
      <c r="P15" s="60"/>
      <c r="Q15" s="61" t="str">
        <f t="shared" si="0"/>
        <v/>
      </c>
      <c r="R15" s="62"/>
      <c r="S15" s="59" t="str">
        <f t="shared" si="1"/>
        <v/>
      </c>
      <c r="V15" s="50"/>
      <c r="W15" s="51"/>
      <c r="X15" s="51"/>
      <c r="Y15" s="52"/>
      <c r="Z15" s="51"/>
      <c r="AA15" s="50"/>
      <c r="AB15" s="50"/>
      <c r="AC15" s="50"/>
      <c r="AD15" s="80" t="str">
        <f t="shared" ref="AD15:AD78" si="2">$D$9 &amp; " " &amp; AE15</f>
        <v>Repasse 2</v>
      </c>
      <c r="AE15" s="80">
        <v>2</v>
      </c>
      <c r="AH15" s="82" t="s">
        <v>45</v>
      </c>
      <c r="AI15" s="84" t="s">
        <v>102</v>
      </c>
      <c r="AJ15" s="82" t="s">
        <v>103</v>
      </c>
    </row>
    <row r="16" spans="1:36" x14ac:dyDescent="0.2">
      <c r="D16" s="24" t="s">
        <v>94</v>
      </c>
      <c r="E16" s="22" t="s">
        <v>90</v>
      </c>
      <c r="F16" s="22" t="s">
        <v>66</v>
      </c>
      <c r="G16" s="22" t="s">
        <v>150</v>
      </c>
      <c r="H16" s="25"/>
      <c r="I16" s="25"/>
      <c r="J16" s="23"/>
      <c r="L16" s="67" t="s">
        <v>41</v>
      </c>
      <c r="M16" s="67" t="s">
        <v>46</v>
      </c>
      <c r="V16" s="50"/>
      <c r="W16" s="51"/>
      <c r="X16" s="51"/>
      <c r="Y16" s="52"/>
      <c r="Z16" s="51"/>
      <c r="AA16" s="50"/>
      <c r="AB16" s="50"/>
      <c r="AC16" s="50"/>
      <c r="AD16" s="80" t="str">
        <f t="shared" si="2"/>
        <v>Repasse 3</v>
      </c>
      <c r="AE16" s="80">
        <v>3</v>
      </c>
      <c r="AH16" s="82" t="s">
        <v>63</v>
      </c>
      <c r="AI16" s="84" t="s">
        <v>48</v>
      </c>
      <c r="AJ16" s="82" t="s">
        <v>60</v>
      </c>
    </row>
    <row r="17" spans="1:36" x14ac:dyDescent="0.2">
      <c r="D17" s="63" t="s">
        <v>36</v>
      </c>
      <c r="E17" s="64">
        <f>_xlfn.XLOOKUP(E16,$A:$A,$B:$B,0)-_xlfn.XLOOKUP(E16,$P$2:$P$15,$R$2:$R$15,0)</f>
        <v>0</v>
      </c>
      <c r="F17" s="64">
        <f>_xlfn.XLOOKUP(F16,$A:$A,$B:$B,0)-_xlfn.XLOOKUP(F16,$P$2:$P$15,$R$2:$R$15,0)</f>
        <v>0</v>
      </c>
      <c r="G17" s="64">
        <f>_xlfn.XLOOKUP(G16,$A:$A,$B:$B,0)-_xlfn.XLOOKUP(G16,$P$2:$P$15,$R$2:$R$15,0)</f>
        <v>0</v>
      </c>
      <c r="H17" s="64"/>
      <c r="I17" s="64"/>
      <c r="J17" s="65">
        <f>SUM(E17:I17)</f>
        <v>0</v>
      </c>
      <c r="L17" s="26"/>
      <c r="P17" s="145" t="s">
        <v>72</v>
      </c>
      <c r="Q17" s="146"/>
      <c r="R17" s="146"/>
      <c r="S17" s="147"/>
      <c r="V17" s="50"/>
      <c r="W17" s="51"/>
      <c r="X17" s="51"/>
      <c r="Y17" s="52"/>
      <c r="Z17" s="51"/>
      <c r="AA17" s="50"/>
      <c r="AB17" s="50"/>
      <c r="AC17" s="50"/>
      <c r="AD17" s="80" t="str">
        <f t="shared" si="2"/>
        <v>Repasse 4</v>
      </c>
      <c r="AE17" s="80">
        <v>4</v>
      </c>
      <c r="AH17" s="82" t="s">
        <v>29</v>
      </c>
      <c r="AI17" s="84" t="s">
        <v>59</v>
      </c>
      <c r="AJ17" s="82" t="s">
        <v>49</v>
      </c>
    </row>
    <row r="18" spans="1:36" ht="15" customHeight="1" x14ac:dyDescent="0.2">
      <c r="D18" s="24" t="s">
        <v>99</v>
      </c>
      <c r="E18" s="22" t="s">
        <v>76</v>
      </c>
      <c r="F18" s="25"/>
      <c r="G18" s="25"/>
      <c r="H18" s="25"/>
      <c r="I18" s="25"/>
      <c r="J18" s="23"/>
      <c r="L18" s="26"/>
      <c r="P18" s="151" t="s">
        <v>100</v>
      </c>
      <c r="Q18" s="152"/>
      <c r="R18" s="151" t="s">
        <v>101</v>
      </c>
      <c r="S18" s="152"/>
      <c r="V18" s="50"/>
      <c r="W18" s="51"/>
      <c r="X18" s="51"/>
      <c r="Y18" s="52"/>
      <c r="Z18" s="51"/>
      <c r="AA18" s="50"/>
      <c r="AB18" s="50"/>
      <c r="AC18" s="50"/>
      <c r="AD18" s="80" t="str">
        <f t="shared" si="2"/>
        <v>Repasse 5</v>
      </c>
      <c r="AE18" s="80">
        <v>5</v>
      </c>
      <c r="AH18" s="82" t="s">
        <v>130</v>
      </c>
      <c r="AI18" s="84" t="s">
        <v>48</v>
      </c>
      <c r="AJ18" s="82" t="s">
        <v>60</v>
      </c>
    </row>
    <row r="19" spans="1:36" x14ac:dyDescent="0.2">
      <c r="D19" s="63" t="s">
        <v>36</v>
      </c>
      <c r="E19" s="64">
        <f>_xlfn.XLOOKUP(E18,$A:$A,$B:$B,0)-_xlfn.XLOOKUP(E18,$P$2:$P$15,$R$2:$R$15,0)</f>
        <v>0</v>
      </c>
      <c r="F19" s="64"/>
      <c r="G19" s="64"/>
      <c r="H19" s="64"/>
      <c r="I19" s="64"/>
      <c r="J19" s="65">
        <f>SUM(E19:I19)</f>
        <v>0</v>
      </c>
      <c r="L19" s="26"/>
      <c r="P19" s="153"/>
      <c r="Q19" s="154"/>
      <c r="R19" s="153"/>
      <c r="S19" s="154"/>
      <c r="V19" s="50"/>
      <c r="W19" s="51"/>
      <c r="X19" s="51"/>
      <c r="Y19" s="52"/>
      <c r="Z19" s="51"/>
      <c r="AA19" s="50"/>
      <c r="AB19" s="50"/>
      <c r="AC19" s="50"/>
      <c r="AD19" s="80" t="str">
        <f t="shared" si="2"/>
        <v>Repasse 6</v>
      </c>
      <c r="AE19" s="80">
        <v>6</v>
      </c>
      <c r="AH19" s="82" t="s">
        <v>62</v>
      </c>
      <c r="AI19" s="84" t="s">
        <v>48</v>
      </c>
      <c r="AJ19" s="82" t="s">
        <v>60</v>
      </c>
    </row>
    <row r="20" spans="1:36" x14ac:dyDescent="0.2">
      <c r="D20" s="24" t="s">
        <v>105</v>
      </c>
      <c r="E20" s="22" t="s">
        <v>106</v>
      </c>
      <c r="F20" s="25"/>
      <c r="G20" s="25"/>
      <c r="H20" s="25"/>
      <c r="I20" s="25"/>
      <c r="J20" s="23"/>
      <c r="L20" s="26"/>
      <c r="V20" s="50"/>
      <c r="W20" s="51"/>
      <c r="X20" s="51"/>
      <c r="Y20" s="52"/>
      <c r="Z20" s="51"/>
      <c r="AA20" s="50"/>
      <c r="AB20" s="50"/>
      <c r="AC20" s="50"/>
      <c r="AD20" s="80" t="str">
        <f t="shared" si="2"/>
        <v>Repasse 7</v>
      </c>
      <c r="AE20" s="80">
        <v>7</v>
      </c>
      <c r="AH20" s="82" t="s">
        <v>26</v>
      </c>
      <c r="AI20" s="84" t="s">
        <v>72</v>
      </c>
      <c r="AJ20" s="82" t="s">
        <v>49</v>
      </c>
    </row>
    <row r="21" spans="1:36" x14ac:dyDescent="0.2">
      <c r="D21" s="63" t="s">
        <v>36</v>
      </c>
      <c r="E21" s="64">
        <f>_xlfn.XLOOKUP(E20,$A:$A,$B:$B,0)-_xlfn.XLOOKUP(E20,$P$2:$P$15,$R$2:$R$15,0)</f>
        <v>0</v>
      </c>
      <c r="F21" s="64"/>
      <c r="G21" s="64"/>
      <c r="H21" s="64"/>
      <c r="I21" s="64"/>
      <c r="J21" s="65">
        <f>SUM(E21:I21)</f>
        <v>0</v>
      </c>
      <c r="L21" s="26"/>
      <c r="V21" s="50"/>
      <c r="W21" s="51"/>
      <c r="X21" s="51"/>
      <c r="Y21" s="52"/>
      <c r="Z21" s="51"/>
      <c r="AA21" s="50"/>
      <c r="AB21" s="50"/>
      <c r="AC21" s="50"/>
      <c r="AD21" s="80" t="str">
        <f t="shared" si="2"/>
        <v>Repasse 8</v>
      </c>
      <c r="AE21" s="80">
        <v>8</v>
      </c>
      <c r="AH21" s="82" t="s">
        <v>88</v>
      </c>
      <c r="AI21" s="84" t="s">
        <v>104</v>
      </c>
      <c r="AJ21" s="82" t="s">
        <v>103</v>
      </c>
    </row>
    <row r="22" spans="1:36" ht="15" thickBot="1" x14ac:dyDescent="0.25">
      <c r="A22"/>
      <c r="D22" s="28"/>
      <c r="E22" s="28"/>
      <c r="F22" s="28"/>
      <c r="G22" s="28"/>
      <c r="H22" s="28"/>
      <c r="I22" s="28"/>
      <c r="J22" s="29">
        <f>SUM(J3:J21)</f>
        <v>0</v>
      </c>
      <c r="L22" s="26"/>
      <c r="V22" s="50"/>
      <c r="W22" s="51"/>
      <c r="X22" s="51"/>
      <c r="Y22" s="52"/>
      <c r="Z22" s="51"/>
      <c r="AA22" s="50"/>
      <c r="AB22" s="50"/>
      <c r="AC22" s="50"/>
      <c r="AD22" s="80" t="str">
        <f t="shared" si="2"/>
        <v>Repasse 9</v>
      </c>
      <c r="AE22" s="80">
        <v>9</v>
      </c>
      <c r="AH22" s="82" t="s">
        <v>107</v>
      </c>
      <c r="AI22" s="84" t="s">
        <v>59</v>
      </c>
      <c r="AJ22" s="82" t="s">
        <v>103</v>
      </c>
    </row>
    <row r="23" spans="1:36" ht="15" thickTop="1" x14ac:dyDescent="0.2">
      <c r="L23" s="26"/>
      <c r="V23" s="50"/>
      <c r="W23" s="51"/>
      <c r="X23" s="51"/>
      <c r="Y23" s="52"/>
      <c r="Z23" s="51"/>
      <c r="AA23" s="50"/>
      <c r="AB23" s="50"/>
      <c r="AC23" s="50"/>
      <c r="AD23" s="80" t="str">
        <f t="shared" si="2"/>
        <v>Repasse 10</v>
      </c>
      <c r="AE23" s="80">
        <v>10</v>
      </c>
      <c r="AH23" s="82" t="s">
        <v>30</v>
      </c>
      <c r="AI23" s="84" t="s">
        <v>72</v>
      </c>
      <c r="AJ23" s="82" t="s">
        <v>93</v>
      </c>
    </row>
    <row r="24" spans="1:36" x14ac:dyDescent="0.2">
      <c r="L24" s="26"/>
      <c r="V24" s="50"/>
      <c r="W24" s="51"/>
      <c r="X24" s="51"/>
      <c r="Y24" s="52"/>
      <c r="Z24" s="51"/>
      <c r="AA24" s="50"/>
      <c r="AB24" s="50"/>
      <c r="AC24" s="50"/>
      <c r="AD24" s="80" t="str">
        <f t="shared" si="2"/>
        <v>Repasse 11</v>
      </c>
      <c r="AE24" s="80">
        <v>11</v>
      </c>
      <c r="AH24" s="82" t="s">
        <v>54</v>
      </c>
      <c r="AI24" s="84" t="s">
        <v>55</v>
      </c>
      <c r="AJ24" s="82" t="s">
        <v>49</v>
      </c>
    </row>
    <row r="25" spans="1:36" x14ac:dyDescent="0.2">
      <c r="L25" s="26"/>
      <c r="V25" s="50"/>
      <c r="W25" s="51"/>
      <c r="X25" s="51"/>
      <c r="Y25" s="52"/>
      <c r="Z25" s="51"/>
      <c r="AA25" s="50"/>
      <c r="AB25" s="50"/>
      <c r="AC25" s="50"/>
      <c r="AD25" s="80" t="str">
        <f t="shared" si="2"/>
        <v>Repasse 12</v>
      </c>
      <c r="AE25" s="80">
        <v>12</v>
      </c>
      <c r="AH25" s="82" t="s">
        <v>28</v>
      </c>
      <c r="AI25" s="84" t="s">
        <v>59</v>
      </c>
      <c r="AJ25" s="82" t="s">
        <v>60</v>
      </c>
    </row>
    <row r="26" spans="1:36" x14ac:dyDescent="0.2">
      <c r="V26" s="50"/>
      <c r="W26" s="51"/>
      <c r="X26" s="51"/>
      <c r="Y26" s="52"/>
      <c r="Z26" s="51"/>
      <c r="AA26" s="50"/>
      <c r="AB26" s="50"/>
      <c r="AC26" s="50"/>
      <c r="AD26" s="80" t="str">
        <f t="shared" si="2"/>
        <v>Repasse 13</v>
      </c>
      <c r="AE26" s="80">
        <v>13</v>
      </c>
      <c r="AH26" s="82" t="s">
        <v>106</v>
      </c>
      <c r="AI26" s="84" t="s">
        <v>108</v>
      </c>
      <c r="AJ26" s="82" t="s">
        <v>49</v>
      </c>
    </row>
    <row r="27" spans="1:36" x14ac:dyDescent="0.2">
      <c r="A27"/>
      <c r="V27" s="50"/>
      <c r="W27" s="51"/>
      <c r="X27" s="51"/>
      <c r="Y27" s="52"/>
      <c r="Z27" s="51"/>
      <c r="AA27" s="50"/>
      <c r="AB27" s="50"/>
      <c r="AC27" s="50"/>
      <c r="AD27" s="80" t="str">
        <f t="shared" si="2"/>
        <v>Repasse 14</v>
      </c>
      <c r="AE27" s="80">
        <v>14</v>
      </c>
    </row>
    <row r="28" spans="1:36" x14ac:dyDescent="0.2">
      <c r="A28" s="4" t="s">
        <v>78</v>
      </c>
      <c r="B28" s="4" t="s">
        <v>79</v>
      </c>
      <c r="C28" s="4" t="s">
        <v>80</v>
      </c>
      <c r="D28" s="4" t="s">
        <v>81</v>
      </c>
      <c r="E28" s="4" t="s">
        <v>82</v>
      </c>
      <c r="F28" s="4" t="s">
        <v>83</v>
      </c>
      <c r="G28" s="4" t="s">
        <v>84</v>
      </c>
      <c r="H28" s="4" t="s">
        <v>85</v>
      </c>
      <c r="I28" s="4" t="s">
        <v>41</v>
      </c>
      <c r="J28" s="4" t="s">
        <v>109</v>
      </c>
      <c r="V28" s="50" t="s">
        <v>110</v>
      </c>
      <c r="W28" s="51" t="s">
        <v>110</v>
      </c>
      <c r="X28" s="51" t="s">
        <v>110</v>
      </c>
      <c r="Y28" s="52" t="s">
        <v>110</v>
      </c>
      <c r="Z28" s="51">
        <v>0</v>
      </c>
      <c r="AA28" s="50" t="s">
        <v>110</v>
      </c>
      <c r="AB28" s="50" t="s">
        <v>110</v>
      </c>
      <c r="AC28" s="50" t="s">
        <v>110</v>
      </c>
      <c r="AD28" s="80" t="str">
        <f t="shared" si="2"/>
        <v>Repasse 15</v>
      </c>
      <c r="AE28" s="80">
        <v>15</v>
      </c>
    </row>
    <row r="29" spans="1:36" x14ac:dyDescent="0.2">
      <c r="A29" s="30" t="s">
        <v>0</v>
      </c>
      <c r="B29" s="30" t="s">
        <v>111</v>
      </c>
      <c r="C29" s="31" t="s">
        <v>112</v>
      </c>
      <c r="D29" s="31" t="s">
        <v>113</v>
      </c>
      <c r="E29" s="32" t="s">
        <v>114</v>
      </c>
      <c r="F29" s="30" t="s">
        <v>115</v>
      </c>
      <c r="G29" s="30" t="s">
        <v>116</v>
      </c>
      <c r="H29" s="33" t="s">
        <v>117</v>
      </c>
      <c r="I29" s="30" t="s">
        <v>32</v>
      </c>
      <c r="J29" s="30" t="s">
        <v>118</v>
      </c>
      <c r="V29" s="50" t="s">
        <v>110</v>
      </c>
      <c r="W29" s="51" t="s">
        <v>110</v>
      </c>
      <c r="X29" s="51" t="s">
        <v>110</v>
      </c>
      <c r="Y29" s="52" t="s">
        <v>110</v>
      </c>
      <c r="Z29" s="51">
        <v>0</v>
      </c>
      <c r="AA29" s="50" t="s">
        <v>110</v>
      </c>
      <c r="AB29" s="50" t="s">
        <v>110</v>
      </c>
      <c r="AC29" s="50" t="s">
        <v>110</v>
      </c>
      <c r="AD29" s="80" t="str">
        <f t="shared" si="2"/>
        <v>Repasse 16</v>
      </c>
      <c r="AE29" s="80">
        <v>16</v>
      </c>
    </row>
    <row r="30" spans="1:36" x14ac:dyDescent="0.2">
      <c r="V30" s="50" t="s">
        <v>110</v>
      </c>
      <c r="W30" s="51" t="s">
        <v>110</v>
      </c>
      <c r="X30" s="51" t="s">
        <v>110</v>
      </c>
      <c r="Y30" s="52" t="s">
        <v>110</v>
      </c>
      <c r="Z30" s="51">
        <v>0</v>
      </c>
      <c r="AA30" s="50" t="s">
        <v>110</v>
      </c>
      <c r="AB30" s="50" t="s">
        <v>110</v>
      </c>
      <c r="AC30" s="50" t="s">
        <v>110</v>
      </c>
      <c r="AD30" s="80" t="str">
        <f t="shared" si="2"/>
        <v>Repasse 17</v>
      </c>
      <c r="AE30" s="80">
        <v>17</v>
      </c>
    </row>
    <row r="31" spans="1:36" x14ac:dyDescent="0.2">
      <c r="A31" s="34" t="s">
        <v>119</v>
      </c>
      <c r="B31" s="34" t="s">
        <v>120</v>
      </c>
      <c r="C31" s="35" t="s">
        <v>121</v>
      </c>
      <c r="D31" s="35" t="s">
        <v>122</v>
      </c>
      <c r="E31" s="35" t="s">
        <v>123</v>
      </c>
      <c r="F31" s="36" t="s">
        <v>124</v>
      </c>
      <c r="G31" s="36" t="s">
        <v>125</v>
      </c>
      <c r="H31" s="36" t="s">
        <v>13</v>
      </c>
      <c r="I31" s="34" t="s">
        <v>19</v>
      </c>
      <c r="J31" s="34" t="s">
        <v>126</v>
      </c>
      <c r="K31" s="34" t="s">
        <v>127</v>
      </c>
      <c r="L31" s="36" t="s">
        <v>128</v>
      </c>
      <c r="M31" s="36" t="s">
        <v>36</v>
      </c>
      <c r="N31" s="34" t="s">
        <v>32</v>
      </c>
      <c r="O31" s="37" t="s">
        <v>129</v>
      </c>
      <c r="P31" s="34" t="s">
        <v>18</v>
      </c>
      <c r="Q31" s="38" t="s">
        <v>11</v>
      </c>
      <c r="V31" s="50" t="s">
        <v>110</v>
      </c>
      <c r="W31" s="51" t="s">
        <v>110</v>
      </c>
      <c r="X31" s="51" t="s">
        <v>110</v>
      </c>
      <c r="Y31" s="52" t="s">
        <v>110</v>
      </c>
      <c r="Z31" s="51">
        <v>0</v>
      </c>
      <c r="AA31" s="50" t="s">
        <v>110</v>
      </c>
      <c r="AB31" s="50" t="s">
        <v>110</v>
      </c>
      <c r="AC31" s="50" t="s">
        <v>110</v>
      </c>
      <c r="AD31" s="80" t="str">
        <f t="shared" si="2"/>
        <v>Repasse 18</v>
      </c>
      <c r="AE31" s="80">
        <v>18</v>
      </c>
    </row>
    <row r="32" spans="1:36" x14ac:dyDescent="0.2">
      <c r="V32" s="50" t="s">
        <v>110</v>
      </c>
      <c r="W32" s="51" t="s">
        <v>110</v>
      </c>
      <c r="X32" s="51" t="s">
        <v>110</v>
      </c>
      <c r="Y32" s="52" t="s">
        <v>110</v>
      </c>
      <c r="Z32" s="51">
        <v>0</v>
      </c>
      <c r="AA32" s="50" t="s">
        <v>110</v>
      </c>
      <c r="AB32" s="50" t="s">
        <v>110</v>
      </c>
      <c r="AC32" s="50" t="s">
        <v>110</v>
      </c>
      <c r="AD32" s="80" t="str">
        <f t="shared" si="2"/>
        <v>Repasse 19</v>
      </c>
      <c r="AE32" s="80">
        <v>19</v>
      </c>
    </row>
    <row r="33" spans="22:31" x14ac:dyDescent="0.2">
      <c r="V33" s="50" t="s">
        <v>110</v>
      </c>
      <c r="W33" s="51" t="s">
        <v>110</v>
      </c>
      <c r="X33" s="51" t="s">
        <v>110</v>
      </c>
      <c r="Y33" s="52" t="s">
        <v>110</v>
      </c>
      <c r="Z33" s="51">
        <v>0</v>
      </c>
      <c r="AA33" s="50" t="s">
        <v>110</v>
      </c>
      <c r="AB33" s="50" t="s">
        <v>110</v>
      </c>
      <c r="AC33" s="50" t="s">
        <v>110</v>
      </c>
      <c r="AD33" s="80" t="str">
        <f t="shared" si="2"/>
        <v>Repasse 20</v>
      </c>
      <c r="AE33" s="80">
        <v>20</v>
      </c>
    </row>
    <row r="34" spans="22:31" x14ac:dyDescent="0.2">
      <c r="V34" s="50" t="s">
        <v>110</v>
      </c>
      <c r="W34" s="51" t="s">
        <v>110</v>
      </c>
      <c r="X34" s="51" t="s">
        <v>110</v>
      </c>
      <c r="Y34" s="52" t="s">
        <v>110</v>
      </c>
      <c r="Z34" s="51">
        <v>0</v>
      </c>
      <c r="AA34" s="50" t="s">
        <v>110</v>
      </c>
      <c r="AB34" s="50" t="s">
        <v>110</v>
      </c>
      <c r="AC34" s="50" t="s">
        <v>110</v>
      </c>
      <c r="AD34" s="80" t="str">
        <f t="shared" si="2"/>
        <v>Repasse 21</v>
      </c>
      <c r="AE34" s="80">
        <v>21</v>
      </c>
    </row>
    <row r="35" spans="22:31" x14ac:dyDescent="0.2">
      <c r="V35" s="50" t="s">
        <v>110</v>
      </c>
      <c r="W35" s="51" t="s">
        <v>110</v>
      </c>
      <c r="X35" s="51" t="s">
        <v>110</v>
      </c>
      <c r="Y35" s="52" t="s">
        <v>110</v>
      </c>
      <c r="Z35" s="51">
        <v>0</v>
      </c>
      <c r="AA35" s="50" t="s">
        <v>110</v>
      </c>
      <c r="AB35" s="50" t="s">
        <v>110</v>
      </c>
      <c r="AC35" s="50" t="s">
        <v>110</v>
      </c>
      <c r="AD35" s="80" t="str">
        <f t="shared" si="2"/>
        <v>Repasse 22</v>
      </c>
      <c r="AE35" s="80">
        <v>22</v>
      </c>
    </row>
    <row r="36" spans="22:31" x14ac:dyDescent="0.2">
      <c r="V36" s="50" t="s">
        <v>110</v>
      </c>
      <c r="W36" s="51" t="s">
        <v>110</v>
      </c>
      <c r="X36" s="51" t="s">
        <v>110</v>
      </c>
      <c r="Y36" s="52" t="s">
        <v>110</v>
      </c>
      <c r="Z36" s="51">
        <v>0</v>
      </c>
      <c r="AA36" s="50" t="s">
        <v>110</v>
      </c>
      <c r="AB36" s="50" t="s">
        <v>110</v>
      </c>
      <c r="AC36" s="50" t="s">
        <v>110</v>
      </c>
      <c r="AD36" s="80" t="str">
        <f t="shared" si="2"/>
        <v>Repasse 23</v>
      </c>
      <c r="AE36" s="80">
        <v>23</v>
      </c>
    </row>
    <row r="37" spans="22:31" x14ac:dyDescent="0.2">
      <c r="V37" s="50" t="s">
        <v>110</v>
      </c>
      <c r="W37" s="51" t="s">
        <v>110</v>
      </c>
      <c r="X37" s="51" t="s">
        <v>110</v>
      </c>
      <c r="Y37" s="52" t="s">
        <v>110</v>
      </c>
      <c r="Z37" s="51">
        <v>0</v>
      </c>
      <c r="AA37" s="50" t="s">
        <v>110</v>
      </c>
      <c r="AB37" s="50" t="s">
        <v>110</v>
      </c>
      <c r="AC37" s="50" t="s">
        <v>110</v>
      </c>
      <c r="AD37" s="80" t="str">
        <f t="shared" si="2"/>
        <v>Repasse 24</v>
      </c>
      <c r="AE37" s="80">
        <v>24</v>
      </c>
    </row>
    <row r="38" spans="22:31" x14ac:dyDescent="0.2">
      <c r="V38" s="50" t="s">
        <v>110</v>
      </c>
      <c r="W38" s="51" t="s">
        <v>110</v>
      </c>
      <c r="X38" s="51" t="s">
        <v>110</v>
      </c>
      <c r="Y38" s="52" t="s">
        <v>110</v>
      </c>
      <c r="Z38" s="51">
        <v>0</v>
      </c>
      <c r="AA38" s="50" t="s">
        <v>110</v>
      </c>
      <c r="AB38" s="50" t="s">
        <v>110</v>
      </c>
      <c r="AC38" s="50" t="s">
        <v>110</v>
      </c>
      <c r="AD38" s="80" t="str">
        <f t="shared" si="2"/>
        <v>Repasse 25</v>
      </c>
      <c r="AE38" s="80">
        <v>25</v>
      </c>
    </row>
    <row r="39" spans="22:31" x14ac:dyDescent="0.2">
      <c r="V39" s="50" t="s">
        <v>110</v>
      </c>
      <c r="W39" s="51" t="s">
        <v>110</v>
      </c>
      <c r="X39" s="51" t="s">
        <v>110</v>
      </c>
      <c r="Y39" s="52" t="s">
        <v>110</v>
      </c>
      <c r="Z39" s="51">
        <v>0</v>
      </c>
      <c r="AA39" s="50" t="s">
        <v>110</v>
      </c>
      <c r="AB39" s="50" t="s">
        <v>110</v>
      </c>
      <c r="AC39" s="50" t="s">
        <v>110</v>
      </c>
      <c r="AD39" s="80" t="str">
        <f t="shared" si="2"/>
        <v>Repasse 26</v>
      </c>
      <c r="AE39" s="80">
        <v>26</v>
      </c>
    </row>
    <row r="40" spans="22:31" x14ac:dyDescent="0.2">
      <c r="V40" s="50" t="s">
        <v>110</v>
      </c>
      <c r="W40" s="51" t="s">
        <v>110</v>
      </c>
      <c r="X40" s="51" t="s">
        <v>110</v>
      </c>
      <c r="Y40" s="52" t="s">
        <v>110</v>
      </c>
      <c r="Z40" s="51">
        <v>0</v>
      </c>
      <c r="AA40" s="50" t="s">
        <v>110</v>
      </c>
      <c r="AB40" s="50" t="s">
        <v>110</v>
      </c>
      <c r="AC40" s="50" t="s">
        <v>110</v>
      </c>
      <c r="AD40" s="80" t="str">
        <f t="shared" si="2"/>
        <v>Repasse 27</v>
      </c>
      <c r="AE40" s="80">
        <v>27</v>
      </c>
    </row>
    <row r="41" spans="22:31" x14ac:dyDescent="0.2">
      <c r="V41" s="50" t="s">
        <v>110</v>
      </c>
      <c r="W41" s="51" t="s">
        <v>110</v>
      </c>
      <c r="X41" s="51" t="s">
        <v>110</v>
      </c>
      <c r="Y41" s="52" t="s">
        <v>110</v>
      </c>
      <c r="Z41" s="51">
        <v>0</v>
      </c>
      <c r="AA41" s="50" t="s">
        <v>110</v>
      </c>
      <c r="AB41" s="50" t="s">
        <v>110</v>
      </c>
      <c r="AC41" s="50" t="s">
        <v>110</v>
      </c>
      <c r="AD41" s="80" t="str">
        <f t="shared" si="2"/>
        <v>Repasse 28</v>
      </c>
      <c r="AE41" s="80">
        <v>28</v>
      </c>
    </row>
    <row r="42" spans="22:31" x14ac:dyDescent="0.2">
      <c r="V42" s="50" t="s">
        <v>110</v>
      </c>
      <c r="W42" s="51" t="s">
        <v>110</v>
      </c>
      <c r="X42" s="51" t="s">
        <v>110</v>
      </c>
      <c r="Y42" s="52" t="s">
        <v>110</v>
      </c>
      <c r="Z42" s="51">
        <v>0</v>
      </c>
      <c r="AA42" s="50" t="s">
        <v>110</v>
      </c>
      <c r="AB42" s="50" t="s">
        <v>110</v>
      </c>
      <c r="AC42" s="50" t="s">
        <v>110</v>
      </c>
      <c r="AD42" s="80" t="str">
        <f t="shared" si="2"/>
        <v>Repasse 29</v>
      </c>
      <c r="AE42" s="80">
        <v>29</v>
      </c>
    </row>
    <row r="43" spans="22:31" x14ac:dyDescent="0.2">
      <c r="V43" s="50" t="s">
        <v>110</v>
      </c>
      <c r="W43" s="51" t="s">
        <v>110</v>
      </c>
      <c r="X43" s="51" t="s">
        <v>110</v>
      </c>
      <c r="Y43" s="52" t="s">
        <v>110</v>
      </c>
      <c r="Z43" s="51">
        <v>0</v>
      </c>
      <c r="AA43" s="50" t="s">
        <v>110</v>
      </c>
      <c r="AB43" s="50" t="s">
        <v>110</v>
      </c>
      <c r="AC43" s="50" t="s">
        <v>110</v>
      </c>
      <c r="AD43" s="80" t="str">
        <f t="shared" si="2"/>
        <v>Repasse 30</v>
      </c>
      <c r="AE43" s="80">
        <v>30</v>
      </c>
    </row>
    <row r="44" spans="22:31" x14ac:dyDescent="0.2">
      <c r="V44" s="50" t="s">
        <v>110</v>
      </c>
      <c r="W44" s="51" t="s">
        <v>110</v>
      </c>
      <c r="X44" s="51" t="s">
        <v>110</v>
      </c>
      <c r="Y44" s="52" t="s">
        <v>110</v>
      </c>
      <c r="Z44" s="51">
        <v>0</v>
      </c>
      <c r="AA44" s="50" t="s">
        <v>110</v>
      </c>
      <c r="AB44" s="50" t="s">
        <v>110</v>
      </c>
      <c r="AC44" s="50" t="s">
        <v>110</v>
      </c>
      <c r="AD44" s="80" t="str">
        <f t="shared" si="2"/>
        <v>Repasse 31</v>
      </c>
      <c r="AE44" s="80">
        <v>31</v>
      </c>
    </row>
    <row r="45" spans="22:31" x14ac:dyDescent="0.2">
      <c r="V45" s="50" t="s">
        <v>110</v>
      </c>
      <c r="W45" s="51" t="s">
        <v>110</v>
      </c>
      <c r="X45" s="51" t="s">
        <v>110</v>
      </c>
      <c r="Y45" s="52" t="s">
        <v>110</v>
      </c>
      <c r="Z45" s="51">
        <v>0</v>
      </c>
      <c r="AA45" s="50" t="s">
        <v>110</v>
      </c>
      <c r="AB45" s="50" t="s">
        <v>110</v>
      </c>
      <c r="AC45" s="50" t="s">
        <v>110</v>
      </c>
      <c r="AD45" s="80" t="str">
        <f t="shared" si="2"/>
        <v>Repasse 32</v>
      </c>
      <c r="AE45" s="80">
        <v>32</v>
      </c>
    </row>
    <row r="46" spans="22:31" x14ac:dyDescent="0.2">
      <c r="V46" s="50" t="s">
        <v>110</v>
      </c>
      <c r="W46" s="51" t="s">
        <v>110</v>
      </c>
      <c r="X46" s="51" t="s">
        <v>110</v>
      </c>
      <c r="Y46" s="52" t="s">
        <v>110</v>
      </c>
      <c r="Z46" s="51">
        <v>0</v>
      </c>
      <c r="AA46" s="50" t="s">
        <v>110</v>
      </c>
      <c r="AB46" s="50" t="s">
        <v>110</v>
      </c>
      <c r="AC46" s="50" t="s">
        <v>110</v>
      </c>
      <c r="AD46" s="80" t="str">
        <f t="shared" si="2"/>
        <v>Repasse 33</v>
      </c>
      <c r="AE46" s="80">
        <v>33</v>
      </c>
    </row>
    <row r="47" spans="22:31" x14ac:dyDescent="0.2">
      <c r="V47" s="50" t="s">
        <v>110</v>
      </c>
      <c r="W47" s="51" t="s">
        <v>110</v>
      </c>
      <c r="X47" s="51" t="s">
        <v>110</v>
      </c>
      <c r="Y47" s="52" t="s">
        <v>110</v>
      </c>
      <c r="Z47" s="51">
        <v>0</v>
      </c>
      <c r="AA47" s="50" t="s">
        <v>110</v>
      </c>
      <c r="AB47" s="50" t="s">
        <v>110</v>
      </c>
      <c r="AC47" s="50" t="s">
        <v>110</v>
      </c>
      <c r="AD47" s="80" t="str">
        <f t="shared" si="2"/>
        <v>Repasse 34</v>
      </c>
      <c r="AE47" s="80">
        <v>34</v>
      </c>
    </row>
    <row r="48" spans="22:31" x14ac:dyDescent="0.2">
      <c r="V48" s="50" t="s">
        <v>110</v>
      </c>
      <c r="W48" s="51" t="s">
        <v>110</v>
      </c>
      <c r="X48" s="51" t="s">
        <v>110</v>
      </c>
      <c r="Y48" s="52" t="s">
        <v>110</v>
      </c>
      <c r="Z48" s="51">
        <v>0</v>
      </c>
      <c r="AA48" s="50" t="s">
        <v>110</v>
      </c>
      <c r="AB48" s="50" t="s">
        <v>110</v>
      </c>
      <c r="AC48" s="50" t="s">
        <v>110</v>
      </c>
      <c r="AD48" s="80" t="str">
        <f t="shared" si="2"/>
        <v>Repasse 35</v>
      </c>
      <c r="AE48" s="80">
        <v>35</v>
      </c>
    </row>
    <row r="49" spans="22:31" x14ac:dyDescent="0.2">
      <c r="V49" s="50" t="s">
        <v>110</v>
      </c>
      <c r="W49" s="51" t="s">
        <v>110</v>
      </c>
      <c r="X49" s="51" t="s">
        <v>110</v>
      </c>
      <c r="Y49" s="52" t="s">
        <v>110</v>
      </c>
      <c r="Z49" s="51">
        <v>0</v>
      </c>
      <c r="AA49" s="50" t="s">
        <v>110</v>
      </c>
      <c r="AB49" s="50" t="s">
        <v>110</v>
      </c>
      <c r="AC49" s="50" t="s">
        <v>110</v>
      </c>
      <c r="AD49" s="80" t="str">
        <f t="shared" si="2"/>
        <v>Repasse 36</v>
      </c>
      <c r="AE49" s="80">
        <v>36</v>
      </c>
    </row>
    <row r="50" spans="22:31" x14ac:dyDescent="0.2">
      <c r="V50" s="50" t="s">
        <v>110</v>
      </c>
      <c r="W50" s="51" t="s">
        <v>110</v>
      </c>
      <c r="X50" s="51" t="s">
        <v>110</v>
      </c>
      <c r="Y50" s="52" t="s">
        <v>110</v>
      </c>
      <c r="Z50" s="51">
        <v>0</v>
      </c>
      <c r="AA50" s="50" t="s">
        <v>110</v>
      </c>
      <c r="AB50" s="50" t="s">
        <v>110</v>
      </c>
      <c r="AC50" s="50" t="s">
        <v>110</v>
      </c>
      <c r="AD50" s="80" t="str">
        <f t="shared" si="2"/>
        <v>Repasse 37</v>
      </c>
      <c r="AE50" s="80">
        <v>37</v>
      </c>
    </row>
    <row r="51" spans="22:31" x14ac:dyDescent="0.2">
      <c r="V51" s="50" t="s">
        <v>110</v>
      </c>
      <c r="W51" s="51" t="s">
        <v>110</v>
      </c>
      <c r="X51" s="51" t="s">
        <v>110</v>
      </c>
      <c r="Y51" s="52" t="s">
        <v>110</v>
      </c>
      <c r="Z51" s="51">
        <v>0</v>
      </c>
      <c r="AA51" s="50" t="s">
        <v>110</v>
      </c>
      <c r="AB51" s="50" t="s">
        <v>110</v>
      </c>
      <c r="AC51" s="50"/>
      <c r="AD51" s="80" t="str">
        <f t="shared" si="2"/>
        <v>Repasse 38</v>
      </c>
      <c r="AE51" s="80">
        <v>38</v>
      </c>
    </row>
    <row r="52" spans="22:31" x14ac:dyDescent="0.2">
      <c r="V52" s="50" t="s">
        <v>110</v>
      </c>
      <c r="W52" s="51" t="s">
        <v>110</v>
      </c>
      <c r="X52" s="51" t="s">
        <v>110</v>
      </c>
      <c r="Y52" s="52" t="s">
        <v>110</v>
      </c>
      <c r="Z52" s="51">
        <v>0</v>
      </c>
      <c r="AA52" s="50" t="s">
        <v>110</v>
      </c>
      <c r="AB52" s="50" t="s">
        <v>110</v>
      </c>
      <c r="AC52" s="50" t="s">
        <v>110</v>
      </c>
      <c r="AD52" s="80" t="str">
        <f t="shared" si="2"/>
        <v>Repasse 39</v>
      </c>
      <c r="AE52" s="80">
        <v>39</v>
      </c>
    </row>
    <row r="53" spans="22:31" x14ac:dyDescent="0.2">
      <c r="V53" s="50" t="s">
        <v>110</v>
      </c>
      <c r="W53" s="51" t="s">
        <v>110</v>
      </c>
      <c r="X53" s="51" t="s">
        <v>110</v>
      </c>
      <c r="Y53" s="52" t="s">
        <v>110</v>
      </c>
      <c r="Z53" s="51">
        <v>0</v>
      </c>
      <c r="AA53" s="50" t="s">
        <v>110</v>
      </c>
      <c r="AB53" s="50" t="s">
        <v>110</v>
      </c>
      <c r="AC53" s="50" t="s">
        <v>110</v>
      </c>
      <c r="AD53" s="80" t="str">
        <f t="shared" si="2"/>
        <v>Repasse 40</v>
      </c>
      <c r="AE53" s="80">
        <v>40</v>
      </c>
    </row>
    <row r="54" spans="22:31" x14ac:dyDescent="0.2">
      <c r="V54" s="50" t="s">
        <v>110</v>
      </c>
      <c r="W54" s="51" t="s">
        <v>110</v>
      </c>
      <c r="X54" s="51" t="s">
        <v>110</v>
      </c>
      <c r="Y54" s="52" t="s">
        <v>110</v>
      </c>
      <c r="Z54" s="51">
        <v>0</v>
      </c>
      <c r="AA54" s="50" t="s">
        <v>110</v>
      </c>
      <c r="AB54" s="50" t="s">
        <v>110</v>
      </c>
      <c r="AC54" s="50" t="s">
        <v>110</v>
      </c>
      <c r="AD54" s="80" t="str">
        <f t="shared" si="2"/>
        <v>Repasse 41</v>
      </c>
      <c r="AE54" s="80">
        <v>41</v>
      </c>
    </row>
    <row r="55" spans="22:31" x14ac:dyDescent="0.2">
      <c r="V55" s="50" t="s">
        <v>110</v>
      </c>
      <c r="W55" s="51" t="s">
        <v>110</v>
      </c>
      <c r="X55" s="51" t="s">
        <v>110</v>
      </c>
      <c r="Y55" s="52" t="s">
        <v>110</v>
      </c>
      <c r="Z55" s="51">
        <v>0</v>
      </c>
      <c r="AA55" s="50" t="s">
        <v>110</v>
      </c>
      <c r="AB55" s="50" t="s">
        <v>110</v>
      </c>
      <c r="AC55" s="50" t="s">
        <v>110</v>
      </c>
      <c r="AD55" s="80" t="str">
        <f t="shared" si="2"/>
        <v>Repasse 42</v>
      </c>
      <c r="AE55" s="80">
        <v>42</v>
      </c>
    </row>
    <row r="56" spans="22:31" x14ac:dyDescent="0.2">
      <c r="V56" s="50" t="s">
        <v>110</v>
      </c>
      <c r="W56" s="51" t="s">
        <v>110</v>
      </c>
      <c r="X56" s="51" t="s">
        <v>110</v>
      </c>
      <c r="Y56" s="52" t="s">
        <v>110</v>
      </c>
      <c r="Z56" s="51">
        <v>0</v>
      </c>
      <c r="AA56" s="50" t="s">
        <v>110</v>
      </c>
      <c r="AB56" s="50" t="s">
        <v>110</v>
      </c>
      <c r="AC56" s="50" t="s">
        <v>110</v>
      </c>
      <c r="AD56" s="80" t="str">
        <f t="shared" si="2"/>
        <v>Repasse 43</v>
      </c>
      <c r="AE56" s="80">
        <v>43</v>
      </c>
    </row>
    <row r="57" spans="22:31" x14ac:dyDescent="0.2">
      <c r="V57" s="50" t="s">
        <v>110</v>
      </c>
      <c r="W57" s="51" t="s">
        <v>110</v>
      </c>
      <c r="X57" s="51" t="s">
        <v>110</v>
      </c>
      <c r="Y57" s="52" t="s">
        <v>110</v>
      </c>
      <c r="Z57" s="51">
        <v>0</v>
      </c>
      <c r="AA57" s="50" t="s">
        <v>110</v>
      </c>
      <c r="AB57" s="50" t="s">
        <v>110</v>
      </c>
      <c r="AC57" s="50" t="s">
        <v>110</v>
      </c>
      <c r="AD57" s="80" t="str">
        <f t="shared" si="2"/>
        <v>Repasse 44</v>
      </c>
      <c r="AE57" s="80">
        <v>44</v>
      </c>
    </row>
    <row r="58" spans="22:31" x14ac:dyDescent="0.2">
      <c r="V58" s="50" t="s">
        <v>110</v>
      </c>
      <c r="W58" s="51" t="s">
        <v>110</v>
      </c>
      <c r="X58" s="51" t="s">
        <v>110</v>
      </c>
      <c r="Y58" s="52" t="s">
        <v>110</v>
      </c>
      <c r="Z58" s="51">
        <v>0</v>
      </c>
      <c r="AA58" s="50" t="s">
        <v>110</v>
      </c>
      <c r="AB58" s="50" t="s">
        <v>110</v>
      </c>
      <c r="AC58" s="50" t="s">
        <v>110</v>
      </c>
      <c r="AD58" s="80" t="str">
        <f t="shared" si="2"/>
        <v>Repasse 45</v>
      </c>
      <c r="AE58" s="80">
        <v>45</v>
      </c>
    </row>
    <row r="59" spans="22:31" x14ac:dyDescent="0.2">
      <c r="V59" s="50" t="s">
        <v>110</v>
      </c>
      <c r="W59" s="51" t="s">
        <v>110</v>
      </c>
      <c r="X59" s="51" t="s">
        <v>110</v>
      </c>
      <c r="Y59" s="52" t="s">
        <v>110</v>
      </c>
      <c r="Z59" s="51">
        <v>0</v>
      </c>
      <c r="AA59" s="50" t="s">
        <v>110</v>
      </c>
      <c r="AB59" s="50" t="s">
        <v>110</v>
      </c>
      <c r="AC59" s="50" t="s">
        <v>110</v>
      </c>
      <c r="AD59" s="80" t="str">
        <f t="shared" si="2"/>
        <v>Repasse 46</v>
      </c>
      <c r="AE59" s="80">
        <v>46</v>
      </c>
    </row>
    <row r="60" spans="22:31" x14ac:dyDescent="0.2">
      <c r="V60" s="50" t="s">
        <v>110</v>
      </c>
      <c r="W60" s="51" t="s">
        <v>110</v>
      </c>
      <c r="X60" s="51" t="s">
        <v>110</v>
      </c>
      <c r="Y60" s="52" t="s">
        <v>110</v>
      </c>
      <c r="Z60" s="51">
        <v>0</v>
      </c>
      <c r="AA60" s="50" t="s">
        <v>110</v>
      </c>
      <c r="AB60" s="50" t="s">
        <v>110</v>
      </c>
      <c r="AC60" s="50" t="s">
        <v>110</v>
      </c>
      <c r="AD60" s="80" t="str">
        <f t="shared" si="2"/>
        <v>Repasse 47</v>
      </c>
      <c r="AE60" s="80">
        <v>47</v>
      </c>
    </row>
    <row r="61" spans="22:31" x14ac:dyDescent="0.2">
      <c r="V61" s="50" t="s">
        <v>110</v>
      </c>
      <c r="W61" s="51" t="s">
        <v>110</v>
      </c>
      <c r="X61" s="51" t="s">
        <v>110</v>
      </c>
      <c r="Y61" s="52" t="s">
        <v>110</v>
      </c>
      <c r="Z61" s="51">
        <v>0</v>
      </c>
      <c r="AA61" s="50" t="s">
        <v>110</v>
      </c>
      <c r="AB61" s="50" t="s">
        <v>110</v>
      </c>
      <c r="AC61" s="50" t="s">
        <v>110</v>
      </c>
      <c r="AD61" s="80" t="str">
        <f t="shared" si="2"/>
        <v>Repasse 48</v>
      </c>
      <c r="AE61" s="80">
        <v>48</v>
      </c>
    </row>
    <row r="62" spans="22:31" x14ac:dyDescent="0.2">
      <c r="V62" s="50" t="s">
        <v>110</v>
      </c>
      <c r="W62" s="51" t="s">
        <v>110</v>
      </c>
      <c r="X62" s="51" t="s">
        <v>110</v>
      </c>
      <c r="Y62" s="52" t="s">
        <v>110</v>
      </c>
      <c r="Z62" s="51">
        <v>0</v>
      </c>
      <c r="AA62" s="50" t="s">
        <v>110</v>
      </c>
      <c r="AB62" s="50" t="s">
        <v>110</v>
      </c>
      <c r="AC62" s="50" t="s">
        <v>110</v>
      </c>
      <c r="AD62" s="80" t="str">
        <f t="shared" si="2"/>
        <v>Repasse 49</v>
      </c>
      <c r="AE62" s="80">
        <v>49</v>
      </c>
    </row>
    <row r="63" spans="22:31" x14ac:dyDescent="0.2">
      <c r="V63" s="50" t="s">
        <v>110</v>
      </c>
      <c r="W63" s="51" t="s">
        <v>110</v>
      </c>
      <c r="X63" s="51" t="s">
        <v>110</v>
      </c>
      <c r="Y63" s="52" t="s">
        <v>110</v>
      </c>
      <c r="Z63" s="51">
        <v>0</v>
      </c>
      <c r="AA63" s="50" t="s">
        <v>110</v>
      </c>
      <c r="AB63" s="50" t="s">
        <v>110</v>
      </c>
      <c r="AC63" s="50" t="s">
        <v>110</v>
      </c>
      <c r="AD63" s="80" t="str">
        <f t="shared" si="2"/>
        <v>Repasse 50</v>
      </c>
      <c r="AE63" s="80">
        <v>50</v>
      </c>
    </row>
    <row r="64" spans="22:31" x14ac:dyDescent="0.2">
      <c r="V64" s="50" t="s">
        <v>110</v>
      </c>
      <c r="W64" s="51" t="s">
        <v>110</v>
      </c>
      <c r="X64" s="51" t="s">
        <v>110</v>
      </c>
      <c r="Y64" s="52" t="s">
        <v>110</v>
      </c>
      <c r="Z64" s="51">
        <v>0</v>
      </c>
      <c r="AA64" s="50" t="s">
        <v>110</v>
      </c>
      <c r="AB64" s="50" t="s">
        <v>110</v>
      </c>
      <c r="AC64" s="50" t="s">
        <v>110</v>
      </c>
      <c r="AD64" s="80" t="str">
        <f t="shared" si="2"/>
        <v>Repasse 51</v>
      </c>
      <c r="AE64" s="80">
        <v>51</v>
      </c>
    </row>
    <row r="65" spans="22:31" x14ac:dyDescent="0.2">
      <c r="V65" s="50" t="s">
        <v>110</v>
      </c>
      <c r="W65" s="51" t="s">
        <v>110</v>
      </c>
      <c r="X65" s="51" t="s">
        <v>110</v>
      </c>
      <c r="Y65" s="52" t="s">
        <v>110</v>
      </c>
      <c r="Z65" s="51">
        <v>0</v>
      </c>
      <c r="AA65" s="50" t="s">
        <v>110</v>
      </c>
      <c r="AB65" s="50" t="s">
        <v>110</v>
      </c>
      <c r="AC65" s="50" t="s">
        <v>110</v>
      </c>
      <c r="AD65" s="80" t="str">
        <f t="shared" si="2"/>
        <v>Repasse 52</v>
      </c>
      <c r="AE65" s="80">
        <v>52</v>
      </c>
    </row>
    <row r="66" spans="22:31" x14ac:dyDescent="0.2">
      <c r="V66" s="50" t="s">
        <v>110</v>
      </c>
      <c r="W66" s="51" t="s">
        <v>110</v>
      </c>
      <c r="X66" s="51" t="s">
        <v>110</v>
      </c>
      <c r="Y66" s="52" t="s">
        <v>110</v>
      </c>
      <c r="Z66" s="51">
        <v>0</v>
      </c>
      <c r="AA66" s="50" t="s">
        <v>110</v>
      </c>
      <c r="AB66" s="50" t="s">
        <v>110</v>
      </c>
      <c r="AC66" s="50" t="s">
        <v>110</v>
      </c>
      <c r="AD66" s="80" t="str">
        <f t="shared" si="2"/>
        <v>Repasse 53</v>
      </c>
      <c r="AE66" s="80">
        <v>53</v>
      </c>
    </row>
    <row r="67" spans="22:31" x14ac:dyDescent="0.2">
      <c r="V67" s="50" t="s">
        <v>110</v>
      </c>
      <c r="W67" s="51" t="s">
        <v>110</v>
      </c>
      <c r="X67" s="51" t="s">
        <v>110</v>
      </c>
      <c r="Y67" s="52" t="s">
        <v>110</v>
      </c>
      <c r="Z67" s="51">
        <v>0</v>
      </c>
      <c r="AA67" s="50" t="s">
        <v>110</v>
      </c>
      <c r="AB67" s="50" t="s">
        <v>110</v>
      </c>
      <c r="AC67" s="50" t="s">
        <v>110</v>
      </c>
      <c r="AD67" s="80" t="str">
        <f t="shared" si="2"/>
        <v>Repasse 54</v>
      </c>
      <c r="AE67" s="80">
        <v>54</v>
      </c>
    </row>
    <row r="68" spans="22:31" x14ac:dyDescent="0.2">
      <c r="V68" s="50" t="s">
        <v>110</v>
      </c>
      <c r="W68" s="51" t="s">
        <v>110</v>
      </c>
      <c r="X68" s="51" t="s">
        <v>110</v>
      </c>
      <c r="Y68" s="52" t="s">
        <v>110</v>
      </c>
      <c r="Z68" s="51">
        <v>0</v>
      </c>
      <c r="AA68" s="50" t="s">
        <v>110</v>
      </c>
      <c r="AB68" s="50" t="s">
        <v>110</v>
      </c>
      <c r="AC68" s="50" t="s">
        <v>110</v>
      </c>
      <c r="AD68" s="80" t="str">
        <f t="shared" si="2"/>
        <v>Repasse 55</v>
      </c>
      <c r="AE68" s="80">
        <v>55</v>
      </c>
    </row>
    <row r="69" spans="22:31" x14ac:dyDescent="0.2">
      <c r="V69" s="50" t="s">
        <v>110</v>
      </c>
      <c r="W69" s="51" t="s">
        <v>110</v>
      </c>
      <c r="X69" s="51" t="s">
        <v>110</v>
      </c>
      <c r="Y69" s="52" t="s">
        <v>110</v>
      </c>
      <c r="Z69" s="51">
        <v>0</v>
      </c>
      <c r="AA69" s="50" t="s">
        <v>110</v>
      </c>
      <c r="AB69" s="50" t="s">
        <v>110</v>
      </c>
      <c r="AC69" s="50" t="s">
        <v>110</v>
      </c>
      <c r="AD69" s="80" t="str">
        <f t="shared" si="2"/>
        <v>Repasse 56</v>
      </c>
      <c r="AE69" s="80">
        <v>56</v>
      </c>
    </row>
    <row r="70" spans="22:31" x14ac:dyDescent="0.2">
      <c r="V70" s="50" t="s">
        <v>110</v>
      </c>
      <c r="W70" s="51" t="s">
        <v>110</v>
      </c>
      <c r="X70" s="51" t="s">
        <v>110</v>
      </c>
      <c r="Y70" s="52" t="s">
        <v>110</v>
      </c>
      <c r="Z70" s="51">
        <v>0</v>
      </c>
      <c r="AA70" s="50" t="s">
        <v>110</v>
      </c>
      <c r="AB70" s="50" t="s">
        <v>110</v>
      </c>
      <c r="AC70" s="50" t="s">
        <v>110</v>
      </c>
      <c r="AD70" s="80" t="str">
        <f t="shared" si="2"/>
        <v>Repasse 57</v>
      </c>
      <c r="AE70" s="80">
        <v>57</v>
      </c>
    </row>
    <row r="71" spans="22:31" x14ac:dyDescent="0.2">
      <c r="V71" s="50" t="s">
        <v>110</v>
      </c>
      <c r="W71" s="51" t="s">
        <v>110</v>
      </c>
      <c r="X71" s="51" t="s">
        <v>110</v>
      </c>
      <c r="Y71" s="52" t="s">
        <v>110</v>
      </c>
      <c r="Z71" s="51">
        <v>0</v>
      </c>
      <c r="AA71" s="50" t="s">
        <v>110</v>
      </c>
      <c r="AB71" s="50" t="s">
        <v>110</v>
      </c>
      <c r="AC71" s="50" t="s">
        <v>110</v>
      </c>
      <c r="AD71" s="80" t="str">
        <f t="shared" si="2"/>
        <v>Repasse 58</v>
      </c>
      <c r="AE71" s="80">
        <v>58</v>
      </c>
    </row>
    <row r="72" spans="22:31" x14ac:dyDescent="0.2">
      <c r="V72" s="50" t="s">
        <v>110</v>
      </c>
      <c r="W72" s="51" t="s">
        <v>110</v>
      </c>
      <c r="X72" s="51" t="s">
        <v>110</v>
      </c>
      <c r="Y72" s="52" t="s">
        <v>110</v>
      </c>
      <c r="Z72" s="51">
        <v>0</v>
      </c>
      <c r="AA72" s="50" t="s">
        <v>110</v>
      </c>
      <c r="AB72" s="50" t="s">
        <v>110</v>
      </c>
      <c r="AC72" s="50" t="s">
        <v>110</v>
      </c>
      <c r="AD72" s="80" t="str">
        <f t="shared" si="2"/>
        <v>Repasse 59</v>
      </c>
      <c r="AE72" s="80">
        <v>59</v>
      </c>
    </row>
    <row r="73" spans="22:31" x14ac:dyDescent="0.2">
      <c r="V73" s="50" t="s">
        <v>110</v>
      </c>
      <c r="W73" s="51" t="s">
        <v>110</v>
      </c>
      <c r="X73" s="51" t="s">
        <v>110</v>
      </c>
      <c r="Y73" s="52" t="s">
        <v>110</v>
      </c>
      <c r="Z73" s="51">
        <v>0</v>
      </c>
      <c r="AA73" s="50" t="s">
        <v>110</v>
      </c>
      <c r="AB73" s="50" t="s">
        <v>110</v>
      </c>
      <c r="AC73" s="50" t="s">
        <v>110</v>
      </c>
      <c r="AD73" s="80" t="str">
        <f t="shared" si="2"/>
        <v>Repasse 60</v>
      </c>
      <c r="AE73" s="80">
        <v>60</v>
      </c>
    </row>
    <row r="74" spans="22:31" x14ac:dyDescent="0.2">
      <c r="V74" s="50" t="s">
        <v>110</v>
      </c>
      <c r="W74" s="51" t="s">
        <v>110</v>
      </c>
      <c r="X74" s="51" t="s">
        <v>110</v>
      </c>
      <c r="Y74" s="52" t="s">
        <v>110</v>
      </c>
      <c r="Z74" s="51">
        <v>0</v>
      </c>
      <c r="AA74" s="50" t="s">
        <v>110</v>
      </c>
      <c r="AB74" s="50" t="s">
        <v>110</v>
      </c>
      <c r="AC74" s="50" t="s">
        <v>110</v>
      </c>
      <c r="AD74" s="80" t="str">
        <f t="shared" si="2"/>
        <v>Repasse 61</v>
      </c>
      <c r="AE74" s="80">
        <v>61</v>
      </c>
    </row>
    <row r="75" spans="22:31" x14ac:dyDescent="0.2">
      <c r="V75" s="50" t="s">
        <v>110</v>
      </c>
      <c r="W75" s="51" t="s">
        <v>110</v>
      </c>
      <c r="X75" s="51" t="s">
        <v>110</v>
      </c>
      <c r="Y75" s="52" t="s">
        <v>110</v>
      </c>
      <c r="Z75" s="51">
        <v>0</v>
      </c>
      <c r="AA75" s="50" t="s">
        <v>110</v>
      </c>
      <c r="AB75" s="50" t="s">
        <v>110</v>
      </c>
      <c r="AC75" s="50" t="s">
        <v>110</v>
      </c>
      <c r="AD75" s="80" t="str">
        <f t="shared" si="2"/>
        <v>Repasse 62</v>
      </c>
      <c r="AE75" s="80">
        <v>62</v>
      </c>
    </row>
    <row r="76" spans="22:31" x14ac:dyDescent="0.2">
      <c r="V76" s="50" t="s">
        <v>110</v>
      </c>
      <c r="W76" s="51" t="s">
        <v>110</v>
      </c>
      <c r="X76" s="51" t="s">
        <v>110</v>
      </c>
      <c r="Y76" s="52" t="s">
        <v>110</v>
      </c>
      <c r="Z76" s="51">
        <v>0</v>
      </c>
      <c r="AA76" s="50" t="s">
        <v>110</v>
      </c>
      <c r="AB76" s="50" t="s">
        <v>110</v>
      </c>
      <c r="AC76" s="50" t="s">
        <v>110</v>
      </c>
      <c r="AD76" s="80" t="str">
        <f t="shared" si="2"/>
        <v>Repasse 63</v>
      </c>
      <c r="AE76" s="80">
        <v>63</v>
      </c>
    </row>
    <row r="77" spans="22:31" x14ac:dyDescent="0.2">
      <c r="V77" s="50" t="s">
        <v>110</v>
      </c>
      <c r="W77" s="51" t="s">
        <v>110</v>
      </c>
      <c r="X77" s="51" t="s">
        <v>110</v>
      </c>
      <c r="Y77" s="52" t="s">
        <v>110</v>
      </c>
      <c r="Z77" s="51">
        <v>0</v>
      </c>
      <c r="AA77" s="50" t="s">
        <v>110</v>
      </c>
      <c r="AB77" s="50" t="s">
        <v>110</v>
      </c>
      <c r="AC77" s="50" t="s">
        <v>110</v>
      </c>
      <c r="AD77" s="80" t="str">
        <f t="shared" si="2"/>
        <v>Repasse 64</v>
      </c>
      <c r="AE77" s="80">
        <v>64</v>
      </c>
    </row>
    <row r="78" spans="22:31" x14ac:dyDescent="0.2">
      <c r="V78" s="50" t="s">
        <v>110</v>
      </c>
      <c r="W78" s="51" t="s">
        <v>110</v>
      </c>
      <c r="X78" s="51" t="s">
        <v>110</v>
      </c>
      <c r="Y78" s="52" t="s">
        <v>110</v>
      </c>
      <c r="Z78" s="51">
        <v>0</v>
      </c>
      <c r="AA78" s="50" t="s">
        <v>110</v>
      </c>
      <c r="AB78" s="50" t="s">
        <v>110</v>
      </c>
      <c r="AC78" s="50" t="s">
        <v>110</v>
      </c>
      <c r="AD78" s="80" t="str">
        <f t="shared" si="2"/>
        <v>Repasse 65</v>
      </c>
      <c r="AE78" s="80">
        <v>65</v>
      </c>
    </row>
    <row r="79" spans="22:31" x14ac:dyDescent="0.2">
      <c r="V79" s="50" t="s">
        <v>110</v>
      </c>
      <c r="W79" s="51" t="s">
        <v>110</v>
      </c>
      <c r="X79" s="51" t="s">
        <v>110</v>
      </c>
      <c r="Y79" s="52" t="s">
        <v>110</v>
      </c>
      <c r="Z79" s="51">
        <v>0</v>
      </c>
      <c r="AA79" s="50" t="s">
        <v>110</v>
      </c>
      <c r="AB79" s="50" t="s">
        <v>110</v>
      </c>
      <c r="AC79" s="50" t="s">
        <v>110</v>
      </c>
      <c r="AD79" s="80" t="str">
        <f t="shared" ref="AD79:AD142" si="3">$D$9 &amp; " " &amp; AE79</f>
        <v>Repasse 66</v>
      </c>
      <c r="AE79" s="80">
        <v>66</v>
      </c>
    </row>
    <row r="80" spans="22:31" x14ac:dyDescent="0.2">
      <c r="V80" s="50" t="s">
        <v>110</v>
      </c>
      <c r="W80" s="51" t="s">
        <v>110</v>
      </c>
      <c r="X80" s="51" t="s">
        <v>110</v>
      </c>
      <c r="Y80" s="52" t="s">
        <v>110</v>
      </c>
      <c r="Z80" s="51">
        <v>0</v>
      </c>
      <c r="AA80" s="50" t="s">
        <v>110</v>
      </c>
      <c r="AB80" s="50" t="s">
        <v>110</v>
      </c>
      <c r="AC80" s="50" t="s">
        <v>110</v>
      </c>
      <c r="AD80" s="80" t="str">
        <f t="shared" si="3"/>
        <v>Repasse 67</v>
      </c>
      <c r="AE80" s="80">
        <v>67</v>
      </c>
    </row>
    <row r="81" spans="22:31" x14ac:dyDescent="0.2">
      <c r="V81" s="50" t="s">
        <v>110</v>
      </c>
      <c r="W81" s="51" t="s">
        <v>110</v>
      </c>
      <c r="X81" s="51" t="s">
        <v>110</v>
      </c>
      <c r="Y81" s="52" t="s">
        <v>110</v>
      </c>
      <c r="Z81" s="51">
        <v>0</v>
      </c>
      <c r="AA81" s="50" t="s">
        <v>110</v>
      </c>
      <c r="AB81" s="50" t="s">
        <v>110</v>
      </c>
      <c r="AC81" s="50" t="s">
        <v>110</v>
      </c>
      <c r="AD81" s="80" t="str">
        <f t="shared" si="3"/>
        <v>Repasse 68</v>
      </c>
      <c r="AE81" s="80">
        <v>68</v>
      </c>
    </row>
    <row r="82" spans="22:31" x14ac:dyDescent="0.2">
      <c r="V82" s="50" t="s">
        <v>110</v>
      </c>
      <c r="W82" s="51" t="s">
        <v>110</v>
      </c>
      <c r="X82" s="51" t="s">
        <v>110</v>
      </c>
      <c r="Y82" s="52" t="s">
        <v>110</v>
      </c>
      <c r="Z82" s="51">
        <v>0</v>
      </c>
      <c r="AA82" s="50" t="s">
        <v>110</v>
      </c>
      <c r="AB82" s="50" t="s">
        <v>110</v>
      </c>
      <c r="AC82" s="50" t="s">
        <v>110</v>
      </c>
      <c r="AD82" s="80" t="str">
        <f t="shared" si="3"/>
        <v>Repasse 69</v>
      </c>
      <c r="AE82" s="80">
        <v>69</v>
      </c>
    </row>
    <row r="83" spans="22:31" x14ac:dyDescent="0.2">
      <c r="V83" s="50" t="s">
        <v>110</v>
      </c>
      <c r="W83" s="51" t="s">
        <v>110</v>
      </c>
      <c r="X83" s="51" t="s">
        <v>110</v>
      </c>
      <c r="Y83" s="52" t="s">
        <v>110</v>
      </c>
      <c r="Z83" s="51">
        <v>0</v>
      </c>
      <c r="AA83" s="50" t="s">
        <v>110</v>
      </c>
      <c r="AB83" s="50" t="s">
        <v>110</v>
      </c>
      <c r="AC83" s="50" t="s">
        <v>110</v>
      </c>
      <c r="AD83" s="80" t="str">
        <f t="shared" si="3"/>
        <v>Repasse 70</v>
      </c>
      <c r="AE83" s="80">
        <v>70</v>
      </c>
    </row>
    <row r="84" spans="22:31" x14ac:dyDescent="0.2">
      <c r="V84" s="50" t="s">
        <v>110</v>
      </c>
      <c r="W84" s="51" t="s">
        <v>110</v>
      </c>
      <c r="X84" s="51" t="s">
        <v>110</v>
      </c>
      <c r="Y84" s="52" t="s">
        <v>110</v>
      </c>
      <c r="Z84" s="51">
        <v>0</v>
      </c>
      <c r="AA84" s="50" t="s">
        <v>110</v>
      </c>
      <c r="AB84" s="50" t="s">
        <v>110</v>
      </c>
      <c r="AC84" s="50" t="s">
        <v>110</v>
      </c>
      <c r="AD84" s="80" t="str">
        <f t="shared" si="3"/>
        <v>Repasse 71</v>
      </c>
      <c r="AE84" s="80">
        <v>71</v>
      </c>
    </row>
    <row r="85" spans="22:31" x14ac:dyDescent="0.2">
      <c r="V85" s="50" t="s">
        <v>110</v>
      </c>
      <c r="W85" s="51" t="s">
        <v>110</v>
      </c>
      <c r="X85" s="51" t="s">
        <v>110</v>
      </c>
      <c r="Y85" s="52" t="s">
        <v>110</v>
      </c>
      <c r="Z85" s="51">
        <v>0</v>
      </c>
      <c r="AA85" s="50" t="s">
        <v>110</v>
      </c>
      <c r="AB85" s="50" t="s">
        <v>110</v>
      </c>
      <c r="AC85" s="50" t="s">
        <v>110</v>
      </c>
      <c r="AD85" s="80" t="str">
        <f t="shared" si="3"/>
        <v>Repasse 72</v>
      </c>
      <c r="AE85" s="80">
        <v>72</v>
      </c>
    </row>
    <row r="86" spans="22:31" x14ac:dyDescent="0.2">
      <c r="V86" s="50" t="s">
        <v>110</v>
      </c>
      <c r="W86" s="51" t="s">
        <v>110</v>
      </c>
      <c r="X86" s="51" t="s">
        <v>110</v>
      </c>
      <c r="Y86" s="52" t="s">
        <v>110</v>
      </c>
      <c r="Z86" s="51">
        <v>0</v>
      </c>
      <c r="AA86" s="50" t="s">
        <v>110</v>
      </c>
      <c r="AB86" s="50" t="s">
        <v>110</v>
      </c>
      <c r="AC86" s="50" t="s">
        <v>110</v>
      </c>
      <c r="AD86" s="80" t="str">
        <f t="shared" si="3"/>
        <v>Repasse 73</v>
      </c>
      <c r="AE86" s="80">
        <v>73</v>
      </c>
    </row>
    <row r="87" spans="22:31" x14ac:dyDescent="0.2">
      <c r="V87" s="50" t="s">
        <v>110</v>
      </c>
      <c r="W87" s="51" t="s">
        <v>110</v>
      </c>
      <c r="X87" s="51" t="s">
        <v>110</v>
      </c>
      <c r="Y87" s="52" t="s">
        <v>110</v>
      </c>
      <c r="Z87" s="51">
        <v>0</v>
      </c>
      <c r="AA87" s="50" t="s">
        <v>110</v>
      </c>
      <c r="AB87" s="50" t="s">
        <v>110</v>
      </c>
      <c r="AC87" s="50" t="s">
        <v>110</v>
      </c>
      <c r="AD87" s="80" t="str">
        <f t="shared" si="3"/>
        <v>Repasse 74</v>
      </c>
      <c r="AE87" s="80">
        <v>74</v>
      </c>
    </row>
    <row r="88" spans="22:31" x14ac:dyDescent="0.2">
      <c r="V88" s="50" t="s">
        <v>110</v>
      </c>
      <c r="W88" s="51" t="s">
        <v>110</v>
      </c>
      <c r="X88" s="51" t="s">
        <v>110</v>
      </c>
      <c r="Y88" s="52" t="s">
        <v>110</v>
      </c>
      <c r="Z88" s="51">
        <v>0</v>
      </c>
      <c r="AA88" s="50" t="s">
        <v>110</v>
      </c>
      <c r="AB88" s="50" t="s">
        <v>110</v>
      </c>
      <c r="AC88" s="50" t="s">
        <v>110</v>
      </c>
      <c r="AD88" s="80" t="str">
        <f t="shared" si="3"/>
        <v>Repasse 75</v>
      </c>
      <c r="AE88" s="80">
        <v>75</v>
      </c>
    </row>
    <row r="89" spans="22:31" x14ac:dyDescent="0.2">
      <c r="V89" s="50" t="s">
        <v>110</v>
      </c>
      <c r="W89" s="51" t="s">
        <v>110</v>
      </c>
      <c r="X89" s="51" t="s">
        <v>110</v>
      </c>
      <c r="Y89" s="52" t="s">
        <v>110</v>
      </c>
      <c r="Z89" s="51">
        <v>0</v>
      </c>
      <c r="AA89" s="50" t="s">
        <v>110</v>
      </c>
      <c r="AB89" s="50" t="s">
        <v>110</v>
      </c>
      <c r="AC89" s="50" t="s">
        <v>110</v>
      </c>
      <c r="AD89" s="80" t="str">
        <f t="shared" si="3"/>
        <v>Repasse 76</v>
      </c>
      <c r="AE89" s="80">
        <v>76</v>
      </c>
    </row>
    <row r="90" spans="22:31" x14ac:dyDescent="0.2">
      <c r="V90" s="50" t="s">
        <v>110</v>
      </c>
      <c r="W90" s="51" t="s">
        <v>110</v>
      </c>
      <c r="X90" s="51" t="s">
        <v>110</v>
      </c>
      <c r="Y90" s="52" t="s">
        <v>110</v>
      </c>
      <c r="Z90" s="51">
        <v>0</v>
      </c>
      <c r="AA90" s="50" t="s">
        <v>110</v>
      </c>
      <c r="AB90" s="50" t="s">
        <v>110</v>
      </c>
      <c r="AC90" s="50" t="s">
        <v>110</v>
      </c>
      <c r="AD90" s="80" t="str">
        <f t="shared" si="3"/>
        <v>Repasse 77</v>
      </c>
      <c r="AE90" s="80">
        <v>77</v>
      </c>
    </row>
    <row r="91" spans="22:31" x14ac:dyDescent="0.2">
      <c r="V91" s="50" t="s">
        <v>110</v>
      </c>
      <c r="W91" s="51" t="s">
        <v>110</v>
      </c>
      <c r="X91" s="51" t="s">
        <v>110</v>
      </c>
      <c r="Y91" s="52" t="s">
        <v>110</v>
      </c>
      <c r="Z91" s="51">
        <v>0</v>
      </c>
      <c r="AA91" s="50" t="s">
        <v>110</v>
      </c>
      <c r="AB91" s="50" t="s">
        <v>110</v>
      </c>
      <c r="AC91" s="50" t="s">
        <v>110</v>
      </c>
      <c r="AD91" s="80" t="str">
        <f t="shared" si="3"/>
        <v>Repasse 78</v>
      </c>
      <c r="AE91" s="80">
        <v>78</v>
      </c>
    </row>
    <row r="92" spans="22:31" x14ac:dyDescent="0.2">
      <c r="V92" s="50" t="s">
        <v>110</v>
      </c>
      <c r="W92" s="51" t="s">
        <v>110</v>
      </c>
      <c r="X92" s="51" t="s">
        <v>110</v>
      </c>
      <c r="Y92" s="52" t="s">
        <v>110</v>
      </c>
      <c r="Z92" s="51">
        <v>0</v>
      </c>
      <c r="AA92" s="50" t="s">
        <v>110</v>
      </c>
      <c r="AB92" s="50" t="s">
        <v>110</v>
      </c>
      <c r="AC92" s="50" t="s">
        <v>110</v>
      </c>
      <c r="AD92" s="80" t="str">
        <f t="shared" si="3"/>
        <v>Repasse 79</v>
      </c>
      <c r="AE92" s="80">
        <v>79</v>
      </c>
    </row>
    <row r="93" spans="22:31" x14ac:dyDescent="0.2">
      <c r="V93" s="50" t="s">
        <v>110</v>
      </c>
      <c r="W93" s="51" t="s">
        <v>110</v>
      </c>
      <c r="X93" s="51" t="s">
        <v>110</v>
      </c>
      <c r="Y93" s="52" t="s">
        <v>110</v>
      </c>
      <c r="Z93" s="51">
        <v>0</v>
      </c>
      <c r="AA93" s="50" t="s">
        <v>110</v>
      </c>
      <c r="AB93" s="50" t="s">
        <v>110</v>
      </c>
      <c r="AC93" s="50" t="s">
        <v>110</v>
      </c>
      <c r="AD93" s="80" t="str">
        <f t="shared" si="3"/>
        <v>Repasse 80</v>
      </c>
      <c r="AE93" s="80">
        <v>80</v>
      </c>
    </row>
    <row r="94" spans="22:31" x14ac:dyDescent="0.2">
      <c r="V94" s="50" t="s">
        <v>110</v>
      </c>
      <c r="W94" s="51" t="s">
        <v>110</v>
      </c>
      <c r="X94" s="51" t="s">
        <v>110</v>
      </c>
      <c r="Y94" s="52" t="s">
        <v>110</v>
      </c>
      <c r="Z94" s="51">
        <v>0</v>
      </c>
      <c r="AA94" s="50" t="s">
        <v>110</v>
      </c>
      <c r="AB94" s="50" t="s">
        <v>110</v>
      </c>
      <c r="AC94" s="50" t="s">
        <v>110</v>
      </c>
      <c r="AD94" s="80" t="str">
        <f t="shared" si="3"/>
        <v>Repasse 81</v>
      </c>
      <c r="AE94" s="80">
        <v>81</v>
      </c>
    </row>
    <row r="95" spans="22:31" x14ac:dyDescent="0.2">
      <c r="V95" s="50" t="s">
        <v>110</v>
      </c>
      <c r="W95" s="51" t="s">
        <v>110</v>
      </c>
      <c r="X95" s="51" t="s">
        <v>110</v>
      </c>
      <c r="Y95" s="52" t="s">
        <v>110</v>
      </c>
      <c r="Z95" s="51">
        <v>0</v>
      </c>
      <c r="AA95" s="50" t="s">
        <v>110</v>
      </c>
      <c r="AB95" s="50" t="s">
        <v>110</v>
      </c>
      <c r="AC95" s="50" t="s">
        <v>110</v>
      </c>
      <c r="AD95" s="80" t="str">
        <f t="shared" si="3"/>
        <v>Repasse 82</v>
      </c>
      <c r="AE95" s="80">
        <v>82</v>
      </c>
    </row>
    <row r="96" spans="22:31" x14ac:dyDescent="0.2">
      <c r="V96" s="50" t="s">
        <v>110</v>
      </c>
      <c r="W96" s="51" t="s">
        <v>110</v>
      </c>
      <c r="X96" s="51" t="s">
        <v>110</v>
      </c>
      <c r="Y96" s="52" t="s">
        <v>110</v>
      </c>
      <c r="Z96" s="51">
        <v>0</v>
      </c>
      <c r="AA96" s="50" t="s">
        <v>110</v>
      </c>
      <c r="AB96" s="50" t="s">
        <v>110</v>
      </c>
      <c r="AC96" s="50" t="s">
        <v>110</v>
      </c>
      <c r="AD96" s="80" t="str">
        <f t="shared" si="3"/>
        <v>Repasse 83</v>
      </c>
      <c r="AE96" s="80">
        <v>83</v>
      </c>
    </row>
    <row r="97" spans="22:31" x14ac:dyDescent="0.2">
      <c r="V97" s="50" t="s">
        <v>110</v>
      </c>
      <c r="W97" s="51" t="s">
        <v>110</v>
      </c>
      <c r="X97" s="51" t="s">
        <v>110</v>
      </c>
      <c r="Y97" s="52" t="s">
        <v>110</v>
      </c>
      <c r="Z97" s="51">
        <v>0</v>
      </c>
      <c r="AA97" s="50" t="s">
        <v>110</v>
      </c>
      <c r="AB97" s="50" t="s">
        <v>110</v>
      </c>
      <c r="AC97" s="50" t="s">
        <v>110</v>
      </c>
      <c r="AD97" s="80" t="str">
        <f t="shared" si="3"/>
        <v>Repasse 84</v>
      </c>
      <c r="AE97" s="80">
        <v>84</v>
      </c>
    </row>
    <row r="98" spans="22:31" x14ac:dyDescent="0.2">
      <c r="V98" s="50" t="s">
        <v>110</v>
      </c>
      <c r="W98" s="51" t="s">
        <v>110</v>
      </c>
      <c r="X98" s="51" t="s">
        <v>110</v>
      </c>
      <c r="Y98" s="52" t="s">
        <v>110</v>
      </c>
      <c r="Z98" s="51">
        <v>0</v>
      </c>
      <c r="AA98" s="50" t="s">
        <v>110</v>
      </c>
      <c r="AB98" s="50" t="s">
        <v>110</v>
      </c>
      <c r="AC98" s="50" t="s">
        <v>110</v>
      </c>
      <c r="AD98" s="80" t="str">
        <f t="shared" si="3"/>
        <v>Repasse 85</v>
      </c>
      <c r="AE98" s="80">
        <v>85</v>
      </c>
    </row>
    <row r="99" spans="22:31" x14ac:dyDescent="0.2">
      <c r="V99" s="50" t="s">
        <v>110</v>
      </c>
      <c r="W99" s="51" t="s">
        <v>110</v>
      </c>
      <c r="X99" s="51" t="s">
        <v>110</v>
      </c>
      <c r="Y99" s="52" t="s">
        <v>110</v>
      </c>
      <c r="Z99" s="51">
        <v>0</v>
      </c>
      <c r="AA99" s="50" t="s">
        <v>110</v>
      </c>
      <c r="AB99" s="50" t="s">
        <v>110</v>
      </c>
      <c r="AC99" s="50" t="s">
        <v>110</v>
      </c>
      <c r="AD99" s="80" t="str">
        <f t="shared" si="3"/>
        <v>Repasse 86</v>
      </c>
      <c r="AE99" s="80">
        <v>86</v>
      </c>
    </row>
    <row r="100" spans="22:31" x14ac:dyDescent="0.2">
      <c r="V100" s="50" t="s">
        <v>110</v>
      </c>
      <c r="W100" s="51" t="s">
        <v>110</v>
      </c>
      <c r="X100" s="51" t="s">
        <v>110</v>
      </c>
      <c r="Y100" s="52" t="s">
        <v>110</v>
      </c>
      <c r="Z100" s="51">
        <v>0</v>
      </c>
      <c r="AA100" s="50" t="s">
        <v>110</v>
      </c>
      <c r="AB100" s="50" t="s">
        <v>110</v>
      </c>
      <c r="AC100" s="50" t="s">
        <v>110</v>
      </c>
      <c r="AD100" s="80" t="str">
        <f t="shared" si="3"/>
        <v>Repasse 87</v>
      </c>
      <c r="AE100" s="80">
        <v>87</v>
      </c>
    </row>
    <row r="101" spans="22:31" x14ac:dyDescent="0.2">
      <c r="V101" s="50" t="s">
        <v>110</v>
      </c>
      <c r="W101" s="51" t="s">
        <v>110</v>
      </c>
      <c r="X101" s="51" t="s">
        <v>110</v>
      </c>
      <c r="Y101" s="52" t="s">
        <v>110</v>
      </c>
      <c r="Z101" s="51">
        <v>0</v>
      </c>
      <c r="AA101" s="50" t="s">
        <v>110</v>
      </c>
      <c r="AB101" s="50" t="s">
        <v>110</v>
      </c>
      <c r="AC101" s="50" t="s">
        <v>110</v>
      </c>
      <c r="AD101" s="80" t="str">
        <f t="shared" si="3"/>
        <v>Repasse 88</v>
      </c>
      <c r="AE101" s="80">
        <v>88</v>
      </c>
    </row>
    <row r="102" spans="22:31" x14ac:dyDescent="0.2">
      <c r="V102" s="50" t="s">
        <v>110</v>
      </c>
      <c r="W102" s="51" t="s">
        <v>110</v>
      </c>
      <c r="X102" s="51" t="s">
        <v>110</v>
      </c>
      <c r="Y102" s="52" t="s">
        <v>110</v>
      </c>
      <c r="Z102" s="51">
        <v>0</v>
      </c>
      <c r="AA102" s="50" t="s">
        <v>110</v>
      </c>
      <c r="AB102" s="50" t="s">
        <v>110</v>
      </c>
      <c r="AC102" s="50" t="s">
        <v>110</v>
      </c>
      <c r="AD102" s="80" t="str">
        <f t="shared" si="3"/>
        <v>Repasse 89</v>
      </c>
      <c r="AE102" s="80">
        <v>89</v>
      </c>
    </row>
    <row r="103" spans="22:31" x14ac:dyDescent="0.2">
      <c r="V103" s="50" t="s">
        <v>110</v>
      </c>
      <c r="W103" s="51" t="s">
        <v>110</v>
      </c>
      <c r="X103" s="51" t="s">
        <v>110</v>
      </c>
      <c r="Y103" s="52" t="s">
        <v>110</v>
      </c>
      <c r="Z103" s="51">
        <v>0</v>
      </c>
      <c r="AA103" s="50" t="s">
        <v>110</v>
      </c>
      <c r="AB103" s="50" t="s">
        <v>110</v>
      </c>
      <c r="AC103" s="50" t="s">
        <v>110</v>
      </c>
      <c r="AD103" s="80" t="str">
        <f t="shared" si="3"/>
        <v>Repasse 90</v>
      </c>
      <c r="AE103" s="80">
        <v>90</v>
      </c>
    </row>
    <row r="104" spans="22:31" x14ac:dyDescent="0.2">
      <c r="V104" s="50" t="s">
        <v>110</v>
      </c>
      <c r="W104" s="51" t="s">
        <v>110</v>
      </c>
      <c r="X104" s="51" t="s">
        <v>110</v>
      </c>
      <c r="Y104" s="52" t="s">
        <v>110</v>
      </c>
      <c r="Z104" s="51">
        <v>0</v>
      </c>
      <c r="AA104" s="50" t="s">
        <v>110</v>
      </c>
      <c r="AB104" s="50" t="s">
        <v>110</v>
      </c>
      <c r="AC104" s="50" t="s">
        <v>110</v>
      </c>
      <c r="AD104" s="80" t="str">
        <f t="shared" si="3"/>
        <v>Repasse 91</v>
      </c>
      <c r="AE104" s="80">
        <v>91</v>
      </c>
    </row>
    <row r="105" spans="22:31" x14ac:dyDescent="0.2">
      <c r="V105" s="50" t="s">
        <v>110</v>
      </c>
      <c r="W105" s="51" t="s">
        <v>110</v>
      </c>
      <c r="X105" s="51" t="s">
        <v>110</v>
      </c>
      <c r="Y105" s="52" t="s">
        <v>110</v>
      </c>
      <c r="Z105" s="51">
        <v>0</v>
      </c>
      <c r="AA105" s="50" t="s">
        <v>110</v>
      </c>
      <c r="AB105" s="50" t="s">
        <v>110</v>
      </c>
      <c r="AC105" s="50" t="s">
        <v>110</v>
      </c>
      <c r="AD105" s="80" t="str">
        <f t="shared" si="3"/>
        <v>Repasse 92</v>
      </c>
      <c r="AE105" s="80">
        <v>92</v>
      </c>
    </row>
    <row r="106" spans="22:31" x14ac:dyDescent="0.2">
      <c r="V106" s="50" t="s">
        <v>110</v>
      </c>
      <c r="W106" s="51" t="s">
        <v>110</v>
      </c>
      <c r="X106" s="51" t="s">
        <v>110</v>
      </c>
      <c r="Y106" s="52" t="s">
        <v>110</v>
      </c>
      <c r="Z106" s="51">
        <v>0</v>
      </c>
      <c r="AA106" s="50" t="s">
        <v>110</v>
      </c>
      <c r="AB106" s="50" t="s">
        <v>110</v>
      </c>
      <c r="AC106" s="50" t="s">
        <v>110</v>
      </c>
      <c r="AD106" s="80" t="str">
        <f t="shared" si="3"/>
        <v>Repasse 93</v>
      </c>
      <c r="AE106" s="80">
        <v>93</v>
      </c>
    </row>
    <row r="107" spans="22:31" x14ac:dyDescent="0.2">
      <c r="V107" s="50" t="s">
        <v>110</v>
      </c>
      <c r="W107" s="51" t="s">
        <v>110</v>
      </c>
      <c r="X107" s="51" t="s">
        <v>110</v>
      </c>
      <c r="Y107" s="52" t="s">
        <v>110</v>
      </c>
      <c r="Z107" s="51">
        <v>0</v>
      </c>
      <c r="AA107" s="50" t="s">
        <v>110</v>
      </c>
      <c r="AB107" s="50" t="s">
        <v>110</v>
      </c>
      <c r="AC107" s="50" t="s">
        <v>110</v>
      </c>
      <c r="AD107" s="80" t="str">
        <f t="shared" si="3"/>
        <v>Repasse 94</v>
      </c>
      <c r="AE107" s="80">
        <v>94</v>
      </c>
    </row>
    <row r="108" spans="22:31" x14ac:dyDescent="0.2">
      <c r="V108" s="50" t="s">
        <v>110</v>
      </c>
      <c r="W108" s="51" t="s">
        <v>110</v>
      </c>
      <c r="X108" s="51" t="s">
        <v>110</v>
      </c>
      <c r="Y108" s="52" t="s">
        <v>110</v>
      </c>
      <c r="Z108" s="51">
        <v>0</v>
      </c>
      <c r="AA108" s="50" t="s">
        <v>110</v>
      </c>
      <c r="AB108" s="50" t="s">
        <v>110</v>
      </c>
      <c r="AC108" s="50" t="s">
        <v>110</v>
      </c>
      <c r="AD108" s="80" t="str">
        <f t="shared" si="3"/>
        <v>Repasse 95</v>
      </c>
      <c r="AE108" s="80">
        <v>95</v>
      </c>
    </row>
    <row r="109" spans="22:31" x14ac:dyDescent="0.2">
      <c r="V109" s="50" t="s">
        <v>110</v>
      </c>
      <c r="W109" s="51" t="s">
        <v>110</v>
      </c>
      <c r="X109" s="51" t="s">
        <v>110</v>
      </c>
      <c r="Y109" s="52" t="s">
        <v>110</v>
      </c>
      <c r="Z109" s="51">
        <v>0</v>
      </c>
      <c r="AA109" s="50" t="s">
        <v>110</v>
      </c>
      <c r="AB109" s="50" t="s">
        <v>110</v>
      </c>
      <c r="AC109" s="50" t="s">
        <v>110</v>
      </c>
      <c r="AD109" s="80" t="str">
        <f t="shared" si="3"/>
        <v>Repasse 96</v>
      </c>
      <c r="AE109" s="80">
        <v>96</v>
      </c>
    </row>
    <row r="110" spans="22:31" x14ac:dyDescent="0.2">
      <c r="V110" s="50" t="s">
        <v>110</v>
      </c>
      <c r="W110" s="51" t="s">
        <v>110</v>
      </c>
      <c r="X110" s="51" t="s">
        <v>110</v>
      </c>
      <c r="Y110" s="52" t="s">
        <v>110</v>
      </c>
      <c r="Z110" s="51">
        <v>0</v>
      </c>
      <c r="AA110" s="50" t="s">
        <v>110</v>
      </c>
      <c r="AB110" s="50" t="s">
        <v>110</v>
      </c>
      <c r="AC110" s="50" t="s">
        <v>110</v>
      </c>
      <c r="AD110" s="80" t="str">
        <f t="shared" si="3"/>
        <v>Repasse 97</v>
      </c>
      <c r="AE110" s="80">
        <v>97</v>
      </c>
    </row>
    <row r="111" spans="22:31" x14ac:dyDescent="0.2">
      <c r="V111" s="50" t="s">
        <v>110</v>
      </c>
      <c r="W111" s="51" t="s">
        <v>110</v>
      </c>
      <c r="X111" s="51" t="s">
        <v>110</v>
      </c>
      <c r="Y111" s="52" t="s">
        <v>110</v>
      </c>
      <c r="Z111" s="51">
        <v>0</v>
      </c>
      <c r="AA111" s="50" t="s">
        <v>110</v>
      </c>
      <c r="AB111" s="50" t="s">
        <v>110</v>
      </c>
      <c r="AC111" s="50" t="s">
        <v>110</v>
      </c>
      <c r="AD111" s="80" t="str">
        <f t="shared" si="3"/>
        <v>Repasse 98</v>
      </c>
      <c r="AE111" s="80">
        <v>98</v>
      </c>
    </row>
    <row r="112" spans="22:31" x14ac:dyDescent="0.2">
      <c r="V112" s="50" t="s">
        <v>110</v>
      </c>
      <c r="W112" s="51" t="s">
        <v>110</v>
      </c>
      <c r="X112" s="51" t="s">
        <v>110</v>
      </c>
      <c r="Y112" s="52" t="s">
        <v>110</v>
      </c>
      <c r="Z112" s="51">
        <v>0</v>
      </c>
      <c r="AA112" s="50" t="s">
        <v>110</v>
      </c>
      <c r="AB112" s="50" t="s">
        <v>110</v>
      </c>
      <c r="AC112" s="50" t="s">
        <v>110</v>
      </c>
      <c r="AD112" s="80" t="str">
        <f t="shared" si="3"/>
        <v>Repasse 99</v>
      </c>
      <c r="AE112" s="80">
        <v>99</v>
      </c>
    </row>
    <row r="113" spans="22:31" x14ac:dyDescent="0.2">
      <c r="V113" s="50" t="s">
        <v>110</v>
      </c>
      <c r="W113" s="51" t="s">
        <v>110</v>
      </c>
      <c r="X113" s="51" t="s">
        <v>110</v>
      </c>
      <c r="Y113" s="52" t="s">
        <v>110</v>
      </c>
      <c r="Z113" s="51">
        <v>0</v>
      </c>
      <c r="AA113" s="50" t="s">
        <v>110</v>
      </c>
      <c r="AB113" s="50" t="s">
        <v>110</v>
      </c>
      <c r="AC113" s="50" t="s">
        <v>110</v>
      </c>
      <c r="AD113" s="80" t="str">
        <f t="shared" si="3"/>
        <v>Repasse 100</v>
      </c>
      <c r="AE113" s="80">
        <v>100</v>
      </c>
    </row>
    <row r="114" spans="22:31" x14ac:dyDescent="0.2">
      <c r="V114" s="50" t="s">
        <v>110</v>
      </c>
      <c r="W114" s="51" t="s">
        <v>110</v>
      </c>
      <c r="X114" s="51" t="s">
        <v>110</v>
      </c>
      <c r="Y114" s="52" t="s">
        <v>110</v>
      </c>
      <c r="Z114" s="51">
        <v>0</v>
      </c>
      <c r="AA114" s="50" t="s">
        <v>110</v>
      </c>
      <c r="AB114" s="50" t="s">
        <v>110</v>
      </c>
      <c r="AC114" s="50" t="s">
        <v>110</v>
      </c>
      <c r="AD114" s="80" t="str">
        <f t="shared" si="3"/>
        <v>Repasse 101</v>
      </c>
      <c r="AE114" s="80">
        <v>101</v>
      </c>
    </row>
    <row r="115" spans="22:31" x14ac:dyDescent="0.2">
      <c r="V115" s="50" t="s">
        <v>110</v>
      </c>
      <c r="W115" s="51" t="s">
        <v>110</v>
      </c>
      <c r="X115" s="51" t="s">
        <v>110</v>
      </c>
      <c r="Y115" s="52" t="s">
        <v>110</v>
      </c>
      <c r="Z115" s="51">
        <v>0</v>
      </c>
      <c r="AA115" s="50" t="s">
        <v>110</v>
      </c>
      <c r="AB115" s="50" t="s">
        <v>110</v>
      </c>
      <c r="AC115" s="50" t="s">
        <v>110</v>
      </c>
      <c r="AD115" s="80" t="str">
        <f t="shared" si="3"/>
        <v>Repasse 102</v>
      </c>
      <c r="AE115" s="80">
        <v>102</v>
      </c>
    </row>
    <row r="116" spans="22:31" x14ac:dyDescent="0.2">
      <c r="V116" s="50" t="s">
        <v>110</v>
      </c>
      <c r="W116" s="51" t="s">
        <v>110</v>
      </c>
      <c r="X116" s="51" t="s">
        <v>110</v>
      </c>
      <c r="Y116" s="52" t="s">
        <v>110</v>
      </c>
      <c r="Z116" s="51">
        <v>0</v>
      </c>
      <c r="AA116" s="50" t="s">
        <v>110</v>
      </c>
      <c r="AB116" s="50" t="s">
        <v>110</v>
      </c>
      <c r="AC116" s="50" t="s">
        <v>110</v>
      </c>
      <c r="AD116" s="80" t="str">
        <f t="shared" si="3"/>
        <v>Repasse 103</v>
      </c>
      <c r="AE116" s="80">
        <v>103</v>
      </c>
    </row>
    <row r="117" spans="22:31" x14ac:dyDescent="0.2">
      <c r="V117" s="50" t="s">
        <v>110</v>
      </c>
      <c r="W117" s="51" t="s">
        <v>110</v>
      </c>
      <c r="X117" s="51" t="s">
        <v>110</v>
      </c>
      <c r="Y117" s="52" t="s">
        <v>110</v>
      </c>
      <c r="Z117" s="51">
        <v>0</v>
      </c>
      <c r="AA117" s="50" t="s">
        <v>110</v>
      </c>
      <c r="AB117" s="50" t="s">
        <v>110</v>
      </c>
      <c r="AC117" s="50" t="s">
        <v>110</v>
      </c>
      <c r="AD117" s="80" t="str">
        <f t="shared" si="3"/>
        <v>Repasse 104</v>
      </c>
      <c r="AE117" s="80">
        <v>104</v>
      </c>
    </row>
    <row r="118" spans="22:31" x14ac:dyDescent="0.2">
      <c r="V118" s="50" t="s">
        <v>110</v>
      </c>
      <c r="W118" s="51" t="s">
        <v>110</v>
      </c>
      <c r="X118" s="51" t="s">
        <v>110</v>
      </c>
      <c r="Y118" s="52" t="s">
        <v>110</v>
      </c>
      <c r="Z118" s="51">
        <v>0</v>
      </c>
      <c r="AA118" s="50" t="s">
        <v>110</v>
      </c>
      <c r="AB118" s="50" t="s">
        <v>110</v>
      </c>
      <c r="AC118" s="50" t="s">
        <v>110</v>
      </c>
      <c r="AD118" s="80" t="str">
        <f t="shared" si="3"/>
        <v>Repasse 105</v>
      </c>
      <c r="AE118" s="80">
        <v>105</v>
      </c>
    </row>
    <row r="119" spans="22:31" x14ac:dyDescent="0.2">
      <c r="V119" s="50" t="s">
        <v>110</v>
      </c>
      <c r="W119" s="51" t="s">
        <v>110</v>
      </c>
      <c r="X119" s="51" t="s">
        <v>110</v>
      </c>
      <c r="Y119" s="52" t="s">
        <v>110</v>
      </c>
      <c r="Z119" s="51">
        <v>0</v>
      </c>
      <c r="AA119" s="50" t="s">
        <v>110</v>
      </c>
      <c r="AB119" s="50" t="s">
        <v>110</v>
      </c>
      <c r="AC119" s="50" t="s">
        <v>110</v>
      </c>
      <c r="AD119" s="80" t="str">
        <f t="shared" si="3"/>
        <v>Repasse 106</v>
      </c>
      <c r="AE119" s="80">
        <v>106</v>
      </c>
    </row>
    <row r="120" spans="22:31" x14ac:dyDescent="0.2">
      <c r="V120" s="50" t="s">
        <v>110</v>
      </c>
      <c r="W120" s="51" t="s">
        <v>110</v>
      </c>
      <c r="X120" s="51" t="s">
        <v>110</v>
      </c>
      <c r="Y120" s="52" t="s">
        <v>110</v>
      </c>
      <c r="Z120" s="51">
        <v>0</v>
      </c>
      <c r="AA120" s="50" t="s">
        <v>110</v>
      </c>
      <c r="AB120" s="50" t="s">
        <v>110</v>
      </c>
      <c r="AC120" s="50" t="s">
        <v>110</v>
      </c>
      <c r="AD120" s="80" t="str">
        <f t="shared" si="3"/>
        <v>Repasse 107</v>
      </c>
      <c r="AE120" s="80">
        <v>107</v>
      </c>
    </row>
    <row r="121" spans="22:31" x14ac:dyDescent="0.2">
      <c r="V121" s="50" t="s">
        <v>110</v>
      </c>
      <c r="W121" s="51" t="s">
        <v>110</v>
      </c>
      <c r="X121" s="51" t="s">
        <v>110</v>
      </c>
      <c r="Y121" s="52" t="s">
        <v>110</v>
      </c>
      <c r="Z121" s="51">
        <v>0</v>
      </c>
      <c r="AA121" s="50" t="s">
        <v>110</v>
      </c>
      <c r="AB121" s="50" t="s">
        <v>110</v>
      </c>
      <c r="AC121" s="50" t="s">
        <v>110</v>
      </c>
      <c r="AD121" s="80" t="str">
        <f t="shared" si="3"/>
        <v>Repasse 108</v>
      </c>
      <c r="AE121" s="80">
        <v>108</v>
      </c>
    </row>
    <row r="122" spans="22:31" x14ac:dyDescent="0.2">
      <c r="V122" s="50" t="s">
        <v>110</v>
      </c>
      <c r="W122" s="51" t="s">
        <v>110</v>
      </c>
      <c r="X122" s="51" t="s">
        <v>110</v>
      </c>
      <c r="Y122" s="52" t="s">
        <v>110</v>
      </c>
      <c r="Z122" s="51">
        <v>0</v>
      </c>
      <c r="AA122" s="50" t="s">
        <v>110</v>
      </c>
      <c r="AB122" s="50" t="s">
        <v>110</v>
      </c>
      <c r="AC122" s="50" t="s">
        <v>110</v>
      </c>
      <c r="AD122" s="80" t="str">
        <f t="shared" si="3"/>
        <v>Repasse 109</v>
      </c>
      <c r="AE122" s="80">
        <v>109</v>
      </c>
    </row>
    <row r="123" spans="22:31" x14ac:dyDescent="0.2">
      <c r="V123" s="50" t="s">
        <v>110</v>
      </c>
      <c r="W123" s="51" t="s">
        <v>110</v>
      </c>
      <c r="X123" s="51" t="s">
        <v>110</v>
      </c>
      <c r="Y123" s="52" t="s">
        <v>110</v>
      </c>
      <c r="Z123" s="51">
        <v>0</v>
      </c>
      <c r="AA123" s="50" t="s">
        <v>110</v>
      </c>
      <c r="AB123" s="50" t="s">
        <v>110</v>
      </c>
      <c r="AC123" s="50" t="s">
        <v>110</v>
      </c>
      <c r="AD123" s="80" t="str">
        <f t="shared" si="3"/>
        <v>Repasse 110</v>
      </c>
      <c r="AE123" s="80">
        <v>110</v>
      </c>
    </row>
    <row r="124" spans="22:31" x14ac:dyDescent="0.2">
      <c r="V124" s="50" t="s">
        <v>110</v>
      </c>
      <c r="W124" s="51" t="s">
        <v>110</v>
      </c>
      <c r="X124" s="51" t="s">
        <v>110</v>
      </c>
      <c r="Y124" s="52" t="s">
        <v>110</v>
      </c>
      <c r="Z124" s="51">
        <v>0</v>
      </c>
      <c r="AA124" s="50" t="s">
        <v>110</v>
      </c>
      <c r="AB124" s="50" t="s">
        <v>110</v>
      </c>
      <c r="AC124" s="50" t="s">
        <v>110</v>
      </c>
      <c r="AD124" s="80" t="str">
        <f t="shared" si="3"/>
        <v>Repasse 111</v>
      </c>
      <c r="AE124" s="80">
        <v>111</v>
      </c>
    </row>
    <row r="125" spans="22:31" x14ac:dyDescent="0.2">
      <c r="V125" s="50" t="s">
        <v>110</v>
      </c>
      <c r="W125" s="51" t="s">
        <v>110</v>
      </c>
      <c r="X125" s="51" t="s">
        <v>110</v>
      </c>
      <c r="Y125" s="52" t="s">
        <v>110</v>
      </c>
      <c r="Z125" s="51">
        <v>0</v>
      </c>
      <c r="AA125" s="50" t="s">
        <v>110</v>
      </c>
      <c r="AB125" s="50" t="s">
        <v>110</v>
      </c>
      <c r="AC125" s="50" t="s">
        <v>110</v>
      </c>
      <c r="AD125" s="80" t="str">
        <f t="shared" si="3"/>
        <v>Repasse 112</v>
      </c>
      <c r="AE125" s="80">
        <v>112</v>
      </c>
    </row>
    <row r="126" spans="22:31" x14ac:dyDescent="0.2">
      <c r="V126" s="50" t="s">
        <v>110</v>
      </c>
      <c r="W126" s="51" t="s">
        <v>110</v>
      </c>
      <c r="X126" s="51" t="s">
        <v>110</v>
      </c>
      <c r="Y126" s="52" t="s">
        <v>110</v>
      </c>
      <c r="Z126" s="51">
        <v>0</v>
      </c>
      <c r="AA126" s="50" t="s">
        <v>110</v>
      </c>
      <c r="AB126" s="50" t="s">
        <v>110</v>
      </c>
      <c r="AC126" s="50" t="s">
        <v>110</v>
      </c>
      <c r="AD126" s="80" t="str">
        <f t="shared" si="3"/>
        <v>Repasse 113</v>
      </c>
      <c r="AE126" s="80">
        <v>113</v>
      </c>
    </row>
    <row r="127" spans="22:31" x14ac:dyDescent="0.2">
      <c r="V127" s="50" t="s">
        <v>110</v>
      </c>
      <c r="W127" s="51" t="s">
        <v>110</v>
      </c>
      <c r="X127" s="51" t="s">
        <v>110</v>
      </c>
      <c r="Y127" s="52" t="s">
        <v>110</v>
      </c>
      <c r="Z127" s="51">
        <v>0</v>
      </c>
      <c r="AA127" s="50" t="s">
        <v>110</v>
      </c>
      <c r="AB127" s="50" t="s">
        <v>110</v>
      </c>
      <c r="AC127" s="50" t="s">
        <v>110</v>
      </c>
      <c r="AD127" s="80" t="str">
        <f t="shared" si="3"/>
        <v>Repasse 114</v>
      </c>
      <c r="AE127" s="80">
        <v>114</v>
      </c>
    </row>
    <row r="128" spans="22:31" x14ac:dyDescent="0.2">
      <c r="V128" s="50" t="s">
        <v>110</v>
      </c>
      <c r="W128" s="51" t="s">
        <v>110</v>
      </c>
      <c r="X128" s="51" t="s">
        <v>110</v>
      </c>
      <c r="Y128" s="52" t="s">
        <v>110</v>
      </c>
      <c r="Z128" s="51">
        <v>0</v>
      </c>
      <c r="AA128" s="50" t="s">
        <v>110</v>
      </c>
      <c r="AB128" s="50" t="s">
        <v>110</v>
      </c>
      <c r="AC128" s="50" t="s">
        <v>110</v>
      </c>
      <c r="AD128" s="80" t="str">
        <f t="shared" si="3"/>
        <v>Repasse 115</v>
      </c>
      <c r="AE128" s="80">
        <v>115</v>
      </c>
    </row>
    <row r="129" spans="22:31" x14ac:dyDescent="0.2">
      <c r="V129" s="50" t="s">
        <v>110</v>
      </c>
      <c r="W129" s="51" t="s">
        <v>110</v>
      </c>
      <c r="X129" s="51" t="s">
        <v>110</v>
      </c>
      <c r="Y129" s="52" t="s">
        <v>110</v>
      </c>
      <c r="Z129" s="51">
        <v>0</v>
      </c>
      <c r="AA129" s="50" t="s">
        <v>110</v>
      </c>
      <c r="AB129" s="50" t="s">
        <v>110</v>
      </c>
      <c r="AC129" s="50" t="s">
        <v>110</v>
      </c>
      <c r="AD129" s="80" t="str">
        <f t="shared" si="3"/>
        <v>Repasse 116</v>
      </c>
      <c r="AE129" s="80">
        <v>116</v>
      </c>
    </row>
    <row r="130" spans="22:31" x14ac:dyDescent="0.2">
      <c r="V130" s="50" t="s">
        <v>110</v>
      </c>
      <c r="W130" s="51" t="s">
        <v>110</v>
      </c>
      <c r="X130" s="51" t="s">
        <v>110</v>
      </c>
      <c r="Y130" s="52" t="s">
        <v>110</v>
      </c>
      <c r="Z130" s="51">
        <v>0</v>
      </c>
      <c r="AA130" s="50" t="s">
        <v>110</v>
      </c>
      <c r="AB130" s="50" t="s">
        <v>110</v>
      </c>
      <c r="AC130" s="50" t="s">
        <v>110</v>
      </c>
      <c r="AD130" s="80" t="str">
        <f t="shared" si="3"/>
        <v>Repasse 117</v>
      </c>
      <c r="AE130" s="80">
        <v>117</v>
      </c>
    </row>
    <row r="131" spans="22:31" x14ac:dyDescent="0.2">
      <c r="V131" s="50" t="s">
        <v>110</v>
      </c>
      <c r="W131" s="51" t="s">
        <v>110</v>
      </c>
      <c r="X131" s="51" t="s">
        <v>110</v>
      </c>
      <c r="Y131" s="52" t="s">
        <v>110</v>
      </c>
      <c r="Z131" s="51">
        <v>0</v>
      </c>
      <c r="AA131" s="50" t="s">
        <v>110</v>
      </c>
      <c r="AB131" s="50" t="s">
        <v>110</v>
      </c>
      <c r="AC131" s="50" t="s">
        <v>110</v>
      </c>
      <c r="AD131" s="80" t="str">
        <f t="shared" si="3"/>
        <v>Repasse 118</v>
      </c>
      <c r="AE131" s="80">
        <v>118</v>
      </c>
    </row>
    <row r="132" spans="22:31" x14ac:dyDescent="0.2">
      <c r="V132" s="50" t="s">
        <v>110</v>
      </c>
      <c r="W132" s="51" t="s">
        <v>110</v>
      </c>
      <c r="X132" s="51" t="s">
        <v>110</v>
      </c>
      <c r="Y132" s="52" t="s">
        <v>110</v>
      </c>
      <c r="Z132" s="51">
        <v>0</v>
      </c>
      <c r="AA132" s="50" t="s">
        <v>110</v>
      </c>
      <c r="AB132" s="50" t="s">
        <v>110</v>
      </c>
      <c r="AC132" s="50" t="s">
        <v>110</v>
      </c>
      <c r="AD132" s="80" t="str">
        <f t="shared" si="3"/>
        <v>Repasse 119</v>
      </c>
      <c r="AE132" s="80">
        <v>119</v>
      </c>
    </row>
    <row r="133" spans="22:31" x14ac:dyDescent="0.2">
      <c r="V133" s="50" t="s">
        <v>110</v>
      </c>
      <c r="W133" s="51" t="s">
        <v>110</v>
      </c>
      <c r="X133" s="51" t="s">
        <v>110</v>
      </c>
      <c r="Y133" s="52" t="s">
        <v>110</v>
      </c>
      <c r="Z133" s="51">
        <v>0</v>
      </c>
      <c r="AA133" s="50" t="s">
        <v>110</v>
      </c>
      <c r="AB133" s="50" t="s">
        <v>110</v>
      </c>
      <c r="AC133" s="50" t="s">
        <v>110</v>
      </c>
      <c r="AD133" s="80" t="str">
        <f t="shared" si="3"/>
        <v>Repasse 120</v>
      </c>
      <c r="AE133" s="80">
        <v>120</v>
      </c>
    </row>
    <row r="134" spans="22:31" x14ac:dyDescent="0.2">
      <c r="V134" s="50" t="s">
        <v>110</v>
      </c>
      <c r="W134" s="51" t="s">
        <v>110</v>
      </c>
      <c r="X134" s="51" t="s">
        <v>110</v>
      </c>
      <c r="Y134" s="52" t="s">
        <v>110</v>
      </c>
      <c r="Z134" s="51">
        <v>0</v>
      </c>
      <c r="AA134" s="50" t="s">
        <v>110</v>
      </c>
      <c r="AB134" s="50" t="s">
        <v>110</v>
      </c>
      <c r="AC134" s="50" t="s">
        <v>110</v>
      </c>
      <c r="AD134" s="80" t="str">
        <f t="shared" si="3"/>
        <v>Repasse 121</v>
      </c>
      <c r="AE134" s="80">
        <v>121</v>
      </c>
    </row>
    <row r="135" spans="22:31" x14ac:dyDescent="0.2">
      <c r="V135" s="50" t="s">
        <v>110</v>
      </c>
      <c r="W135" s="51" t="s">
        <v>110</v>
      </c>
      <c r="X135" s="51" t="s">
        <v>110</v>
      </c>
      <c r="Y135" s="52" t="s">
        <v>110</v>
      </c>
      <c r="Z135" s="51">
        <v>0</v>
      </c>
      <c r="AA135" s="50" t="s">
        <v>110</v>
      </c>
      <c r="AB135" s="50" t="s">
        <v>110</v>
      </c>
      <c r="AC135" s="50" t="s">
        <v>110</v>
      </c>
      <c r="AD135" s="80" t="str">
        <f t="shared" si="3"/>
        <v>Repasse 122</v>
      </c>
      <c r="AE135" s="80">
        <v>122</v>
      </c>
    </row>
    <row r="136" spans="22:31" x14ac:dyDescent="0.2">
      <c r="V136" s="50" t="s">
        <v>110</v>
      </c>
      <c r="W136" s="51" t="s">
        <v>110</v>
      </c>
      <c r="X136" s="51" t="s">
        <v>110</v>
      </c>
      <c r="Y136" s="52" t="s">
        <v>110</v>
      </c>
      <c r="Z136" s="51">
        <v>0</v>
      </c>
      <c r="AA136" s="50" t="s">
        <v>110</v>
      </c>
      <c r="AB136" s="50" t="s">
        <v>110</v>
      </c>
      <c r="AC136" s="50" t="s">
        <v>110</v>
      </c>
      <c r="AD136" s="80" t="str">
        <f t="shared" si="3"/>
        <v>Repasse 123</v>
      </c>
      <c r="AE136" s="80">
        <v>123</v>
      </c>
    </row>
    <row r="137" spans="22:31" x14ac:dyDescent="0.2">
      <c r="V137" s="50" t="s">
        <v>110</v>
      </c>
      <c r="W137" s="51" t="s">
        <v>110</v>
      </c>
      <c r="X137" s="51" t="s">
        <v>110</v>
      </c>
      <c r="Y137" s="52" t="s">
        <v>110</v>
      </c>
      <c r="Z137" s="51">
        <v>0</v>
      </c>
      <c r="AA137" s="50" t="s">
        <v>110</v>
      </c>
      <c r="AB137" s="50" t="s">
        <v>110</v>
      </c>
      <c r="AC137" s="50" t="s">
        <v>110</v>
      </c>
      <c r="AD137" s="80" t="str">
        <f t="shared" si="3"/>
        <v>Repasse 124</v>
      </c>
      <c r="AE137" s="80">
        <v>124</v>
      </c>
    </row>
    <row r="138" spans="22:31" x14ac:dyDescent="0.2">
      <c r="V138" s="50" t="s">
        <v>110</v>
      </c>
      <c r="W138" s="51" t="s">
        <v>110</v>
      </c>
      <c r="X138" s="51" t="s">
        <v>110</v>
      </c>
      <c r="Y138" s="52" t="s">
        <v>110</v>
      </c>
      <c r="Z138" s="51">
        <v>0</v>
      </c>
      <c r="AA138" s="50" t="s">
        <v>110</v>
      </c>
      <c r="AB138" s="50" t="s">
        <v>110</v>
      </c>
      <c r="AC138" s="50" t="s">
        <v>110</v>
      </c>
      <c r="AD138" s="80" t="str">
        <f t="shared" si="3"/>
        <v>Repasse 125</v>
      </c>
      <c r="AE138" s="80">
        <v>125</v>
      </c>
    </row>
    <row r="139" spans="22:31" x14ac:dyDescent="0.2">
      <c r="V139" s="50" t="s">
        <v>110</v>
      </c>
      <c r="W139" s="51" t="s">
        <v>110</v>
      </c>
      <c r="X139" s="51" t="s">
        <v>110</v>
      </c>
      <c r="Y139" s="52" t="s">
        <v>110</v>
      </c>
      <c r="Z139" s="51">
        <v>0</v>
      </c>
      <c r="AA139" s="50" t="s">
        <v>110</v>
      </c>
      <c r="AB139" s="50" t="s">
        <v>110</v>
      </c>
      <c r="AC139" s="50" t="s">
        <v>110</v>
      </c>
      <c r="AD139" s="80" t="str">
        <f t="shared" si="3"/>
        <v>Repasse 126</v>
      </c>
      <c r="AE139" s="80">
        <v>126</v>
      </c>
    </row>
    <row r="140" spans="22:31" x14ac:dyDescent="0.2">
      <c r="V140" s="50" t="s">
        <v>110</v>
      </c>
      <c r="W140" s="51" t="s">
        <v>110</v>
      </c>
      <c r="X140" s="51" t="s">
        <v>110</v>
      </c>
      <c r="Y140" s="52" t="s">
        <v>110</v>
      </c>
      <c r="Z140" s="51">
        <v>0</v>
      </c>
      <c r="AA140" s="50" t="s">
        <v>110</v>
      </c>
      <c r="AB140" s="50" t="s">
        <v>110</v>
      </c>
      <c r="AC140" s="50" t="s">
        <v>110</v>
      </c>
      <c r="AD140" s="80" t="str">
        <f t="shared" si="3"/>
        <v>Repasse 127</v>
      </c>
      <c r="AE140" s="80">
        <v>127</v>
      </c>
    </row>
    <row r="141" spans="22:31" x14ac:dyDescent="0.2">
      <c r="V141" s="50" t="s">
        <v>110</v>
      </c>
      <c r="W141" s="51" t="s">
        <v>110</v>
      </c>
      <c r="X141" s="51" t="s">
        <v>110</v>
      </c>
      <c r="Y141" s="52" t="s">
        <v>110</v>
      </c>
      <c r="Z141" s="51">
        <v>0</v>
      </c>
      <c r="AA141" s="50" t="s">
        <v>110</v>
      </c>
      <c r="AB141" s="50" t="s">
        <v>110</v>
      </c>
      <c r="AC141" s="50" t="s">
        <v>110</v>
      </c>
      <c r="AD141" s="80" t="str">
        <f t="shared" si="3"/>
        <v>Repasse 128</v>
      </c>
      <c r="AE141" s="80">
        <v>128</v>
      </c>
    </row>
    <row r="142" spans="22:31" x14ac:dyDescent="0.2">
      <c r="V142" s="50" t="s">
        <v>110</v>
      </c>
      <c r="W142" s="51" t="s">
        <v>110</v>
      </c>
      <c r="X142" s="51" t="s">
        <v>110</v>
      </c>
      <c r="Y142" s="52" t="s">
        <v>110</v>
      </c>
      <c r="Z142" s="51">
        <v>0</v>
      </c>
      <c r="AA142" s="50" t="s">
        <v>110</v>
      </c>
      <c r="AB142" s="50" t="s">
        <v>110</v>
      </c>
      <c r="AC142" s="50" t="s">
        <v>110</v>
      </c>
      <c r="AD142" s="80" t="str">
        <f t="shared" si="3"/>
        <v>Repasse 129</v>
      </c>
      <c r="AE142" s="80">
        <v>129</v>
      </c>
    </row>
    <row r="143" spans="22:31" x14ac:dyDescent="0.2">
      <c r="V143" s="50" t="s">
        <v>110</v>
      </c>
      <c r="W143" s="51" t="s">
        <v>110</v>
      </c>
      <c r="X143" s="51" t="s">
        <v>110</v>
      </c>
      <c r="Y143" s="52" t="s">
        <v>110</v>
      </c>
      <c r="Z143" s="51">
        <v>0</v>
      </c>
      <c r="AA143" s="50" t="s">
        <v>110</v>
      </c>
      <c r="AB143" s="50" t="s">
        <v>110</v>
      </c>
      <c r="AC143" s="50" t="s">
        <v>110</v>
      </c>
      <c r="AD143" s="80" t="str">
        <f t="shared" ref="AD143:AD206" si="4">$D$9 &amp; " " &amp; AE143</f>
        <v>Repasse 130</v>
      </c>
      <c r="AE143" s="80">
        <v>130</v>
      </c>
    </row>
    <row r="144" spans="22:31" x14ac:dyDescent="0.2">
      <c r="V144" s="50" t="s">
        <v>110</v>
      </c>
      <c r="W144" s="51" t="s">
        <v>110</v>
      </c>
      <c r="X144" s="51" t="s">
        <v>110</v>
      </c>
      <c r="Y144" s="52" t="s">
        <v>110</v>
      </c>
      <c r="Z144" s="51">
        <v>0</v>
      </c>
      <c r="AA144" s="50" t="s">
        <v>110</v>
      </c>
      <c r="AB144" s="50" t="s">
        <v>110</v>
      </c>
      <c r="AC144" s="50" t="s">
        <v>110</v>
      </c>
      <c r="AD144" s="80" t="str">
        <f t="shared" si="4"/>
        <v>Repasse 131</v>
      </c>
      <c r="AE144" s="80">
        <v>131</v>
      </c>
    </row>
    <row r="145" spans="22:31" x14ac:dyDescent="0.2">
      <c r="V145" s="50" t="s">
        <v>110</v>
      </c>
      <c r="W145" s="51" t="s">
        <v>110</v>
      </c>
      <c r="X145" s="51" t="s">
        <v>110</v>
      </c>
      <c r="Y145" s="52" t="s">
        <v>110</v>
      </c>
      <c r="Z145" s="51">
        <v>0</v>
      </c>
      <c r="AA145" s="50" t="s">
        <v>110</v>
      </c>
      <c r="AB145" s="50" t="s">
        <v>110</v>
      </c>
      <c r="AC145" s="50" t="s">
        <v>110</v>
      </c>
      <c r="AD145" s="80" t="str">
        <f t="shared" si="4"/>
        <v>Repasse 132</v>
      </c>
      <c r="AE145" s="80">
        <v>132</v>
      </c>
    </row>
    <row r="146" spans="22:31" x14ac:dyDescent="0.2">
      <c r="V146" s="50" t="s">
        <v>110</v>
      </c>
      <c r="W146" s="51" t="s">
        <v>110</v>
      </c>
      <c r="X146" s="51" t="s">
        <v>110</v>
      </c>
      <c r="Y146" s="52" t="s">
        <v>110</v>
      </c>
      <c r="Z146" s="51">
        <v>0</v>
      </c>
      <c r="AA146" s="50" t="s">
        <v>110</v>
      </c>
      <c r="AB146" s="50" t="s">
        <v>110</v>
      </c>
      <c r="AC146" s="50" t="s">
        <v>110</v>
      </c>
      <c r="AD146" s="80" t="str">
        <f t="shared" si="4"/>
        <v>Repasse 133</v>
      </c>
      <c r="AE146" s="80">
        <v>133</v>
      </c>
    </row>
    <row r="147" spans="22:31" x14ac:dyDescent="0.2">
      <c r="V147" s="50" t="s">
        <v>110</v>
      </c>
      <c r="W147" s="51" t="s">
        <v>110</v>
      </c>
      <c r="X147" s="51" t="s">
        <v>110</v>
      </c>
      <c r="Y147" s="52" t="s">
        <v>110</v>
      </c>
      <c r="Z147" s="51">
        <v>0</v>
      </c>
      <c r="AA147" s="50" t="s">
        <v>110</v>
      </c>
      <c r="AB147" s="50" t="s">
        <v>110</v>
      </c>
      <c r="AC147" s="50" t="s">
        <v>110</v>
      </c>
      <c r="AD147" s="80" t="str">
        <f t="shared" si="4"/>
        <v>Repasse 134</v>
      </c>
      <c r="AE147" s="80">
        <v>134</v>
      </c>
    </row>
    <row r="148" spans="22:31" x14ac:dyDescent="0.2">
      <c r="V148" s="50" t="s">
        <v>110</v>
      </c>
      <c r="W148" s="51" t="s">
        <v>110</v>
      </c>
      <c r="X148" s="51" t="s">
        <v>110</v>
      </c>
      <c r="Y148" s="52" t="s">
        <v>110</v>
      </c>
      <c r="Z148" s="51">
        <v>0</v>
      </c>
      <c r="AA148" s="50" t="s">
        <v>110</v>
      </c>
      <c r="AB148" s="50" t="s">
        <v>110</v>
      </c>
      <c r="AC148" s="50" t="s">
        <v>110</v>
      </c>
      <c r="AD148" s="80" t="str">
        <f t="shared" si="4"/>
        <v>Repasse 135</v>
      </c>
      <c r="AE148" s="80">
        <v>135</v>
      </c>
    </row>
    <row r="149" spans="22:31" x14ac:dyDescent="0.2">
      <c r="V149" s="50" t="s">
        <v>110</v>
      </c>
      <c r="W149" s="51" t="s">
        <v>110</v>
      </c>
      <c r="X149" s="51" t="s">
        <v>110</v>
      </c>
      <c r="Y149" s="52" t="s">
        <v>110</v>
      </c>
      <c r="Z149" s="51">
        <v>0</v>
      </c>
      <c r="AA149" s="50" t="s">
        <v>110</v>
      </c>
      <c r="AB149" s="50" t="s">
        <v>110</v>
      </c>
      <c r="AC149" s="50" t="s">
        <v>110</v>
      </c>
      <c r="AD149" s="80" t="str">
        <f t="shared" si="4"/>
        <v>Repasse 136</v>
      </c>
      <c r="AE149" s="80">
        <v>136</v>
      </c>
    </row>
    <row r="150" spans="22:31" x14ac:dyDescent="0.2">
      <c r="V150" s="50" t="s">
        <v>110</v>
      </c>
      <c r="W150" s="51" t="s">
        <v>110</v>
      </c>
      <c r="X150" s="51" t="s">
        <v>110</v>
      </c>
      <c r="Y150" s="52" t="s">
        <v>110</v>
      </c>
      <c r="Z150" s="51">
        <v>0</v>
      </c>
      <c r="AA150" s="50" t="s">
        <v>110</v>
      </c>
      <c r="AB150" s="50" t="s">
        <v>110</v>
      </c>
      <c r="AC150" s="50" t="s">
        <v>110</v>
      </c>
      <c r="AD150" s="80" t="str">
        <f t="shared" si="4"/>
        <v>Repasse 137</v>
      </c>
      <c r="AE150" s="80">
        <v>137</v>
      </c>
    </row>
    <row r="151" spans="22:31" x14ac:dyDescent="0.2">
      <c r="V151" s="50" t="s">
        <v>110</v>
      </c>
      <c r="W151" s="51" t="s">
        <v>110</v>
      </c>
      <c r="X151" s="51" t="s">
        <v>110</v>
      </c>
      <c r="Y151" s="52" t="s">
        <v>110</v>
      </c>
      <c r="Z151" s="51">
        <v>0</v>
      </c>
      <c r="AA151" s="50" t="s">
        <v>110</v>
      </c>
      <c r="AB151" s="50" t="s">
        <v>110</v>
      </c>
      <c r="AC151" s="50" t="s">
        <v>110</v>
      </c>
      <c r="AD151" s="80" t="str">
        <f t="shared" si="4"/>
        <v>Repasse 138</v>
      </c>
      <c r="AE151" s="80">
        <v>138</v>
      </c>
    </row>
    <row r="152" spans="22:31" x14ac:dyDescent="0.2">
      <c r="V152" s="50" t="s">
        <v>110</v>
      </c>
      <c r="W152" s="51" t="s">
        <v>110</v>
      </c>
      <c r="X152" s="51" t="s">
        <v>110</v>
      </c>
      <c r="Y152" s="52" t="s">
        <v>110</v>
      </c>
      <c r="Z152" s="51">
        <v>0</v>
      </c>
      <c r="AA152" s="50" t="s">
        <v>110</v>
      </c>
      <c r="AB152" s="50" t="s">
        <v>110</v>
      </c>
      <c r="AC152" s="50" t="s">
        <v>110</v>
      </c>
      <c r="AD152" s="80" t="str">
        <f t="shared" si="4"/>
        <v>Repasse 139</v>
      </c>
      <c r="AE152" s="80">
        <v>139</v>
      </c>
    </row>
    <row r="153" spans="22:31" x14ac:dyDescent="0.2">
      <c r="V153" s="50" t="s">
        <v>110</v>
      </c>
      <c r="W153" s="51" t="s">
        <v>110</v>
      </c>
      <c r="X153" s="51" t="s">
        <v>110</v>
      </c>
      <c r="Y153" s="52" t="s">
        <v>110</v>
      </c>
      <c r="Z153" s="51">
        <v>0</v>
      </c>
      <c r="AA153" s="50" t="s">
        <v>110</v>
      </c>
      <c r="AB153" s="50" t="s">
        <v>110</v>
      </c>
      <c r="AC153" s="50" t="s">
        <v>110</v>
      </c>
      <c r="AD153" s="80" t="str">
        <f t="shared" si="4"/>
        <v>Repasse 140</v>
      </c>
      <c r="AE153" s="80">
        <v>140</v>
      </c>
    </row>
    <row r="154" spans="22:31" x14ac:dyDescent="0.2">
      <c r="V154" s="50" t="s">
        <v>110</v>
      </c>
      <c r="W154" s="51" t="s">
        <v>110</v>
      </c>
      <c r="X154" s="51" t="s">
        <v>110</v>
      </c>
      <c r="Y154" s="52" t="s">
        <v>110</v>
      </c>
      <c r="Z154" s="51">
        <v>0</v>
      </c>
      <c r="AA154" s="50" t="s">
        <v>110</v>
      </c>
      <c r="AB154" s="50" t="s">
        <v>110</v>
      </c>
      <c r="AC154" s="50" t="s">
        <v>110</v>
      </c>
      <c r="AD154" s="80" t="str">
        <f t="shared" si="4"/>
        <v>Repasse 141</v>
      </c>
      <c r="AE154" s="80">
        <v>141</v>
      </c>
    </row>
    <row r="155" spans="22:31" x14ac:dyDescent="0.2">
      <c r="V155" s="50" t="s">
        <v>110</v>
      </c>
      <c r="W155" s="51" t="s">
        <v>110</v>
      </c>
      <c r="X155" s="51" t="s">
        <v>110</v>
      </c>
      <c r="Y155" s="52" t="s">
        <v>110</v>
      </c>
      <c r="Z155" s="51">
        <v>0</v>
      </c>
      <c r="AA155" s="50" t="s">
        <v>110</v>
      </c>
      <c r="AB155" s="50" t="s">
        <v>110</v>
      </c>
      <c r="AC155" s="50" t="s">
        <v>110</v>
      </c>
      <c r="AD155" s="80" t="str">
        <f t="shared" si="4"/>
        <v>Repasse 142</v>
      </c>
      <c r="AE155" s="80">
        <v>142</v>
      </c>
    </row>
    <row r="156" spans="22:31" x14ac:dyDescent="0.2">
      <c r="V156" s="50" t="s">
        <v>110</v>
      </c>
      <c r="W156" s="51" t="s">
        <v>110</v>
      </c>
      <c r="X156" s="51" t="s">
        <v>110</v>
      </c>
      <c r="Y156" s="52" t="s">
        <v>110</v>
      </c>
      <c r="Z156" s="51">
        <v>0</v>
      </c>
      <c r="AA156" s="50" t="s">
        <v>110</v>
      </c>
      <c r="AB156" s="50" t="s">
        <v>110</v>
      </c>
      <c r="AC156" s="50" t="s">
        <v>110</v>
      </c>
      <c r="AD156" s="80" t="str">
        <f t="shared" si="4"/>
        <v>Repasse 143</v>
      </c>
      <c r="AE156" s="80">
        <v>143</v>
      </c>
    </row>
    <row r="157" spans="22:31" x14ac:dyDescent="0.2">
      <c r="V157" s="50" t="s">
        <v>110</v>
      </c>
      <c r="W157" s="51" t="s">
        <v>110</v>
      </c>
      <c r="X157" s="51" t="s">
        <v>110</v>
      </c>
      <c r="Y157" s="52" t="s">
        <v>110</v>
      </c>
      <c r="Z157" s="51">
        <v>0</v>
      </c>
      <c r="AA157" s="50" t="s">
        <v>110</v>
      </c>
      <c r="AB157" s="50" t="s">
        <v>110</v>
      </c>
      <c r="AC157" s="50" t="s">
        <v>110</v>
      </c>
      <c r="AD157" s="80" t="str">
        <f t="shared" si="4"/>
        <v>Repasse 144</v>
      </c>
      <c r="AE157" s="80">
        <v>144</v>
      </c>
    </row>
    <row r="158" spans="22:31" x14ac:dyDescent="0.2">
      <c r="V158" s="50" t="s">
        <v>110</v>
      </c>
      <c r="W158" s="51" t="s">
        <v>110</v>
      </c>
      <c r="X158" s="51" t="s">
        <v>110</v>
      </c>
      <c r="Y158" s="52" t="s">
        <v>110</v>
      </c>
      <c r="Z158" s="51">
        <v>0</v>
      </c>
      <c r="AA158" s="50" t="s">
        <v>110</v>
      </c>
      <c r="AB158" s="50" t="s">
        <v>110</v>
      </c>
      <c r="AC158" s="50" t="s">
        <v>110</v>
      </c>
      <c r="AD158" s="80" t="str">
        <f t="shared" si="4"/>
        <v>Repasse 145</v>
      </c>
      <c r="AE158" s="80">
        <v>145</v>
      </c>
    </row>
    <row r="159" spans="22:31" x14ac:dyDescent="0.2">
      <c r="V159" s="50" t="s">
        <v>110</v>
      </c>
      <c r="W159" s="51" t="s">
        <v>110</v>
      </c>
      <c r="X159" s="51" t="s">
        <v>110</v>
      </c>
      <c r="Y159" s="52" t="s">
        <v>110</v>
      </c>
      <c r="Z159" s="51">
        <v>0</v>
      </c>
      <c r="AA159" s="50" t="s">
        <v>110</v>
      </c>
      <c r="AB159" s="50" t="s">
        <v>110</v>
      </c>
      <c r="AC159" s="50" t="s">
        <v>110</v>
      </c>
      <c r="AD159" s="80" t="str">
        <f t="shared" si="4"/>
        <v>Repasse 146</v>
      </c>
      <c r="AE159" s="80">
        <v>146</v>
      </c>
    </row>
    <row r="160" spans="22:31" x14ac:dyDescent="0.2">
      <c r="V160" s="50" t="s">
        <v>110</v>
      </c>
      <c r="W160" s="51" t="s">
        <v>110</v>
      </c>
      <c r="X160" s="51" t="s">
        <v>110</v>
      </c>
      <c r="Y160" s="52" t="s">
        <v>110</v>
      </c>
      <c r="Z160" s="51">
        <v>0</v>
      </c>
      <c r="AA160" s="50" t="s">
        <v>110</v>
      </c>
      <c r="AB160" s="50" t="s">
        <v>110</v>
      </c>
      <c r="AC160" s="50" t="s">
        <v>110</v>
      </c>
      <c r="AD160" s="80" t="str">
        <f t="shared" si="4"/>
        <v>Repasse 147</v>
      </c>
      <c r="AE160" s="80">
        <v>147</v>
      </c>
    </row>
    <row r="161" spans="22:31" x14ac:dyDescent="0.2">
      <c r="V161" s="50" t="s">
        <v>110</v>
      </c>
      <c r="W161" s="51" t="s">
        <v>110</v>
      </c>
      <c r="X161" s="51" t="s">
        <v>110</v>
      </c>
      <c r="Y161" s="52" t="s">
        <v>110</v>
      </c>
      <c r="Z161" s="51">
        <v>0</v>
      </c>
      <c r="AA161" s="50" t="s">
        <v>110</v>
      </c>
      <c r="AB161" s="50" t="s">
        <v>110</v>
      </c>
      <c r="AC161" s="50" t="s">
        <v>110</v>
      </c>
      <c r="AD161" s="80" t="str">
        <f t="shared" si="4"/>
        <v>Repasse 148</v>
      </c>
      <c r="AE161" s="80">
        <v>148</v>
      </c>
    </row>
    <row r="162" spans="22:31" x14ac:dyDescent="0.2">
      <c r="V162" s="50" t="s">
        <v>110</v>
      </c>
      <c r="W162" s="51" t="s">
        <v>110</v>
      </c>
      <c r="X162" s="51" t="s">
        <v>110</v>
      </c>
      <c r="Y162" s="52" t="s">
        <v>110</v>
      </c>
      <c r="Z162" s="51">
        <v>0</v>
      </c>
      <c r="AA162" s="50" t="s">
        <v>110</v>
      </c>
      <c r="AB162" s="50" t="s">
        <v>110</v>
      </c>
      <c r="AC162" s="50" t="s">
        <v>110</v>
      </c>
      <c r="AD162" s="80" t="str">
        <f t="shared" si="4"/>
        <v>Repasse 149</v>
      </c>
      <c r="AE162" s="80">
        <v>149</v>
      </c>
    </row>
    <row r="163" spans="22:31" x14ac:dyDescent="0.2">
      <c r="V163" s="50" t="s">
        <v>110</v>
      </c>
      <c r="W163" s="51" t="s">
        <v>110</v>
      </c>
      <c r="X163" s="51" t="s">
        <v>110</v>
      </c>
      <c r="Y163" s="52" t="s">
        <v>110</v>
      </c>
      <c r="Z163" s="51">
        <v>0</v>
      </c>
      <c r="AA163" s="50" t="s">
        <v>110</v>
      </c>
      <c r="AB163" s="50" t="s">
        <v>110</v>
      </c>
      <c r="AC163" s="50" t="s">
        <v>110</v>
      </c>
      <c r="AD163" s="80" t="str">
        <f t="shared" si="4"/>
        <v>Repasse 150</v>
      </c>
      <c r="AE163" s="80">
        <v>150</v>
      </c>
    </row>
    <row r="164" spans="22:31" x14ac:dyDescent="0.2">
      <c r="V164" s="50" t="s">
        <v>110</v>
      </c>
      <c r="W164" s="51" t="s">
        <v>110</v>
      </c>
      <c r="X164" s="51" t="s">
        <v>110</v>
      </c>
      <c r="Y164" s="52" t="s">
        <v>110</v>
      </c>
      <c r="Z164" s="51">
        <v>0</v>
      </c>
      <c r="AA164" s="50" t="s">
        <v>110</v>
      </c>
      <c r="AB164" s="50" t="s">
        <v>110</v>
      </c>
      <c r="AC164" s="50" t="s">
        <v>110</v>
      </c>
      <c r="AD164" s="80" t="str">
        <f t="shared" si="4"/>
        <v>Repasse 151</v>
      </c>
      <c r="AE164" s="80">
        <v>151</v>
      </c>
    </row>
    <row r="165" spans="22:31" x14ac:dyDescent="0.2">
      <c r="V165" s="50" t="s">
        <v>110</v>
      </c>
      <c r="W165" s="51" t="s">
        <v>110</v>
      </c>
      <c r="X165" s="51" t="s">
        <v>110</v>
      </c>
      <c r="Y165" s="52" t="s">
        <v>110</v>
      </c>
      <c r="Z165" s="51">
        <v>0</v>
      </c>
      <c r="AA165" s="50" t="s">
        <v>110</v>
      </c>
      <c r="AB165" s="50" t="s">
        <v>110</v>
      </c>
      <c r="AC165" s="50" t="s">
        <v>110</v>
      </c>
      <c r="AD165" s="80" t="str">
        <f t="shared" si="4"/>
        <v>Repasse 152</v>
      </c>
      <c r="AE165" s="80">
        <v>152</v>
      </c>
    </row>
    <row r="166" spans="22:31" x14ac:dyDescent="0.2">
      <c r="V166" s="50" t="s">
        <v>110</v>
      </c>
      <c r="W166" s="51" t="s">
        <v>110</v>
      </c>
      <c r="X166" s="51" t="s">
        <v>110</v>
      </c>
      <c r="Y166" s="52" t="s">
        <v>110</v>
      </c>
      <c r="Z166" s="51">
        <v>0</v>
      </c>
      <c r="AA166" s="50" t="s">
        <v>110</v>
      </c>
      <c r="AB166" s="50" t="s">
        <v>110</v>
      </c>
      <c r="AC166" s="50" t="s">
        <v>110</v>
      </c>
      <c r="AD166" s="80" t="str">
        <f t="shared" si="4"/>
        <v>Repasse 153</v>
      </c>
      <c r="AE166" s="80">
        <v>153</v>
      </c>
    </row>
    <row r="167" spans="22:31" x14ac:dyDescent="0.2">
      <c r="V167" s="50" t="s">
        <v>110</v>
      </c>
      <c r="W167" s="51" t="s">
        <v>110</v>
      </c>
      <c r="X167" s="51" t="s">
        <v>110</v>
      </c>
      <c r="Y167" s="52" t="s">
        <v>110</v>
      </c>
      <c r="Z167" s="51">
        <v>0</v>
      </c>
      <c r="AA167" s="50" t="s">
        <v>110</v>
      </c>
      <c r="AB167" s="50" t="s">
        <v>110</v>
      </c>
      <c r="AC167" s="50" t="s">
        <v>110</v>
      </c>
      <c r="AD167" s="80" t="str">
        <f t="shared" si="4"/>
        <v>Repasse 154</v>
      </c>
      <c r="AE167" s="80">
        <v>154</v>
      </c>
    </row>
    <row r="168" spans="22:31" x14ac:dyDescent="0.2">
      <c r="V168" s="50" t="s">
        <v>110</v>
      </c>
      <c r="W168" s="51" t="s">
        <v>110</v>
      </c>
      <c r="X168" s="51" t="s">
        <v>110</v>
      </c>
      <c r="Y168" s="52" t="s">
        <v>110</v>
      </c>
      <c r="Z168" s="51">
        <v>0</v>
      </c>
      <c r="AA168" s="50" t="s">
        <v>110</v>
      </c>
      <c r="AB168" s="50" t="s">
        <v>110</v>
      </c>
      <c r="AC168" s="50" t="s">
        <v>110</v>
      </c>
      <c r="AD168" s="80" t="str">
        <f t="shared" si="4"/>
        <v>Repasse 155</v>
      </c>
      <c r="AE168" s="80">
        <v>155</v>
      </c>
    </row>
    <row r="169" spans="22:31" x14ac:dyDescent="0.2">
      <c r="V169" s="50" t="s">
        <v>110</v>
      </c>
      <c r="W169" s="51" t="s">
        <v>110</v>
      </c>
      <c r="X169" s="51" t="s">
        <v>110</v>
      </c>
      <c r="Y169" s="52" t="s">
        <v>110</v>
      </c>
      <c r="Z169" s="51">
        <v>0</v>
      </c>
      <c r="AA169" s="50" t="s">
        <v>110</v>
      </c>
      <c r="AB169" s="50" t="s">
        <v>110</v>
      </c>
      <c r="AC169" s="50" t="s">
        <v>110</v>
      </c>
      <c r="AD169" s="80" t="str">
        <f t="shared" si="4"/>
        <v>Repasse 156</v>
      </c>
      <c r="AE169" s="80">
        <v>156</v>
      </c>
    </row>
    <row r="170" spans="22:31" x14ac:dyDescent="0.2">
      <c r="V170" s="50" t="s">
        <v>110</v>
      </c>
      <c r="W170" s="51" t="s">
        <v>110</v>
      </c>
      <c r="X170" s="51" t="s">
        <v>110</v>
      </c>
      <c r="Y170" s="52" t="s">
        <v>110</v>
      </c>
      <c r="Z170" s="51">
        <v>0</v>
      </c>
      <c r="AA170" s="50" t="s">
        <v>110</v>
      </c>
      <c r="AB170" s="50" t="s">
        <v>110</v>
      </c>
      <c r="AC170" s="50" t="s">
        <v>110</v>
      </c>
      <c r="AD170" s="80" t="str">
        <f t="shared" si="4"/>
        <v>Repasse 157</v>
      </c>
      <c r="AE170" s="80">
        <v>157</v>
      </c>
    </row>
    <row r="171" spans="22:31" x14ac:dyDescent="0.2">
      <c r="V171" s="50" t="s">
        <v>110</v>
      </c>
      <c r="W171" s="51" t="s">
        <v>110</v>
      </c>
      <c r="X171" s="51" t="s">
        <v>110</v>
      </c>
      <c r="Y171" s="52" t="s">
        <v>110</v>
      </c>
      <c r="Z171" s="51">
        <v>0</v>
      </c>
      <c r="AA171" s="50" t="s">
        <v>110</v>
      </c>
      <c r="AB171" s="50" t="s">
        <v>110</v>
      </c>
      <c r="AC171" s="50" t="s">
        <v>110</v>
      </c>
      <c r="AD171" s="80" t="str">
        <f t="shared" si="4"/>
        <v>Repasse 158</v>
      </c>
      <c r="AE171" s="80">
        <v>158</v>
      </c>
    </row>
    <row r="172" spans="22:31" x14ac:dyDescent="0.2">
      <c r="V172" s="50" t="s">
        <v>110</v>
      </c>
      <c r="W172" s="51" t="s">
        <v>110</v>
      </c>
      <c r="X172" s="51" t="s">
        <v>110</v>
      </c>
      <c r="Y172" s="52" t="s">
        <v>110</v>
      </c>
      <c r="Z172" s="51">
        <v>0</v>
      </c>
      <c r="AA172" s="50" t="s">
        <v>110</v>
      </c>
      <c r="AB172" s="50" t="s">
        <v>110</v>
      </c>
      <c r="AC172" s="50" t="s">
        <v>110</v>
      </c>
      <c r="AD172" s="80" t="str">
        <f t="shared" si="4"/>
        <v>Repasse 159</v>
      </c>
      <c r="AE172" s="80">
        <v>159</v>
      </c>
    </row>
    <row r="173" spans="22:31" x14ac:dyDescent="0.2">
      <c r="V173" s="50" t="s">
        <v>110</v>
      </c>
      <c r="W173" s="51" t="s">
        <v>110</v>
      </c>
      <c r="X173" s="51" t="s">
        <v>110</v>
      </c>
      <c r="Y173" s="52" t="s">
        <v>110</v>
      </c>
      <c r="Z173" s="51">
        <v>0</v>
      </c>
      <c r="AA173" s="50" t="s">
        <v>110</v>
      </c>
      <c r="AB173" s="50" t="s">
        <v>110</v>
      </c>
      <c r="AC173" s="50" t="s">
        <v>110</v>
      </c>
      <c r="AD173" s="80" t="str">
        <f t="shared" si="4"/>
        <v>Repasse 160</v>
      </c>
      <c r="AE173" s="80">
        <v>160</v>
      </c>
    </row>
    <row r="174" spans="22:31" x14ac:dyDescent="0.2">
      <c r="V174" s="50" t="s">
        <v>110</v>
      </c>
      <c r="W174" s="51" t="s">
        <v>110</v>
      </c>
      <c r="X174" s="51" t="s">
        <v>110</v>
      </c>
      <c r="Y174" s="52" t="s">
        <v>110</v>
      </c>
      <c r="Z174" s="51">
        <v>0</v>
      </c>
      <c r="AA174" s="50" t="s">
        <v>110</v>
      </c>
      <c r="AB174" s="50" t="s">
        <v>110</v>
      </c>
      <c r="AC174" s="50" t="s">
        <v>110</v>
      </c>
      <c r="AD174" s="80" t="str">
        <f t="shared" si="4"/>
        <v>Repasse 161</v>
      </c>
      <c r="AE174" s="80">
        <v>161</v>
      </c>
    </row>
    <row r="175" spans="22:31" x14ac:dyDescent="0.2">
      <c r="V175" s="50" t="s">
        <v>110</v>
      </c>
      <c r="W175" s="51" t="s">
        <v>110</v>
      </c>
      <c r="X175" s="51" t="s">
        <v>110</v>
      </c>
      <c r="Y175" s="52" t="s">
        <v>110</v>
      </c>
      <c r="Z175" s="51">
        <v>0</v>
      </c>
      <c r="AA175" s="50" t="s">
        <v>110</v>
      </c>
      <c r="AB175" s="50" t="s">
        <v>110</v>
      </c>
      <c r="AC175" s="50" t="s">
        <v>110</v>
      </c>
      <c r="AD175" s="80" t="str">
        <f t="shared" si="4"/>
        <v>Repasse 162</v>
      </c>
      <c r="AE175" s="80">
        <v>162</v>
      </c>
    </row>
    <row r="176" spans="22:31" x14ac:dyDescent="0.2">
      <c r="V176" s="50" t="s">
        <v>110</v>
      </c>
      <c r="W176" s="51" t="s">
        <v>110</v>
      </c>
      <c r="X176" s="51" t="s">
        <v>110</v>
      </c>
      <c r="Y176" s="52" t="s">
        <v>110</v>
      </c>
      <c r="Z176" s="51">
        <v>0</v>
      </c>
      <c r="AA176" s="50" t="s">
        <v>110</v>
      </c>
      <c r="AB176" s="50" t="s">
        <v>110</v>
      </c>
      <c r="AC176" s="50" t="s">
        <v>110</v>
      </c>
      <c r="AD176" s="80" t="str">
        <f t="shared" si="4"/>
        <v>Repasse 163</v>
      </c>
      <c r="AE176" s="80">
        <v>163</v>
      </c>
    </row>
    <row r="177" spans="22:31" x14ac:dyDescent="0.2">
      <c r="V177" s="50" t="s">
        <v>110</v>
      </c>
      <c r="W177" s="51" t="s">
        <v>110</v>
      </c>
      <c r="X177" s="51" t="s">
        <v>110</v>
      </c>
      <c r="Y177" s="52" t="s">
        <v>110</v>
      </c>
      <c r="Z177" s="51">
        <v>0</v>
      </c>
      <c r="AA177" s="50" t="s">
        <v>110</v>
      </c>
      <c r="AB177" s="50" t="s">
        <v>110</v>
      </c>
      <c r="AC177" s="50" t="s">
        <v>110</v>
      </c>
      <c r="AD177" s="80" t="str">
        <f t="shared" si="4"/>
        <v>Repasse 164</v>
      </c>
      <c r="AE177" s="80">
        <v>164</v>
      </c>
    </row>
    <row r="178" spans="22:31" x14ac:dyDescent="0.2">
      <c r="V178" s="50" t="s">
        <v>110</v>
      </c>
      <c r="W178" s="51" t="s">
        <v>110</v>
      </c>
      <c r="X178" s="51" t="s">
        <v>110</v>
      </c>
      <c r="Y178" s="52" t="s">
        <v>110</v>
      </c>
      <c r="Z178" s="51">
        <v>0</v>
      </c>
      <c r="AA178" s="50" t="s">
        <v>110</v>
      </c>
      <c r="AB178" s="50" t="s">
        <v>110</v>
      </c>
      <c r="AC178" s="50" t="s">
        <v>110</v>
      </c>
      <c r="AD178" s="80" t="str">
        <f t="shared" si="4"/>
        <v>Repasse 165</v>
      </c>
      <c r="AE178" s="80">
        <v>165</v>
      </c>
    </row>
    <row r="179" spans="22:31" x14ac:dyDescent="0.2">
      <c r="V179" s="50" t="s">
        <v>110</v>
      </c>
      <c r="W179" s="51" t="s">
        <v>110</v>
      </c>
      <c r="X179" s="51" t="s">
        <v>110</v>
      </c>
      <c r="Y179" s="52" t="s">
        <v>110</v>
      </c>
      <c r="Z179" s="51">
        <v>0</v>
      </c>
      <c r="AA179" s="50" t="s">
        <v>110</v>
      </c>
      <c r="AB179" s="50" t="s">
        <v>110</v>
      </c>
      <c r="AC179" s="50" t="s">
        <v>110</v>
      </c>
      <c r="AD179" s="80" t="str">
        <f t="shared" si="4"/>
        <v>Repasse 166</v>
      </c>
      <c r="AE179" s="80">
        <v>166</v>
      </c>
    </row>
    <row r="180" spans="22:31" x14ac:dyDescent="0.2">
      <c r="V180" s="50" t="s">
        <v>110</v>
      </c>
      <c r="W180" s="51" t="s">
        <v>110</v>
      </c>
      <c r="X180" s="51" t="s">
        <v>110</v>
      </c>
      <c r="Y180" s="52" t="s">
        <v>110</v>
      </c>
      <c r="Z180" s="51">
        <v>0</v>
      </c>
      <c r="AA180" s="50" t="s">
        <v>110</v>
      </c>
      <c r="AB180" s="50" t="s">
        <v>110</v>
      </c>
      <c r="AC180" s="50" t="s">
        <v>110</v>
      </c>
      <c r="AD180" s="80" t="str">
        <f t="shared" si="4"/>
        <v>Repasse 167</v>
      </c>
      <c r="AE180" s="80">
        <v>167</v>
      </c>
    </row>
    <row r="181" spans="22:31" x14ac:dyDescent="0.2">
      <c r="V181" s="50" t="s">
        <v>110</v>
      </c>
      <c r="W181" s="51" t="s">
        <v>110</v>
      </c>
      <c r="X181" s="51" t="s">
        <v>110</v>
      </c>
      <c r="Y181" s="52" t="s">
        <v>110</v>
      </c>
      <c r="Z181" s="51">
        <v>0</v>
      </c>
      <c r="AA181" s="50" t="s">
        <v>110</v>
      </c>
      <c r="AB181" s="50" t="s">
        <v>110</v>
      </c>
      <c r="AC181" s="50" t="s">
        <v>110</v>
      </c>
      <c r="AD181" s="80" t="str">
        <f t="shared" si="4"/>
        <v>Repasse 168</v>
      </c>
      <c r="AE181" s="80">
        <v>168</v>
      </c>
    </row>
    <row r="182" spans="22:31" x14ac:dyDescent="0.2">
      <c r="V182" s="50" t="s">
        <v>110</v>
      </c>
      <c r="W182" s="51" t="s">
        <v>110</v>
      </c>
      <c r="X182" s="51" t="s">
        <v>110</v>
      </c>
      <c r="Y182" s="52" t="s">
        <v>110</v>
      </c>
      <c r="Z182" s="51">
        <v>0</v>
      </c>
      <c r="AA182" s="50" t="s">
        <v>110</v>
      </c>
      <c r="AB182" s="50" t="s">
        <v>110</v>
      </c>
      <c r="AC182" s="50" t="s">
        <v>110</v>
      </c>
      <c r="AD182" s="80" t="str">
        <f t="shared" si="4"/>
        <v>Repasse 169</v>
      </c>
      <c r="AE182" s="80">
        <v>169</v>
      </c>
    </row>
    <row r="183" spans="22:31" x14ac:dyDescent="0.2">
      <c r="V183" s="50" t="s">
        <v>110</v>
      </c>
      <c r="W183" s="51" t="s">
        <v>110</v>
      </c>
      <c r="X183" s="51" t="s">
        <v>110</v>
      </c>
      <c r="Y183" s="52" t="s">
        <v>110</v>
      </c>
      <c r="Z183" s="51">
        <v>0</v>
      </c>
      <c r="AA183" s="50" t="s">
        <v>110</v>
      </c>
      <c r="AB183" s="50" t="s">
        <v>110</v>
      </c>
      <c r="AC183" s="50" t="s">
        <v>110</v>
      </c>
      <c r="AD183" s="80" t="str">
        <f t="shared" si="4"/>
        <v>Repasse 170</v>
      </c>
      <c r="AE183" s="80">
        <v>170</v>
      </c>
    </row>
    <row r="184" spans="22:31" x14ac:dyDescent="0.2">
      <c r="V184" s="50" t="s">
        <v>110</v>
      </c>
      <c r="W184" s="51" t="s">
        <v>110</v>
      </c>
      <c r="X184" s="51" t="s">
        <v>110</v>
      </c>
      <c r="Y184" s="52" t="s">
        <v>110</v>
      </c>
      <c r="Z184" s="51">
        <v>0</v>
      </c>
      <c r="AA184" s="50" t="s">
        <v>110</v>
      </c>
      <c r="AB184" s="50" t="s">
        <v>110</v>
      </c>
      <c r="AC184" s="50" t="s">
        <v>110</v>
      </c>
      <c r="AD184" s="80" t="str">
        <f t="shared" si="4"/>
        <v>Repasse 171</v>
      </c>
      <c r="AE184" s="80">
        <v>171</v>
      </c>
    </row>
    <row r="185" spans="22:31" x14ac:dyDescent="0.2">
      <c r="V185" s="50" t="s">
        <v>110</v>
      </c>
      <c r="W185" s="51" t="s">
        <v>110</v>
      </c>
      <c r="X185" s="51" t="s">
        <v>110</v>
      </c>
      <c r="Y185" s="52" t="s">
        <v>110</v>
      </c>
      <c r="Z185" s="51">
        <v>0</v>
      </c>
      <c r="AA185" s="50" t="s">
        <v>110</v>
      </c>
      <c r="AB185" s="50" t="s">
        <v>110</v>
      </c>
      <c r="AC185" s="50" t="s">
        <v>110</v>
      </c>
      <c r="AD185" s="80" t="str">
        <f t="shared" si="4"/>
        <v>Repasse 172</v>
      </c>
      <c r="AE185" s="80">
        <v>172</v>
      </c>
    </row>
    <row r="186" spans="22:31" x14ac:dyDescent="0.2">
      <c r="V186" s="50" t="s">
        <v>110</v>
      </c>
      <c r="W186" s="51" t="s">
        <v>110</v>
      </c>
      <c r="X186" s="51" t="s">
        <v>110</v>
      </c>
      <c r="Y186" s="52" t="s">
        <v>110</v>
      </c>
      <c r="Z186" s="51">
        <v>0</v>
      </c>
      <c r="AA186" s="50" t="s">
        <v>110</v>
      </c>
      <c r="AB186" s="50" t="s">
        <v>110</v>
      </c>
      <c r="AC186" s="50" t="s">
        <v>110</v>
      </c>
      <c r="AD186" s="80" t="str">
        <f t="shared" si="4"/>
        <v>Repasse 173</v>
      </c>
      <c r="AE186" s="80">
        <v>173</v>
      </c>
    </row>
    <row r="187" spans="22:31" x14ac:dyDescent="0.2">
      <c r="V187" s="50" t="s">
        <v>110</v>
      </c>
      <c r="W187" s="51" t="s">
        <v>110</v>
      </c>
      <c r="X187" s="51" t="s">
        <v>110</v>
      </c>
      <c r="Y187" s="52" t="s">
        <v>110</v>
      </c>
      <c r="Z187" s="51">
        <v>0</v>
      </c>
      <c r="AA187" s="50" t="s">
        <v>110</v>
      </c>
      <c r="AB187" s="50" t="s">
        <v>110</v>
      </c>
      <c r="AC187" s="50" t="s">
        <v>110</v>
      </c>
      <c r="AD187" s="80" t="str">
        <f t="shared" si="4"/>
        <v>Repasse 174</v>
      </c>
      <c r="AE187" s="80">
        <v>174</v>
      </c>
    </row>
    <row r="188" spans="22:31" x14ac:dyDescent="0.2">
      <c r="V188" s="50" t="s">
        <v>110</v>
      </c>
      <c r="W188" s="51" t="s">
        <v>110</v>
      </c>
      <c r="X188" s="51" t="s">
        <v>110</v>
      </c>
      <c r="Y188" s="52" t="s">
        <v>110</v>
      </c>
      <c r="Z188" s="51">
        <v>0</v>
      </c>
      <c r="AA188" s="50" t="s">
        <v>110</v>
      </c>
      <c r="AB188" s="50" t="s">
        <v>110</v>
      </c>
      <c r="AC188" s="50" t="s">
        <v>110</v>
      </c>
      <c r="AD188" s="80" t="str">
        <f t="shared" si="4"/>
        <v>Repasse 175</v>
      </c>
      <c r="AE188" s="80">
        <v>175</v>
      </c>
    </row>
    <row r="189" spans="22:31" x14ac:dyDescent="0.2">
      <c r="V189" s="50" t="s">
        <v>110</v>
      </c>
      <c r="W189" s="51" t="s">
        <v>110</v>
      </c>
      <c r="X189" s="51" t="s">
        <v>110</v>
      </c>
      <c r="Y189" s="52" t="s">
        <v>110</v>
      </c>
      <c r="Z189" s="51">
        <v>0</v>
      </c>
      <c r="AA189" s="50" t="s">
        <v>110</v>
      </c>
      <c r="AB189" s="50" t="s">
        <v>110</v>
      </c>
      <c r="AC189" s="50" t="s">
        <v>110</v>
      </c>
      <c r="AD189" s="80" t="str">
        <f t="shared" si="4"/>
        <v>Repasse 176</v>
      </c>
      <c r="AE189" s="80">
        <v>176</v>
      </c>
    </row>
    <row r="190" spans="22:31" x14ac:dyDescent="0.2">
      <c r="V190" s="50" t="s">
        <v>110</v>
      </c>
      <c r="W190" s="51" t="s">
        <v>110</v>
      </c>
      <c r="X190" s="51" t="s">
        <v>110</v>
      </c>
      <c r="Y190" s="52" t="s">
        <v>110</v>
      </c>
      <c r="Z190" s="51">
        <v>0</v>
      </c>
      <c r="AA190" s="50" t="s">
        <v>110</v>
      </c>
      <c r="AB190" s="50" t="s">
        <v>110</v>
      </c>
      <c r="AC190" s="50" t="s">
        <v>110</v>
      </c>
      <c r="AD190" s="80" t="str">
        <f t="shared" si="4"/>
        <v>Repasse 177</v>
      </c>
      <c r="AE190" s="80">
        <v>177</v>
      </c>
    </row>
    <row r="191" spans="22:31" x14ac:dyDescent="0.2">
      <c r="V191" s="50" t="s">
        <v>110</v>
      </c>
      <c r="W191" s="51" t="s">
        <v>110</v>
      </c>
      <c r="X191" s="51" t="s">
        <v>110</v>
      </c>
      <c r="Y191" s="52" t="s">
        <v>110</v>
      </c>
      <c r="Z191" s="51">
        <v>0</v>
      </c>
      <c r="AA191" s="50" t="s">
        <v>110</v>
      </c>
      <c r="AB191" s="50" t="s">
        <v>110</v>
      </c>
      <c r="AC191" s="50" t="s">
        <v>110</v>
      </c>
      <c r="AD191" s="80" t="str">
        <f t="shared" si="4"/>
        <v>Repasse 178</v>
      </c>
      <c r="AE191" s="80">
        <v>178</v>
      </c>
    </row>
    <row r="192" spans="22:31" x14ac:dyDescent="0.2">
      <c r="V192" s="50" t="s">
        <v>110</v>
      </c>
      <c r="W192" s="51" t="s">
        <v>110</v>
      </c>
      <c r="X192" s="51" t="s">
        <v>110</v>
      </c>
      <c r="Y192" s="52" t="s">
        <v>110</v>
      </c>
      <c r="Z192" s="51">
        <v>0</v>
      </c>
      <c r="AA192" s="50" t="s">
        <v>110</v>
      </c>
      <c r="AB192" s="50" t="s">
        <v>110</v>
      </c>
      <c r="AC192" s="50" t="s">
        <v>110</v>
      </c>
      <c r="AD192" s="80" t="str">
        <f t="shared" si="4"/>
        <v>Repasse 179</v>
      </c>
      <c r="AE192" s="80">
        <v>179</v>
      </c>
    </row>
    <row r="193" spans="22:31" x14ac:dyDescent="0.2">
      <c r="V193" s="50" t="s">
        <v>110</v>
      </c>
      <c r="W193" s="51" t="s">
        <v>110</v>
      </c>
      <c r="X193" s="51" t="s">
        <v>110</v>
      </c>
      <c r="Y193" s="52" t="s">
        <v>110</v>
      </c>
      <c r="Z193" s="51">
        <v>0</v>
      </c>
      <c r="AA193" s="50" t="s">
        <v>110</v>
      </c>
      <c r="AB193" s="50" t="s">
        <v>110</v>
      </c>
      <c r="AC193" s="50" t="s">
        <v>110</v>
      </c>
      <c r="AD193" s="80" t="str">
        <f t="shared" si="4"/>
        <v>Repasse 180</v>
      </c>
      <c r="AE193" s="80">
        <v>180</v>
      </c>
    </row>
    <row r="194" spans="22:31" x14ac:dyDescent="0.2">
      <c r="V194" s="50" t="s">
        <v>110</v>
      </c>
      <c r="W194" s="51" t="s">
        <v>110</v>
      </c>
      <c r="X194" s="51" t="s">
        <v>110</v>
      </c>
      <c r="Y194" s="52" t="s">
        <v>110</v>
      </c>
      <c r="Z194" s="51">
        <v>0</v>
      </c>
      <c r="AA194" s="50" t="s">
        <v>110</v>
      </c>
      <c r="AB194" s="50" t="s">
        <v>110</v>
      </c>
      <c r="AC194" s="50" t="s">
        <v>110</v>
      </c>
      <c r="AD194" s="80" t="str">
        <f t="shared" si="4"/>
        <v>Repasse 181</v>
      </c>
      <c r="AE194" s="80">
        <v>181</v>
      </c>
    </row>
    <row r="195" spans="22:31" x14ac:dyDescent="0.2">
      <c r="V195" s="50" t="s">
        <v>110</v>
      </c>
      <c r="W195" s="51" t="s">
        <v>110</v>
      </c>
      <c r="X195" s="51" t="s">
        <v>110</v>
      </c>
      <c r="Y195" s="52" t="s">
        <v>110</v>
      </c>
      <c r="Z195" s="51">
        <v>0</v>
      </c>
      <c r="AA195" s="50" t="s">
        <v>110</v>
      </c>
      <c r="AB195" s="50" t="s">
        <v>110</v>
      </c>
      <c r="AC195" s="50" t="s">
        <v>110</v>
      </c>
      <c r="AD195" s="80" t="str">
        <f t="shared" si="4"/>
        <v>Repasse 182</v>
      </c>
      <c r="AE195" s="80">
        <v>182</v>
      </c>
    </row>
    <row r="196" spans="22:31" x14ac:dyDescent="0.2">
      <c r="V196" s="50" t="s">
        <v>110</v>
      </c>
      <c r="W196" s="51" t="s">
        <v>110</v>
      </c>
      <c r="X196" s="51" t="s">
        <v>110</v>
      </c>
      <c r="Y196" s="52" t="s">
        <v>110</v>
      </c>
      <c r="Z196" s="51">
        <v>0</v>
      </c>
      <c r="AA196" s="50" t="s">
        <v>110</v>
      </c>
      <c r="AB196" s="50" t="s">
        <v>110</v>
      </c>
      <c r="AC196" s="50" t="s">
        <v>110</v>
      </c>
      <c r="AD196" s="80" t="str">
        <f t="shared" si="4"/>
        <v>Repasse 183</v>
      </c>
      <c r="AE196" s="80">
        <v>183</v>
      </c>
    </row>
    <row r="197" spans="22:31" x14ac:dyDescent="0.2">
      <c r="V197" s="50" t="s">
        <v>110</v>
      </c>
      <c r="W197" s="51" t="s">
        <v>110</v>
      </c>
      <c r="X197" s="51" t="s">
        <v>110</v>
      </c>
      <c r="Y197" s="52" t="s">
        <v>110</v>
      </c>
      <c r="Z197" s="51">
        <v>0</v>
      </c>
      <c r="AA197" s="50" t="s">
        <v>110</v>
      </c>
      <c r="AB197" s="50" t="s">
        <v>110</v>
      </c>
      <c r="AC197" s="50" t="s">
        <v>110</v>
      </c>
      <c r="AD197" s="80" t="str">
        <f t="shared" si="4"/>
        <v>Repasse 184</v>
      </c>
      <c r="AE197" s="80">
        <v>184</v>
      </c>
    </row>
    <row r="198" spans="22:31" x14ac:dyDescent="0.2">
      <c r="V198" s="50" t="s">
        <v>110</v>
      </c>
      <c r="W198" s="51" t="s">
        <v>110</v>
      </c>
      <c r="X198" s="51" t="s">
        <v>110</v>
      </c>
      <c r="Y198" s="52" t="s">
        <v>110</v>
      </c>
      <c r="Z198" s="51">
        <v>0</v>
      </c>
      <c r="AA198" s="50" t="s">
        <v>110</v>
      </c>
      <c r="AB198" s="50" t="s">
        <v>110</v>
      </c>
      <c r="AC198" s="50" t="s">
        <v>110</v>
      </c>
      <c r="AD198" s="80" t="str">
        <f t="shared" si="4"/>
        <v>Repasse 185</v>
      </c>
      <c r="AE198" s="80">
        <v>185</v>
      </c>
    </row>
    <row r="199" spans="22:31" x14ac:dyDescent="0.2">
      <c r="V199" s="50" t="s">
        <v>110</v>
      </c>
      <c r="W199" s="51" t="s">
        <v>110</v>
      </c>
      <c r="X199" s="51" t="s">
        <v>110</v>
      </c>
      <c r="Y199" s="52" t="s">
        <v>110</v>
      </c>
      <c r="Z199" s="51">
        <v>0</v>
      </c>
      <c r="AA199" s="50" t="s">
        <v>110</v>
      </c>
      <c r="AB199" s="50" t="s">
        <v>110</v>
      </c>
      <c r="AC199" s="50" t="s">
        <v>110</v>
      </c>
      <c r="AD199" s="80" t="str">
        <f t="shared" si="4"/>
        <v>Repasse 186</v>
      </c>
      <c r="AE199" s="80">
        <v>186</v>
      </c>
    </row>
    <row r="200" spans="22:31" x14ac:dyDescent="0.2">
      <c r="V200" s="50" t="s">
        <v>110</v>
      </c>
      <c r="W200" s="51" t="s">
        <v>110</v>
      </c>
      <c r="X200" s="51" t="s">
        <v>110</v>
      </c>
      <c r="Y200" s="52" t="s">
        <v>110</v>
      </c>
      <c r="Z200" s="51">
        <v>0</v>
      </c>
      <c r="AA200" s="50" t="s">
        <v>110</v>
      </c>
      <c r="AB200" s="50" t="s">
        <v>110</v>
      </c>
      <c r="AC200" s="50" t="s">
        <v>110</v>
      </c>
      <c r="AD200" s="80" t="str">
        <f t="shared" si="4"/>
        <v>Repasse 187</v>
      </c>
      <c r="AE200" s="80">
        <v>187</v>
      </c>
    </row>
    <row r="201" spans="22:31" x14ac:dyDescent="0.2">
      <c r="V201" s="50" t="s">
        <v>110</v>
      </c>
      <c r="W201" s="51" t="s">
        <v>110</v>
      </c>
      <c r="X201" s="51" t="s">
        <v>110</v>
      </c>
      <c r="Y201" s="52" t="s">
        <v>110</v>
      </c>
      <c r="Z201" s="51">
        <v>0</v>
      </c>
      <c r="AA201" s="50" t="s">
        <v>110</v>
      </c>
      <c r="AB201" s="50" t="s">
        <v>110</v>
      </c>
      <c r="AC201" s="50" t="s">
        <v>110</v>
      </c>
      <c r="AD201" s="80" t="str">
        <f t="shared" si="4"/>
        <v>Repasse 188</v>
      </c>
      <c r="AE201" s="80">
        <v>188</v>
      </c>
    </row>
    <row r="202" spans="22:31" x14ac:dyDescent="0.2">
      <c r="V202" s="50" t="s">
        <v>110</v>
      </c>
      <c r="W202" s="51" t="s">
        <v>110</v>
      </c>
      <c r="X202" s="51" t="s">
        <v>110</v>
      </c>
      <c r="Y202" s="52" t="s">
        <v>110</v>
      </c>
      <c r="Z202" s="51">
        <v>0</v>
      </c>
      <c r="AA202" s="50" t="s">
        <v>110</v>
      </c>
      <c r="AB202" s="50" t="s">
        <v>110</v>
      </c>
      <c r="AC202" s="50" t="s">
        <v>110</v>
      </c>
      <c r="AD202" s="80" t="str">
        <f t="shared" si="4"/>
        <v>Repasse 189</v>
      </c>
      <c r="AE202" s="80">
        <v>189</v>
      </c>
    </row>
    <row r="203" spans="22:31" x14ac:dyDescent="0.2">
      <c r="V203" s="50" t="s">
        <v>110</v>
      </c>
      <c r="W203" s="51" t="s">
        <v>110</v>
      </c>
      <c r="X203" s="51" t="s">
        <v>110</v>
      </c>
      <c r="Y203" s="52" t="s">
        <v>110</v>
      </c>
      <c r="Z203" s="51">
        <v>0</v>
      </c>
      <c r="AA203" s="50" t="s">
        <v>110</v>
      </c>
      <c r="AB203" s="50" t="s">
        <v>110</v>
      </c>
      <c r="AC203" s="50" t="s">
        <v>110</v>
      </c>
      <c r="AD203" s="80" t="str">
        <f t="shared" si="4"/>
        <v>Repasse 190</v>
      </c>
      <c r="AE203" s="80">
        <v>190</v>
      </c>
    </row>
    <row r="204" spans="22:31" x14ac:dyDescent="0.2">
      <c r="V204" s="50" t="s">
        <v>110</v>
      </c>
      <c r="W204" s="51" t="s">
        <v>110</v>
      </c>
      <c r="X204" s="51" t="s">
        <v>110</v>
      </c>
      <c r="Y204" s="52" t="s">
        <v>110</v>
      </c>
      <c r="Z204" s="51">
        <v>0</v>
      </c>
      <c r="AA204" s="50" t="s">
        <v>110</v>
      </c>
      <c r="AB204" s="50" t="s">
        <v>110</v>
      </c>
      <c r="AC204" s="50" t="s">
        <v>110</v>
      </c>
      <c r="AD204" s="80" t="str">
        <f t="shared" si="4"/>
        <v>Repasse 191</v>
      </c>
      <c r="AE204" s="80">
        <v>191</v>
      </c>
    </row>
    <row r="205" spans="22:31" x14ac:dyDescent="0.2">
      <c r="V205" s="50" t="s">
        <v>110</v>
      </c>
      <c r="W205" s="51" t="s">
        <v>110</v>
      </c>
      <c r="X205" s="51" t="s">
        <v>110</v>
      </c>
      <c r="Y205" s="52" t="s">
        <v>110</v>
      </c>
      <c r="Z205" s="51">
        <v>0</v>
      </c>
      <c r="AA205" s="50" t="s">
        <v>110</v>
      </c>
      <c r="AB205" s="50" t="s">
        <v>110</v>
      </c>
      <c r="AC205" s="50" t="s">
        <v>110</v>
      </c>
      <c r="AD205" s="80" t="str">
        <f t="shared" si="4"/>
        <v>Repasse 192</v>
      </c>
      <c r="AE205" s="80">
        <v>192</v>
      </c>
    </row>
    <row r="206" spans="22:31" x14ac:dyDescent="0.2">
      <c r="V206" s="50" t="s">
        <v>110</v>
      </c>
      <c r="W206" s="51" t="s">
        <v>110</v>
      </c>
      <c r="X206" s="51" t="s">
        <v>110</v>
      </c>
      <c r="Y206" s="52" t="s">
        <v>110</v>
      </c>
      <c r="Z206" s="51">
        <v>0</v>
      </c>
      <c r="AA206" s="50" t="s">
        <v>110</v>
      </c>
      <c r="AB206" s="50" t="s">
        <v>110</v>
      </c>
      <c r="AC206" s="50" t="s">
        <v>110</v>
      </c>
      <c r="AD206" s="80" t="str">
        <f t="shared" si="4"/>
        <v>Repasse 193</v>
      </c>
      <c r="AE206" s="80">
        <v>193</v>
      </c>
    </row>
    <row r="207" spans="22:31" x14ac:dyDescent="0.2">
      <c r="V207" s="50" t="s">
        <v>110</v>
      </c>
      <c r="W207" s="51" t="s">
        <v>110</v>
      </c>
      <c r="X207" s="51" t="s">
        <v>110</v>
      </c>
      <c r="Y207" s="52" t="s">
        <v>110</v>
      </c>
      <c r="Z207" s="51">
        <v>0</v>
      </c>
      <c r="AA207" s="50" t="s">
        <v>110</v>
      </c>
      <c r="AB207" s="50" t="s">
        <v>110</v>
      </c>
      <c r="AC207" s="50" t="s">
        <v>110</v>
      </c>
      <c r="AD207" s="80" t="str">
        <f t="shared" ref="AD207:AD270" si="5">$D$9 &amp; " " &amp; AE207</f>
        <v>Repasse 194</v>
      </c>
      <c r="AE207" s="80">
        <v>194</v>
      </c>
    </row>
    <row r="208" spans="22:31" x14ac:dyDescent="0.2">
      <c r="V208" s="50" t="s">
        <v>110</v>
      </c>
      <c r="W208" s="51" t="s">
        <v>110</v>
      </c>
      <c r="X208" s="51" t="s">
        <v>110</v>
      </c>
      <c r="Y208" s="52" t="s">
        <v>110</v>
      </c>
      <c r="Z208" s="51">
        <v>0</v>
      </c>
      <c r="AA208" s="50" t="s">
        <v>110</v>
      </c>
      <c r="AB208" s="50" t="s">
        <v>110</v>
      </c>
      <c r="AC208" s="50" t="s">
        <v>110</v>
      </c>
      <c r="AD208" s="80" t="str">
        <f t="shared" si="5"/>
        <v>Repasse 195</v>
      </c>
      <c r="AE208" s="80">
        <v>195</v>
      </c>
    </row>
    <row r="209" spans="22:31" x14ac:dyDescent="0.2">
      <c r="V209" s="50" t="s">
        <v>110</v>
      </c>
      <c r="W209" s="51" t="s">
        <v>110</v>
      </c>
      <c r="X209" s="51" t="s">
        <v>110</v>
      </c>
      <c r="Y209" s="52" t="s">
        <v>110</v>
      </c>
      <c r="Z209" s="51">
        <v>0</v>
      </c>
      <c r="AA209" s="50" t="s">
        <v>110</v>
      </c>
      <c r="AB209" s="50" t="s">
        <v>110</v>
      </c>
      <c r="AC209" s="50" t="s">
        <v>110</v>
      </c>
      <c r="AD209" s="80" t="str">
        <f t="shared" si="5"/>
        <v>Repasse 196</v>
      </c>
      <c r="AE209" s="80">
        <v>196</v>
      </c>
    </row>
    <row r="210" spans="22:31" x14ac:dyDescent="0.2">
      <c r="V210" s="50" t="s">
        <v>110</v>
      </c>
      <c r="W210" s="51" t="s">
        <v>110</v>
      </c>
      <c r="X210" s="51" t="s">
        <v>110</v>
      </c>
      <c r="Y210" s="52" t="s">
        <v>110</v>
      </c>
      <c r="Z210" s="51">
        <v>0</v>
      </c>
      <c r="AA210" s="50" t="s">
        <v>110</v>
      </c>
      <c r="AB210" s="50" t="s">
        <v>110</v>
      </c>
      <c r="AC210" s="50" t="s">
        <v>110</v>
      </c>
      <c r="AD210" s="80" t="str">
        <f t="shared" si="5"/>
        <v>Repasse 197</v>
      </c>
      <c r="AE210" s="80">
        <v>197</v>
      </c>
    </row>
    <row r="211" spans="22:31" x14ac:dyDescent="0.2">
      <c r="V211" s="50" t="s">
        <v>110</v>
      </c>
      <c r="W211" s="51" t="s">
        <v>110</v>
      </c>
      <c r="X211" s="51" t="s">
        <v>110</v>
      </c>
      <c r="Y211" s="52" t="s">
        <v>110</v>
      </c>
      <c r="Z211" s="51">
        <v>0</v>
      </c>
      <c r="AA211" s="50" t="s">
        <v>110</v>
      </c>
      <c r="AB211" s="50" t="s">
        <v>110</v>
      </c>
      <c r="AC211" s="50" t="s">
        <v>110</v>
      </c>
      <c r="AD211" s="80" t="str">
        <f t="shared" si="5"/>
        <v>Repasse 198</v>
      </c>
      <c r="AE211" s="80">
        <v>198</v>
      </c>
    </row>
    <row r="212" spans="22:31" x14ac:dyDescent="0.2">
      <c r="V212" s="50" t="s">
        <v>110</v>
      </c>
      <c r="W212" s="51" t="s">
        <v>110</v>
      </c>
      <c r="X212" s="51" t="s">
        <v>110</v>
      </c>
      <c r="Y212" s="52" t="s">
        <v>110</v>
      </c>
      <c r="Z212" s="51">
        <v>0</v>
      </c>
      <c r="AA212" s="50" t="s">
        <v>110</v>
      </c>
      <c r="AB212" s="50" t="s">
        <v>110</v>
      </c>
      <c r="AC212" s="50" t="s">
        <v>110</v>
      </c>
      <c r="AD212" s="80" t="str">
        <f t="shared" si="5"/>
        <v>Repasse 199</v>
      </c>
      <c r="AE212" s="80">
        <v>199</v>
      </c>
    </row>
    <row r="213" spans="22:31" x14ac:dyDescent="0.2">
      <c r="V213" s="50" t="s">
        <v>110</v>
      </c>
      <c r="W213" s="51" t="s">
        <v>110</v>
      </c>
      <c r="X213" s="51" t="s">
        <v>110</v>
      </c>
      <c r="Y213" s="52" t="s">
        <v>110</v>
      </c>
      <c r="Z213" s="51">
        <v>0</v>
      </c>
      <c r="AA213" s="50" t="s">
        <v>110</v>
      </c>
      <c r="AB213" s="50" t="s">
        <v>110</v>
      </c>
      <c r="AC213" s="50" t="s">
        <v>110</v>
      </c>
      <c r="AD213" s="80" t="str">
        <f t="shared" si="5"/>
        <v>Repasse 200</v>
      </c>
      <c r="AE213" s="80">
        <v>200</v>
      </c>
    </row>
    <row r="214" spans="22:31" x14ac:dyDescent="0.2">
      <c r="V214" s="50" t="s">
        <v>110</v>
      </c>
      <c r="W214" s="51" t="s">
        <v>110</v>
      </c>
      <c r="X214" s="51" t="s">
        <v>110</v>
      </c>
      <c r="Y214" s="52" t="s">
        <v>110</v>
      </c>
      <c r="Z214" s="51">
        <v>0</v>
      </c>
      <c r="AA214" s="50" t="s">
        <v>110</v>
      </c>
      <c r="AB214" s="50" t="s">
        <v>110</v>
      </c>
      <c r="AC214" s="50" t="s">
        <v>110</v>
      </c>
      <c r="AD214" s="80" t="str">
        <f t="shared" si="5"/>
        <v>Repasse 201</v>
      </c>
      <c r="AE214" s="80">
        <v>201</v>
      </c>
    </row>
    <row r="215" spans="22:31" x14ac:dyDescent="0.2">
      <c r="V215" s="50" t="s">
        <v>110</v>
      </c>
      <c r="W215" s="51" t="s">
        <v>110</v>
      </c>
      <c r="X215" s="51" t="s">
        <v>110</v>
      </c>
      <c r="Y215" s="52" t="s">
        <v>110</v>
      </c>
      <c r="Z215" s="51">
        <v>0</v>
      </c>
      <c r="AA215" s="50" t="s">
        <v>110</v>
      </c>
      <c r="AB215" s="50" t="s">
        <v>110</v>
      </c>
      <c r="AC215" s="50" t="s">
        <v>110</v>
      </c>
      <c r="AD215" s="80" t="str">
        <f t="shared" si="5"/>
        <v>Repasse 202</v>
      </c>
      <c r="AE215" s="80">
        <v>202</v>
      </c>
    </row>
    <row r="216" spans="22:31" x14ac:dyDescent="0.2">
      <c r="V216" s="50" t="s">
        <v>110</v>
      </c>
      <c r="W216" s="51" t="s">
        <v>110</v>
      </c>
      <c r="X216" s="51" t="s">
        <v>110</v>
      </c>
      <c r="Y216" s="52" t="s">
        <v>110</v>
      </c>
      <c r="Z216" s="51">
        <v>0</v>
      </c>
      <c r="AA216" s="50" t="s">
        <v>110</v>
      </c>
      <c r="AB216" s="50" t="s">
        <v>110</v>
      </c>
      <c r="AC216" s="50" t="s">
        <v>110</v>
      </c>
      <c r="AD216" s="80" t="str">
        <f t="shared" si="5"/>
        <v>Repasse 203</v>
      </c>
      <c r="AE216" s="80">
        <v>203</v>
      </c>
    </row>
    <row r="217" spans="22:31" x14ac:dyDescent="0.2">
      <c r="V217" s="50" t="s">
        <v>110</v>
      </c>
      <c r="W217" s="51" t="s">
        <v>110</v>
      </c>
      <c r="X217" s="51" t="s">
        <v>110</v>
      </c>
      <c r="Y217" s="52" t="s">
        <v>110</v>
      </c>
      <c r="Z217" s="51">
        <v>0</v>
      </c>
      <c r="AA217" s="50" t="s">
        <v>110</v>
      </c>
      <c r="AB217" s="50" t="s">
        <v>110</v>
      </c>
      <c r="AC217" s="50" t="s">
        <v>110</v>
      </c>
      <c r="AD217" s="80" t="str">
        <f t="shared" si="5"/>
        <v>Repasse 204</v>
      </c>
      <c r="AE217" s="80">
        <v>204</v>
      </c>
    </row>
    <row r="218" spans="22:31" x14ac:dyDescent="0.2">
      <c r="V218" s="50" t="s">
        <v>110</v>
      </c>
      <c r="W218" s="51" t="s">
        <v>110</v>
      </c>
      <c r="X218" s="51" t="s">
        <v>110</v>
      </c>
      <c r="Y218" s="52" t="s">
        <v>110</v>
      </c>
      <c r="Z218" s="51">
        <v>0</v>
      </c>
      <c r="AA218" s="50" t="s">
        <v>110</v>
      </c>
      <c r="AB218" s="50" t="s">
        <v>110</v>
      </c>
      <c r="AC218" s="50" t="s">
        <v>110</v>
      </c>
      <c r="AD218" s="80" t="str">
        <f t="shared" si="5"/>
        <v>Repasse 205</v>
      </c>
      <c r="AE218" s="80">
        <v>205</v>
      </c>
    </row>
    <row r="219" spans="22:31" x14ac:dyDescent="0.2">
      <c r="V219" s="50" t="s">
        <v>110</v>
      </c>
      <c r="W219" s="51" t="s">
        <v>110</v>
      </c>
      <c r="X219" s="51" t="s">
        <v>110</v>
      </c>
      <c r="Y219" s="52" t="s">
        <v>110</v>
      </c>
      <c r="Z219" s="51">
        <v>0</v>
      </c>
      <c r="AA219" s="50" t="s">
        <v>110</v>
      </c>
      <c r="AB219" s="50" t="s">
        <v>110</v>
      </c>
      <c r="AC219" s="50" t="s">
        <v>110</v>
      </c>
      <c r="AD219" s="80" t="str">
        <f t="shared" si="5"/>
        <v>Repasse 206</v>
      </c>
      <c r="AE219" s="80">
        <v>206</v>
      </c>
    </row>
    <row r="220" spans="22:31" x14ac:dyDescent="0.2">
      <c r="V220" s="50" t="s">
        <v>110</v>
      </c>
      <c r="W220" s="51" t="s">
        <v>110</v>
      </c>
      <c r="X220" s="51" t="s">
        <v>110</v>
      </c>
      <c r="Y220" s="52" t="s">
        <v>110</v>
      </c>
      <c r="Z220" s="51">
        <v>0</v>
      </c>
      <c r="AA220" s="50" t="s">
        <v>110</v>
      </c>
      <c r="AB220" s="50" t="s">
        <v>110</v>
      </c>
      <c r="AC220" s="50" t="s">
        <v>110</v>
      </c>
      <c r="AD220" s="80" t="str">
        <f t="shared" si="5"/>
        <v>Repasse 207</v>
      </c>
      <c r="AE220" s="80">
        <v>207</v>
      </c>
    </row>
    <row r="221" spans="22:31" x14ac:dyDescent="0.2">
      <c r="V221" s="50" t="s">
        <v>110</v>
      </c>
      <c r="W221" s="51" t="s">
        <v>110</v>
      </c>
      <c r="X221" s="51" t="s">
        <v>110</v>
      </c>
      <c r="Y221" s="52" t="s">
        <v>110</v>
      </c>
      <c r="Z221" s="51">
        <v>0</v>
      </c>
      <c r="AA221" s="50" t="s">
        <v>110</v>
      </c>
      <c r="AB221" s="50" t="s">
        <v>110</v>
      </c>
      <c r="AC221" s="50" t="s">
        <v>110</v>
      </c>
      <c r="AD221" s="80" t="str">
        <f t="shared" si="5"/>
        <v>Repasse 208</v>
      </c>
      <c r="AE221" s="80">
        <v>208</v>
      </c>
    </row>
    <row r="222" spans="22:31" x14ac:dyDescent="0.2">
      <c r="V222" s="50" t="s">
        <v>110</v>
      </c>
      <c r="W222" s="51" t="s">
        <v>110</v>
      </c>
      <c r="X222" s="51" t="s">
        <v>110</v>
      </c>
      <c r="Y222" s="52" t="s">
        <v>110</v>
      </c>
      <c r="Z222" s="51">
        <v>0</v>
      </c>
      <c r="AA222" s="50" t="s">
        <v>110</v>
      </c>
      <c r="AB222" s="50" t="s">
        <v>110</v>
      </c>
      <c r="AC222" s="50" t="s">
        <v>110</v>
      </c>
      <c r="AD222" s="80" t="str">
        <f t="shared" si="5"/>
        <v>Repasse 209</v>
      </c>
      <c r="AE222" s="80">
        <v>209</v>
      </c>
    </row>
    <row r="223" spans="22:31" x14ac:dyDescent="0.2">
      <c r="V223" s="50" t="s">
        <v>110</v>
      </c>
      <c r="W223" s="51" t="s">
        <v>110</v>
      </c>
      <c r="X223" s="51" t="s">
        <v>110</v>
      </c>
      <c r="Y223" s="52" t="s">
        <v>110</v>
      </c>
      <c r="Z223" s="51">
        <v>0</v>
      </c>
      <c r="AA223" s="50" t="s">
        <v>110</v>
      </c>
      <c r="AB223" s="50" t="s">
        <v>110</v>
      </c>
      <c r="AC223" s="50" t="s">
        <v>110</v>
      </c>
      <c r="AD223" s="80" t="str">
        <f t="shared" si="5"/>
        <v>Repasse 210</v>
      </c>
      <c r="AE223" s="80">
        <v>210</v>
      </c>
    </row>
    <row r="224" spans="22:31" x14ac:dyDescent="0.2">
      <c r="V224" s="50" t="s">
        <v>110</v>
      </c>
      <c r="W224" s="51" t="s">
        <v>110</v>
      </c>
      <c r="X224" s="51" t="s">
        <v>110</v>
      </c>
      <c r="Y224" s="52" t="s">
        <v>110</v>
      </c>
      <c r="Z224" s="51">
        <v>0</v>
      </c>
      <c r="AA224" s="50" t="s">
        <v>110</v>
      </c>
      <c r="AB224" s="50" t="s">
        <v>110</v>
      </c>
      <c r="AC224" s="50" t="s">
        <v>110</v>
      </c>
      <c r="AD224" s="80" t="str">
        <f t="shared" si="5"/>
        <v>Repasse 211</v>
      </c>
      <c r="AE224" s="80">
        <v>211</v>
      </c>
    </row>
    <row r="225" spans="22:31" x14ac:dyDescent="0.2">
      <c r="V225" s="50" t="s">
        <v>110</v>
      </c>
      <c r="W225" s="51" t="s">
        <v>110</v>
      </c>
      <c r="X225" s="51" t="s">
        <v>110</v>
      </c>
      <c r="Y225" s="52" t="s">
        <v>110</v>
      </c>
      <c r="Z225" s="51">
        <v>0</v>
      </c>
      <c r="AA225" s="50" t="s">
        <v>110</v>
      </c>
      <c r="AB225" s="50" t="s">
        <v>110</v>
      </c>
      <c r="AC225" s="50" t="s">
        <v>110</v>
      </c>
      <c r="AD225" s="80" t="str">
        <f t="shared" si="5"/>
        <v>Repasse 212</v>
      </c>
      <c r="AE225" s="80">
        <v>212</v>
      </c>
    </row>
    <row r="226" spans="22:31" x14ac:dyDescent="0.2">
      <c r="V226" s="50" t="s">
        <v>110</v>
      </c>
      <c r="W226" s="51" t="s">
        <v>110</v>
      </c>
      <c r="X226" s="51" t="s">
        <v>110</v>
      </c>
      <c r="Y226" s="52" t="s">
        <v>110</v>
      </c>
      <c r="Z226" s="51">
        <v>0</v>
      </c>
      <c r="AA226" s="50" t="s">
        <v>110</v>
      </c>
      <c r="AB226" s="50" t="s">
        <v>110</v>
      </c>
      <c r="AC226" s="50" t="s">
        <v>110</v>
      </c>
      <c r="AD226" s="80" t="str">
        <f t="shared" si="5"/>
        <v>Repasse 213</v>
      </c>
      <c r="AE226" s="80">
        <v>213</v>
      </c>
    </row>
    <row r="227" spans="22:31" x14ac:dyDescent="0.2">
      <c r="V227" s="50" t="s">
        <v>110</v>
      </c>
      <c r="W227" s="51" t="s">
        <v>110</v>
      </c>
      <c r="X227" s="51" t="s">
        <v>110</v>
      </c>
      <c r="Y227" s="52" t="s">
        <v>110</v>
      </c>
      <c r="Z227" s="51">
        <v>0</v>
      </c>
      <c r="AA227" s="50" t="s">
        <v>110</v>
      </c>
      <c r="AB227" s="50" t="s">
        <v>110</v>
      </c>
      <c r="AC227" s="50" t="s">
        <v>110</v>
      </c>
      <c r="AD227" s="80" t="str">
        <f t="shared" si="5"/>
        <v>Repasse 214</v>
      </c>
      <c r="AE227" s="80">
        <v>214</v>
      </c>
    </row>
    <row r="228" spans="22:31" x14ac:dyDescent="0.2">
      <c r="V228" s="50" t="s">
        <v>110</v>
      </c>
      <c r="W228" s="51" t="s">
        <v>110</v>
      </c>
      <c r="X228" s="51" t="s">
        <v>110</v>
      </c>
      <c r="Y228" s="52" t="s">
        <v>110</v>
      </c>
      <c r="Z228" s="51">
        <v>0</v>
      </c>
      <c r="AA228" s="50" t="s">
        <v>110</v>
      </c>
      <c r="AB228" s="50" t="s">
        <v>110</v>
      </c>
      <c r="AC228" s="50" t="s">
        <v>110</v>
      </c>
      <c r="AD228" s="80" t="str">
        <f t="shared" si="5"/>
        <v>Repasse 215</v>
      </c>
      <c r="AE228" s="80">
        <v>215</v>
      </c>
    </row>
    <row r="229" spans="22:31" x14ac:dyDescent="0.2">
      <c r="V229" s="50" t="s">
        <v>110</v>
      </c>
      <c r="W229" s="51" t="s">
        <v>110</v>
      </c>
      <c r="X229" s="51" t="s">
        <v>110</v>
      </c>
      <c r="Y229" s="52" t="s">
        <v>110</v>
      </c>
      <c r="Z229" s="51">
        <v>0</v>
      </c>
      <c r="AA229" s="50" t="s">
        <v>110</v>
      </c>
      <c r="AB229" s="50" t="s">
        <v>110</v>
      </c>
      <c r="AC229" s="50" t="s">
        <v>110</v>
      </c>
      <c r="AD229" s="80" t="str">
        <f t="shared" si="5"/>
        <v>Repasse 216</v>
      </c>
      <c r="AE229" s="80">
        <v>216</v>
      </c>
    </row>
    <row r="230" spans="22:31" x14ac:dyDescent="0.2">
      <c r="V230" s="50" t="s">
        <v>110</v>
      </c>
      <c r="W230" s="51" t="s">
        <v>110</v>
      </c>
      <c r="X230" s="51" t="s">
        <v>110</v>
      </c>
      <c r="Y230" s="52" t="s">
        <v>110</v>
      </c>
      <c r="Z230" s="51">
        <v>0</v>
      </c>
      <c r="AA230" s="50" t="s">
        <v>110</v>
      </c>
      <c r="AB230" s="50" t="s">
        <v>110</v>
      </c>
      <c r="AC230" s="50" t="s">
        <v>110</v>
      </c>
      <c r="AD230" s="80" t="str">
        <f t="shared" si="5"/>
        <v>Repasse 217</v>
      </c>
      <c r="AE230" s="80">
        <v>217</v>
      </c>
    </row>
    <row r="231" spans="22:31" x14ac:dyDescent="0.2">
      <c r="V231" s="50" t="s">
        <v>110</v>
      </c>
      <c r="W231" s="51" t="s">
        <v>110</v>
      </c>
      <c r="X231" s="51" t="s">
        <v>110</v>
      </c>
      <c r="Y231" s="52" t="s">
        <v>110</v>
      </c>
      <c r="Z231" s="51">
        <v>0</v>
      </c>
      <c r="AA231" s="50" t="s">
        <v>110</v>
      </c>
      <c r="AB231" s="50" t="s">
        <v>110</v>
      </c>
      <c r="AC231" s="50" t="s">
        <v>110</v>
      </c>
      <c r="AD231" s="80" t="str">
        <f t="shared" si="5"/>
        <v>Repasse 218</v>
      </c>
      <c r="AE231" s="80">
        <v>218</v>
      </c>
    </row>
    <row r="232" spans="22:31" x14ac:dyDescent="0.2">
      <c r="V232" s="50" t="s">
        <v>110</v>
      </c>
      <c r="W232" s="51" t="s">
        <v>110</v>
      </c>
      <c r="X232" s="51" t="s">
        <v>110</v>
      </c>
      <c r="Y232" s="52" t="s">
        <v>110</v>
      </c>
      <c r="Z232" s="51">
        <v>0</v>
      </c>
      <c r="AA232" s="50" t="s">
        <v>110</v>
      </c>
      <c r="AB232" s="50" t="s">
        <v>110</v>
      </c>
      <c r="AC232" s="50" t="s">
        <v>110</v>
      </c>
      <c r="AD232" s="80" t="str">
        <f t="shared" si="5"/>
        <v>Repasse 219</v>
      </c>
      <c r="AE232" s="80">
        <v>219</v>
      </c>
    </row>
    <row r="233" spans="22:31" x14ac:dyDescent="0.2">
      <c r="V233" s="50" t="s">
        <v>110</v>
      </c>
      <c r="W233" s="51" t="s">
        <v>110</v>
      </c>
      <c r="X233" s="51" t="s">
        <v>110</v>
      </c>
      <c r="Y233" s="52" t="s">
        <v>110</v>
      </c>
      <c r="Z233" s="51">
        <v>0</v>
      </c>
      <c r="AA233" s="50" t="s">
        <v>110</v>
      </c>
      <c r="AB233" s="50" t="s">
        <v>110</v>
      </c>
      <c r="AC233" s="50" t="s">
        <v>110</v>
      </c>
      <c r="AD233" s="80" t="str">
        <f t="shared" si="5"/>
        <v>Repasse 220</v>
      </c>
      <c r="AE233" s="80">
        <v>220</v>
      </c>
    </row>
    <row r="234" spans="22:31" x14ac:dyDescent="0.2">
      <c r="V234" s="50" t="s">
        <v>110</v>
      </c>
      <c r="W234" s="51" t="s">
        <v>110</v>
      </c>
      <c r="X234" s="51" t="s">
        <v>110</v>
      </c>
      <c r="Y234" s="52" t="s">
        <v>110</v>
      </c>
      <c r="Z234" s="51">
        <v>0</v>
      </c>
      <c r="AA234" s="50" t="s">
        <v>110</v>
      </c>
      <c r="AB234" s="50" t="s">
        <v>110</v>
      </c>
      <c r="AC234" s="50" t="s">
        <v>110</v>
      </c>
      <c r="AD234" s="80" t="str">
        <f t="shared" si="5"/>
        <v>Repasse 221</v>
      </c>
      <c r="AE234" s="80">
        <v>221</v>
      </c>
    </row>
    <row r="235" spans="22:31" x14ac:dyDescent="0.2">
      <c r="V235" s="50" t="s">
        <v>110</v>
      </c>
      <c r="W235" s="51" t="s">
        <v>110</v>
      </c>
      <c r="X235" s="51" t="s">
        <v>110</v>
      </c>
      <c r="Y235" s="52" t="s">
        <v>110</v>
      </c>
      <c r="Z235" s="51">
        <v>0</v>
      </c>
      <c r="AA235" s="50" t="s">
        <v>110</v>
      </c>
      <c r="AB235" s="50" t="s">
        <v>110</v>
      </c>
      <c r="AC235" s="50" t="s">
        <v>110</v>
      </c>
      <c r="AD235" s="80" t="str">
        <f t="shared" si="5"/>
        <v>Repasse 222</v>
      </c>
      <c r="AE235" s="80">
        <v>222</v>
      </c>
    </row>
    <row r="236" spans="22:31" x14ac:dyDescent="0.2">
      <c r="V236" s="50" t="s">
        <v>110</v>
      </c>
      <c r="W236" s="51" t="s">
        <v>110</v>
      </c>
      <c r="X236" s="51" t="s">
        <v>110</v>
      </c>
      <c r="Y236" s="52" t="s">
        <v>110</v>
      </c>
      <c r="Z236" s="51">
        <v>0</v>
      </c>
      <c r="AA236" s="50" t="s">
        <v>110</v>
      </c>
      <c r="AB236" s="50" t="s">
        <v>110</v>
      </c>
      <c r="AC236" s="50" t="s">
        <v>110</v>
      </c>
      <c r="AD236" s="80" t="str">
        <f t="shared" si="5"/>
        <v>Repasse 223</v>
      </c>
      <c r="AE236" s="80">
        <v>223</v>
      </c>
    </row>
    <row r="237" spans="22:31" x14ac:dyDescent="0.2">
      <c r="V237" s="50" t="s">
        <v>110</v>
      </c>
      <c r="W237" s="51" t="s">
        <v>110</v>
      </c>
      <c r="X237" s="51" t="s">
        <v>110</v>
      </c>
      <c r="Y237" s="52" t="s">
        <v>110</v>
      </c>
      <c r="Z237" s="51">
        <v>0</v>
      </c>
      <c r="AA237" s="50" t="s">
        <v>110</v>
      </c>
      <c r="AB237" s="50" t="s">
        <v>110</v>
      </c>
      <c r="AC237" s="50" t="s">
        <v>110</v>
      </c>
      <c r="AD237" s="80" t="str">
        <f t="shared" si="5"/>
        <v>Repasse 224</v>
      </c>
      <c r="AE237" s="80">
        <v>224</v>
      </c>
    </row>
    <row r="238" spans="22:31" x14ac:dyDescent="0.2">
      <c r="V238" s="50" t="s">
        <v>110</v>
      </c>
      <c r="W238" s="51" t="s">
        <v>110</v>
      </c>
      <c r="X238" s="51" t="s">
        <v>110</v>
      </c>
      <c r="Y238" s="52" t="s">
        <v>110</v>
      </c>
      <c r="Z238" s="51">
        <v>0</v>
      </c>
      <c r="AA238" s="50" t="s">
        <v>110</v>
      </c>
      <c r="AB238" s="50" t="s">
        <v>110</v>
      </c>
      <c r="AC238" s="50" t="s">
        <v>110</v>
      </c>
      <c r="AD238" s="80" t="str">
        <f t="shared" si="5"/>
        <v>Repasse 225</v>
      </c>
      <c r="AE238" s="80">
        <v>225</v>
      </c>
    </row>
    <row r="239" spans="22:31" x14ac:dyDescent="0.2">
      <c r="V239" s="50" t="s">
        <v>110</v>
      </c>
      <c r="W239" s="51" t="s">
        <v>110</v>
      </c>
      <c r="X239" s="51" t="s">
        <v>110</v>
      </c>
      <c r="Y239" s="52" t="s">
        <v>110</v>
      </c>
      <c r="Z239" s="51">
        <v>0</v>
      </c>
      <c r="AA239" s="50" t="s">
        <v>110</v>
      </c>
      <c r="AB239" s="50" t="s">
        <v>110</v>
      </c>
      <c r="AC239" s="50" t="s">
        <v>110</v>
      </c>
      <c r="AD239" s="80" t="str">
        <f t="shared" si="5"/>
        <v>Repasse 226</v>
      </c>
      <c r="AE239" s="80">
        <v>226</v>
      </c>
    </row>
    <row r="240" spans="22:31" x14ac:dyDescent="0.2">
      <c r="V240" s="50" t="s">
        <v>110</v>
      </c>
      <c r="W240" s="51" t="s">
        <v>110</v>
      </c>
      <c r="X240" s="51" t="s">
        <v>110</v>
      </c>
      <c r="Y240" s="52" t="s">
        <v>110</v>
      </c>
      <c r="Z240" s="51">
        <v>0</v>
      </c>
      <c r="AA240" s="50" t="s">
        <v>110</v>
      </c>
      <c r="AB240" s="50" t="s">
        <v>110</v>
      </c>
      <c r="AC240" s="50" t="s">
        <v>110</v>
      </c>
      <c r="AD240" s="80" t="str">
        <f t="shared" si="5"/>
        <v>Repasse 227</v>
      </c>
      <c r="AE240" s="80">
        <v>227</v>
      </c>
    </row>
    <row r="241" spans="22:31" x14ac:dyDescent="0.2">
      <c r="V241" s="50" t="s">
        <v>110</v>
      </c>
      <c r="W241" s="51" t="s">
        <v>110</v>
      </c>
      <c r="X241" s="51" t="s">
        <v>110</v>
      </c>
      <c r="Y241" s="52" t="s">
        <v>110</v>
      </c>
      <c r="Z241" s="51">
        <v>0</v>
      </c>
      <c r="AA241" s="50" t="s">
        <v>110</v>
      </c>
      <c r="AB241" s="50" t="s">
        <v>110</v>
      </c>
      <c r="AC241" s="50" t="s">
        <v>110</v>
      </c>
      <c r="AD241" s="80" t="str">
        <f t="shared" si="5"/>
        <v>Repasse 228</v>
      </c>
      <c r="AE241" s="80">
        <v>228</v>
      </c>
    </row>
    <row r="242" spans="22:31" x14ac:dyDescent="0.2">
      <c r="V242" s="50" t="s">
        <v>110</v>
      </c>
      <c r="W242" s="51" t="s">
        <v>110</v>
      </c>
      <c r="X242" s="51" t="s">
        <v>110</v>
      </c>
      <c r="Y242" s="52" t="s">
        <v>110</v>
      </c>
      <c r="Z242" s="51">
        <v>0</v>
      </c>
      <c r="AA242" s="50" t="s">
        <v>110</v>
      </c>
      <c r="AB242" s="50" t="s">
        <v>110</v>
      </c>
      <c r="AC242" s="50" t="s">
        <v>110</v>
      </c>
      <c r="AD242" s="80" t="str">
        <f t="shared" si="5"/>
        <v>Repasse 229</v>
      </c>
      <c r="AE242" s="80">
        <v>229</v>
      </c>
    </row>
    <row r="243" spans="22:31" x14ac:dyDescent="0.2">
      <c r="V243" s="50" t="s">
        <v>110</v>
      </c>
      <c r="W243" s="51" t="s">
        <v>110</v>
      </c>
      <c r="X243" s="51" t="s">
        <v>110</v>
      </c>
      <c r="Y243" s="52" t="s">
        <v>110</v>
      </c>
      <c r="Z243" s="51">
        <v>0</v>
      </c>
      <c r="AA243" s="50" t="s">
        <v>110</v>
      </c>
      <c r="AB243" s="50" t="s">
        <v>110</v>
      </c>
      <c r="AC243" s="50" t="s">
        <v>110</v>
      </c>
      <c r="AD243" s="80" t="str">
        <f t="shared" si="5"/>
        <v>Repasse 230</v>
      </c>
      <c r="AE243" s="80">
        <v>230</v>
      </c>
    </row>
    <row r="244" spans="22:31" x14ac:dyDescent="0.2">
      <c r="V244" s="50" t="s">
        <v>110</v>
      </c>
      <c r="W244" s="51" t="s">
        <v>110</v>
      </c>
      <c r="X244" s="51" t="s">
        <v>110</v>
      </c>
      <c r="Y244" s="52" t="s">
        <v>110</v>
      </c>
      <c r="Z244" s="51">
        <v>0</v>
      </c>
      <c r="AA244" s="50" t="s">
        <v>110</v>
      </c>
      <c r="AB244" s="50" t="s">
        <v>110</v>
      </c>
      <c r="AC244" s="50" t="s">
        <v>110</v>
      </c>
      <c r="AD244" s="80" t="str">
        <f t="shared" si="5"/>
        <v>Repasse 231</v>
      </c>
      <c r="AE244" s="80">
        <v>231</v>
      </c>
    </row>
    <row r="245" spans="22:31" x14ac:dyDescent="0.2">
      <c r="V245" s="50" t="s">
        <v>110</v>
      </c>
      <c r="W245" s="51" t="s">
        <v>110</v>
      </c>
      <c r="X245" s="51" t="s">
        <v>110</v>
      </c>
      <c r="Y245" s="52" t="s">
        <v>110</v>
      </c>
      <c r="Z245" s="51">
        <v>0</v>
      </c>
      <c r="AA245" s="50" t="s">
        <v>110</v>
      </c>
      <c r="AB245" s="50" t="s">
        <v>110</v>
      </c>
      <c r="AC245" s="50" t="s">
        <v>110</v>
      </c>
      <c r="AD245" s="80" t="str">
        <f t="shared" si="5"/>
        <v>Repasse 232</v>
      </c>
      <c r="AE245" s="80">
        <v>232</v>
      </c>
    </row>
    <row r="246" spans="22:31" x14ac:dyDescent="0.2">
      <c r="V246" s="50" t="s">
        <v>110</v>
      </c>
      <c r="W246" s="51" t="s">
        <v>110</v>
      </c>
      <c r="X246" s="51" t="s">
        <v>110</v>
      </c>
      <c r="Y246" s="52" t="s">
        <v>110</v>
      </c>
      <c r="Z246" s="51">
        <v>0</v>
      </c>
      <c r="AA246" s="50" t="s">
        <v>110</v>
      </c>
      <c r="AB246" s="50" t="s">
        <v>110</v>
      </c>
      <c r="AC246" s="50" t="s">
        <v>110</v>
      </c>
      <c r="AD246" s="80" t="str">
        <f t="shared" si="5"/>
        <v>Repasse 233</v>
      </c>
      <c r="AE246" s="80">
        <v>233</v>
      </c>
    </row>
    <row r="247" spans="22:31" x14ac:dyDescent="0.2">
      <c r="V247" s="50" t="s">
        <v>110</v>
      </c>
      <c r="W247" s="51" t="s">
        <v>110</v>
      </c>
      <c r="X247" s="51" t="s">
        <v>110</v>
      </c>
      <c r="Y247" s="52" t="s">
        <v>110</v>
      </c>
      <c r="Z247" s="51">
        <v>0</v>
      </c>
      <c r="AA247" s="50" t="s">
        <v>110</v>
      </c>
      <c r="AB247" s="50" t="s">
        <v>110</v>
      </c>
      <c r="AC247" s="50" t="s">
        <v>110</v>
      </c>
      <c r="AD247" s="80" t="str">
        <f t="shared" si="5"/>
        <v>Repasse 234</v>
      </c>
      <c r="AE247" s="80">
        <v>234</v>
      </c>
    </row>
    <row r="248" spans="22:31" x14ac:dyDescent="0.2">
      <c r="V248" s="50" t="s">
        <v>110</v>
      </c>
      <c r="W248" s="51" t="s">
        <v>110</v>
      </c>
      <c r="X248" s="51" t="s">
        <v>110</v>
      </c>
      <c r="Y248" s="52" t="s">
        <v>110</v>
      </c>
      <c r="Z248" s="51">
        <v>0</v>
      </c>
      <c r="AA248" s="50" t="s">
        <v>110</v>
      </c>
      <c r="AB248" s="50" t="s">
        <v>110</v>
      </c>
      <c r="AC248" s="50" t="s">
        <v>110</v>
      </c>
      <c r="AD248" s="80" t="str">
        <f t="shared" si="5"/>
        <v>Repasse 235</v>
      </c>
      <c r="AE248" s="80">
        <v>235</v>
      </c>
    </row>
    <row r="249" spans="22:31" x14ac:dyDescent="0.2">
      <c r="V249" s="50" t="s">
        <v>110</v>
      </c>
      <c r="W249" s="51" t="s">
        <v>110</v>
      </c>
      <c r="X249" s="51" t="s">
        <v>110</v>
      </c>
      <c r="Y249" s="52" t="s">
        <v>110</v>
      </c>
      <c r="Z249" s="51">
        <v>0</v>
      </c>
      <c r="AA249" s="50" t="s">
        <v>110</v>
      </c>
      <c r="AB249" s="50" t="s">
        <v>110</v>
      </c>
      <c r="AC249" s="50" t="s">
        <v>110</v>
      </c>
      <c r="AD249" s="80" t="str">
        <f t="shared" si="5"/>
        <v>Repasse 236</v>
      </c>
      <c r="AE249" s="80">
        <v>236</v>
      </c>
    </row>
    <row r="250" spans="22:31" x14ac:dyDescent="0.2">
      <c r="V250" s="50" t="s">
        <v>110</v>
      </c>
      <c r="W250" s="51" t="s">
        <v>110</v>
      </c>
      <c r="X250" s="51" t="s">
        <v>110</v>
      </c>
      <c r="Y250" s="52" t="s">
        <v>110</v>
      </c>
      <c r="Z250" s="51">
        <v>0</v>
      </c>
      <c r="AA250" s="50" t="s">
        <v>110</v>
      </c>
      <c r="AB250" s="50" t="s">
        <v>110</v>
      </c>
      <c r="AC250" s="50" t="s">
        <v>110</v>
      </c>
      <c r="AD250" s="80" t="str">
        <f t="shared" si="5"/>
        <v>Repasse 237</v>
      </c>
      <c r="AE250" s="80">
        <v>237</v>
      </c>
    </row>
    <row r="251" spans="22:31" x14ac:dyDescent="0.2">
      <c r="V251" s="50" t="s">
        <v>110</v>
      </c>
      <c r="W251" s="51" t="s">
        <v>110</v>
      </c>
      <c r="X251" s="51" t="s">
        <v>110</v>
      </c>
      <c r="Y251" s="52" t="s">
        <v>110</v>
      </c>
      <c r="Z251" s="51">
        <v>0</v>
      </c>
      <c r="AA251" s="50" t="s">
        <v>110</v>
      </c>
      <c r="AB251" s="50" t="s">
        <v>110</v>
      </c>
      <c r="AC251" s="50" t="s">
        <v>110</v>
      </c>
      <c r="AD251" s="80" t="str">
        <f t="shared" si="5"/>
        <v>Repasse 238</v>
      </c>
      <c r="AE251" s="80">
        <v>238</v>
      </c>
    </row>
    <row r="252" spans="22:31" x14ac:dyDescent="0.2">
      <c r="V252" s="50" t="s">
        <v>110</v>
      </c>
      <c r="W252" s="51" t="s">
        <v>110</v>
      </c>
      <c r="X252" s="51" t="s">
        <v>110</v>
      </c>
      <c r="Y252" s="52" t="s">
        <v>110</v>
      </c>
      <c r="Z252" s="51">
        <v>0</v>
      </c>
      <c r="AA252" s="50" t="s">
        <v>110</v>
      </c>
      <c r="AB252" s="50" t="s">
        <v>110</v>
      </c>
      <c r="AC252" s="50" t="s">
        <v>110</v>
      </c>
      <c r="AD252" s="80" t="str">
        <f t="shared" si="5"/>
        <v>Repasse 239</v>
      </c>
      <c r="AE252" s="80">
        <v>239</v>
      </c>
    </row>
    <row r="253" spans="22:31" x14ac:dyDescent="0.2">
      <c r="V253" s="50" t="s">
        <v>110</v>
      </c>
      <c r="W253" s="51" t="s">
        <v>110</v>
      </c>
      <c r="X253" s="51" t="s">
        <v>110</v>
      </c>
      <c r="Y253" s="52" t="s">
        <v>110</v>
      </c>
      <c r="Z253" s="51">
        <v>0</v>
      </c>
      <c r="AA253" s="50" t="s">
        <v>110</v>
      </c>
      <c r="AB253" s="50" t="s">
        <v>110</v>
      </c>
      <c r="AC253" s="50" t="s">
        <v>110</v>
      </c>
      <c r="AD253" s="80" t="str">
        <f t="shared" si="5"/>
        <v>Repasse 240</v>
      </c>
      <c r="AE253" s="80">
        <v>240</v>
      </c>
    </row>
    <row r="254" spans="22:31" x14ac:dyDescent="0.2">
      <c r="V254" s="50" t="s">
        <v>110</v>
      </c>
      <c r="W254" s="51" t="s">
        <v>110</v>
      </c>
      <c r="X254" s="51" t="s">
        <v>110</v>
      </c>
      <c r="Y254" s="52" t="s">
        <v>110</v>
      </c>
      <c r="Z254" s="51">
        <v>0</v>
      </c>
      <c r="AA254" s="50" t="s">
        <v>110</v>
      </c>
      <c r="AB254" s="50" t="s">
        <v>110</v>
      </c>
      <c r="AC254" s="50" t="s">
        <v>110</v>
      </c>
      <c r="AD254" s="80" t="str">
        <f t="shared" si="5"/>
        <v>Repasse 241</v>
      </c>
      <c r="AE254" s="80">
        <v>241</v>
      </c>
    </row>
    <row r="255" spans="22:31" x14ac:dyDescent="0.2">
      <c r="V255" s="50" t="s">
        <v>110</v>
      </c>
      <c r="W255" s="51" t="s">
        <v>110</v>
      </c>
      <c r="X255" s="51" t="s">
        <v>110</v>
      </c>
      <c r="Y255" s="52" t="s">
        <v>110</v>
      </c>
      <c r="Z255" s="51">
        <v>0</v>
      </c>
      <c r="AA255" s="50" t="s">
        <v>110</v>
      </c>
      <c r="AB255" s="50" t="s">
        <v>110</v>
      </c>
      <c r="AC255" s="50" t="s">
        <v>110</v>
      </c>
      <c r="AD255" s="80" t="str">
        <f t="shared" si="5"/>
        <v>Repasse 242</v>
      </c>
      <c r="AE255" s="80">
        <v>242</v>
      </c>
    </row>
    <row r="256" spans="22:31" x14ac:dyDescent="0.2">
      <c r="V256" s="50" t="s">
        <v>110</v>
      </c>
      <c r="W256" s="51" t="s">
        <v>110</v>
      </c>
      <c r="X256" s="51" t="s">
        <v>110</v>
      </c>
      <c r="Y256" s="52" t="s">
        <v>110</v>
      </c>
      <c r="Z256" s="51">
        <v>0</v>
      </c>
      <c r="AA256" s="50" t="s">
        <v>110</v>
      </c>
      <c r="AB256" s="50" t="s">
        <v>110</v>
      </c>
      <c r="AC256" s="50" t="s">
        <v>110</v>
      </c>
      <c r="AD256" s="80" t="str">
        <f t="shared" si="5"/>
        <v>Repasse 243</v>
      </c>
      <c r="AE256" s="80">
        <v>243</v>
      </c>
    </row>
    <row r="257" spans="22:31" x14ac:dyDescent="0.2">
      <c r="V257" s="50" t="s">
        <v>110</v>
      </c>
      <c r="W257" s="51" t="s">
        <v>110</v>
      </c>
      <c r="X257" s="51" t="s">
        <v>110</v>
      </c>
      <c r="Y257" s="52" t="s">
        <v>110</v>
      </c>
      <c r="Z257" s="51">
        <v>0</v>
      </c>
      <c r="AA257" s="50" t="s">
        <v>110</v>
      </c>
      <c r="AB257" s="50" t="s">
        <v>110</v>
      </c>
      <c r="AC257" s="50" t="s">
        <v>110</v>
      </c>
      <c r="AD257" s="80" t="str">
        <f t="shared" si="5"/>
        <v>Repasse 244</v>
      </c>
      <c r="AE257" s="80">
        <v>244</v>
      </c>
    </row>
    <row r="258" spans="22:31" x14ac:dyDescent="0.2">
      <c r="V258" s="50" t="s">
        <v>110</v>
      </c>
      <c r="W258" s="51" t="s">
        <v>110</v>
      </c>
      <c r="X258" s="51" t="s">
        <v>110</v>
      </c>
      <c r="Y258" s="52" t="s">
        <v>110</v>
      </c>
      <c r="Z258" s="51">
        <v>0</v>
      </c>
      <c r="AA258" s="50" t="s">
        <v>110</v>
      </c>
      <c r="AB258" s="50" t="s">
        <v>110</v>
      </c>
      <c r="AC258" s="50" t="s">
        <v>110</v>
      </c>
      <c r="AD258" s="80" t="str">
        <f t="shared" si="5"/>
        <v>Repasse 245</v>
      </c>
      <c r="AE258" s="80">
        <v>245</v>
      </c>
    </row>
    <row r="259" spans="22:31" x14ac:dyDescent="0.2">
      <c r="V259" s="50" t="s">
        <v>110</v>
      </c>
      <c r="W259" s="51" t="s">
        <v>110</v>
      </c>
      <c r="X259" s="51" t="s">
        <v>110</v>
      </c>
      <c r="Y259" s="52" t="s">
        <v>110</v>
      </c>
      <c r="Z259" s="51">
        <v>0</v>
      </c>
      <c r="AA259" s="50" t="s">
        <v>110</v>
      </c>
      <c r="AB259" s="50" t="s">
        <v>110</v>
      </c>
      <c r="AC259" s="50" t="s">
        <v>110</v>
      </c>
      <c r="AD259" s="80" t="str">
        <f t="shared" si="5"/>
        <v>Repasse 246</v>
      </c>
      <c r="AE259" s="80">
        <v>246</v>
      </c>
    </row>
    <row r="260" spans="22:31" x14ac:dyDescent="0.2">
      <c r="V260" s="50" t="s">
        <v>110</v>
      </c>
      <c r="W260" s="51" t="s">
        <v>110</v>
      </c>
      <c r="X260" s="51" t="s">
        <v>110</v>
      </c>
      <c r="Y260" s="52" t="s">
        <v>110</v>
      </c>
      <c r="Z260" s="51">
        <v>0</v>
      </c>
      <c r="AA260" s="50" t="s">
        <v>110</v>
      </c>
      <c r="AB260" s="50" t="s">
        <v>110</v>
      </c>
      <c r="AC260" s="50" t="s">
        <v>110</v>
      </c>
      <c r="AD260" s="80" t="str">
        <f t="shared" si="5"/>
        <v>Repasse 247</v>
      </c>
      <c r="AE260" s="80">
        <v>247</v>
      </c>
    </row>
    <row r="261" spans="22:31" x14ac:dyDescent="0.2">
      <c r="V261" s="50" t="s">
        <v>110</v>
      </c>
      <c r="W261" s="51" t="s">
        <v>110</v>
      </c>
      <c r="X261" s="51" t="s">
        <v>110</v>
      </c>
      <c r="Y261" s="52" t="s">
        <v>110</v>
      </c>
      <c r="Z261" s="51">
        <v>0</v>
      </c>
      <c r="AA261" s="50" t="s">
        <v>110</v>
      </c>
      <c r="AB261" s="50" t="s">
        <v>110</v>
      </c>
      <c r="AC261" s="50" t="s">
        <v>110</v>
      </c>
      <c r="AD261" s="80" t="str">
        <f t="shared" si="5"/>
        <v>Repasse 248</v>
      </c>
      <c r="AE261" s="80">
        <v>248</v>
      </c>
    </row>
    <row r="262" spans="22:31" x14ac:dyDescent="0.2">
      <c r="V262" s="50" t="s">
        <v>110</v>
      </c>
      <c r="W262" s="51" t="s">
        <v>110</v>
      </c>
      <c r="X262" s="51" t="s">
        <v>110</v>
      </c>
      <c r="Y262" s="52" t="s">
        <v>110</v>
      </c>
      <c r="Z262" s="51">
        <v>0</v>
      </c>
      <c r="AA262" s="50" t="s">
        <v>110</v>
      </c>
      <c r="AB262" s="50" t="s">
        <v>110</v>
      </c>
      <c r="AC262" s="50" t="s">
        <v>110</v>
      </c>
      <c r="AD262" s="80" t="str">
        <f t="shared" si="5"/>
        <v>Repasse 249</v>
      </c>
      <c r="AE262" s="80">
        <v>249</v>
      </c>
    </row>
    <row r="263" spans="22:31" x14ac:dyDescent="0.2">
      <c r="V263" s="50" t="s">
        <v>110</v>
      </c>
      <c r="W263" s="51" t="s">
        <v>110</v>
      </c>
      <c r="X263" s="51" t="s">
        <v>110</v>
      </c>
      <c r="Y263" s="52" t="s">
        <v>110</v>
      </c>
      <c r="Z263" s="51">
        <v>0</v>
      </c>
      <c r="AA263" s="50" t="s">
        <v>110</v>
      </c>
      <c r="AB263" s="50" t="s">
        <v>110</v>
      </c>
      <c r="AC263" s="50" t="s">
        <v>110</v>
      </c>
      <c r="AD263" s="80" t="str">
        <f t="shared" si="5"/>
        <v>Repasse 250</v>
      </c>
      <c r="AE263" s="80">
        <v>250</v>
      </c>
    </row>
    <row r="264" spans="22:31" x14ac:dyDescent="0.2">
      <c r="V264" s="50" t="s">
        <v>110</v>
      </c>
      <c r="W264" s="51" t="s">
        <v>110</v>
      </c>
      <c r="X264" s="51" t="s">
        <v>110</v>
      </c>
      <c r="Y264" s="52" t="s">
        <v>110</v>
      </c>
      <c r="Z264" s="51">
        <v>0</v>
      </c>
      <c r="AA264" s="50" t="s">
        <v>110</v>
      </c>
      <c r="AB264" s="50" t="s">
        <v>110</v>
      </c>
      <c r="AC264" s="50" t="s">
        <v>110</v>
      </c>
      <c r="AD264" s="80" t="str">
        <f t="shared" si="5"/>
        <v>Repasse 251</v>
      </c>
      <c r="AE264" s="80">
        <v>251</v>
      </c>
    </row>
    <row r="265" spans="22:31" x14ac:dyDescent="0.2">
      <c r="V265" s="50" t="s">
        <v>110</v>
      </c>
      <c r="W265" s="51" t="s">
        <v>110</v>
      </c>
      <c r="X265" s="51" t="s">
        <v>110</v>
      </c>
      <c r="Y265" s="52" t="s">
        <v>110</v>
      </c>
      <c r="Z265" s="51">
        <v>0</v>
      </c>
      <c r="AA265" s="50" t="s">
        <v>110</v>
      </c>
      <c r="AB265" s="50" t="s">
        <v>110</v>
      </c>
      <c r="AC265" s="50" t="s">
        <v>110</v>
      </c>
      <c r="AD265" s="80" t="str">
        <f t="shared" si="5"/>
        <v>Repasse 252</v>
      </c>
      <c r="AE265" s="80">
        <v>252</v>
      </c>
    </row>
    <row r="266" spans="22:31" x14ac:dyDescent="0.2">
      <c r="V266" s="50" t="s">
        <v>110</v>
      </c>
      <c r="W266" s="51" t="s">
        <v>110</v>
      </c>
      <c r="X266" s="51" t="s">
        <v>110</v>
      </c>
      <c r="Y266" s="52" t="s">
        <v>110</v>
      </c>
      <c r="Z266" s="51">
        <v>0</v>
      </c>
      <c r="AA266" s="50" t="s">
        <v>110</v>
      </c>
      <c r="AB266" s="50" t="s">
        <v>110</v>
      </c>
      <c r="AC266" s="50" t="s">
        <v>110</v>
      </c>
      <c r="AD266" s="80" t="str">
        <f t="shared" si="5"/>
        <v>Repasse 253</v>
      </c>
      <c r="AE266" s="80">
        <v>253</v>
      </c>
    </row>
    <row r="267" spans="22:31" x14ac:dyDescent="0.2">
      <c r="V267" s="50" t="s">
        <v>110</v>
      </c>
      <c r="W267" s="51" t="s">
        <v>110</v>
      </c>
      <c r="X267" s="51" t="s">
        <v>110</v>
      </c>
      <c r="Y267" s="52" t="s">
        <v>110</v>
      </c>
      <c r="Z267" s="51">
        <v>0</v>
      </c>
      <c r="AA267" s="50" t="s">
        <v>110</v>
      </c>
      <c r="AB267" s="50" t="s">
        <v>110</v>
      </c>
      <c r="AC267" s="50" t="s">
        <v>110</v>
      </c>
      <c r="AD267" s="80" t="str">
        <f t="shared" si="5"/>
        <v>Repasse 254</v>
      </c>
      <c r="AE267" s="80">
        <v>254</v>
      </c>
    </row>
    <row r="268" spans="22:31" x14ac:dyDescent="0.2">
      <c r="V268" s="50" t="s">
        <v>110</v>
      </c>
      <c r="W268" s="51" t="s">
        <v>110</v>
      </c>
      <c r="X268" s="51" t="s">
        <v>110</v>
      </c>
      <c r="Y268" s="52" t="s">
        <v>110</v>
      </c>
      <c r="Z268" s="51">
        <v>0</v>
      </c>
      <c r="AA268" s="50" t="s">
        <v>110</v>
      </c>
      <c r="AB268" s="50" t="s">
        <v>110</v>
      </c>
      <c r="AC268" s="50" t="s">
        <v>110</v>
      </c>
      <c r="AD268" s="80" t="str">
        <f t="shared" si="5"/>
        <v>Repasse 255</v>
      </c>
      <c r="AE268" s="80">
        <v>255</v>
      </c>
    </row>
    <row r="269" spans="22:31" x14ac:dyDescent="0.2">
      <c r="V269" s="50" t="s">
        <v>110</v>
      </c>
      <c r="W269" s="51" t="s">
        <v>110</v>
      </c>
      <c r="X269" s="51" t="s">
        <v>110</v>
      </c>
      <c r="Y269" s="52" t="s">
        <v>110</v>
      </c>
      <c r="Z269" s="51">
        <v>0</v>
      </c>
      <c r="AA269" s="50" t="s">
        <v>110</v>
      </c>
      <c r="AB269" s="50" t="s">
        <v>110</v>
      </c>
      <c r="AC269" s="50" t="s">
        <v>110</v>
      </c>
      <c r="AD269" s="80" t="str">
        <f t="shared" si="5"/>
        <v>Repasse 256</v>
      </c>
      <c r="AE269" s="80">
        <v>256</v>
      </c>
    </row>
    <row r="270" spans="22:31" x14ac:dyDescent="0.2">
      <c r="V270" s="50" t="s">
        <v>110</v>
      </c>
      <c r="W270" s="51" t="s">
        <v>110</v>
      </c>
      <c r="X270" s="51" t="s">
        <v>110</v>
      </c>
      <c r="Y270" s="52" t="s">
        <v>110</v>
      </c>
      <c r="Z270" s="51">
        <v>0</v>
      </c>
      <c r="AA270" s="50" t="s">
        <v>110</v>
      </c>
      <c r="AB270" s="50" t="s">
        <v>110</v>
      </c>
      <c r="AC270" s="50" t="s">
        <v>110</v>
      </c>
      <c r="AD270" s="80" t="str">
        <f t="shared" si="5"/>
        <v>Repasse 257</v>
      </c>
      <c r="AE270" s="80">
        <v>257</v>
      </c>
    </row>
    <row r="271" spans="22:31" x14ac:dyDescent="0.2">
      <c r="V271" s="50" t="s">
        <v>110</v>
      </c>
      <c r="W271" s="51" t="s">
        <v>110</v>
      </c>
      <c r="X271" s="51" t="s">
        <v>110</v>
      </c>
      <c r="Y271" s="52" t="s">
        <v>110</v>
      </c>
      <c r="Z271" s="51">
        <v>0</v>
      </c>
      <c r="AA271" s="50" t="s">
        <v>110</v>
      </c>
      <c r="AB271" s="50" t="s">
        <v>110</v>
      </c>
      <c r="AC271" s="50" t="s">
        <v>110</v>
      </c>
      <c r="AD271" s="80" t="str">
        <f t="shared" ref="AD271:AD334" si="6">$D$9 &amp; " " &amp; AE271</f>
        <v>Repasse 258</v>
      </c>
      <c r="AE271" s="80">
        <v>258</v>
      </c>
    </row>
    <row r="272" spans="22:31" x14ac:dyDescent="0.2">
      <c r="V272" s="50" t="s">
        <v>110</v>
      </c>
      <c r="W272" s="51" t="s">
        <v>110</v>
      </c>
      <c r="X272" s="51" t="s">
        <v>110</v>
      </c>
      <c r="Y272" s="52" t="s">
        <v>110</v>
      </c>
      <c r="Z272" s="51">
        <v>0</v>
      </c>
      <c r="AA272" s="50" t="s">
        <v>110</v>
      </c>
      <c r="AB272" s="50" t="s">
        <v>110</v>
      </c>
      <c r="AC272" s="50" t="s">
        <v>110</v>
      </c>
      <c r="AD272" s="80" t="str">
        <f t="shared" si="6"/>
        <v>Repasse 259</v>
      </c>
      <c r="AE272" s="80">
        <v>259</v>
      </c>
    </row>
    <row r="273" spans="22:31" x14ac:dyDescent="0.2">
      <c r="V273" s="50" t="s">
        <v>110</v>
      </c>
      <c r="W273" s="51" t="s">
        <v>110</v>
      </c>
      <c r="X273" s="51" t="s">
        <v>110</v>
      </c>
      <c r="Y273" s="52" t="s">
        <v>110</v>
      </c>
      <c r="Z273" s="51">
        <v>0</v>
      </c>
      <c r="AA273" s="50" t="s">
        <v>110</v>
      </c>
      <c r="AB273" s="50" t="s">
        <v>110</v>
      </c>
      <c r="AC273" s="50" t="s">
        <v>110</v>
      </c>
      <c r="AD273" s="80" t="str">
        <f t="shared" si="6"/>
        <v>Repasse 260</v>
      </c>
      <c r="AE273" s="80">
        <v>260</v>
      </c>
    </row>
    <row r="274" spans="22:31" x14ac:dyDescent="0.2">
      <c r="V274" s="50" t="s">
        <v>110</v>
      </c>
      <c r="W274" s="51" t="s">
        <v>110</v>
      </c>
      <c r="X274" s="51" t="s">
        <v>110</v>
      </c>
      <c r="Y274" s="52" t="s">
        <v>110</v>
      </c>
      <c r="Z274" s="51">
        <v>0</v>
      </c>
      <c r="AA274" s="50" t="s">
        <v>110</v>
      </c>
      <c r="AB274" s="50" t="s">
        <v>110</v>
      </c>
      <c r="AC274" s="50" t="s">
        <v>110</v>
      </c>
      <c r="AD274" s="80" t="str">
        <f t="shared" si="6"/>
        <v>Repasse 261</v>
      </c>
      <c r="AE274" s="80">
        <v>261</v>
      </c>
    </row>
    <row r="275" spans="22:31" x14ac:dyDescent="0.2">
      <c r="V275" s="50" t="s">
        <v>110</v>
      </c>
      <c r="W275" s="51" t="s">
        <v>110</v>
      </c>
      <c r="X275" s="51" t="s">
        <v>110</v>
      </c>
      <c r="Y275" s="52" t="s">
        <v>110</v>
      </c>
      <c r="Z275" s="51">
        <v>0</v>
      </c>
      <c r="AA275" s="50" t="s">
        <v>110</v>
      </c>
      <c r="AB275" s="50" t="s">
        <v>110</v>
      </c>
      <c r="AC275" s="50" t="s">
        <v>110</v>
      </c>
      <c r="AD275" s="80" t="str">
        <f t="shared" si="6"/>
        <v>Repasse 262</v>
      </c>
      <c r="AE275" s="80">
        <v>262</v>
      </c>
    </row>
    <row r="276" spans="22:31" x14ac:dyDescent="0.2">
      <c r="V276" s="50" t="s">
        <v>110</v>
      </c>
      <c r="W276" s="51" t="s">
        <v>110</v>
      </c>
      <c r="X276" s="51" t="s">
        <v>110</v>
      </c>
      <c r="Y276" s="52" t="s">
        <v>110</v>
      </c>
      <c r="Z276" s="51">
        <v>0</v>
      </c>
      <c r="AA276" s="50" t="s">
        <v>110</v>
      </c>
      <c r="AB276" s="50" t="s">
        <v>110</v>
      </c>
      <c r="AC276" s="50" t="s">
        <v>110</v>
      </c>
      <c r="AD276" s="80" t="str">
        <f t="shared" si="6"/>
        <v>Repasse 263</v>
      </c>
      <c r="AE276" s="80">
        <v>263</v>
      </c>
    </row>
    <row r="277" spans="22:31" x14ac:dyDescent="0.2">
      <c r="V277" s="50" t="s">
        <v>110</v>
      </c>
      <c r="W277" s="51" t="s">
        <v>110</v>
      </c>
      <c r="X277" s="51" t="s">
        <v>110</v>
      </c>
      <c r="Y277" s="52" t="s">
        <v>110</v>
      </c>
      <c r="Z277" s="51">
        <v>0</v>
      </c>
      <c r="AA277" s="50" t="s">
        <v>110</v>
      </c>
      <c r="AB277" s="50" t="s">
        <v>110</v>
      </c>
      <c r="AC277" s="50" t="s">
        <v>110</v>
      </c>
      <c r="AD277" s="80" t="str">
        <f t="shared" si="6"/>
        <v>Repasse 264</v>
      </c>
      <c r="AE277" s="80">
        <v>264</v>
      </c>
    </row>
    <row r="278" spans="22:31" x14ac:dyDescent="0.2">
      <c r="V278" s="50" t="s">
        <v>110</v>
      </c>
      <c r="W278" s="51" t="s">
        <v>110</v>
      </c>
      <c r="X278" s="51" t="s">
        <v>110</v>
      </c>
      <c r="Y278" s="52" t="s">
        <v>110</v>
      </c>
      <c r="Z278" s="51">
        <v>0</v>
      </c>
      <c r="AA278" s="50" t="s">
        <v>110</v>
      </c>
      <c r="AB278" s="50" t="s">
        <v>110</v>
      </c>
      <c r="AC278" s="50" t="s">
        <v>110</v>
      </c>
      <c r="AD278" s="80" t="str">
        <f t="shared" si="6"/>
        <v>Repasse 265</v>
      </c>
      <c r="AE278" s="80">
        <v>265</v>
      </c>
    </row>
    <row r="279" spans="22:31" x14ac:dyDescent="0.2">
      <c r="V279" s="50" t="s">
        <v>110</v>
      </c>
      <c r="W279" s="51" t="s">
        <v>110</v>
      </c>
      <c r="X279" s="51" t="s">
        <v>110</v>
      </c>
      <c r="Y279" s="52" t="s">
        <v>110</v>
      </c>
      <c r="Z279" s="51">
        <v>0</v>
      </c>
      <c r="AA279" s="50" t="s">
        <v>110</v>
      </c>
      <c r="AB279" s="50" t="s">
        <v>110</v>
      </c>
      <c r="AC279" s="50" t="s">
        <v>110</v>
      </c>
      <c r="AD279" s="80" t="str">
        <f t="shared" si="6"/>
        <v>Repasse 266</v>
      </c>
      <c r="AE279" s="80">
        <v>266</v>
      </c>
    </row>
    <row r="280" spans="22:31" x14ac:dyDescent="0.2">
      <c r="V280" s="50" t="s">
        <v>110</v>
      </c>
      <c r="W280" s="51" t="s">
        <v>110</v>
      </c>
      <c r="X280" s="51" t="s">
        <v>110</v>
      </c>
      <c r="Y280" s="52" t="s">
        <v>110</v>
      </c>
      <c r="Z280" s="51">
        <v>0</v>
      </c>
      <c r="AA280" s="50" t="s">
        <v>110</v>
      </c>
      <c r="AB280" s="50" t="s">
        <v>110</v>
      </c>
      <c r="AC280" s="50" t="s">
        <v>110</v>
      </c>
      <c r="AD280" s="80" t="str">
        <f t="shared" si="6"/>
        <v>Repasse 267</v>
      </c>
      <c r="AE280" s="80">
        <v>267</v>
      </c>
    </row>
    <row r="281" spans="22:31" x14ac:dyDescent="0.2">
      <c r="V281" s="50" t="s">
        <v>110</v>
      </c>
      <c r="W281" s="51" t="s">
        <v>110</v>
      </c>
      <c r="X281" s="51" t="s">
        <v>110</v>
      </c>
      <c r="Y281" s="52" t="s">
        <v>110</v>
      </c>
      <c r="Z281" s="51">
        <v>0</v>
      </c>
      <c r="AA281" s="50" t="s">
        <v>110</v>
      </c>
      <c r="AB281" s="50" t="s">
        <v>110</v>
      </c>
      <c r="AC281" s="50" t="s">
        <v>110</v>
      </c>
      <c r="AD281" s="80" t="str">
        <f t="shared" si="6"/>
        <v>Repasse 268</v>
      </c>
      <c r="AE281" s="80">
        <v>268</v>
      </c>
    </row>
    <row r="282" spans="22:31" x14ac:dyDescent="0.2">
      <c r="V282" s="50" t="s">
        <v>110</v>
      </c>
      <c r="W282" s="51" t="s">
        <v>110</v>
      </c>
      <c r="X282" s="51" t="s">
        <v>110</v>
      </c>
      <c r="Y282" s="52" t="s">
        <v>110</v>
      </c>
      <c r="Z282" s="51">
        <v>0</v>
      </c>
      <c r="AA282" s="50" t="s">
        <v>110</v>
      </c>
      <c r="AB282" s="50" t="s">
        <v>110</v>
      </c>
      <c r="AC282" s="50" t="s">
        <v>110</v>
      </c>
      <c r="AD282" s="80" t="str">
        <f t="shared" si="6"/>
        <v>Repasse 269</v>
      </c>
      <c r="AE282" s="80">
        <v>269</v>
      </c>
    </row>
    <row r="283" spans="22:31" x14ac:dyDescent="0.2">
      <c r="V283" s="50" t="s">
        <v>110</v>
      </c>
      <c r="W283" s="51" t="s">
        <v>110</v>
      </c>
      <c r="X283" s="51" t="s">
        <v>110</v>
      </c>
      <c r="Y283" s="52" t="s">
        <v>110</v>
      </c>
      <c r="Z283" s="51">
        <v>0</v>
      </c>
      <c r="AA283" s="50" t="s">
        <v>110</v>
      </c>
      <c r="AB283" s="50" t="s">
        <v>110</v>
      </c>
      <c r="AC283" s="50" t="s">
        <v>110</v>
      </c>
      <c r="AD283" s="80" t="str">
        <f t="shared" si="6"/>
        <v>Repasse 270</v>
      </c>
      <c r="AE283" s="80">
        <v>270</v>
      </c>
    </row>
    <row r="284" spans="22:31" x14ac:dyDescent="0.2">
      <c r="V284" s="50" t="s">
        <v>110</v>
      </c>
      <c r="W284" s="51" t="s">
        <v>110</v>
      </c>
      <c r="X284" s="51" t="s">
        <v>110</v>
      </c>
      <c r="Y284" s="52" t="s">
        <v>110</v>
      </c>
      <c r="Z284" s="51">
        <v>0</v>
      </c>
      <c r="AA284" s="50" t="s">
        <v>110</v>
      </c>
      <c r="AB284" s="50" t="s">
        <v>110</v>
      </c>
      <c r="AC284" s="50" t="s">
        <v>110</v>
      </c>
      <c r="AD284" s="80" t="str">
        <f t="shared" si="6"/>
        <v>Repasse 271</v>
      </c>
      <c r="AE284" s="80">
        <v>271</v>
      </c>
    </row>
    <row r="285" spans="22:31" x14ac:dyDescent="0.2">
      <c r="V285" s="50" t="s">
        <v>110</v>
      </c>
      <c r="W285" s="51" t="s">
        <v>110</v>
      </c>
      <c r="X285" s="51" t="s">
        <v>110</v>
      </c>
      <c r="Y285" s="52" t="s">
        <v>110</v>
      </c>
      <c r="Z285" s="51">
        <v>0</v>
      </c>
      <c r="AA285" s="50" t="s">
        <v>110</v>
      </c>
      <c r="AB285" s="50" t="s">
        <v>110</v>
      </c>
      <c r="AC285" s="50" t="s">
        <v>110</v>
      </c>
      <c r="AD285" s="80" t="str">
        <f t="shared" si="6"/>
        <v>Repasse 272</v>
      </c>
      <c r="AE285" s="80">
        <v>272</v>
      </c>
    </row>
    <row r="286" spans="22:31" x14ac:dyDescent="0.2">
      <c r="V286" s="50" t="s">
        <v>110</v>
      </c>
      <c r="W286" s="51" t="s">
        <v>110</v>
      </c>
      <c r="X286" s="51" t="s">
        <v>110</v>
      </c>
      <c r="Y286" s="52" t="s">
        <v>110</v>
      </c>
      <c r="Z286" s="51">
        <v>0</v>
      </c>
      <c r="AA286" s="50" t="s">
        <v>110</v>
      </c>
      <c r="AB286" s="50" t="s">
        <v>110</v>
      </c>
      <c r="AC286" s="50" t="s">
        <v>110</v>
      </c>
      <c r="AD286" s="80" t="str">
        <f t="shared" si="6"/>
        <v>Repasse 273</v>
      </c>
      <c r="AE286" s="80">
        <v>273</v>
      </c>
    </row>
    <row r="287" spans="22:31" x14ac:dyDescent="0.2">
      <c r="V287" s="50" t="s">
        <v>110</v>
      </c>
      <c r="W287" s="51" t="s">
        <v>110</v>
      </c>
      <c r="X287" s="51" t="s">
        <v>110</v>
      </c>
      <c r="Y287" s="52" t="s">
        <v>110</v>
      </c>
      <c r="Z287" s="51">
        <v>0</v>
      </c>
      <c r="AA287" s="50" t="s">
        <v>110</v>
      </c>
      <c r="AB287" s="50" t="s">
        <v>110</v>
      </c>
      <c r="AC287" s="50" t="s">
        <v>110</v>
      </c>
      <c r="AD287" s="80" t="str">
        <f t="shared" si="6"/>
        <v>Repasse 274</v>
      </c>
      <c r="AE287" s="80">
        <v>274</v>
      </c>
    </row>
    <row r="288" spans="22:31" x14ac:dyDescent="0.2">
      <c r="V288" s="50" t="s">
        <v>110</v>
      </c>
      <c r="W288" s="51" t="s">
        <v>110</v>
      </c>
      <c r="X288" s="51" t="s">
        <v>110</v>
      </c>
      <c r="Y288" s="52" t="s">
        <v>110</v>
      </c>
      <c r="Z288" s="51">
        <v>0</v>
      </c>
      <c r="AA288" s="50" t="s">
        <v>110</v>
      </c>
      <c r="AB288" s="50" t="s">
        <v>110</v>
      </c>
      <c r="AC288" s="50" t="s">
        <v>110</v>
      </c>
      <c r="AD288" s="80" t="str">
        <f t="shared" si="6"/>
        <v>Repasse 275</v>
      </c>
      <c r="AE288" s="80">
        <v>275</v>
      </c>
    </row>
    <row r="289" spans="22:31" x14ac:dyDescent="0.2">
      <c r="V289" s="50" t="s">
        <v>110</v>
      </c>
      <c r="W289" s="51" t="s">
        <v>110</v>
      </c>
      <c r="X289" s="51" t="s">
        <v>110</v>
      </c>
      <c r="Y289" s="52" t="s">
        <v>110</v>
      </c>
      <c r="Z289" s="51">
        <v>0</v>
      </c>
      <c r="AA289" s="50" t="s">
        <v>110</v>
      </c>
      <c r="AB289" s="50" t="s">
        <v>110</v>
      </c>
      <c r="AC289" s="50" t="s">
        <v>110</v>
      </c>
      <c r="AD289" s="80" t="str">
        <f t="shared" si="6"/>
        <v>Repasse 276</v>
      </c>
      <c r="AE289" s="80">
        <v>276</v>
      </c>
    </row>
    <row r="290" spans="22:31" x14ac:dyDescent="0.2">
      <c r="V290" s="50" t="s">
        <v>110</v>
      </c>
      <c r="W290" s="51" t="s">
        <v>110</v>
      </c>
      <c r="X290" s="51" t="s">
        <v>110</v>
      </c>
      <c r="Y290" s="52" t="s">
        <v>110</v>
      </c>
      <c r="Z290" s="51">
        <v>0</v>
      </c>
      <c r="AA290" s="50" t="s">
        <v>110</v>
      </c>
      <c r="AB290" s="50" t="s">
        <v>110</v>
      </c>
      <c r="AC290" s="50" t="s">
        <v>110</v>
      </c>
      <c r="AD290" s="80" t="str">
        <f t="shared" si="6"/>
        <v>Repasse 277</v>
      </c>
      <c r="AE290" s="80">
        <v>277</v>
      </c>
    </row>
    <row r="291" spans="22:31" x14ac:dyDescent="0.2">
      <c r="V291" s="50" t="s">
        <v>110</v>
      </c>
      <c r="W291" s="51" t="s">
        <v>110</v>
      </c>
      <c r="X291" s="51" t="s">
        <v>110</v>
      </c>
      <c r="Y291" s="52" t="s">
        <v>110</v>
      </c>
      <c r="Z291" s="51">
        <v>0</v>
      </c>
      <c r="AA291" s="50" t="s">
        <v>110</v>
      </c>
      <c r="AB291" s="50" t="s">
        <v>110</v>
      </c>
      <c r="AC291" s="50" t="s">
        <v>110</v>
      </c>
      <c r="AD291" s="80" t="str">
        <f t="shared" si="6"/>
        <v>Repasse 278</v>
      </c>
      <c r="AE291" s="80">
        <v>278</v>
      </c>
    </row>
    <row r="292" spans="22:31" x14ac:dyDescent="0.2">
      <c r="V292" s="50" t="s">
        <v>110</v>
      </c>
      <c r="W292" s="51" t="s">
        <v>110</v>
      </c>
      <c r="X292" s="51" t="s">
        <v>110</v>
      </c>
      <c r="Y292" s="52" t="s">
        <v>110</v>
      </c>
      <c r="Z292" s="51">
        <v>0</v>
      </c>
      <c r="AA292" s="50" t="s">
        <v>110</v>
      </c>
      <c r="AB292" s="50" t="s">
        <v>110</v>
      </c>
      <c r="AC292" s="50" t="s">
        <v>110</v>
      </c>
      <c r="AD292" s="80" t="str">
        <f t="shared" si="6"/>
        <v>Repasse 279</v>
      </c>
      <c r="AE292" s="80">
        <v>279</v>
      </c>
    </row>
    <row r="293" spans="22:31" x14ac:dyDescent="0.2">
      <c r="V293" s="50" t="s">
        <v>110</v>
      </c>
      <c r="W293" s="51" t="s">
        <v>110</v>
      </c>
      <c r="X293" s="51" t="s">
        <v>110</v>
      </c>
      <c r="Y293" s="52" t="s">
        <v>110</v>
      </c>
      <c r="Z293" s="51">
        <v>0</v>
      </c>
      <c r="AA293" s="50" t="s">
        <v>110</v>
      </c>
      <c r="AB293" s="50" t="s">
        <v>110</v>
      </c>
      <c r="AC293" s="50" t="s">
        <v>110</v>
      </c>
      <c r="AD293" s="80" t="str">
        <f t="shared" si="6"/>
        <v>Repasse 280</v>
      </c>
      <c r="AE293" s="80">
        <v>280</v>
      </c>
    </row>
    <row r="294" spans="22:31" x14ac:dyDescent="0.2">
      <c r="V294" s="50" t="s">
        <v>110</v>
      </c>
      <c r="W294" s="51" t="s">
        <v>110</v>
      </c>
      <c r="X294" s="51" t="s">
        <v>110</v>
      </c>
      <c r="Y294" s="52" t="s">
        <v>110</v>
      </c>
      <c r="Z294" s="51">
        <v>0</v>
      </c>
      <c r="AA294" s="50" t="s">
        <v>110</v>
      </c>
      <c r="AB294" s="50" t="s">
        <v>110</v>
      </c>
      <c r="AC294" s="50" t="s">
        <v>110</v>
      </c>
      <c r="AD294" s="80" t="str">
        <f t="shared" si="6"/>
        <v>Repasse 281</v>
      </c>
      <c r="AE294" s="80">
        <v>281</v>
      </c>
    </row>
    <row r="295" spans="22:31" x14ac:dyDescent="0.2">
      <c r="V295" s="50" t="s">
        <v>110</v>
      </c>
      <c r="W295" s="51" t="s">
        <v>110</v>
      </c>
      <c r="X295" s="51" t="s">
        <v>110</v>
      </c>
      <c r="Y295" s="52" t="s">
        <v>110</v>
      </c>
      <c r="Z295" s="51">
        <v>0</v>
      </c>
      <c r="AA295" s="50" t="s">
        <v>110</v>
      </c>
      <c r="AB295" s="50" t="s">
        <v>110</v>
      </c>
      <c r="AC295" s="50" t="s">
        <v>110</v>
      </c>
      <c r="AD295" s="80" t="str">
        <f t="shared" si="6"/>
        <v>Repasse 282</v>
      </c>
      <c r="AE295" s="80">
        <v>282</v>
      </c>
    </row>
    <row r="296" spans="22:31" x14ac:dyDescent="0.2">
      <c r="V296" s="50" t="s">
        <v>110</v>
      </c>
      <c r="W296" s="51" t="s">
        <v>110</v>
      </c>
      <c r="X296" s="51" t="s">
        <v>110</v>
      </c>
      <c r="Y296" s="52" t="s">
        <v>110</v>
      </c>
      <c r="Z296" s="51">
        <v>0</v>
      </c>
      <c r="AA296" s="50" t="s">
        <v>110</v>
      </c>
      <c r="AB296" s="50" t="s">
        <v>110</v>
      </c>
      <c r="AC296" s="50" t="s">
        <v>110</v>
      </c>
      <c r="AD296" s="80" t="str">
        <f t="shared" si="6"/>
        <v>Repasse 283</v>
      </c>
      <c r="AE296" s="80">
        <v>283</v>
      </c>
    </row>
    <row r="297" spans="22:31" x14ac:dyDescent="0.2">
      <c r="V297" s="50" t="s">
        <v>110</v>
      </c>
      <c r="W297" s="51" t="s">
        <v>110</v>
      </c>
      <c r="X297" s="51" t="s">
        <v>110</v>
      </c>
      <c r="Y297" s="52" t="s">
        <v>110</v>
      </c>
      <c r="Z297" s="51">
        <v>0</v>
      </c>
      <c r="AA297" s="50" t="s">
        <v>110</v>
      </c>
      <c r="AB297" s="50" t="s">
        <v>110</v>
      </c>
      <c r="AC297" s="50" t="s">
        <v>110</v>
      </c>
      <c r="AD297" s="80" t="str">
        <f t="shared" si="6"/>
        <v>Repasse 284</v>
      </c>
      <c r="AE297" s="80">
        <v>284</v>
      </c>
    </row>
    <row r="298" spans="22:31" x14ac:dyDescent="0.2">
      <c r="V298" s="50" t="s">
        <v>110</v>
      </c>
      <c r="W298" s="51" t="s">
        <v>110</v>
      </c>
      <c r="X298" s="51" t="s">
        <v>110</v>
      </c>
      <c r="Y298" s="52" t="s">
        <v>110</v>
      </c>
      <c r="Z298" s="51">
        <v>0</v>
      </c>
      <c r="AA298" s="50" t="s">
        <v>110</v>
      </c>
      <c r="AB298" s="50" t="s">
        <v>110</v>
      </c>
      <c r="AC298" s="50" t="s">
        <v>110</v>
      </c>
      <c r="AD298" s="80" t="str">
        <f t="shared" si="6"/>
        <v>Repasse 285</v>
      </c>
      <c r="AE298" s="80">
        <v>285</v>
      </c>
    </row>
    <row r="299" spans="22:31" x14ac:dyDescent="0.2">
      <c r="V299" s="50" t="s">
        <v>110</v>
      </c>
      <c r="W299" s="51" t="s">
        <v>110</v>
      </c>
      <c r="X299" s="51" t="s">
        <v>110</v>
      </c>
      <c r="Y299" s="52" t="s">
        <v>110</v>
      </c>
      <c r="Z299" s="51">
        <v>0</v>
      </c>
      <c r="AA299" s="50" t="s">
        <v>110</v>
      </c>
      <c r="AB299" s="50" t="s">
        <v>110</v>
      </c>
      <c r="AC299" s="50" t="s">
        <v>110</v>
      </c>
      <c r="AD299" s="80" t="str">
        <f t="shared" si="6"/>
        <v>Repasse 286</v>
      </c>
      <c r="AE299" s="80">
        <v>286</v>
      </c>
    </row>
    <row r="300" spans="22:31" x14ac:dyDescent="0.2">
      <c r="V300" s="50" t="s">
        <v>110</v>
      </c>
      <c r="W300" s="51" t="s">
        <v>110</v>
      </c>
      <c r="X300" s="51" t="s">
        <v>110</v>
      </c>
      <c r="Y300" s="52" t="s">
        <v>110</v>
      </c>
      <c r="Z300" s="51">
        <v>0</v>
      </c>
      <c r="AA300" s="50" t="s">
        <v>110</v>
      </c>
      <c r="AB300" s="50" t="s">
        <v>110</v>
      </c>
      <c r="AC300" s="50" t="s">
        <v>110</v>
      </c>
      <c r="AD300" s="80" t="str">
        <f t="shared" si="6"/>
        <v>Repasse 287</v>
      </c>
      <c r="AE300" s="80">
        <v>287</v>
      </c>
    </row>
    <row r="301" spans="22:31" x14ac:dyDescent="0.2">
      <c r="V301" s="50" t="s">
        <v>110</v>
      </c>
      <c r="W301" s="51" t="s">
        <v>110</v>
      </c>
      <c r="X301" s="51" t="s">
        <v>110</v>
      </c>
      <c r="Y301" s="52" t="s">
        <v>110</v>
      </c>
      <c r="Z301" s="51">
        <v>0</v>
      </c>
      <c r="AA301" s="50" t="s">
        <v>110</v>
      </c>
      <c r="AB301" s="50" t="s">
        <v>110</v>
      </c>
      <c r="AC301" s="50" t="s">
        <v>110</v>
      </c>
      <c r="AD301" s="80" t="str">
        <f t="shared" si="6"/>
        <v>Repasse 288</v>
      </c>
      <c r="AE301" s="80">
        <v>288</v>
      </c>
    </row>
    <row r="302" spans="22:31" x14ac:dyDescent="0.2">
      <c r="V302" s="50" t="s">
        <v>110</v>
      </c>
      <c r="W302" s="51" t="s">
        <v>110</v>
      </c>
      <c r="X302" s="51" t="s">
        <v>110</v>
      </c>
      <c r="Y302" s="52" t="s">
        <v>110</v>
      </c>
      <c r="Z302" s="51">
        <v>0</v>
      </c>
      <c r="AA302" s="50" t="s">
        <v>110</v>
      </c>
      <c r="AB302" s="50" t="s">
        <v>110</v>
      </c>
      <c r="AC302" s="50" t="s">
        <v>110</v>
      </c>
      <c r="AD302" s="80" t="str">
        <f t="shared" si="6"/>
        <v>Repasse 289</v>
      </c>
      <c r="AE302" s="80">
        <v>289</v>
      </c>
    </row>
    <row r="303" spans="22:31" x14ac:dyDescent="0.2">
      <c r="V303" s="50" t="s">
        <v>110</v>
      </c>
      <c r="W303" s="51" t="s">
        <v>110</v>
      </c>
      <c r="X303" s="51" t="s">
        <v>110</v>
      </c>
      <c r="Y303" s="52" t="s">
        <v>110</v>
      </c>
      <c r="Z303" s="51">
        <v>0</v>
      </c>
      <c r="AA303" s="50" t="s">
        <v>110</v>
      </c>
      <c r="AB303" s="50" t="s">
        <v>110</v>
      </c>
      <c r="AC303" s="50" t="s">
        <v>110</v>
      </c>
      <c r="AD303" s="80" t="str">
        <f t="shared" si="6"/>
        <v>Repasse 290</v>
      </c>
      <c r="AE303" s="80">
        <v>290</v>
      </c>
    </row>
    <row r="304" spans="22:31" x14ac:dyDescent="0.2">
      <c r="V304" s="50" t="s">
        <v>110</v>
      </c>
      <c r="W304" s="51" t="s">
        <v>110</v>
      </c>
      <c r="X304" s="51" t="s">
        <v>110</v>
      </c>
      <c r="Y304" s="52" t="s">
        <v>110</v>
      </c>
      <c r="Z304" s="51">
        <v>0</v>
      </c>
      <c r="AA304" s="50" t="s">
        <v>110</v>
      </c>
      <c r="AB304" s="50" t="s">
        <v>110</v>
      </c>
      <c r="AC304" s="50" t="s">
        <v>110</v>
      </c>
      <c r="AD304" s="80" t="str">
        <f t="shared" si="6"/>
        <v>Repasse 291</v>
      </c>
      <c r="AE304" s="80">
        <v>291</v>
      </c>
    </row>
    <row r="305" spans="22:31" x14ac:dyDescent="0.2">
      <c r="V305" s="50" t="s">
        <v>110</v>
      </c>
      <c r="W305" s="51" t="s">
        <v>110</v>
      </c>
      <c r="X305" s="51" t="s">
        <v>110</v>
      </c>
      <c r="Y305" s="52" t="s">
        <v>110</v>
      </c>
      <c r="Z305" s="51">
        <v>0</v>
      </c>
      <c r="AA305" s="50" t="s">
        <v>110</v>
      </c>
      <c r="AB305" s="50" t="s">
        <v>110</v>
      </c>
      <c r="AC305" s="50" t="s">
        <v>110</v>
      </c>
      <c r="AD305" s="80" t="str">
        <f t="shared" si="6"/>
        <v>Repasse 292</v>
      </c>
      <c r="AE305" s="80">
        <v>292</v>
      </c>
    </row>
    <row r="306" spans="22:31" x14ac:dyDescent="0.2">
      <c r="V306" s="50" t="s">
        <v>110</v>
      </c>
      <c r="W306" s="51" t="s">
        <v>110</v>
      </c>
      <c r="X306" s="51" t="s">
        <v>110</v>
      </c>
      <c r="Y306" s="52" t="s">
        <v>110</v>
      </c>
      <c r="Z306" s="51">
        <v>0</v>
      </c>
      <c r="AA306" s="50" t="s">
        <v>110</v>
      </c>
      <c r="AB306" s="50" t="s">
        <v>110</v>
      </c>
      <c r="AC306" s="50" t="s">
        <v>110</v>
      </c>
      <c r="AD306" s="80" t="str">
        <f t="shared" si="6"/>
        <v>Repasse 293</v>
      </c>
      <c r="AE306" s="80">
        <v>293</v>
      </c>
    </row>
    <row r="307" spans="22:31" x14ac:dyDescent="0.2">
      <c r="V307" s="50" t="s">
        <v>110</v>
      </c>
      <c r="W307" s="51" t="s">
        <v>110</v>
      </c>
      <c r="X307" s="51" t="s">
        <v>110</v>
      </c>
      <c r="Y307" s="52" t="s">
        <v>110</v>
      </c>
      <c r="Z307" s="51">
        <v>0</v>
      </c>
      <c r="AA307" s="50" t="s">
        <v>110</v>
      </c>
      <c r="AB307" s="50" t="s">
        <v>110</v>
      </c>
      <c r="AC307" s="50" t="s">
        <v>110</v>
      </c>
      <c r="AD307" s="80" t="str">
        <f t="shared" si="6"/>
        <v>Repasse 294</v>
      </c>
      <c r="AE307" s="80">
        <v>294</v>
      </c>
    </row>
    <row r="308" spans="22:31" x14ac:dyDescent="0.2">
      <c r="V308" s="50" t="s">
        <v>110</v>
      </c>
      <c r="W308" s="51" t="s">
        <v>110</v>
      </c>
      <c r="X308" s="51" t="s">
        <v>110</v>
      </c>
      <c r="Y308" s="52" t="s">
        <v>110</v>
      </c>
      <c r="Z308" s="51">
        <v>0</v>
      </c>
      <c r="AA308" s="50" t="s">
        <v>110</v>
      </c>
      <c r="AB308" s="50" t="s">
        <v>110</v>
      </c>
      <c r="AC308" s="50" t="s">
        <v>110</v>
      </c>
      <c r="AD308" s="80" t="str">
        <f t="shared" si="6"/>
        <v>Repasse 295</v>
      </c>
      <c r="AE308" s="80">
        <v>295</v>
      </c>
    </row>
    <row r="309" spans="22:31" x14ac:dyDescent="0.2">
      <c r="V309" s="50" t="s">
        <v>110</v>
      </c>
      <c r="W309" s="51" t="s">
        <v>110</v>
      </c>
      <c r="X309" s="51" t="s">
        <v>110</v>
      </c>
      <c r="Y309" s="52" t="s">
        <v>110</v>
      </c>
      <c r="Z309" s="51">
        <v>0</v>
      </c>
      <c r="AA309" s="50" t="s">
        <v>110</v>
      </c>
      <c r="AB309" s="50" t="s">
        <v>110</v>
      </c>
      <c r="AC309" s="50" t="s">
        <v>110</v>
      </c>
      <c r="AD309" s="80" t="str">
        <f t="shared" si="6"/>
        <v>Repasse 296</v>
      </c>
      <c r="AE309" s="80">
        <v>296</v>
      </c>
    </row>
    <row r="310" spans="22:31" x14ac:dyDescent="0.2">
      <c r="V310" s="50" t="s">
        <v>110</v>
      </c>
      <c r="W310" s="51" t="s">
        <v>110</v>
      </c>
      <c r="X310" s="51" t="s">
        <v>110</v>
      </c>
      <c r="Y310" s="52" t="s">
        <v>110</v>
      </c>
      <c r="Z310" s="51">
        <v>0</v>
      </c>
      <c r="AA310" s="50" t="s">
        <v>110</v>
      </c>
      <c r="AB310" s="50" t="s">
        <v>110</v>
      </c>
      <c r="AC310" s="50" t="s">
        <v>110</v>
      </c>
      <c r="AD310" s="80" t="str">
        <f t="shared" si="6"/>
        <v>Repasse 297</v>
      </c>
      <c r="AE310" s="80">
        <v>297</v>
      </c>
    </row>
    <row r="311" spans="22:31" x14ac:dyDescent="0.2">
      <c r="V311" s="50" t="s">
        <v>110</v>
      </c>
      <c r="W311" s="51" t="s">
        <v>110</v>
      </c>
      <c r="X311" s="51" t="s">
        <v>110</v>
      </c>
      <c r="Y311" s="52" t="s">
        <v>110</v>
      </c>
      <c r="Z311" s="51">
        <v>0</v>
      </c>
      <c r="AA311" s="50" t="s">
        <v>110</v>
      </c>
      <c r="AB311" s="50" t="s">
        <v>110</v>
      </c>
      <c r="AC311" s="50" t="s">
        <v>110</v>
      </c>
      <c r="AD311" s="80" t="str">
        <f t="shared" si="6"/>
        <v>Repasse 298</v>
      </c>
      <c r="AE311" s="80">
        <v>298</v>
      </c>
    </row>
    <row r="312" spans="22:31" x14ac:dyDescent="0.2">
      <c r="V312" s="50" t="s">
        <v>110</v>
      </c>
      <c r="W312" s="51" t="s">
        <v>110</v>
      </c>
      <c r="X312" s="51" t="s">
        <v>110</v>
      </c>
      <c r="Y312" s="52" t="s">
        <v>110</v>
      </c>
      <c r="Z312" s="51">
        <v>0</v>
      </c>
      <c r="AA312" s="50" t="s">
        <v>110</v>
      </c>
      <c r="AB312" s="50" t="s">
        <v>110</v>
      </c>
      <c r="AC312" s="50" t="s">
        <v>110</v>
      </c>
      <c r="AD312" s="80" t="str">
        <f t="shared" si="6"/>
        <v>Repasse 299</v>
      </c>
      <c r="AE312" s="80">
        <v>299</v>
      </c>
    </row>
    <row r="313" spans="22:31" x14ac:dyDescent="0.2">
      <c r="V313" s="50" t="s">
        <v>110</v>
      </c>
      <c r="W313" s="51" t="s">
        <v>110</v>
      </c>
      <c r="X313" s="51" t="s">
        <v>110</v>
      </c>
      <c r="Y313" s="52" t="s">
        <v>110</v>
      </c>
      <c r="Z313" s="51">
        <v>0</v>
      </c>
      <c r="AA313" s="50" t="s">
        <v>110</v>
      </c>
      <c r="AB313" s="50" t="s">
        <v>110</v>
      </c>
      <c r="AC313" s="50" t="s">
        <v>110</v>
      </c>
      <c r="AD313" s="80" t="str">
        <f t="shared" si="6"/>
        <v>Repasse 300</v>
      </c>
      <c r="AE313" s="80">
        <v>300</v>
      </c>
    </row>
    <row r="314" spans="22:31" x14ac:dyDescent="0.2">
      <c r="V314" s="50" t="s">
        <v>110</v>
      </c>
      <c r="W314" s="51" t="s">
        <v>110</v>
      </c>
      <c r="X314" s="51" t="s">
        <v>110</v>
      </c>
      <c r="Y314" s="52" t="s">
        <v>110</v>
      </c>
      <c r="Z314" s="51">
        <v>0</v>
      </c>
      <c r="AA314" s="50" t="s">
        <v>110</v>
      </c>
      <c r="AB314" s="50" t="s">
        <v>110</v>
      </c>
      <c r="AC314" s="50" t="s">
        <v>110</v>
      </c>
      <c r="AD314" s="80" t="str">
        <f t="shared" si="6"/>
        <v>Repasse 301</v>
      </c>
      <c r="AE314" s="80">
        <v>301</v>
      </c>
    </row>
    <row r="315" spans="22:31" x14ac:dyDescent="0.2">
      <c r="V315" s="50" t="s">
        <v>110</v>
      </c>
      <c r="W315" s="51" t="s">
        <v>110</v>
      </c>
      <c r="X315" s="51" t="s">
        <v>110</v>
      </c>
      <c r="Y315" s="52" t="s">
        <v>110</v>
      </c>
      <c r="Z315" s="51">
        <v>0</v>
      </c>
      <c r="AA315" s="50" t="s">
        <v>110</v>
      </c>
      <c r="AB315" s="50" t="s">
        <v>110</v>
      </c>
      <c r="AC315" s="50" t="s">
        <v>110</v>
      </c>
      <c r="AD315" s="80" t="str">
        <f t="shared" si="6"/>
        <v>Repasse 302</v>
      </c>
      <c r="AE315" s="80">
        <v>302</v>
      </c>
    </row>
    <row r="316" spans="22:31" x14ac:dyDescent="0.2">
      <c r="V316" s="50" t="s">
        <v>110</v>
      </c>
      <c r="W316" s="51" t="s">
        <v>110</v>
      </c>
      <c r="X316" s="51" t="s">
        <v>110</v>
      </c>
      <c r="Y316" s="52" t="s">
        <v>110</v>
      </c>
      <c r="Z316" s="51">
        <v>0</v>
      </c>
      <c r="AA316" s="50" t="s">
        <v>110</v>
      </c>
      <c r="AB316" s="50" t="s">
        <v>110</v>
      </c>
      <c r="AC316" s="50" t="s">
        <v>110</v>
      </c>
      <c r="AD316" s="80" t="str">
        <f t="shared" si="6"/>
        <v>Repasse 303</v>
      </c>
      <c r="AE316" s="80">
        <v>303</v>
      </c>
    </row>
    <row r="317" spans="22:31" x14ac:dyDescent="0.2">
      <c r="V317" s="50" t="s">
        <v>110</v>
      </c>
      <c r="W317" s="51" t="s">
        <v>110</v>
      </c>
      <c r="X317" s="51" t="s">
        <v>110</v>
      </c>
      <c r="Y317" s="52" t="s">
        <v>110</v>
      </c>
      <c r="Z317" s="51">
        <v>0</v>
      </c>
      <c r="AA317" s="50" t="s">
        <v>110</v>
      </c>
      <c r="AB317" s="50" t="s">
        <v>110</v>
      </c>
      <c r="AC317" s="50" t="s">
        <v>110</v>
      </c>
      <c r="AD317" s="80" t="str">
        <f t="shared" si="6"/>
        <v>Repasse 304</v>
      </c>
      <c r="AE317" s="80">
        <v>304</v>
      </c>
    </row>
    <row r="318" spans="22:31" x14ac:dyDescent="0.2">
      <c r="V318" s="50" t="s">
        <v>110</v>
      </c>
      <c r="W318" s="51" t="s">
        <v>110</v>
      </c>
      <c r="X318" s="51" t="s">
        <v>110</v>
      </c>
      <c r="Y318" s="52" t="s">
        <v>110</v>
      </c>
      <c r="Z318" s="51">
        <v>0</v>
      </c>
      <c r="AA318" s="50" t="s">
        <v>110</v>
      </c>
      <c r="AB318" s="50" t="s">
        <v>110</v>
      </c>
      <c r="AC318" s="50" t="s">
        <v>110</v>
      </c>
      <c r="AD318" s="80" t="str">
        <f t="shared" si="6"/>
        <v>Repasse 305</v>
      </c>
      <c r="AE318" s="80">
        <v>305</v>
      </c>
    </row>
    <row r="319" spans="22:31" x14ac:dyDescent="0.2">
      <c r="V319" s="50" t="s">
        <v>110</v>
      </c>
      <c r="W319" s="51" t="s">
        <v>110</v>
      </c>
      <c r="X319" s="51" t="s">
        <v>110</v>
      </c>
      <c r="Y319" s="52" t="s">
        <v>110</v>
      </c>
      <c r="Z319" s="51">
        <v>0</v>
      </c>
      <c r="AA319" s="50" t="s">
        <v>110</v>
      </c>
      <c r="AB319" s="50" t="s">
        <v>110</v>
      </c>
      <c r="AC319" s="50" t="s">
        <v>110</v>
      </c>
      <c r="AD319" s="80" t="str">
        <f t="shared" si="6"/>
        <v>Repasse 306</v>
      </c>
      <c r="AE319" s="80">
        <v>306</v>
      </c>
    </row>
    <row r="320" spans="22:31" x14ac:dyDescent="0.2">
      <c r="V320" s="50" t="s">
        <v>110</v>
      </c>
      <c r="W320" s="51" t="s">
        <v>110</v>
      </c>
      <c r="X320" s="51" t="s">
        <v>110</v>
      </c>
      <c r="Y320" s="52" t="s">
        <v>110</v>
      </c>
      <c r="Z320" s="51">
        <v>0</v>
      </c>
      <c r="AA320" s="50" t="s">
        <v>110</v>
      </c>
      <c r="AB320" s="50" t="s">
        <v>110</v>
      </c>
      <c r="AC320" s="50" t="s">
        <v>110</v>
      </c>
      <c r="AD320" s="80" t="str">
        <f t="shared" si="6"/>
        <v>Repasse 307</v>
      </c>
      <c r="AE320" s="80">
        <v>307</v>
      </c>
    </row>
    <row r="321" spans="22:31" x14ac:dyDescent="0.2">
      <c r="V321" s="50" t="s">
        <v>110</v>
      </c>
      <c r="W321" s="51" t="s">
        <v>110</v>
      </c>
      <c r="X321" s="51" t="s">
        <v>110</v>
      </c>
      <c r="Y321" s="52" t="s">
        <v>110</v>
      </c>
      <c r="Z321" s="51">
        <v>0</v>
      </c>
      <c r="AA321" s="50" t="s">
        <v>110</v>
      </c>
      <c r="AB321" s="50" t="s">
        <v>110</v>
      </c>
      <c r="AC321" s="50" t="s">
        <v>110</v>
      </c>
      <c r="AD321" s="80" t="str">
        <f t="shared" si="6"/>
        <v>Repasse 308</v>
      </c>
      <c r="AE321" s="80">
        <v>308</v>
      </c>
    </row>
    <row r="322" spans="22:31" x14ac:dyDescent="0.2">
      <c r="V322" s="50" t="s">
        <v>110</v>
      </c>
      <c r="W322" s="51" t="s">
        <v>110</v>
      </c>
      <c r="X322" s="51" t="s">
        <v>110</v>
      </c>
      <c r="Y322" s="52" t="s">
        <v>110</v>
      </c>
      <c r="Z322" s="51">
        <v>0</v>
      </c>
      <c r="AA322" s="50" t="s">
        <v>110</v>
      </c>
      <c r="AB322" s="50" t="s">
        <v>110</v>
      </c>
      <c r="AC322" s="50" t="s">
        <v>110</v>
      </c>
      <c r="AD322" s="80" t="str">
        <f t="shared" si="6"/>
        <v>Repasse 309</v>
      </c>
      <c r="AE322" s="80">
        <v>309</v>
      </c>
    </row>
    <row r="323" spans="22:31" x14ac:dyDescent="0.2">
      <c r="V323" s="50" t="s">
        <v>110</v>
      </c>
      <c r="W323" s="51" t="s">
        <v>110</v>
      </c>
      <c r="X323" s="51" t="s">
        <v>110</v>
      </c>
      <c r="Y323" s="52" t="s">
        <v>110</v>
      </c>
      <c r="Z323" s="51">
        <v>0</v>
      </c>
      <c r="AA323" s="50" t="s">
        <v>110</v>
      </c>
      <c r="AB323" s="50" t="s">
        <v>110</v>
      </c>
      <c r="AC323" s="50" t="s">
        <v>110</v>
      </c>
      <c r="AD323" s="80" t="str">
        <f t="shared" si="6"/>
        <v>Repasse 310</v>
      </c>
      <c r="AE323" s="80">
        <v>310</v>
      </c>
    </row>
    <row r="324" spans="22:31" x14ac:dyDescent="0.2">
      <c r="V324" s="50" t="s">
        <v>110</v>
      </c>
      <c r="W324" s="51" t="s">
        <v>110</v>
      </c>
      <c r="X324" s="51" t="s">
        <v>110</v>
      </c>
      <c r="Y324" s="52" t="s">
        <v>110</v>
      </c>
      <c r="Z324" s="51">
        <v>0</v>
      </c>
      <c r="AA324" s="50" t="s">
        <v>110</v>
      </c>
      <c r="AB324" s="50" t="s">
        <v>110</v>
      </c>
      <c r="AC324" s="50" t="s">
        <v>110</v>
      </c>
      <c r="AD324" s="80" t="str">
        <f t="shared" si="6"/>
        <v>Repasse 311</v>
      </c>
      <c r="AE324" s="80">
        <v>311</v>
      </c>
    </row>
    <row r="325" spans="22:31" x14ac:dyDescent="0.2">
      <c r="V325" s="50" t="s">
        <v>110</v>
      </c>
      <c r="W325" s="51" t="s">
        <v>110</v>
      </c>
      <c r="X325" s="51" t="s">
        <v>110</v>
      </c>
      <c r="Y325" s="52" t="s">
        <v>110</v>
      </c>
      <c r="Z325" s="51">
        <v>0</v>
      </c>
      <c r="AA325" s="50" t="s">
        <v>110</v>
      </c>
      <c r="AB325" s="50" t="s">
        <v>110</v>
      </c>
      <c r="AC325" s="50" t="s">
        <v>110</v>
      </c>
      <c r="AD325" s="80" t="str">
        <f t="shared" si="6"/>
        <v>Repasse 312</v>
      </c>
      <c r="AE325" s="80">
        <v>312</v>
      </c>
    </row>
    <row r="326" spans="22:31" x14ac:dyDescent="0.2">
      <c r="V326" s="50" t="s">
        <v>110</v>
      </c>
      <c r="W326" s="51" t="s">
        <v>110</v>
      </c>
      <c r="X326" s="51" t="s">
        <v>110</v>
      </c>
      <c r="Y326" s="52" t="s">
        <v>110</v>
      </c>
      <c r="Z326" s="51">
        <v>0</v>
      </c>
      <c r="AA326" s="50" t="s">
        <v>110</v>
      </c>
      <c r="AB326" s="50" t="s">
        <v>110</v>
      </c>
      <c r="AC326" s="50" t="s">
        <v>110</v>
      </c>
      <c r="AD326" s="80" t="str">
        <f t="shared" si="6"/>
        <v>Repasse 313</v>
      </c>
      <c r="AE326" s="80">
        <v>313</v>
      </c>
    </row>
    <row r="327" spans="22:31" x14ac:dyDescent="0.2">
      <c r="V327" s="50" t="s">
        <v>110</v>
      </c>
      <c r="W327" s="51" t="s">
        <v>110</v>
      </c>
      <c r="X327" s="51" t="s">
        <v>110</v>
      </c>
      <c r="Y327" s="52" t="s">
        <v>110</v>
      </c>
      <c r="Z327" s="51">
        <v>0</v>
      </c>
      <c r="AA327" s="50" t="s">
        <v>110</v>
      </c>
      <c r="AB327" s="50" t="s">
        <v>110</v>
      </c>
      <c r="AC327" s="50" t="s">
        <v>110</v>
      </c>
      <c r="AD327" s="80" t="str">
        <f t="shared" si="6"/>
        <v>Repasse 314</v>
      </c>
      <c r="AE327" s="80">
        <v>314</v>
      </c>
    </row>
    <row r="328" spans="22:31" x14ac:dyDescent="0.2">
      <c r="V328" s="50" t="s">
        <v>110</v>
      </c>
      <c r="W328" s="51" t="s">
        <v>110</v>
      </c>
      <c r="X328" s="51" t="s">
        <v>110</v>
      </c>
      <c r="Y328" s="52" t="s">
        <v>110</v>
      </c>
      <c r="Z328" s="51">
        <v>0</v>
      </c>
      <c r="AA328" s="50" t="s">
        <v>110</v>
      </c>
      <c r="AB328" s="50" t="s">
        <v>110</v>
      </c>
      <c r="AC328" s="50" t="s">
        <v>110</v>
      </c>
      <c r="AD328" s="80" t="str">
        <f t="shared" si="6"/>
        <v>Repasse 315</v>
      </c>
      <c r="AE328" s="80">
        <v>315</v>
      </c>
    </row>
    <row r="329" spans="22:31" x14ac:dyDescent="0.2">
      <c r="V329" s="50" t="s">
        <v>110</v>
      </c>
      <c r="W329" s="51" t="s">
        <v>110</v>
      </c>
      <c r="X329" s="51" t="s">
        <v>110</v>
      </c>
      <c r="Y329" s="52" t="s">
        <v>110</v>
      </c>
      <c r="Z329" s="51">
        <v>0</v>
      </c>
      <c r="AA329" s="50" t="s">
        <v>110</v>
      </c>
      <c r="AB329" s="50" t="s">
        <v>110</v>
      </c>
      <c r="AC329" s="50" t="s">
        <v>110</v>
      </c>
      <c r="AD329" s="80" t="str">
        <f t="shared" si="6"/>
        <v>Repasse 316</v>
      </c>
      <c r="AE329" s="80">
        <v>316</v>
      </c>
    </row>
    <row r="330" spans="22:31" x14ac:dyDescent="0.2">
      <c r="V330" s="50" t="s">
        <v>110</v>
      </c>
      <c r="W330" s="51" t="s">
        <v>110</v>
      </c>
      <c r="X330" s="51" t="s">
        <v>110</v>
      </c>
      <c r="Y330" s="52" t="s">
        <v>110</v>
      </c>
      <c r="Z330" s="51">
        <v>0</v>
      </c>
      <c r="AA330" s="50" t="s">
        <v>110</v>
      </c>
      <c r="AB330" s="50" t="s">
        <v>110</v>
      </c>
      <c r="AC330" s="50" t="s">
        <v>110</v>
      </c>
      <c r="AD330" s="80" t="str">
        <f t="shared" si="6"/>
        <v>Repasse 317</v>
      </c>
      <c r="AE330" s="80">
        <v>317</v>
      </c>
    </row>
    <row r="331" spans="22:31" x14ac:dyDescent="0.2">
      <c r="V331" s="50" t="s">
        <v>110</v>
      </c>
      <c r="W331" s="51" t="s">
        <v>110</v>
      </c>
      <c r="X331" s="51" t="s">
        <v>110</v>
      </c>
      <c r="Y331" s="52" t="s">
        <v>110</v>
      </c>
      <c r="Z331" s="51">
        <v>0</v>
      </c>
      <c r="AA331" s="50" t="s">
        <v>110</v>
      </c>
      <c r="AB331" s="50" t="s">
        <v>110</v>
      </c>
      <c r="AC331" s="50" t="s">
        <v>110</v>
      </c>
      <c r="AD331" s="80" t="str">
        <f t="shared" si="6"/>
        <v>Repasse 318</v>
      </c>
      <c r="AE331" s="80">
        <v>318</v>
      </c>
    </row>
    <row r="332" spans="22:31" x14ac:dyDescent="0.2">
      <c r="V332" s="50" t="s">
        <v>110</v>
      </c>
      <c r="W332" s="51" t="s">
        <v>110</v>
      </c>
      <c r="X332" s="51" t="s">
        <v>110</v>
      </c>
      <c r="Y332" s="52" t="s">
        <v>110</v>
      </c>
      <c r="Z332" s="51">
        <v>0</v>
      </c>
      <c r="AA332" s="50" t="s">
        <v>110</v>
      </c>
      <c r="AB332" s="50" t="s">
        <v>110</v>
      </c>
      <c r="AC332" s="50" t="s">
        <v>110</v>
      </c>
      <c r="AD332" s="80" t="str">
        <f t="shared" si="6"/>
        <v>Repasse 319</v>
      </c>
      <c r="AE332" s="80">
        <v>319</v>
      </c>
    </row>
    <row r="333" spans="22:31" x14ac:dyDescent="0.2">
      <c r="V333" s="50" t="s">
        <v>110</v>
      </c>
      <c r="W333" s="51" t="s">
        <v>110</v>
      </c>
      <c r="X333" s="51" t="s">
        <v>110</v>
      </c>
      <c r="Y333" s="52" t="s">
        <v>110</v>
      </c>
      <c r="Z333" s="51">
        <v>0</v>
      </c>
      <c r="AA333" s="50" t="s">
        <v>110</v>
      </c>
      <c r="AB333" s="50" t="s">
        <v>110</v>
      </c>
      <c r="AC333" s="50" t="s">
        <v>110</v>
      </c>
      <c r="AD333" s="80" t="str">
        <f t="shared" si="6"/>
        <v>Repasse 320</v>
      </c>
      <c r="AE333" s="80">
        <v>320</v>
      </c>
    </row>
    <row r="334" spans="22:31" x14ac:dyDescent="0.2">
      <c r="V334" s="50" t="s">
        <v>110</v>
      </c>
      <c r="W334" s="51" t="s">
        <v>110</v>
      </c>
      <c r="X334" s="51" t="s">
        <v>110</v>
      </c>
      <c r="Y334" s="52" t="s">
        <v>110</v>
      </c>
      <c r="Z334" s="51">
        <v>0</v>
      </c>
      <c r="AA334" s="50" t="s">
        <v>110</v>
      </c>
      <c r="AB334" s="50" t="s">
        <v>110</v>
      </c>
      <c r="AC334" s="50" t="s">
        <v>110</v>
      </c>
      <c r="AD334" s="80" t="str">
        <f t="shared" si="6"/>
        <v>Repasse 321</v>
      </c>
      <c r="AE334" s="80">
        <v>321</v>
      </c>
    </row>
    <row r="335" spans="22:31" x14ac:dyDescent="0.2">
      <c r="V335" s="50" t="s">
        <v>110</v>
      </c>
      <c r="W335" s="51" t="s">
        <v>110</v>
      </c>
      <c r="X335" s="51" t="s">
        <v>110</v>
      </c>
      <c r="Y335" s="52" t="s">
        <v>110</v>
      </c>
      <c r="Z335" s="51">
        <v>0</v>
      </c>
      <c r="AA335" s="50" t="s">
        <v>110</v>
      </c>
      <c r="AB335" s="50" t="s">
        <v>110</v>
      </c>
      <c r="AC335" s="50" t="s">
        <v>110</v>
      </c>
      <c r="AD335" s="80" t="str">
        <f t="shared" ref="AD335:AD376" si="7">$D$9 &amp; " " &amp; AE335</f>
        <v>Repasse 322</v>
      </c>
      <c r="AE335" s="80">
        <v>322</v>
      </c>
    </row>
    <row r="336" spans="22:31" x14ac:dyDescent="0.2">
      <c r="V336" s="50" t="s">
        <v>110</v>
      </c>
      <c r="W336" s="51" t="s">
        <v>110</v>
      </c>
      <c r="X336" s="51" t="s">
        <v>110</v>
      </c>
      <c r="Y336" s="52" t="s">
        <v>110</v>
      </c>
      <c r="Z336" s="51">
        <v>0</v>
      </c>
      <c r="AA336" s="50" t="s">
        <v>110</v>
      </c>
      <c r="AB336" s="50" t="s">
        <v>110</v>
      </c>
      <c r="AC336" s="50" t="s">
        <v>110</v>
      </c>
      <c r="AD336" s="80" t="str">
        <f t="shared" si="7"/>
        <v>Repasse 323</v>
      </c>
      <c r="AE336" s="80">
        <v>323</v>
      </c>
    </row>
    <row r="337" spans="22:31" x14ac:dyDescent="0.2">
      <c r="V337" s="50" t="s">
        <v>110</v>
      </c>
      <c r="W337" s="51" t="s">
        <v>110</v>
      </c>
      <c r="X337" s="51" t="s">
        <v>110</v>
      </c>
      <c r="Y337" s="52" t="s">
        <v>110</v>
      </c>
      <c r="Z337" s="51">
        <v>0</v>
      </c>
      <c r="AA337" s="50" t="s">
        <v>110</v>
      </c>
      <c r="AB337" s="50" t="s">
        <v>110</v>
      </c>
      <c r="AC337" s="50" t="s">
        <v>110</v>
      </c>
      <c r="AD337" s="80" t="str">
        <f t="shared" si="7"/>
        <v>Repasse 324</v>
      </c>
      <c r="AE337" s="80">
        <v>324</v>
      </c>
    </row>
    <row r="338" spans="22:31" x14ac:dyDescent="0.2">
      <c r="V338" s="50" t="s">
        <v>110</v>
      </c>
      <c r="W338" s="51" t="s">
        <v>110</v>
      </c>
      <c r="X338" s="51" t="s">
        <v>110</v>
      </c>
      <c r="Y338" s="52" t="s">
        <v>110</v>
      </c>
      <c r="Z338" s="51">
        <v>0</v>
      </c>
      <c r="AA338" s="50" t="s">
        <v>110</v>
      </c>
      <c r="AB338" s="50" t="s">
        <v>110</v>
      </c>
      <c r="AC338" s="50" t="s">
        <v>110</v>
      </c>
      <c r="AD338" s="80" t="str">
        <f t="shared" si="7"/>
        <v>Repasse 325</v>
      </c>
      <c r="AE338" s="80">
        <v>325</v>
      </c>
    </row>
    <row r="339" spans="22:31" x14ac:dyDescent="0.2">
      <c r="V339" s="50" t="s">
        <v>110</v>
      </c>
      <c r="W339" s="51" t="s">
        <v>110</v>
      </c>
      <c r="X339" s="51" t="s">
        <v>110</v>
      </c>
      <c r="Y339" s="52" t="s">
        <v>110</v>
      </c>
      <c r="Z339" s="51">
        <v>0</v>
      </c>
      <c r="AA339" s="50" t="s">
        <v>110</v>
      </c>
      <c r="AB339" s="50" t="s">
        <v>110</v>
      </c>
      <c r="AC339" s="50" t="s">
        <v>110</v>
      </c>
      <c r="AD339" s="80" t="str">
        <f t="shared" si="7"/>
        <v>Repasse 326</v>
      </c>
      <c r="AE339" s="80">
        <v>326</v>
      </c>
    </row>
    <row r="340" spans="22:31" x14ac:dyDescent="0.2">
      <c r="V340" s="50" t="s">
        <v>110</v>
      </c>
      <c r="W340" s="51" t="s">
        <v>110</v>
      </c>
      <c r="X340" s="51" t="s">
        <v>110</v>
      </c>
      <c r="Y340" s="52" t="s">
        <v>110</v>
      </c>
      <c r="Z340" s="51">
        <v>0</v>
      </c>
      <c r="AA340" s="50" t="s">
        <v>110</v>
      </c>
      <c r="AB340" s="50" t="s">
        <v>110</v>
      </c>
      <c r="AC340" s="50" t="s">
        <v>110</v>
      </c>
      <c r="AD340" s="80" t="str">
        <f t="shared" si="7"/>
        <v>Repasse 327</v>
      </c>
      <c r="AE340" s="80">
        <v>327</v>
      </c>
    </row>
    <row r="341" spans="22:31" x14ac:dyDescent="0.2">
      <c r="V341" s="50" t="s">
        <v>110</v>
      </c>
      <c r="W341" s="51" t="s">
        <v>110</v>
      </c>
      <c r="X341" s="51" t="s">
        <v>110</v>
      </c>
      <c r="Y341" s="52" t="s">
        <v>110</v>
      </c>
      <c r="Z341" s="51">
        <v>0</v>
      </c>
      <c r="AA341" s="50" t="s">
        <v>110</v>
      </c>
      <c r="AB341" s="50" t="s">
        <v>110</v>
      </c>
      <c r="AC341" s="50" t="s">
        <v>110</v>
      </c>
      <c r="AD341" s="80" t="str">
        <f t="shared" si="7"/>
        <v>Repasse 328</v>
      </c>
      <c r="AE341" s="80">
        <v>328</v>
      </c>
    </row>
    <row r="342" spans="22:31" x14ac:dyDescent="0.2">
      <c r="V342" s="50" t="s">
        <v>110</v>
      </c>
      <c r="W342" s="51" t="s">
        <v>110</v>
      </c>
      <c r="X342" s="51" t="s">
        <v>110</v>
      </c>
      <c r="Y342" s="52" t="s">
        <v>110</v>
      </c>
      <c r="Z342" s="51">
        <v>0</v>
      </c>
      <c r="AA342" s="50" t="s">
        <v>110</v>
      </c>
      <c r="AB342" s="50" t="s">
        <v>110</v>
      </c>
      <c r="AC342" s="50" t="s">
        <v>110</v>
      </c>
      <c r="AD342" s="80" t="str">
        <f t="shared" si="7"/>
        <v>Repasse 329</v>
      </c>
      <c r="AE342" s="80">
        <v>329</v>
      </c>
    </row>
    <row r="343" spans="22:31" x14ac:dyDescent="0.2">
      <c r="V343" s="50" t="s">
        <v>110</v>
      </c>
      <c r="W343" s="51" t="s">
        <v>110</v>
      </c>
      <c r="X343" s="51" t="s">
        <v>110</v>
      </c>
      <c r="Y343" s="52" t="s">
        <v>110</v>
      </c>
      <c r="Z343" s="51">
        <v>0</v>
      </c>
      <c r="AA343" s="50" t="s">
        <v>110</v>
      </c>
      <c r="AB343" s="50" t="s">
        <v>110</v>
      </c>
      <c r="AC343" s="50" t="s">
        <v>110</v>
      </c>
      <c r="AD343" s="80" t="str">
        <f t="shared" si="7"/>
        <v>Repasse 330</v>
      </c>
      <c r="AE343" s="80">
        <v>330</v>
      </c>
    </row>
    <row r="344" spans="22:31" x14ac:dyDescent="0.2">
      <c r="V344" s="50" t="s">
        <v>110</v>
      </c>
      <c r="W344" s="51" t="s">
        <v>110</v>
      </c>
      <c r="X344" s="51" t="s">
        <v>110</v>
      </c>
      <c r="Y344" s="52" t="s">
        <v>110</v>
      </c>
      <c r="Z344" s="51">
        <v>0</v>
      </c>
      <c r="AA344" s="50" t="s">
        <v>110</v>
      </c>
      <c r="AB344" s="50" t="s">
        <v>110</v>
      </c>
      <c r="AC344" s="50" t="s">
        <v>110</v>
      </c>
      <c r="AD344" s="80" t="str">
        <f t="shared" si="7"/>
        <v>Repasse 331</v>
      </c>
      <c r="AE344" s="80">
        <v>331</v>
      </c>
    </row>
    <row r="345" spans="22:31" x14ac:dyDescent="0.2">
      <c r="V345" s="50" t="s">
        <v>110</v>
      </c>
      <c r="W345" s="51" t="s">
        <v>110</v>
      </c>
      <c r="X345" s="51" t="s">
        <v>110</v>
      </c>
      <c r="Y345" s="52" t="s">
        <v>110</v>
      </c>
      <c r="Z345" s="51">
        <v>0</v>
      </c>
      <c r="AA345" s="50" t="s">
        <v>110</v>
      </c>
      <c r="AB345" s="50" t="s">
        <v>110</v>
      </c>
      <c r="AC345" s="50" t="s">
        <v>110</v>
      </c>
      <c r="AD345" s="80" t="str">
        <f t="shared" si="7"/>
        <v>Repasse 332</v>
      </c>
      <c r="AE345" s="80">
        <v>332</v>
      </c>
    </row>
    <row r="346" spans="22:31" x14ac:dyDescent="0.2">
      <c r="V346" s="50" t="s">
        <v>110</v>
      </c>
      <c r="W346" s="51" t="s">
        <v>110</v>
      </c>
      <c r="X346" s="51" t="s">
        <v>110</v>
      </c>
      <c r="Y346" s="52" t="s">
        <v>110</v>
      </c>
      <c r="Z346" s="51">
        <v>0</v>
      </c>
      <c r="AA346" s="50" t="s">
        <v>110</v>
      </c>
      <c r="AB346" s="50" t="s">
        <v>110</v>
      </c>
      <c r="AC346" s="50" t="s">
        <v>110</v>
      </c>
      <c r="AD346" s="80" t="str">
        <f t="shared" si="7"/>
        <v>Repasse 333</v>
      </c>
      <c r="AE346" s="80">
        <v>333</v>
      </c>
    </row>
    <row r="347" spans="22:31" x14ac:dyDescent="0.2">
      <c r="V347" s="50" t="s">
        <v>110</v>
      </c>
      <c r="W347" s="51" t="s">
        <v>110</v>
      </c>
      <c r="X347" s="51" t="s">
        <v>110</v>
      </c>
      <c r="Y347" s="52" t="s">
        <v>110</v>
      </c>
      <c r="Z347" s="51">
        <v>0</v>
      </c>
      <c r="AA347" s="50" t="s">
        <v>110</v>
      </c>
      <c r="AB347" s="50" t="s">
        <v>110</v>
      </c>
      <c r="AC347" s="50" t="s">
        <v>110</v>
      </c>
      <c r="AD347" s="80" t="str">
        <f t="shared" si="7"/>
        <v>Repasse 334</v>
      </c>
      <c r="AE347" s="80">
        <v>334</v>
      </c>
    </row>
    <row r="348" spans="22:31" x14ac:dyDescent="0.2">
      <c r="V348" s="50" t="s">
        <v>110</v>
      </c>
      <c r="W348" s="51" t="s">
        <v>110</v>
      </c>
      <c r="X348" s="51" t="s">
        <v>110</v>
      </c>
      <c r="Y348" s="52" t="s">
        <v>110</v>
      </c>
      <c r="Z348" s="51">
        <v>0</v>
      </c>
      <c r="AA348" s="50" t="s">
        <v>110</v>
      </c>
      <c r="AB348" s="50" t="s">
        <v>110</v>
      </c>
      <c r="AC348" s="50" t="s">
        <v>110</v>
      </c>
      <c r="AD348" s="80" t="str">
        <f t="shared" si="7"/>
        <v>Repasse 335</v>
      </c>
      <c r="AE348" s="80">
        <v>335</v>
      </c>
    </row>
    <row r="349" spans="22:31" x14ac:dyDescent="0.2">
      <c r="V349" s="50" t="s">
        <v>110</v>
      </c>
      <c r="W349" s="51" t="s">
        <v>110</v>
      </c>
      <c r="X349" s="51" t="s">
        <v>110</v>
      </c>
      <c r="Y349" s="52" t="s">
        <v>110</v>
      </c>
      <c r="Z349" s="51">
        <v>0</v>
      </c>
      <c r="AA349" s="50" t="s">
        <v>110</v>
      </c>
      <c r="AB349" s="50" t="s">
        <v>110</v>
      </c>
      <c r="AC349" s="50" t="s">
        <v>110</v>
      </c>
      <c r="AD349" s="80" t="str">
        <f t="shared" si="7"/>
        <v>Repasse 336</v>
      </c>
      <c r="AE349" s="80">
        <v>336</v>
      </c>
    </row>
    <row r="350" spans="22:31" x14ac:dyDescent="0.2">
      <c r="V350" s="50" t="s">
        <v>110</v>
      </c>
      <c r="W350" s="51" t="s">
        <v>110</v>
      </c>
      <c r="X350" s="51" t="s">
        <v>110</v>
      </c>
      <c r="Y350" s="52" t="s">
        <v>110</v>
      </c>
      <c r="Z350" s="51">
        <v>0</v>
      </c>
      <c r="AA350" s="50" t="s">
        <v>110</v>
      </c>
      <c r="AB350" s="50" t="s">
        <v>110</v>
      </c>
      <c r="AC350" s="50" t="s">
        <v>110</v>
      </c>
      <c r="AD350" s="80" t="str">
        <f t="shared" si="7"/>
        <v>Repasse 337</v>
      </c>
      <c r="AE350" s="80">
        <v>337</v>
      </c>
    </row>
    <row r="351" spans="22:31" x14ac:dyDescent="0.2">
      <c r="V351" s="50" t="s">
        <v>110</v>
      </c>
      <c r="W351" s="51" t="s">
        <v>110</v>
      </c>
      <c r="X351" s="51" t="s">
        <v>110</v>
      </c>
      <c r="Y351" s="52" t="s">
        <v>110</v>
      </c>
      <c r="Z351" s="51">
        <v>0</v>
      </c>
      <c r="AA351" s="50" t="s">
        <v>110</v>
      </c>
      <c r="AB351" s="50" t="s">
        <v>110</v>
      </c>
      <c r="AC351" s="50" t="s">
        <v>110</v>
      </c>
      <c r="AD351" s="80" t="str">
        <f t="shared" si="7"/>
        <v>Repasse 338</v>
      </c>
      <c r="AE351" s="80">
        <v>338</v>
      </c>
    </row>
    <row r="352" spans="22:31" x14ac:dyDescent="0.2">
      <c r="V352" s="50" t="s">
        <v>110</v>
      </c>
      <c r="W352" s="51" t="s">
        <v>110</v>
      </c>
      <c r="X352" s="51" t="s">
        <v>110</v>
      </c>
      <c r="Y352" s="52" t="s">
        <v>110</v>
      </c>
      <c r="Z352" s="51">
        <v>0</v>
      </c>
      <c r="AA352" s="50" t="s">
        <v>110</v>
      </c>
      <c r="AB352" s="50" t="s">
        <v>110</v>
      </c>
      <c r="AC352" s="50" t="s">
        <v>110</v>
      </c>
      <c r="AD352" s="80" t="str">
        <f t="shared" si="7"/>
        <v>Repasse 339</v>
      </c>
      <c r="AE352" s="80">
        <v>339</v>
      </c>
    </row>
    <row r="353" spans="22:31" x14ac:dyDescent="0.2">
      <c r="V353" s="50" t="s">
        <v>110</v>
      </c>
      <c r="W353" s="51" t="s">
        <v>110</v>
      </c>
      <c r="X353" s="51" t="s">
        <v>110</v>
      </c>
      <c r="Y353" s="52" t="s">
        <v>110</v>
      </c>
      <c r="Z353" s="51">
        <v>0</v>
      </c>
      <c r="AA353" s="50" t="s">
        <v>110</v>
      </c>
      <c r="AB353" s="50" t="s">
        <v>110</v>
      </c>
      <c r="AC353" s="50" t="s">
        <v>110</v>
      </c>
      <c r="AD353" s="80" t="str">
        <f t="shared" si="7"/>
        <v>Repasse 340</v>
      </c>
      <c r="AE353" s="80">
        <v>340</v>
      </c>
    </row>
    <row r="354" spans="22:31" x14ac:dyDescent="0.2">
      <c r="V354" s="50" t="s">
        <v>110</v>
      </c>
      <c r="W354" s="51" t="s">
        <v>110</v>
      </c>
      <c r="X354" s="51" t="s">
        <v>110</v>
      </c>
      <c r="Y354" s="52" t="s">
        <v>110</v>
      </c>
      <c r="Z354" s="51">
        <v>0</v>
      </c>
      <c r="AA354" s="50" t="s">
        <v>110</v>
      </c>
      <c r="AB354" s="50" t="s">
        <v>110</v>
      </c>
      <c r="AC354" s="50" t="s">
        <v>110</v>
      </c>
      <c r="AD354" s="80" t="str">
        <f t="shared" si="7"/>
        <v>Repasse 341</v>
      </c>
      <c r="AE354" s="80">
        <v>341</v>
      </c>
    </row>
    <row r="355" spans="22:31" x14ac:dyDescent="0.2">
      <c r="V355" s="50" t="s">
        <v>110</v>
      </c>
      <c r="W355" s="51" t="s">
        <v>110</v>
      </c>
      <c r="X355" s="51" t="s">
        <v>110</v>
      </c>
      <c r="Y355" s="52" t="s">
        <v>110</v>
      </c>
      <c r="Z355" s="51">
        <v>0</v>
      </c>
      <c r="AA355" s="50" t="s">
        <v>110</v>
      </c>
      <c r="AB355" s="50" t="s">
        <v>110</v>
      </c>
      <c r="AC355" s="50" t="s">
        <v>110</v>
      </c>
      <c r="AD355" s="80" t="str">
        <f t="shared" si="7"/>
        <v>Repasse 342</v>
      </c>
      <c r="AE355" s="80">
        <v>342</v>
      </c>
    </row>
    <row r="356" spans="22:31" x14ac:dyDescent="0.2">
      <c r="V356" s="50" t="s">
        <v>110</v>
      </c>
      <c r="W356" s="51" t="s">
        <v>110</v>
      </c>
      <c r="X356" s="51" t="s">
        <v>110</v>
      </c>
      <c r="Y356" s="52" t="s">
        <v>110</v>
      </c>
      <c r="Z356" s="51">
        <v>0</v>
      </c>
      <c r="AA356" s="50" t="s">
        <v>110</v>
      </c>
      <c r="AB356" s="50" t="s">
        <v>110</v>
      </c>
      <c r="AC356" s="50" t="s">
        <v>110</v>
      </c>
      <c r="AD356" s="80" t="str">
        <f t="shared" si="7"/>
        <v>Repasse 343</v>
      </c>
      <c r="AE356" s="80">
        <v>343</v>
      </c>
    </row>
    <row r="357" spans="22:31" x14ac:dyDescent="0.2">
      <c r="V357" s="50" t="s">
        <v>110</v>
      </c>
      <c r="W357" s="51" t="s">
        <v>110</v>
      </c>
      <c r="X357" s="51" t="s">
        <v>110</v>
      </c>
      <c r="Y357" s="52" t="s">
        <v>110</v>
      </c>
      <c r="Z357" s="51">
        <v>0</v>
      </c>
      <c r="AA357" s="50" t="s">
        <v>110</v>
      </c>
      <c r="AB357" s="50" t="s">
        <v>110</v>
      </c>
      <c r="AC357" s="50" t="s">
        <v>110</v>
      </c>
      <c r="AD357" s="80" t="str">
        <f t="shared" si="7"/>
        <v>Repasse 344</v>
      </c>
      <c r="AE357" s="80">
        <v>344</v>
      </c>
    </row>
    <row r="358" spans="22:31" x14ac:dyDescent="0.2">
      <c r="V358" s="50" t="s">
        <v>110</v>
      </c>
      <c r="W358" s="51" t="s">
        <v>110</v>
      </c>
      <c r="X358" s="51" t="s">
        <v>110</v>
      </c>
      <c r="Y358" s="52" t="s">
        <v>110</v>
      </c>
      <c r="Z358" s="51">
        <v>0</v>
      </c>
      <c r="AA358" s="50" t="s">
        <v>110</v>
      </c>
      <c r="AB358" s="50" t="s">
        <v>110</v>
      </c>
      <c r="AC358" s="50" t="s">
        <v>110</v>
      </c>
      <c r="AD358" s="80" t="str">
        <f t="shared" si="7"/>
        <v>Repasse 345</v>
      </c>
      <c r="AE358" s="80">
        <v>345</v>
      </c>
    </row>
    <row r="359" spans="22:31" x14ac:dyDescent="0.2">
      <c r="V359" s="50" t="s">
        <v>110</v>
      </c>
      <c r="W359" s="51" t="s">
        <v>110</v>
      </c>
      <c r="X359" s="51" t="s">
        <v>110</v>
      </c>
      <c r="Y359" s="52" t="s">
        <v>110</v>
      </c>
      <c r="Z359" s="51">
        <v>0</v>
      </c>
      <c r="AA359" s="50" t="s">
        <v>110</v>
      </c>
      <c r="AB359" s="50" t="s">
        <v>110</v>
      </c>
      <c r="AC359" s="50" t="s">
        <v>110</v>
      </c>
      <c r="AD359" s="80" t="str">
        <f t="shared" si="7"/>
        <v>Repasse 346</v>
      </c>
      <c r="AE359" s="80">
        <v>346</v>
      </c>
    </row>
    <row r="360" spans="22:31" x14ac:dyDescent="0.2">
      <c r="V360" s="50" t="s">
        <v>110</v>
      </c>
      <c r="W360" s="51" t="s">
        <v>110</v>
      </c>
      <c r="X360" s="51" t="s">
        <v>110</v>
      </c>
      <c r="Y360" s="52" t="s">
        <v>110</v>
      </c>
      <c r="Z360" s="51">
        <v>0</v>
      </c>
      <c r="AA360" s="50" t="s">
        <v>110</v>
      </c>
      <c r="AB360" s="50" t="s">
        <v>110</v>
      </c>
      <c r="AC360" s="50" t="s">
        <v>110</v>
      </c>
      <c r="AD360" s="80" t="str">
        <f t="shared" si="7"/>
        <v>Repasse 347</v>
      </c>
      <c r="AE360" s="80">
        <v>347</v>
      </c>
    </row>
    <row r="361" spans="22:31" x14ac:dyDescent="0.2">
      <c r="V361" s="50" t="s">
        <v>110</v>
      </c>
      <c r="W361" s="51" t="s">
        <v>110</v>
      </c>
      <c r="X361" s="51" t="s">
        <v>110</v>
      </c>
      <c r="Y361" s="52" t="s">
        <v>110</v>
      </c>
      <c r="Z361" s="51">
        <v>0</v>
      </c>
      <c r="AA361" s="50" t="s">
        <v>110</v>
      </c>
      <c r="AB361" s="50" t="s">
        <v>110</v>
      </c>
      <c r="AC361" s="50" t="s">
        <v>110</v>
      </c>
      <c r="AD361" s="80" t="str">
        <f t="shared" si="7"/>
        <v>Repasse 348</v>
      </c>
      <c r="AE361" s="80">
        <v>348</v>
      </c>
    </row>
    <row r="362" spans="22:31" x14ac:dyDescent="0.2">
      <c r="V362" s="50" t="s">
        <v>110</v>
      </c>
      <c r="W362" s="51" t="s">
        <v>110</v>
      </c>
      <c r="X362" s="51" t="s">
        <v>110</v>
      </c>
      <c r="Y362" s="52" t="s">
        <v>110</v>
      </c>
      <c r="Z362" s="51">
        <v>0</v>
      </c>
      <c r="AA362" s="50" t="s">
        <v>110</v>
      </c>
      <c r="AB362" s="50" t="s">
        <v>110</v>
      </c>
      <c r="AC362" s="50" t="s">
        <v>110</v>
      </c>
      <c r="AD362" s="80" t="str">
        <f t="shared" si="7"/>
        <v>Repasse 349</v>
      </c>
      <c r="AE362" s="80">
        <v>349</v>
      </c>
    </row>
    <row r="363" spans="22:31" x14ac:dyDescent="0.2">
      <c r="V363" s="50" t="s">
        <v>110</v>
      </c>
      <c r="W363" s="51" t="s">
        <v>110</v>
      </c>
      <c r="X363" s="51" t="s">
        <v>110</v>
      </c>
      <c r="Y363" s="52" t="s">
        <v>110</v>
      </c>
      <c r="Z363" s="51">
        <v>0</v>
      </c>
      <c r="AA363" s="50" t="s">
        <v>110</v>
      </c>
      <c r="AB363" s="50" t="s">
        <v>110</v>
      </c>
      <c r="AC363" s="50" t="s">
        <v>110</v>
      </c>
      <c r="AD363" s="80" t="str">
        <f t="shared" si="7"/>
        <v>Repasse 350</v>
      </c>
      <c r="AE363" s="80">
        <v>350</v>
      </c>
    </row>
    <row r="364" spans="22:31" x14ac:dyDescent="0.2">
      <c r="V364" s="50" t="s">
        <v>110</v>
      </c>
      <c r="W364" s="51" t="s">
        <v>110</v>
      </c>
      <c r="X364" s="51" t="s">
        <v>110</v>
      </c>
      <c r="Y364" s="52" t="s">
        <v>110</v>
      </c>
      <c r="Z364" s="51">
        <v>0</v>
      </c>
      <c r="AA364" s="50" t="s">
        <v>110</v>
      </c>
      <c r="AB364" s="50" t="s">
        <v>110</v>
      </c>
      <c r="AC364" s="50" t="s">
        <v>110</v>
      </c>
      <c r="AD364" s="80" t="str">
        <f t="shared" si="7"/>
        <v>Repasse 351</v>
      </c>
      <c r="AE364" s="80">
        <v>351</v>
      </c>
    </row>
    <row r="365" spans="22:31" x14ac:dyDescent="0.2">
      <c r="V365" s="50" t="s">
        <v>110</v>
      </c>
      <c r="W365" s="51" t="s">
        <v>110</v>
      </c>
      <c r="X365" s="51" t="s">
        <v>110</v>
      </c>
      <c r="Y365" s="52" t="s">
        <v>110</v>
      </c>
      <c r="Z365" s="51">
        <v>0</v>
      </c>
      <c r="AA365" s="50" t="s">
        <v>110</v>
      </c>
      <c r="AB365" s="50" t="s">
        <v>110</v>
      </c>
      <c r="AC365" s="50" t="s">
        <v>110</v>
      </c>
      <c r="AD365" s="80" t="str">
        <f t="shared" si="7"/>
        <v>Repasse 352</v>
      </c>
      <c r="AE365" s="80">
        <v>352</v>
      </c>
    </row>
    <row r="366" spans="22:31" x14ac:dyDescent="0.2">
      <c r="V366" s="50" t="s">
        <v>110</v>
      </c>
      <c r="W366" s="51" t="s">
        <v>110</v>
      </c>
      <c r="X366" s="51" t="s">
        <v>110</v>
      </c>
      <c r="Y366" s="52" t="s">
        <v>110</v>
      </c>
      <c r="Z366" s="51">
        <v>0</v>
      </c>
      <c r="AA366" s="50" t="s">
        <v>110</v>
      </c>
      <c r="AB366" s="50" t="s">
        <v>110</v>
      </c>
      <c r="AC366" s="50" t="s">
        <v>110</v>
      </c>
      <c r="AD366" s="80" t="str">
        <f t="shared" si="7"/>
        <v>Repasse 353</v>
      </c>
      <c r="AE366" s="80">
        <v>353</v>
      </c>
    </row>
    <row r="367" spans="22:31" x14ac:dyDescent="0.2">
      <c r="V367" s="50" t="s">
        <v>110</v>
      </c>
      <c r="W367" s="51" t="s">
        <v>110</v>
      </c>
      <c r="X367" s="51" t="s">
        <v>110</v>
      </c>
      <c r="Y367" s="52" t="s">
        <v>110</v>
      </c>
      <c r="Z367" s="51">
        <v>0</v>
      </c>
      <c r="AA367" s="50" t="s">
        <v>110</v>
      </c>
      <c r="AB367" s="50" t="s">
        <v>110</v>
      </c>
      <c r="AC367" s="50" t="s">
        <v>110</v>
      </c>
      <c r="AD367" s="80" t="str">
        <f t="shared" si="7"/>
        <v>Repasse 354</v>
      </c>
      <c r="AE367" s="80">
        <v>354</v>
      </c>
    </row>
    <row r="368" spans="22:31" x14ac:dyDescent="0.2">
      <c r="V368" s="50" t="s">
        <v>110</v>
      </c>
      <c r="W368" s="51" t="s">
        <v>110</v>
      </c>
      <c r="X368" s="51" t="s">
        <v>110</v>
      </c>
      <c r="Y368" s="52" t="s">
        <v>110</v>
      </c>
      <c r="Z368" s="51">
        <v>0</v>
      </c>
      <c r="AA368" s="50" t="s">
        <v>110</v>
      </c>
      <c r="AB368" s="50" t="s">
        <v>110</v>
      </c>
      <c r="AC368" s="50" t="s">
        <v>110</v>
      </c>
      <c r="AD368" s="80" t="str">
        <f t="shared" si="7"/>
        <v>Repasse 355</v>
      </c>
      <c r="AE368" s="80">
        <v>355</v>
      </c>
    </row>
    <row r="369" spans="22:31" x14ac:dyDescent="0.2">
      <c r="V369" s="50" t="s">
        <v>110</v>
      </c>
      <c r="W369" s="51" t="s">
        <v>110</v>
      </c>
      <c r="X369" s="51" t="s">
        <v>110</v>
      </c>
      <c r="Y369" s="52" t="s">
        <v>110</v>
      </c>
      <c r="Z369" s="51">
        <v>0</v>
      </c>
      <c r="AA369" s="50" t="s">
        <v>110</v>
      </c>
      <c r="AB369" s="50" t="s">
        <v>110</v>
      </c>
      <c r="AC369" s="50" t="s">
        <v>110</v>
      </c>
      <c r="AD369" s="80" t="str">
        <f t="shared" si="7"/>
        <v>Repasse 356</v>
      </c>
      <c r="AE369" s="80">
        <v>356</v>
      </c>
    </row>
    <row r="370" spans="22:31" x14ac:dyDescent="0.2">
      <c r="V370" s="50" t="s">
        <v>110</v>
      </c>
      <c r="W370" s="51" t="s">
        <v>110</v>
      </c>
      <c r="X370" s="51" t="s">
        <v>110</v>
      </c>
      <c r="Y370" s="52" t="s">
        <v>110</v>
      </c>
      <c r="Z370" s="51">
        <v>0</v>
      </c>
      <c r="AA370" s="50" t="s">
        <v>110</v>
      </c>
      <c r="AB370" s="50" t="s">
        <v>110</v>
      </c>
      <c r="AC370" s="50" t="s">
        <v>110</v>
      </c>
      <c r="AD370" s="80" t="str">
        <f t="shared" si="7"/>
        <v>Repasse 357</v>
      </c>
      <c r="AE370" s="80">
        <v>357</v>
      </c>
    </row>
    <row r="371" spans="22:31" x14ac:dyDescent="0.2">
      <c r="V371" s="50" t="s">
        <v>110</v>
      </c>
      <c r="W371" s="51" t="s">
        <v>110</v>
      </c>
      <c r="X371" s="51" t="s">
        <v>110</v>
      </c>
      <c r="Y371" s="52" t="s">
        <v>110</v>
      </c>
      <c r="Z371" s="51">
        <v>0</v>
      </c>
      <c r="AA371" s="50" t="s">
        <v>110</v>
      </c>
      <c r="AB371" s="50" t="s">
        <v>110</v>
      </c>
      <c r="AC371" s="50" t="s">
        <v>110</v>
      </c>
      <c r="AD371" s="80" t="str">
        <f t="shared" si="7"/>
        <v>Repasse 358</v>
      </c>
      <c r="AE371" s="80">
        <v>358</v>
      </c>
    </row>
    <row r="372" spans="22:31" x14ac:dyDescent="0.2">
      <c r="V372" s="50" t="s">
        <v>110</v>
      </c>
      <c r="W372" s="51" t="s">
        <v>110</v>
      </c>
      <c r="X372" s="51" t="s">
        <v>110</v>
      </c>
      <c r="Y372" s="52" t="s">
        <v>110</v>
      </c>
      <c r="Z372" s="51">
        <v>0</v>
      </c>
      <c r="AA372" s="50" t="s">
        <v>110</v>
      </c>
      <c r="AB372" s="50" t="s">
        <v>110</v>
      </c>
      <c r="AC372" s="50" t="s">
        <v>110</v>
      </c>
      <c r="AD372" s="80" t="str">
        <f t="shared" si="7"/>
        <v>Repasse 359</v>
      </c>
      <c r="AE372" s="80">
        <v>359</v>
      </c>
    </row>
    <row r="373" spans="22:31" x14ac:dyDescent="0.2">
      <c r="V373" s="50" t="s">
        <v>110</v>
      </c>
      <c r="W373" s="51" t="s">
        <v>110</v>
      </c>
      <c r="X373" s="51" t="s">
        <v>110</v>
      </c>
      <c r="Y373" s="52" t="s">
        <v>110</v>
      </c>
      <c r="Z373" s="51">
        <v>0</v>
      </c>
      <c r="AA373" s="50" t="s">
        <v>110</v>
      </c>
      <c r="AB373" s="50" t="s">
        <v>110</v>
      </c>
      <c r="AC373" s="50" t="s">
        <v>110</v>
      </c>
      <c r="AD373" s="80" t="str">
        <f t="shared" si="7"/>
        <v>Repasse 360</v>
      </c>
      <c r="AE373" s="80">
        <v>360</v>
      </c>
    </row>
    <row r="374" spans="22:31" x14ac:dyDescent="0.2">
      <c r="V374" s="50" t="s">
        <v>110</v>
      </c>
      <c r="W374" s="51" t="s">
        <v>110</v>
      </c>
      <c r="X374" s="51" t="s">
        <v>110</v>
      </c>
      <c r="Y374" s="52" t="s">
        <v>110</v>
      </c>
      <c r="Z374" s="51">
        <v>0</v>
      </c>
      <c r="AA374" s="50" t="s">
        <v>110</v>
      </c>
      <c r="AB374" s="50" t="s">
        <v>110</v>
      </c>
      <c r="AC374" s="50" t="s">
        <v>110</v>
      </c>
      <c r="AD374" s="80" t="str">
        <f t="shared" si="7"/>
        <v>Repasse 361</v>
      </c>
      <c r="AE374" s="80">
        <v>361</v>
      </c>
    </row>
    <row r="375" spans="22:31" x14ac:dyDescent="0.2">
      <c r="V375" s="50" t="s">
        <v>110</v>
      </c>
      <c r="W375" s="51" t="s">
        <v>110</v>
      </c>
      <c r="X375" s="51" t="s">
        <v>110</v>
      </c>
      <c r="Y375" s="52" t="s">
        <v>110</v>
      </c>
      <c r="Z375" s="51">
        <v>0</v>
      </c>
      <c r="AA375" s="50" t="s">
        <v>110</v>
      </c>
      <c r="AB375" s="50" t="s">
        <v>110</v>
      </c>
      <c r="AC375" s="50" t="s">
        <v>110</v>
      </c>
      <c r="AD375" s="80" t="str">
        <f t="shared" si="7"/>
        <v>Repasse 362</v>
      </c>
      <c r="AE375" s="80">
        <v>362</v>
      </c>
    </row>
    <row r="376" spans="22:31" x14ac:dyDescent="0.2">
      <c r="V376" s="50" t="s">
        <v>110</v>
      </c>
      <c r="W376" s="51" t="s">
        <v>110</v>
      </c>
      <c r="X376" s="51" t="s">
        <v>110</v>
      </c>
      <c r="Y376" s="52" t="s">
        <v>110</v>
      </c>
      <c r="Z376" s="51">
        <v>0</v>
      </c>
      <c r="AA376" s="50" t="s">
        <v>110</v>
      </c>
      <c r="AB376" s="50" t="s">
        <v>110</v>
      </c>
      <c r="AC376" s="50" t="s">
        <v>110</v>
      </c>
      <c r="AD376" s="80" t="str">
        <f t="shared" si="7"/>
        <v>Repasse 363</v>
      </c>
      <c r="AE376" s="80">
        <v>363</v>
      </c>
    </row>
  </sheetData>
  <mergeCells count="10">
    <mergeCell ref="X1:AC2"/>
    <mergeCell ref="X4:AC5"/>
    <mergeCell ref="V12:AC12"/>
    <mergeCell ref="P18:Q19"/>
    <mergeCell ref="R18:S19"/>
    <mergeCell ref="E1:J1"/>
    <mergeCell ref="P1:S1"/>
    <mergeCell ref="L4:M5"/>
    <mergeCell ref="L14:M15"/>
    <mergeCell ref="P17:S17"/>
  </mergeCells>
  <conditionalFormatting sqref="Z14:Z376">
    <cfRule type="cellIs" dxfId="1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300465-D46F-477B-8078-F4667DFFAA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Geral</vt:lpstr>
      <vt:lpstr>Duplicados</vt:lpstr>
      <vt:lpstr>Instruções</vt:lpstr>
      <vt:lpstr>Planilha1</vt:lpstr>
      <vt:lpstr>Plan que devera ficar oculta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Antônio Marcos</dc:creator>
  <cp:keywords/>
  <dc:description/>
  <cp:lastModifiedBy>Alexandre - AM Santos Transportes</cp:lastModifiedBy>
  <cp:revision/>
  <dcterms:created xsi:type="dcterms:W3CDTF">2015-06-05T18:19:34Z</dcterms:created>
  <dcterms:modified xsi:type="dcterms:W3CDTF">2025-03-31T17:12:42Z</dcterms:modified>
  <cp:category/>
  <cp:contentStatus/>
</cp:coreProperties>
</file>